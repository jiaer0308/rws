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RWS" sheetId="3" r:id="rId1"/>
  </sheets>
  <definedNames>
    <definedName hidden="true" localSheetId="0" name="_xlnm._FilterDatabase">RWS!$A$3:$L$1270</definedName>
    <definedName hidden="true" localSheetId="0" name="Z_A0BD81F3_9F53_4AB4_A1FF_A75318145E3B_.wvu.FilterData">RWS!$A$3:$AB$3</definedName>
    <definedName hidden="true" localSheetId="0" name="Z_7251771E_0DA3_4902_8E85_7962B86F6B3E_.wvu.FilterData">RWS!$A$3:$M$4</definedName>
    <definedName hidden="true" localSheetId="0" name="Z_BA82D935_930A_45B1_827D_31D0FB176337_.wvu.FilterData">RWS!$A$3:$AB$3</definedName>
    <definedName hidden="true" localSheetId="0" name="Z_D8E91704_A7F6_47C5_8330_55549A9098AC_.wvu.FilterData">RWS!$A$3:$L$3</definedName>
    <definedName hidden="true" localSheetId="0" name="Z_3FEE1AD5_5085_46C1_B949_20E580490EEE_.wvu.FilterData">RWS!$A$3:$L$3</definedName>
    <definedName hidden="true" localSheetId="0" name="Z_EFD1D5E9_D7BD_427F_92E0_88FD678CA247_.wvu.FilterData">RWS!$A$3:$AB$4</definedName>
    <definedName hidden="true" localSheetId="0" name="Z_1EE957F7_2E57_4C1C_9156_1D558715E01E_.wvu.FilterData">RWS!$A$3:$AB$3</definedName>
    <definedName hidden="true" localSheetId="0" name="Z_9F5CA6FA_3603_46C5_B92A_AA18DF993A7B_.wvu.FilterData">RWS!$A$3:$AB$4</definedName>
    <definedName hidden="true" localSheetId="0" name="Z_591E5CEE_2A8C_43D4_A9DA_707585E4C451_.wvu.FilterData">RWS!$A$3:$AB$1000</definedName>
    <definedName hidden="true" localSheetId="0" name="Z_4C66EF2A_91F2_4419_8012_DF0A616054AF_.wvu.FilterData">RWS!$A$3:$L$4</definedName>
    <definedName hidden="true" localSheetId="0" name="Z_C1E3DABB_D22D_4E53_95C6_3D3F7F921711_.wvu.FilterData">RWS!$A$3:$L$4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<sst xmlns="http://schemas.openxmlformats.org/spreadsheetml/2006/main" count="2749" uniqueCount="2749">
  <si>
    <t>EFFECTIVE 03/03/2026</t>
  </si>
  <si>
    <t>FB NAME</t>
  </si>
  <si>
    <t>购物金预留的      DATE</t>
  </si>
  <si>
    <t>BANK IN DETAIL</t>
  </si>
  <si>
    <t xml:space="preserve"> 购物金AMT</t>
  </si>
  <si>
    <t>REFUND DATE</t>
  </si>
  <si>
    <t>AR PAYMENT NO</t>
  </si>
  <si>
    <t>被抵扣的订单编号</t>
  </si>
  <si>
    <t>AMT</t>
  </si>
  <si>
    <t>TOTAL AMT</t>
  </si>
  <si>
    <t>ASST NAME</t>
  </si>
  <si>
    <t>BANK</t>
  </si>
  <si>
    <t>CHECKED</t>
  </si>
  <si>
    <t>Chee Lian Lim</t>
  </si>
  <si>
    <t>MBB CT- LEE HOE YAN *Chee lian lim</t>
  </si>
  <si>
    <t>SENG INY</t>
  </si>
  <si>
    <t>023856063Q *11112605616006</t>
  </si>
  <si>
    <t>JENNY CHIN</t>
  </si>
  <si>
    <t>10.00 CHAN YEN NI *Rainbow</t>
  </si>
  <si>
    <t xml:space="preserve">Leehua Ng
</t>
  </si>
  <si>
    <t>MBB CT- NG LEE HUA *Fund transfer</t>
  </si>
  <si>
    <t xml:space="preserve">Angeline Ooi
</t>
  </si>
  <si>
    <t>937559703Q *11112602958397</t>
  </si>
  <si>
    <t>JOSERPHYN CHAI YOKE KHAM</t>
  </si>
  <si>
    <t>CHAI YOKE KHAM *Rainbow</t>
  </si>
  <si>
    <t>Yee Sally</t>
  </si>
  <si>
    <t>YEE THOY CHAN *Barang rumah</t>
  </si>
  <si>
    <t>SOON SHEONG KUOK</t>
  </si>
  <si>
    <t>DUITNOW QR- KUOK CHOE SHEONG KU*</t>
  </si>
  <si>
    <t>Valerie Siew</t>
  </si>
  <si>
    <t>DUITNOW QR- SIEW CHOOI MEE *</t>
  </si>
  <si>
    <t>Lily Lim</t>
  </si>
  <si>
    <t>lily lim LIOM LEE LENG *Fund transfer</t>
  </si>
  <si>
    <t>LAI JIN TAN</t>
  </si>
  <si>
    <t>Tan Lai Jin TAN LAI JIN *Fund transfer</t>
  </si>
  <si>
    <t>Loraine Hew</t>
  </si>
  <si>
    <t>DUITNOW QR- LORAINE HEW SU SHAN*</t>
  </si>
  <si>
    <t>LIM JENNY</t>
  </si>
  <si>
    <t>DUITNOW QR- LEE MENG CHAI *</t>
  </si>
  <si>
    <t>LI TEOH</t>
  </si>
  <si>
    <t>Payment LIM LAM LEONG ENTER*Li teoh</t>
  </si>
  <si>
    <t>Angela Ling</t>
  </si>
  <si>
    <t>MBB CT- LING LAN SIN *Angela ling</t>
  </si>
  <si>
    <t>Sherlynn Lim</t>
  </si>
  <si>
    <t>Lim Sherlynn TAN WEI CHUN *Fund Transfer</t>
  </si>
  <si>
    <t>DUITNOW QR- KHOO KER SIN *</t>
  </si>
  <si>
    <t>JENNY CHONG</t>
  </si>
  <si>
    <t>HOUSEHOLD LIM GOIK NEW *JENNY CHONG</t>
  </si>
  <si>
    <t>CDM CASH DEPOSIT</t>
  </si>
  <si>
    <t>MBB CT- LE SIEW LAY *C9</t>
  </si>
  <si>
    <t>Fb Irene Tan TY TAN CHAU TEE *RAINBOW WHOLES</t>
  </si>
  <si>
    <t>KL TAN</t>
  </si>
  <si>
    <t>MBB CT- TAN KOOI LIAN *KL Tan</t>
  </si>
  <si>
    <t>Gladys Teong</t>
  </si>
  <si>
    <t>Gladys Teong TEONG LAN SENG *Sent from AmOn</t>
  </si>
  <si>
    <t>Mee Yong Tam</t>
  </si>
  <si>
    <t>MBB CT- TAM MEE YONG *Mee yong tam</t>
  </si>
  <si>
    <t>Tiffany CL</t>
  </si>
  <si>
    <t>MBB CT- JACQUELINE LIM TECK*Fund transfer</t>
  </si>
  <si>
    <t>MBB CT- CHAN WAI LING *Wailingchan</t>
  </si>
  <si>
    <t>MBB CT- CHIA LEE LEE *Fund transfer</t>
  </si>
  <si>
    <t>DUITNOW QR- TAN YEAN KOON *</t>
  </si>
  <si>
    <t>DUITNOW QR- HOO LAY CHIN *</t>
  </si>
  <si>
    <t>TING HOOI LING *a</t>
  </si>
  <si>
    <t>P LIVE TAN SAIK BEE *ANN TAN SAIK B</t>
  </si>
  <si>
    <t>CRYSTAL HAU</t>
  </si>
  <si>
    <t>Angie Leong wee sen LEONG WEE SEN *Fund Transfer</t>
  </si>
  <si>
    <t>DUITNOW QR- CHONG SIEW MOY *</t>
  </si>
  <si>
    <t>Cassie Wong</t>
  </si>
  <si>
    <t>WONG CHIONG HUI *Cassie Wong</t>
  </si>
  <si>
    <t>Cash SIAH NAN ING *Cash</t>
  </si>
  <si>
    <t>DUITNOW QR- GOO LI MAY *</t>
  </si>
  <si>
    <t>DUITNOW QR- KOW SUI SIAN *</t>
  </si>
  <si>
    <t>Min Tan Ling</t>
  </si>
  <si>
    <t>DUITNOW QR- TAN LING MIM *</t>
  </si>
  <si>
    <t>FB : TIFFANY JIN TIFFANY SEOW SHU JI*Tiffany</t>
  </si>
  <si>
    <t>MARLINA THUM</t>
  </si>
  <si>
    <t>MBB CT- MARLINA BINTI PRAYI*MARLINA THUM</t>
  </si>
  <si>
    <t>ANGEL TAN</t>
  </si>
  <si>
    <t>TAN CHOON ENG *Angel Tan</t>
  </si>
  <si>
    <t>Morry Eoi</t>
  </si>
  <si>
    <t>Morry Eoi EOI SIEOK HOOI *Fund Transfer</t>
  </si>
  <si>
    <t>YSY</t>
  </si>
  <si>
    <t>DUITNOW QR- YAP SUI YEW *</t>
  </si>
  <si>
    <t>INSTANT TRANSFER HWONG LING TING *MEPS FUNDS TRA</t>
  </si>
  <si>
    <t>MBB CT- YEOH SEONG BENG *household</t>
  </si>
  <si>
    <t>DUITNOW QR- LING HENG CHUAN *</t>
  </si>
  <si>
    <t>MBB CT- NG MEI LIAN *Fund Transfer</t>
  </si>
  <si>
    <t>Chia Wendy</t>
  </si>
  <si>
    <t>MBB CT- MAH JIA CHI *Sent from AmOn</t>
  </si>
  <si>
    <t>DUITNOW QR- TEO JING KAI *</t>
  </si>
  <si>
    <t>MBB CT- NG CHOI BING *Fund Transfer</t>
  </si>
  <si>
    <t>DUITNOW QR- LIM FOO CIOK *</t>
  </si>
  <si>
    <t>Jenny Tan</t>
  </si>
  <si>
    <t>TAN TIN HONG *JENNY TAN</t>
  </si>
  <si>
    <t>DUITNOW QR- CHO SHIOU YUAN *</t>
  </si>
  <si>
    <t>Jesslyn Wong</t>
  </si>
  <si>
    <t>CASH DEPOSIT</t>
  </si>
  <si>
    <t>MBB CT- LIM ZI XING *LIM ZI XING</t>
  </si>
  <si>
    <t>DUITNOW QR- NG SOCK CHEN *</t>
  </si>
  <si>
    <t>TEO HONG MOI *Payment</t>
  </si>
  <si>
    <t>如意</t>
  </si>
  <si>
    <t>MBB CT- YEE GUAT LEE *Fund Transfer</t>
  </si>
  <si>
    <t>DUITNOW QR- LEE MEE YEN *</t>
  </si>
  <si>
    <t>Kittieey Hau</t>
  </si>
  <si>
    <t>MBB CT- HAU GIOK BEE *kittieey Hau</t>
  </si>
  <si>
    <t>Nicole Christina</t>
  </si>
  <si>
    <t>Yobetty Say</t>
  </si>
  <si>
    <t>- CHAN SIEW LENG *Carol Chan</t>
  </si>
  <si>
    <t>AI LEE YEAP</t>
  </si>
  <si>
    <t>YEAP AI LEE YEAP AI LEE *Fund transfer</t>
  </si>
  <si>
    <t>DUITNOW QR- LIM WUI KIM *</t>
  </si>
  <si>
    <t>Payment CHONG SIEW FONG *Ellene Chong</t>
  </si>
  <si>
    <t>MEI SIEW</t>
  </si>
  <si>
    <t>siew yoke mei SIEW YOKE MEI *Fund transfer</t>
  </si>
  <si>
    <t>MBB CT- TAN BEE KIM *Fund Transfer</t>
  </si>
  <si>
    <t>DUITNOW QR- TEO BEE ENG *</t>
  </si>
  <si>
    <t>WONG QUEEN</t>
  </si>
  <si>
    <t>DUITNOW QR- WONG YAT FONG *</t>
  </si>
  <si>
    <t>MBB CT- WONG LEE LING *from Wong</t>
  </si>
  <si>
    <t>SARVAMNA KOH</t>
  </si>
  <si>
    <t>2140/POSTAL AND COURKOH SU LING /ROC/MB7574590</t>
  </si>
  <si>
    <t>MBB CT- CHAN NGAN YEE *CHAN NGAN YEE</t>
  </si>
  <si>
    <t>Lau Maymay</t>
  </si>
  <si>
    <t>MBB CT- LAU YEN FUN *Fund Transfer</t>
  </si>
  <si>
    <t>VIEVE VIEVE</t>
  </si>
  <si>
    <t>Coco LIEW MING HUI *Vieve</t>
  </si>
  <si>
    <t>TAN PB</t>
  </si>
  <si>
    <t>Coco LIEW MING HUI *Tan bp</t>
  </si>
  <si>
    <t>RAINBOW WHOLESALE STCHAN LAI PENG *Fund transfer</t>
  </si>
  <si>
    <t>CHARMAINE CLOSET</t>
  </si>
  <si>
    <t>MBB CT- Wise Payments Malay*TW1493441765 C</t>
  </si>
  <si>
    <t>406166532Q *11112544801410</t>
  </si>
  <si>
    <t>MBB CT- TAN JIA XIN *rainbow</t>
  </si>
  <si>
    <t>YEO SIEW PENG *PINKYYEO</t>
  </si>
  <si>
    <t>KAREN LAI</t>
  </si>
  <si>
    <t>MBB CT- LAI KUE HONG *Fund transfer</t>
  </si>
  <si>
    <t>MBB CT- WARNI @ YONG MEI LI*Fund transfer</t>
  </si>
  <si>
    <t>HA WHOEE LING *ha whoee ling</t>
  </si>
  <si>
    <t>M and R China DaikouLEE WAN TING *CraftyLI</t>
  </si>
  <si>
    <t>online pur- rainbow ANG YUH FEN *Ang Yuh Fen -E</t>
  </si>
  <si>
    <t>Payment CHONG SIEW FONG *ELLENE CHONG</t>
  </si>
  <si>
    <t>JL WONG</t>
  </si>
  <si>
    <t>JL Wong CHUA CHIAN SHIANG *Fund Transfer</t>
  </si>
  <si>
    <t>吴惠君</t>
  </si>
  <si>
    <t>MBB CT- GOH HUEY JIUN *Fund transfer</t>
  </si>
  <si>
    <t>DUITNOW QR- Ah Ming Fin *</t>
  </si>
  <si>
    <t>MBB CT- CHUNG YU POH *FB Elaine Lee</t>
  </si>
  <si>
    <t>MBB CT- CHAN SWEE NGO *Fund Transfer</t>
  </si>
  <si>
    <t>MBB CT- TEO SOO BOON *Sue Teo</t>
  </si>
  <si>
    <t>BEOY HONG</t>
  </si>
  <si>
    <t>beoyhong ONG BEOY HONG *Fund transfer</t>
  </si>
  <si>
    <t>DUITNOW QR- LO FEI CHIN *</t>
  </si>
  <si>
    <t>DUITNOW QR- TAN BOON KIOW *</t>
  </si>
  <si>
    <t>M CHANG YOKE LING *Lynn Ceng</t>
  </si>
  <si>
    <t>SiewMee Lim 林秀鎂</t>
  </si>
  <si>
    <t>MBB CT- LIM SIEW MEE *Fund transfer</t>
  </si>
  <si>
    <t>Tiffany Choi</t>
  </si>
  <si>
    <t>CHOI CHI FUN *Tiffany Choi</t>
  </si>
  <si>
    <t>MBB CT- LEE WAN TING *CraftyLI</t>
  </si>
  <si>
    <t>Elaine Tan TAN PENG LIM *Fund transfer</t>
  </si>
  <si>
    <t>TEO SIO HUI *Cai Wei FB</t>
  </si>
  <si>
    <t>Flora Ding TING SOO YEAN @ DIN*Fund transfer</t>
  </si>
  <si>
    <t>DUITNOW QR- LIM KUE CHENG *</t>
  </si>
  <si>
    <t>may lee KOH ENG HONG *Sent from AmOn</t>
  </si>
  <si>
    <t>ELAINE FOONG</t>
  </si>
  <si>
    <t>MBB CT- FOONG LI HAR *Fund transfer</t>
  </si>
  <si>
    <t>Applee Chann</t>
  </si>
  <si>
    <t>MBB CT- CHAN HUI YIN *fb_applee chan</t>
  </si>
  <si>
    <t>MOOI CHONG</t>
  </si>
  <si>
    <t>MBB CT- CHONG CHEE HONG *Mooi Chong</t>
  </si>
  <si>
    <t>MBB CT- TEE KIN YAP *Fund Transfer</t>
  </si>
  <si>
    <t>Lee Laiha</t>
  </si>
  <si>
    <t>LEE LAI HA *Lee Lai Ha</t>
  </si>
  <si>
    <t>MBB CT- NGAI PECK LENG *PaidByCelineng</t>
  </si>
  <si>
    <t>TAY KYLIE *Masks</t>
  </si>
  <si>
    <t>D TSHAI SAM *Fund Transfer</t>
  </si>
  <si>
    <t>Siew Hwa Chan</t>
  </si>
  <si>
    <t>MBB CT- OON CHEW YEE *Fund Transfer</t>
  </si>
  <si>
    <t>MBB CT- LEE JOO LIN *COSMETIC</t>
  </si>
  <si>
    <t>Chris Cheng</t>
  </si>
  <si>
    <t>CHENG YOCK LAN *on line</t>
  </si>
  <si>
    <t>AGNES KUAN</t>
  </si>
  <si>
    <t>MBB CT- KUAN BEE HONG *agnes kuan</t>
  </si>
  <si>
    <t>DUITNOW QR- WEE BEE ENG *</t>
  </si>
  <si>
    <t>MBB CT- SIM SAW YIK *STEPHENIE SIM</t>
  </si>
  <si>
    <t>王钰铃</t>
  </si>
  <si>
    <t>Remit RM69 to RAINBOWONG YOKE LENG *Transfer name</t>
  </si>
  <si>
    <t>ChooJing Pang</t>
  </si>
  <si>
    <t>MBB CT- PANG CHOO JING *Fund Transfer</t>
  </si>
  <si>
    <t>黄美凤</t>
  </si>
  <si>
    <t>KHOO AH LIK *Rainbow</t>
  </si>
  <si>
    <t>LING CHEOW NEO</t>
  </si>
  <si>
    <t>MBB CT- NEO LING CHEOW *Fund transfer</t>
  </si>
  <si>
    <t>Jolin Lee</t>
  </si>
  <si>
    <t>MBB CT- TAN VI NIE *Jolin</t>
  </si>
  <si>
    <t>MUI CHENG YEW</t>
  </si>
  <si>
    <t>MBB CT- YEW MUI CHENG *coco</t>
  </si>
  <si>
    <t>May Gabbie</t>
  </si>
  <si>
    <t>DUITNOW QR- TAM MEI LING *</t>
  </si>
  <si>
    <t>Wendy ho</t>
  </si>
  <si>
    <t>MBB CT- OH XIN TIEN SOLINE *Wendy ho</t>
  </si>
  <si>
    <t>TANG HOAY LING</t>
  </si>
  <si>
    <t>Rainbow sister KK TANG HOAY LING *TANG HOAY LING</t>
  </si>
  <si>
    <t>WENDY CHAI</t>
  </si>
  <si>
    <t>CHAI WEE KIN *Towel</t>
  </si>
  <si>
    <t>Guinevere Yee</t>
  </si>
  <si>
    <t>DUITNOW QR- YEE LEE YUNG *</t>
  </si>
  <si>
    <t>Alice Chin</t>
  </si>
  <si>
    <t>DUITNOW QR- CHIN YOW FAN *</t>
  </si>
  <si>
    <t>ELLY CHONG</t>
  </si>
  <si>
    <t>DUITNOW QR- CHONG CHUN BEN *</t>
  </si>
  <si>
    <t>Elaine Loh</t>
  </si>
  <si>
    <t>251808540Q *11112690869836</t>
  </si>
  <si>
    <t>Koh Yin</t>
  </si>
  <si>
    <t>251373281Q *11112690850825</t>
  </si>
  <si>
    <t>251315425Q *11112690848372</t>
  </si>
  <si>
    <t>YVONNE LEONG</t>
  </si>
  <si>
    <t>MBB CT- LEONG YING MEI *FB Yvonne Leon</t>
  </si>
  <si>
    <t>DUITNOW QR- OO PHAIK HOON *</t>
  </si>
  <si>
    <t>POON SOW FONG</t>
  </si>
  <si>
    <t>Poon Sow Fong POON SOW FONG *Sent from AmOn</t>
  </si>
  <si>
    <t>Leelee Lim</t>
  </si>
  <si>
    <t>MBB CT- HONG QIAN QIAN *leeleelim</t>
  </si>
  <si>
    <t>MEI HONG NG</t>
  </si>
  <si>
    <t>DUITNOW QR- NG MEI HONG *</t>
  </si>
  <si>
    <t>CANDY LIM</t>
  </si>
  <si>
    <t>DUITNOW QR- LIM SIAO CHOO *</t>
  </si>
  <si>
    <t>VISS CHEW</t>
  </si>
  <si>
    <t>Viss Chew CHEW ENG CHOO *Viss Chew</t>
  </si>
  <si>
    <t>THAI GAIK YEAN *THAI GAIK YEAN</t>
  </si>
  <si>
    <t>CHUA GUAT CHOO</t>
  </si>
  <si>
    <t>KK CHUA GUAT CHOO *MIKO ALICE</t>
  </si>
  <si>
    <t>MBB CT- NG TZE LING *Fund transfer</t>
  </si>
  <si>
    <t>MBB CT- TAN SOON SIM *AnneTan</t>
  </si>
  <si>
    <t>DUITNOW QR- WONG MEI CHIN *</t>
  </si>
  <si>
    <t>Coco LOH HONG CHOO *Loh hong choo</t>
  </si>
  <si>
    <t>DUITNOW QR- LIM SHIAU LAY *</t>
  </si>
  <si>
    <t>Ong siew ching</t>
  </si>
  <si>
    <t>ONG SIEW CHING ONG SIEW CHING *XIN WIE FB ONL</t>
  </si>
  <si>
    <t>OOI HUEI FENG *Samantha Ooi</t>
  </si>
  <si>
    <t>LIM SIM</t>
  </si>
  <si>
    <t>MBB CT- LIM SHING CHIEH *Fund Transfer</t>
  </si>
  <si>
    <t>Jennifer Lim</t>
  </si>
  <si>
    <t>MBB CT- LIM SIN YI *LIM SIN Yi</t>
  </si>
  <si>
    <t>INSTANT TRANSFER OONG FOH ENG *MEPS FUNDS TRA</t>
  </si>
  <si>
    <t>Ng Yeang Mee</t>
  </si>
  <si>
    <t>MBB CT- NG YEANG MEE *Ngyeangmee</t>
  </si>
  <si>
    <t>MBB CT- TANG WEI LING *Fund transfer</t>
  </si>
  <si>
    <t>MBB CT- LIEW PING *Liew ting yu</t>
  </si>
  <si>
    <t>MBB CT- TAN WEN JIE *Oky</t>
  </si>
  <si>
    <t>黄翠虹</t>
  </si>
  <si>
    <t>DUITNOW QR- WONG CHOOI HOONG *</t>
  </si>
  <si>
    <t>Hlk Li Kian Ho</t>
  </si>
  <si>
    <t>Rainbow payment HO LI KIAN *Hlklikianho</t>
  </si>
  <si>
    <t>CHANG CHUI YIAN *Cy Chang</t>
  </si>
  <si>
    <t>LEW LEW KELLY</t>
  </si>
  <si>
    <t>MBB CT- CHEN MEI FONG *Fund transfer</t>
  </si>
  <si>
    <t>Jasmine Au</t>
  </si>
  <si>
    <t>Add on kitchen stuffAU SIEW HONG *Add on kitchen</t>
  </si>
  <si>
    <t>Mandy Woo</t>
  </si>
  <si>
    <t>ZENIS TRADING *Mandy</t>
  </si>
  <si>
    <t>MBB CT- LEE NYOK CHIAN *Agnes Lee</t>
  </si>
  <si>
    <t>EVONNE TAN</t>
  </si>
  <si>
    <t>TAN SOH BOEY *Evo</t>
  </si>
  <si>
    <t>MBB CT- LEW SHIH WEI *Fund Transfer</t>
  </si>
  <si>
    <t>Julie Lim TAN KEOK LAY *HH005+2</t>
  </si>
  <si>
    <t>0173648228 WONG YOKE MING *WongYokeMing (</t>
  </si>
  <si>
    <t>LAI NAI ZHENG *Len tam</t>
  </si>
  <si>
    <t>DUITNOW QR- JOYCE OOI KIM SEE *</t>
  </si>
  <si>
    <t>SIM WAN HOAY</t>
  </si>
  <si>
    <t>CASH DEPOSIT CASH DEPOSIT *MEPS FUNDS TRA</t>
  </si>
  <si>
    <t>MBB CT- CHEN BEE FONG *Chen Bee Fong</t>
  </si>
  <si>
    <t>Su Hlaing</t>
  </si>
  <si>
    <t>Amyyumimi SEAH KOK SEONG *on line</t>
  </si>
  <si>
    <t>MBB CT- LAU GAIK CHING *KK</t>
  </si>
  <si>
    <t>DUITNOW QR- YEE LAI YONG *</t>
  </si>
  <si>
    <t>DUITNOW QR- HONG SHEW SIANG *</t>
  </si>
  <si>
    <t>DUITNOW QR- NG KIM KEE *</t>
  </si>
  <si>
    <t>ESTHER WANG</t>
  </si>
  <si>
    <t>INSTANT TRANSFER WANG HEW CHIN *MEPS FUNDS TRA</t>
  </si>
  <si>
    <t>MBB CT- TUNG LEE CHUN *Fund transfer</t>
  </si>
  <si>
    <t>Michelle Yapp</t>
  </si>
  <si>
    <t>MBB CT- YAPP LI YUN *goods</t>
  </si>
  <si>
    <t>MBB CT- CHEA YUKE YIN *ck win(chea yu</t>
  </si>
  <si>
    <t>Karen Lam</t>
  </si>
  <si>
    <t>DUITNOW QR- LAM TSI KUAN *</t>
  </si>
  <si>
    <t>LEE CHUN TUNG</t>
  </si>
  <si>
    <t>DUITNOW QR- TUNG LEE CHUN *</t>
  </si>
  <si>
    <t>YOK CHIN SIA</t>
  </si>
  <si>
    <t>DUITNOW QR- SIA YOK CHIN *</t>
  </si>
  <si>
    <t>Louise Cheam</t>
  </si>
  <si>
    <t>MBB CT- CHEAM SHING HUEY *Rainbow Sister</t>
  </si>
  <si>
    <t>DuitNow CHAN YEE MUN *FB Mandy Chan</t>
  </si>
  <si>
    <t>LOH STEPHANIE</t>
  </si>
  <si>
    <t>DUITNOW QR- LOH HONG CHOO *</t>
  </si>
  <si>
    <t>DUITNOW QR- LEE BEE BEE *</t>
  </si>
  <si>
    <t>Amy Lim</t>
  </si>
  <si>
    <t>DUITNOW QR- LIM KWEE TIN *</t>
  </si>
  <si>
    <t>ER SEW TAN *EDNA ER</t>
  </si>
  <si>
    <t>lee b k LEE BOON KUAN *rainbow-GG</t>
  </si>
  <si>
    <t>MBB CT- CHONG PEK WEI *Fund Transfer</t>
  </si>
  <si>
    <t>MBB CT- TAN VOON PIN *Tan Weko</t>
  </si>
  <si>
    <t>TRAGY TUAN</t>
  </si>
  <si>
    <t>DUITNOW QR- TUAN SIEW PENG *</t>
  </si>
  <si>
    <t>DUITNOW QR- SHIM SIEW TIN *</t>
  </si>
  <si>
    <t>Dolly Tan</t>
  </si>
  <si>
    <t>MBB CT- WONG MEE LENG *Fund transfer</t>
  </si>
  <si>
    <t>LIM KAH KING *purchase hh</t>
  </si>
  <si>
    <t>MBB CT- LIM SOO MENG *Fund Transfer</t>
  </si>
  <si>
    <t>LIM KAH KING *Purchase HH</t>
  </si>
  <si>
    <t>Be Yah Zhi</t>
  </si>
  <si>
    <t>Be Yah Zhi BE YAH ZHI *Rainbow Sister</t>
  </si>
  <si>
    <t>MEGGIE LIM</t>
  </si>
  <si>
    <t>MBB CT- MEGGIE LIM *MEGGIE LIM</t>
  </si>
  <si>
    <t>Chang Shi Yun</t>
  </si>
  <si>
    <t>DUITNOW QR- CHANG SHI YUN *</t>
  </si>
  <si>
    <t>DUITNOW QR- LEE AIR FAUS *</t>
  </si>
  <si>
    <t>Tanny Lee</t>
  </si>
  <si>
    <t>MBB CT- LEE TIAN NYOK *Fund Transfer</t>
  </si>
  <si>
    <t>Snow CC</t>
  </si>
  <si>
    <t>Chin Yoon Thau CHIN YOON THAU *Snow CC</t>
  </si>
  <si>
    <t>Geokchu Ong</t>
  </si>
  <si>
    <t>DUITNOW QR- ONG GEOK CHU *</t>
  </si>
  <si>
    <t>Chwee Hong Seet</t>
  </si>
  <si>
    <t>DUITNOW QR- SEET CHWEE HONG *</t>
  </si>
  <si>
    <t>Shirly 雪莉</t>
  </si>
  <si>
    <t>DUITNOW QR- LAU XUE LI *</t>
  </si>
  <si>
    <t>MBB CT- ONG LEAN CHOON *Fund Transfer</t>
  </si>
  <si>
    <t>CHU HELEN</t>
  </si>
  <si>
    <t>TONG CHEE KONG *Helen Chu</t>
  </si>
  <si>
    <t>Lee Yen LEE CHIEW YEN *Lee Chiew Yen</t>
  </si>
  <si>
    <t>Ellie Ong</t>
  </si>
  <si>
    <t>MBB CT- ONG LEE KIM *Ellie Ong</t>
  </si>
  <si>
    <t>OOI SIEW KIM</t>
  </si>
  <si>
    <t>INSTANT TRANSFER OOI SIEW KIM *MEPS FUNDS TRA</t>
  </si>
  <si>
    <t>Linda Lock</t>
  </si>
  <si>
    <t>MBB CT- LOCK SIEW HIONG *Fund Transfer</t>
  </si>
  <si>
    <t>曾琦琦</t>
  </si>
  <si>
    <t>MBB CT- CHAN AH CHEE *from Chan Toh</t>
  </si>
  <si>
    <t>TAN CHEE CHOON *Rainbow</t>
  </si>
  <si>
    <t>DUITNOW QR- LAU BENG CHENG *</t>
  </si>
  <si>
    <t>EVA FOONG</t>
  </si>
  <si>
    <t>MBB CT- FOONG TSEY WEN *evafoong</t>
  </si>
  <si>
    <t>DUITNOW QR- LIEU MAY LING *</t>
  </si>
  <si>
    <t>DUITNOW QR- TAN HWEE MEE *</t>
  </si>
  <si>
    <t>MBB CT- LIM FUNG FUNG *QQ , paid by L</t>
  </si>
  <si>
    <t>MAX TEOW CHEONG TAT</t>
  </si>
  <si>
    <t>TEOW CHEONG TAT *Max</t>
  </si>
  <si>
    <t>LAI PEI PEI *Lai pei pei</t>
  </si>
  <si>
    <t>Serene Ho</t>
  </si>
  <si>
    <t>Serene Ho HO CHIEW PENG *Serene Ho</t>
  </si>
  <si>
    <t>Yuki Long</t>
  </si>
  <si>
    <t>Lai Pei Pei</t>
  </si>
  <si>
    <t>Grace Lim Che Yee</t>
  </si>
  <si>
    <t>MBB CT- KOH PENG CHEONG *Fund Transfer</t>
  </si>
  <si>
    <t>Tok LP Teresa</t>
  </si>
  <si>
    <t>DUITNOW QR- TOK LEE PING *</t>
  </si>
  <si>
    <t>Anna Kong</t>
  </si>
  <si>
    <t>MBB CT- KONG SUK LEE *Shopping</t>
  </si>
  <si>
    <t>CELESTINE LAI</t>
  </si>
  <si>
    <t>DUITNOW QR- LAI TENG MUN *</t>
  </si>
  <si>
    <t>Alice Tiong</t>
  </si>
  <si>
    <t>Rainbow ALICA TIONG HWA PIN*Rainbow</t>
  </si>
  <si>
    <t>MBB CT- CHAN CHIW YIN *from Ivychan</t>
  </si>
  <si>
    <t>Bary Tan</t>
  </si>
  <si>
    <t>CHAN JESSYN *bary tan</t>
  </si>
  <si>
    <t>BOBO ONG</t>
  </si>
  <si>
    <t>MBB CT- ONG POH MOY *from Bobo Ong</t>
  </si>
  <si>
    <t>PH Soh</t>
  </si>
  <si>
    <t>DUITNOW QR- SOH PIK HONG *</t>
  </si>
  <si>
    <t>周云</t>
  </si>
  <si>
    <t>MBB CT- CHU SHIAO YIN *Fund Transfer</t>
  </si>
  <si>
    <t>CANDY TEO</t>
  </si>
  <si>
    <t>715946160Q *11112630694890</t>
  </si>
  <si>
    <t>Kelly Yong Keak Lee</t>
  </si>
  <si>
    <t>Rainbow D YONG KEAK LEE *Fund transfer</t>
  </si>
  <si>
    <t>My Yap</t>
  </si>
  <si>
    <t>DUITNOW QR- YAP MEI YEE *</t>
  </si>
  <si>
    <t>RENEE CHEW</t>
  </si>
  <si>
    <t>CHEW LI FONG *Renee chew</t>
  </si>
  <si>
    <t>DUITNOW QR- WONG SHU NING *</t>
  </si>
  <si>
    <t>JOJO CHAH</t>
  </si>
  <si>
    <t>CHAH AI WOOI *Jojochah</t>
  </si>
  <si>
    <t>TEH SUAN LOOI</t>
  </si>
  <si>
    <t>MBB CT- TEH SUAN LOOI *teh suanlooi</t>
  </si>
  <si>
    <t>Tham Jenny</t>
  </si>
  <si>
    <t>DUITNOW QR- THAM CHAN LEE *</t>
  </si>
  <si>
    <t>Jamie Wong Leh Ching</t>
  </si>
  <si>
    <t>Rainbow wholesale MS WONG LEH CHING *Wong Leh Ching</t>
  </si>
  <si>
    <t>516459394Q *11112623212353</t>
  </si>
  <si>
    <t>May Loh</t>
  </si>
  <si>
    <t>LOH YAT CHOON *Mayloh</t>
  </si>
  <si>
    <t>Pauline Zea</t>
  </si>
  <si>
    <t>MBB CT- PAULINE KU THAI FON*Pauline zea</t>
  </si>
  <si>
    <t>cho ng HOO YOKE LAN *cho ng</t>
  </si>
  <si>
    <t>DUITNOW QR- PANG LIH HUI *</t>
  </si>
  <si>
    <t>CHAN AALICE CHAN MEI FONG *Fund transfer</t>
  </si>
  <si>
    <t>DUITNOW QR- ONG AI LING *</t>
  </si>
  <si>
    <t>Candy Yee</t>
  </si>
  <si>
    <t>CANDY YEE MEN *Candy yee</t>
  </si>
  <si>
    <t xml:space="preserve">Ng Son Yean
</t>
  </si>
  <si>
    <t>MDM NG SOK YEAN *Vitamicnsy</t>
  </si>
  <si>
    <t>Chew Lai Kwan</t>
  </si>
  <si>
    <t>050248429Q *11112800688901</t>
  </si>
  <si>
    <t>SHIRLEY SIOW</t>
  </si>
  <si>
    <t>MBB CT- SIOW LEE YUN *Shirley siow</t>
  </si>
  <si>
    <t>OOI VINCENT</t>
  </si>
  <si>
    <t>DUITNOW QR- OOI YIN SHEN *</t>
  </si>
  <si>
    <t>TAN BOONKIOW</t>
  </si>
  <si>
    <t>TAN BOON KIOW *TAN BOON KIOW</t>
  </si>
  <si>
    <t>陈妍伶</t>
  </si>
  <si>
    <t>TAN CHIN PING *TAN AI LING</t>
  </si>
  <si>
    <t>ALICE TAN</t>
  </si>
  <si>
    <t>MBB CT- TAN MUI LENG *AliceTan</t>
  </si>
  <si>
    <t>KELLY MAH</t>
  </si>
  <si>
    <t>MBB CT- MAH LEE CHIAN *Fund Transfer</t>
  </si>
  <si>
    <t>WOO AH FONG</t>
  </si>
  <si>
    <t>DUITNOW QR- WOO AH FONG *</t>
  </si>
  <si>
    <t>Mandy Law</t>
  </si>
  <si>
    <t>Rainbow LAW SUD KUAN *Rainbow</t>
  </si>
  <si>
    <t>Cheah LaiKuan</t>
  </si>
  <si>
    <t>Cheah lai kuan CHEAH LAI KUAN *Sent from AmOn</t>
  </si>
  <si>
    <t>WING ENG</t>
  </si>
  <si>
    <t>DUITNOW QR- ENG CHI YEN *</t>
  </si>
  <si>
    <t>EUGINE NG</t>
  </si>
  <si>
    <t>MBB CT- KHOR WEN YING *Eugine ng</t>
  </si>
  <si>
    <t>NICOLE KWONG</t>
  </si>
  <si>
    <t>nicole kwong KWONG JIA HUI *Fund transfer</t>
  </si>
  <si>
    <t>LC YC</t>
  </si>
  <si>
    <t>864029331Q *11112793578781</t>
  </si>
  <si>
    <t>郑美翠</t>
  </si>
  <si>
    <t>Lim Yuan Siong *Dang Mee Ging</t>
  </si>
  <si>
    <t xml:space="preserve">Jade Tan
</t>
  </si>
  <si>
    <t>MBB CT- TAN SWEE GEOK *Savings</t>
  </si>
  <si>
    <t>SOO CHENG HNG</t>
  </si>
  <si>
    <t>MBB CT- H'NG SOO CHENG0 *Fund Transfer</t>
  </si>
  <si>
    <t>Tracy HM</t>
  </si>
  <si>
    <t>DUITNOW QR- LAYHE MON *</t>
  </si>
  <si>
    <t>Jiessy Gan</t>
  </si>
  <si>
    <t>MBB CT- GAN PEI JIE *Jiessygan</t>
  </si>
  <si>
    <t>Catherine Boon</t>
  </si>
  <si>
    <t>MBB CT- BOON CHENG LIN *Catherine Boon</t>
  </si>
  <si>
    <t>陳美兰</t>
  </si>
  <si>
    <t>DUITNOW QR- TAN MOI LAN *</t>
  </si>
  <si>
    <t>GOH XIU XIN</t>
  </si>
  <si>
    <t>Winter Tiw</t>
  </si>
  <si>
    <t>winter tiw L TIW MEY HOOI *Fund Transfer</t>
  </si>
  <si>
    <t>SIEW LENG CHOO</t>
  </si>
  <si>
    <t>MBB CT- CHONG SIEW LENG *maixiaogui</t>
  </si>
  <si>
    <t>Yu Jie Lee</t>
  </si>
  <si>
    <t>MBB CT- LEE SWEE PENG *Yu Jie Lee</t>
  </si>
  <si>
    <t>HAZEL LOO SHU XIAN</t>
  </si>
  <si>
    <t>DUITNOW QR- LOO SHUK SHYUAN *</t>
  </si>
  <si>
    <t>LOW KIM MOOI</t>
  </si>
  <si>
    <t>Furniture LOO HWEE YONG *LOW KIM MOOI</t>
  </si>
  <si>
    <t>Vivipang Vivi</t>
  </si>
  <si>
    <t>Vivipang vivi PANG JIA YU *Fund Transfer</t>
  </si>
  <si>
    <t>JANET ANG</t>
  </si>
  <si>
    <t>Tracy Yong Hui</t>
  </si>
  <si>
    <t>MBB CT- LOO YONG HUI *Tracy Yong Hui</t>
  </si>
  <si>
    <t>CHAI CHEN TING</t>
  </si>
  <si>
    <t>FSTW112300379617 CHAI CHEN TING IBG through AT</t>
  </si>
  <si>
    <t>Jenny yew</t>
  </si>
  <si>
    <t>MBB CT- YEW LEE CHEN *Fund Transfer</t>
  </si>
  <si>
    <t>WAILING AW</t>
  </si>
  <si>
    <t>MBB CT- AW WAI LING *Wailingaw</t>
  </si>
  <si>
    <t>金金</t>
  </si>
  <si>
    <t>DUITNOW QR- YAP TZYH SIONG *</t>
  </si>
  <si>
    <t>Longxuan Tong</t>
  </si>
  <si>
    <t>MBB CT- WONG MUN LING *Fund Transfer</t>
  </si>
  <si>
    <t>XIAO BAI</t>
  </si>
  <si>
    <t>DUITNOW QR- TAN LEE NGUK *</t>
  </si>
  <si>
    <t>Khor Ling Ling</t>
  </si>
  <si>
    <t>DUITNOW QR- KHOR MEI LING *</t>
  </si>
  <si>
    <t>Fong Loh</t>
  </si>
  <si>
    <t>Food LOH MUI FONG *Rainbow Luggag</t>
  </si>
  <si>
    <t>郭秀玲</t>
  </si>
  <si>
    <t>Hooi Lin 0108736198 TEH HOOI LIN *Teh Hooi Lin</t>
  </si>
  <si>
    <t>Nicegirl Chow</t>
  </si>
  <si>
    <t>MBB CT- CHOW KAK WEI *Fund Transfer</t>
  </si>
  <si>
    <t>KEN TAN</t>
  </si>
  <si>
    <t>KUAN SIEW MEE *Ken tan</t>
  </si>
  <si>
    <t>Sharon Lee</t>
  </si>
  <si>
    <t>Sharon Lee LEE SIOK HUAY *Sundries</t>
  </si>
  <si>
    <t>Kelly Ng</t>
  </si>
  <si>
    <t>DUITNOW QR- NG CHEW SHIANG *</t>
  </si>
  <si>
    <t>KIM BENG</t>
  </si>
  <si>
    <t>MBB CT- TAN SHIEH TING *Fund Transfer</t>
  </si>
  <si>
    <t>Angelia Chong</t>
  </si>
  <si>
    <t>angelia chong ONG SEE MENG *Fund transfer</t>
  </si>
  <si>
    <t>SANNY YEE</t>
  </si>
  <si>
    <t>sanny yee 0125098566YEE WEE FEN *Fund Transfer</t>
  </si>
  <si>
    <t>JSS TY</t>
  </si>
  <si>
    <t>MBB CT- TAY PENG HUI *B live selling</t>
  </si>
  <si>
    <t>蔡翠婷</t>
  </si>
  <si>
    <t>MBB CT- CHONG BOON YEE *payment</t>
  </si>
  <si>
    <t>CONNIE CHAN</t>
  </si>
  <si>
    <t>DUITNOW QR- CHAN KIT YEONG *</t>
  </si>
  <si>
    <t>Yoke Yun</t>
  </si>
  <si>
    <t>DUITNOW QR- CHEN YOK YON *</t>
  </si>
  <si>
    <t>Pei Pei Samantha</t>
  </si>
  <si>
    <t>DUITNOW QR- TAN PEI PEI *</t>
  </si>
  <si>
    <t>JENNY LEOW</t>
  </si>
  <si>
    <t>DUITNOW QR- LEOW CHOOI YOKE *</t>
  </si>
  <si>
    <t>NG MIKI</t>
  </si>
  <si>
    <t>DUITNOW QR- NG BEE HAR *</t>
  </si>
  <si>
    <t>Maden Foo</t>
  </si>
  <si>
    <t>FOO WEI FONG FOO WEI FONG *SKIN CARE</t>
  </si>
  <si>
    <t>JIN LING</t>
  </si>
  <si>
    <t>MBB CT- LOW ZHENG LING *from Jin Ling</t>
  </si>
  <si>
    <t>MEIANN LL LEE</t>
  </si>
  <si>
    <t>DUITNOW QR- LEE MEI ANN *</t>
  </si>
  <si>
    <t>PEK YONG CHANG</t>
  </si>
  <si>
    <t>Rainbow CHANG PEK YONG *Live</t>
  </si>
  <si>
    <t>JENNIFER CHONG</t>
  </si>
  <si>
    <t>Jennifer CHONG YUH FONG *Fund Transfer</t>
  </si>
  <si>
    <t>Cris Lim Siew Yee</t>
  </si>
  <si>
    <t>C group LIM SIEW YEE *Cris Lim Siew</t>
  </si>
  <si>
    <t>IRENE CHAN</t>
  </si>
  <si>
    <t>DUITNOW QR- CHAN SIEW CHIEN *</t>
  </si>
  <si>
    <t>JENNY WOO</t>
  </si>
  <si>
    <t>DUITNOW QR- WOO CHEN NEI *</t>
  </si>
  <si>
    <t>IVY CHAN</t>
  </si>
  <si>
    <t>MBB CT- CHAN CHE LIN *Ivy Chan</t>
  </si>
  <si>
    <t>PAGGIE YAP</t>
  </si>
  <si>
    <t>MBB CT- YAP POOI KEE *from Paggie ya</t>
  </si>
  <si>
    <t>HAPPY HOW</t>
  </si>
  <si>
    <t>INSTANT TRANSFER HOW BEE HWA *MEPS FUNDS TRA</t>
  </si>
  <si>
    <t>Shirleen Chua</t>
  </si>
  <si>
    <t>934989036Q *11112757842826</t>
  </si>
  <si>
    <t>LIAW GEOK LAN</t>
  </si>
  <si>
    <t>MBB CT- WONG SHI LUI *LiawGeokLan</t>
  </si>
  <si>
    <t>温银英</t>
  </si>
  <si>
    <t>923159393Q *11112757535147</t>
  </si>
  <si>
    <t>Angie Yap</t>
  </si>
  <si>
    <t>YAP YOKE KIM *Angie Yap 0126</t>
  </si>
  <si>
    <t>STELLA GAN</t>
  </si>
  <si>
    <t>MBB CT- GAN CHEW MENG *Stellagan L</t>
  </si>
  <si>
    <t>TOO MEI</t>
  </si>
  <si>
    <t>MBB CT- LAI HUA CHING *chole ch</t>
  </si>
  <si>
    <t>MINNISS CHEE</t>
  </si>
  <si>
    <t>DUITNOW QR- CHEE BOON CHING *</t>
  </si>
  <si>
    <t>Emily Lim</t>
  </si>
  <si>
    <t>DUITNOW QR- LIM SIOK HIEW *</t>
  </si>
  <si>
    <t>ADDA MOON</t>
  </si>
  <si>
    <t>CHIANG HUI CHIAN FUND TRANSFER</t>
  </si>
  <si>
    <t>SAKURA WAN</t>
  </si>
  <si>
    <t>MBB CT- CHOO HUEY LING *SAKURA WAN</t>
  </si>
  <si>
    <t>VICKY WONG</t>
  </si>
  <si>
    <t>MBB CT- WONG CHOOI YUN *from Vicky</t>
  </si>
  <si>
    <t>CHIN LEE MA</t>
  </si>
  <si>
    <t>MBB CT- KHOO ER AN / *Mah chin lee</t>
  </si>
  <si>
    <t>Ai Mei Lim</t>
  </si>
  <si>
    <t>MBB CT- YAP BOON TAT *Fund Transfer</t>
  </si>
  <si>
    <t>VINNY VINNIE</t>
  </si>
  <si>
    <t>DUITNOW QR- CHANG WAN NI *</t>
  </si>
  <si>
    <t>Rebecca Lee</t>
  </si>
  <si>
    <t>DUITNOW QR- LEE MING FONG *</t>
  </si>
  <si>
    <t>黄敏</t>
  </si>
  <si>
    <t>JC TAN WEY KONG *Raibow</t>
  </si>
  <si>
    <t>Anjoe Yi</t>
  </si>
  <si>
    <t>rainbow sis - Anjoe SEE CHU NIE *Fund transfer</t>
  </si>
  <si>
    <t>E0.01</t>
  </si>
  <si>
    <t>DUITNOW QR- CHAN SIEW CHENG *</t>
  </si>
  <si>
    <t>Sook Wei</t>
  </si>
  <si>
    <t>DUITNOW QR- LEE SOOK WEE *</t>
  </si>
  <si>
    <t>庄媄婷</t>
  </si>
  <si>
    <t>DUITNOW QR- CHUNG MOOI PENG *</t>
  </si>
  <si>
    <t>LIZ CHIONG</t>
  </si>
  <si>
    <t>CHIONG FONG CHOO *Liz Chiong</t>
  </si>
  <si>
    <t>NICO SIM</t>
  </si>
  <si>
    <t>Rainbow sis SIM MEEI FANG *Nico sim</t>
  </si>
  <si>
    <t>CHEW MEI YAP</t>
  </si>
  <si>
    <t>China products YAP CHEW MEI *Chew Mei Yap</t>
  </si>
  <si>
    <t>SHU JING</t>
  </si>
  <si>
    <t>DUITNOW QR- GAN SHU JING *</t>
  </si>
  <si>
    <t>Irene Tan</t>
  </si>
  <si>
    <t>DUITNOW QR- TAN AI LING *</t>
  </si>
  <si>
    <t>Iris Lin</t>
  </si>
  <si>
    <t>MBB CT- LIM TZE WEE *B part</t>
  </si>
  <si>
    <t>韩佩玲</t>
  </si>
  <si>
    <t>MS HAN PEI LING *CoCo</t>
  </si>
  <si>
    <t>ANN OOI</t>
  </si>
  <si>
    <t>MBB CT- OOI AI LING *Fund transfer</t>
  </si>
  <si>
    <t>Joanne Koo</t>
  </si>
  <si>
    <t>KOO KA BEE *Payment</t>
  </si>
  <si>
    <t>YIN WAH LEE</t>
  </si>
  <si>
    <t>KOH PUI MUN *Lee Yin Wah</t>
  </si>
  <si>
    <t>Joanne Ewe</t>
  </si>
  <si>
    <t>DUITNOW QR- EWE AH KEE *</t>
  </si>
  <si>
    <t>Shelly Ong Property</t>
  </si>
  <si>
    <t>DUITNOW QR- ONG CHOOI POH *</t>
  </si>
  <si>
    <t>SY LEE</t>
  </si>
  <si>
    <t>courier charges LEE SIEW YING *Sy Lee</t>
  </si>
  <si>
    <t>邱叮叮</t>
  </si>
  <si>
    <t>DUITNOW QR- KHOO BEE TIN *</t>
  </si>
  <si>
    <t>KL PHOON</t>
  </si>
  <si>
    <t>MBB CT- PHOON KAM LAN *Fund Transfer</t>
  </si>
  <si>
    <t>SHELLY LEONG</t>
  </si>
  <si>
    <t>DUITNOW QR- LEONG LEE YIN *</t>
  </si>
  <si>
    <t>MAY GAN</t>
  </si>
  <si>
    <t>DUITNOW QR- GAN BOON HONG *</t>
  </si>
  <si>
    <t>PUIYEE PHEW</t>
  </si>
  <si>
    <t>DUITNOW QR- PHEW PUI YEE *</t>
  </si>
  <si>
    <t>林芳芳</t>
  </si>
  <si>
    <t>HP INDUSTRIES TRADI*fong</t>
  </si>
  <si>
    <t>Jessica Chai</t>
  </si>
  <si>
    <t>DUITNOW QR- CHAI CHIEW FERN *</t>
  </si>
  <si>
    <t>LING TEH</t>
  </si>
  <si>
    <t>MBB CT- TEH SOO LING *Ling Teh</t>
  </si>
  <si>
    <t>陈雪婷</t>
  </si>
  <si>
    <t>MBB CT- TAN SHUE THENG *Fund Transfer</t>
  </si>
  <si>
    <t>CRYSTAL WONG</t>
  </si>
  <si>
    <t>Crystal wong WONG LING HUEY *F9850202511070</t>
  </si>
  <si>
    <t>IRENE YAN</t>
  </si>
  <si>
    <t>CHIN OI LIN *ireneyan</t>
  </si>
  <si>
    <t>Quah Peipei</t>
  </si>
  <si>
    <t>coco QUAH SWEY LI *A</t>
  </si>
  <si>
    <t>张燕玲</t>
  </si>
  <si>
    <t>Yenny Chong WANG TECK HWA *C mart 011125</t>
  </si>
  <si>
    <t>KM Leong</t>
  </si>
  <si>
    <t>0169070833 LIM MING LI *KM Leong</t>
  </si>
  <si>
    <t>CHNG EMILY</t>
  </si>
  <si>
    <t>6850/OTHER PERSONAL CHNG KHAU LENG (ZHU /ROC/MB7623365</t>
  </si>
  <si>
    <t xml:space="preserve">Olivia Nui Nui
</t>
  </si>
  <si>
    <t>DUITNOW QR- PANG KAH YAN *</t>
  </si>
  <si>
    <t>APPLE HEE</t>
  </si>
  <si>
    <t>DUITNOW QR- HEE SOW YIN *</t>
  </si>
  <si>
    <t>莉琳</t>
  </si>
  <si>
    <t>MBB CT- TAN CHEAN PING *Li Ling</t>
  </si>
  <si>
    <t>Cheng Gaik Hoon</t>
  </si>
  <si>
    <t>CHENG GAIK HOON *Cheng Gaik Ho</t>
  </si>
  <si>
    <t>Tay May Ching</t>
  </si>
  <si>
    <t>DUITNOW QR- TAY MAY CHING *</t>
  </si>
  <si>
    <t>Jean Tam</t>
  </si>
  <si>
    <t>DUITNOW QR- TAN HUEY CHIEN *</t>
  </si>
  <si>
    <t>LOUISE CHEAM</t>
  </si>
  <si>
    <t>MBB CT- CHEAM SHING HUEY *JJ mai chang</t>
  </si>
  <si>
    <t>Alicia Tan</t>
  </si>
  <si>
    <t>TAN SHANG FOOI *Pants Alicia T</t>
  </si>
  <si>
    <t>LANDY YEO</t>
  </si>
  <si>
    <t>DUITNOW QR- YEO SIEW LAN *</t>
  </si>
  <si>
    <t>Yong Mooi Song</t>
  </si>
  <si>
    <t>MBB CT- SONG YONG MOOI *Song Qing ling</t>
  </si>
  <si>
    <t>YING LEE</t>
  </si>
  <si>
    <t>MBB CT- YAP LEE MENG *ying lee</t>
  </si>
  <si>
    <t xml:space="preserve">Vivian On
</t>
  </si>
  <si>
    <t>Sport shoes ON POH KUAN *Vivian On</t>
  </si>
  <si>
    <t>夏忠恵</t>
  </si>
  <si>
    <t xml:space="preserve">Bei Bi Loke
</t>
  </si>
  <si>
    <t>MBB CT- ENG YUH SHAN *03Nov25 Bei Bi</t>
  </si>
  <si>
    <t>Kelly Kow</t>
  </si>
  <si>
    <t>MBB CT- KOUW BEE LEE *kelly kow</t>
  </si>
  <si>
    <t>Janice Ling</t>
  </si>
  <si>
    <t>MBB CT- CHENG KOOI LING *Fund Transfer</t>
  </si>
  <si>
    <t>CINDY KUAN</t>
  </si>
  <si>
    <t>MBB CT- CINDY KUAN SHEE YUE*cindy kuan</t>
  </si>
  <si>
    <t>Chye Khe Chan</t>
  </si>
  <si>
    <t>RainbowSisterWholeSaLIM SOO CHING *MsYongChoyLen</t>
  </si>
  <si>
    <t xml:space="preserve">Simone Zoe
</t>
  </si>
  <si>
    <t>693026872Q *11112707184339</t>
  </si>
  <si>
    <t>LOW PEARLINE</t>
  </si>
  <si>
    <t>Rainbow Wholesale StLOW KWEE MOOI *Fund transfer</t>
  </si>
  <si>
    <t>PENNY ENG</t>
  </si>
  <si>
    <t>pennyeng ENG PEH NEE *Fund Transfer</t>
  </si>
  <si>
    <t>QUEN WONG</t>
  </si>
  <si>
    <t>MBB CT- WONG LAI QUEN *Quenwong</t>
  </si>
  <si>
    <t>SP HUIN</t>
  </si>
  <si>
    <t>HUIN SIEW PENG FUND TRANSFER</t>
  </si>
  <si>
    <t>陈钰媚</t>
  </si>
  <si>
    <t>INSTANT TRANSFER TAN YOKE MOOI *MEPS FUNDS TRA</t>
  </si>
  <si>
    <t>MUIMUI BO</t>
  </si>
  <si>
    <t>MBB CT- BONG MUI HEONG *MuiMuiBo</t>
  </si>
  <si>
    <t>LINGLING MAH</t>
  </si>
  <si>
    <t>MBB CT- KOK SUEN *linglingmah</t>
  </si>
  <si>
    <t>CHIN CHAI NG</t>
  </si>
  <si>
    <t>MBB CT- TAN LIM CHEE LONG *Fund Transfer</t>
  </si>
  <si>
    <t>WONG LEE HENG</t>
  </si>
  <si>
    <t>WONG SHI MIN *WONG LEE HENG</t>
  </si>
  <si>
    <t>ANNIE CHUA</t>
  </si>
  <si>
    <t>MBB CT- CSC MOTOR SERVICE *Fund transfer</t>
  </si>
  <si>
    <t>ISABELLE LEE YUN LING</t>
  </si>
  <si>
    <t>2140/POSTAL AND COURISABELLE LEE YUN LI /ROC/MB5122800</t>
  </si>
  <si>
    <t>EVAN SHIM</t>
  </si>
  <si>
    <t>MBB CT- SHIM WOON YEN *Rainbow wholes</t>
  </si>
  <si>
    <t>383015875Q *11112891999872</t>
  </si>
  <si>
    <t>HENG GET YOOK</t>
  </si>
  <si>
    <t>DUITNOW QR- HENG GET YOOK *</t>
  </si>
  <si>
    <t>VIVIAN NGO</t>
  </si>
  <si>
    <t>LOW SIEW NGO *vivian ngo</t>
  </si>
  <si>
    <t>SIEW KHENG CHIN</t>
  </si>
  <si>
    <t>CHIN SIEW KHENG *Chin siew khen</t>
  </si>
  <si>
    <t>WENDY CHONG</t>
  </si>
  <si>
    <t>Wendy Chong CHONG SIEW MOOI *Fund transfer</t>
  </si>
  <si>
    <t>FANG QI</t>
  </si>
  <si>
    <t>MBB CT- LOH QI FANG *from qifang</t>
  </si>
  <si>
    <t>OWYI6QFAQYQX NIUM SDN. BHD.(FKA *YouTrip Overse</t>
  </si>
  <si>
    <t>YONG MOOI SONG</t>
  </si>
  <si>
    <t>林嘉欣</t>
  </si>
  <si>
    <t>MBB CT- LIM KAH FEI *Lin jiaxin</t>
  </si>
  <si>
    <t>S.T CHONG</t>
  </si>
  <si>
    <t>MBB CT- J.J. BEAUTY CENTRE *S. T. Chong</t>
  </si>
  <si>
    <t>SOON HONG</t>
  </si>
  <si>
    <t>POH SOON HONG *Rainbow</t>
  </si>
  <si>
    <t>FIONA GCL</t>
  </si>
  <si>
    <t>MBB CT- GOH CHWEE LAN (MS) *new year shir</t>
  </si>
  <si>
    <t>YUAN FEN LEE</t>
  </si>
  <si>
    <t>DUITNOW QR- LEE LAN HAM *</t>
  </si>
  <si>
    <t>佩靖</t>
  </si>
  <si>
    <t>DUITNOW QR- THONG POOI CHENG *</t>
  </si>
  <si>
    <t>2140/POSTAL AND COURISABELLE LEE YUN LI /ROC/MB5122400</t>
  </si>
  <si>
    <t>WEN SEEND</t>
  </si>
  <si>
    <t>wenseend HOO YOKE LAN *wenseend</t>
  </si>
  <si>
    <t>SHEALEE TIO</t>
  </si>
  <si>
    <t>DUITNOW QR- TIO SHEA LEE *</t>
  </si>
  <si>
    <t>LAI XIANG LOW</t>
  </si>
  <si>
    <t>LOW KWEE HONG *Lai Xiang Low</t>
  </si>
  <si>
    <t>LEONG SEOK GAIK</t>
  </si>
  <si>
    <t>MBB CT- LEONG SEOK GAIK *Fund Transfe n</t>
  </si>
  <si>
    <t>MBB CT- LAI KIM HOI *KlM HOI</t>
  </si>
  <si>
    <t>KHOO WOOILING</t>
  </si>
  <si>
    <t>MBB CT- KHOO WOOI LING *Khoo Wooiling</t>
  </si>
  <si>
    <t>GET YOOK</t>
  </si>
  <si>
    <t>MBB CT- NG QI FENG *GET YOOK</t>
  </si>
  <si>
    <t>MAY TANSHUYI</t>
  </si>
  <si>
    <t>DUITNOW QR- TAN SUK MOI *</t>
  </si>
  <si>
    <t>YVONNE CHANG YOKE CHING</t>
  </si>
  <si>
    <t>B Field CHANG YOKE CHING *Yvonne chang y</t>
  </si>
  <si>
    <t>LOW SIEW NGO *vivian ngo ZZ1</t>
  </si>
  <si>
    <t>CYCY LIM</t>
  </si>
  <si>
    <t>LIM BEE FANG *cycy lim</t>
  </si>
  <si>
    <t>翁萍香</t>
  </si>
  <si>
    <t>DUITNOW QR- ENG PEO YANG *</t>
  </si>
  <si>
    <t>Siew Hoon Ang</t>
  </si>
  <si>
    <t>MBB CT- ANG SIEW HOON *Fund Transfer</t>
  </si>
  <si>
    <t>HEBIE SWEE</t>
  </si>
  <si>
    <t>A part sell TAN SWEE TENG *Hebie Swee</t>
  </si>
  <si>
    <t>LEE SIEW YING *Sy Lee</t>
  </si>
  <si>
    <t>MAGGIE CHONG</t>
  </si>
  <si>
    <t>MBB CT- CHONG MAG GIE *maggie Chong</t>
  </si>
  <si>
    <t>LEE MEE CHIN</t>
  </si>
  <si>
    <t>LEE MEE CHIN *Leemeechin</t>
  </si>
  <si>
    <t>TOH BEE HUON</t>
  </si>
  <si>
    <t>TOH BEE HUON *TOH BEE HUON</t>
  </si>
  <si>
    <t>SHARON FANG</t>
  </si>
  <si>
    <t>DUITNOW QR- FANG MEE FUNG *</t>
  </si>
  <si>
    <t>FELICIA GAN</t>
  </si>
  <si>
    <t>Coco new years baju GAN AI LUAI *Coco baju</t>
  </si>
  <si>
    <t>SIEWCHENG HOOI</t>
  </si>
  <si>
    <t>HOOI SIEW CHENG FUND TRANSFER</t>
  </si>
  <si>
    <t>STEPHY CHAU</t>
  </si>
  <si>
    <t>MBB CT- CHAU MEI BING *from Stephycha</t>
  </si>
  <si>
    <t>JAMIE HII</t>
  </si>
  <si>
    <t>MBB CT- HII SUK MING *jamie hii</t>
  </si>
  <si>
    <t>SILLEY HOO</t>
  </si>
  <si>
    <t>MBB CT- HO FOO CHOU *Silleyhoo</t>
  </si>
  <si>
    <t>PING KIAT TAN</t>
  </si>
  <si>
    <t>TAN PING KIAT *PingKiatTan</t>
  </si>
  <si>
    <t>YOKE CHUN TEW</t>
  </si>
  <si>
    <t>DUITNOW QR- TEW YOKE CHUN *</t>
  </si>
  <si>
    <t>LEE HWA WONG</t>
  </si>
  <si>
    <t>MBB CT- WONG LEE HWA *from Lee Hwa</t>
  </si>
  <si>
    <t>GRACE LEE</t>
  </si>
  <si>
    <t>LEE KA LAN *products</t>
  </si>
  <si>
    <t>DUITNOW QR- LIM KOK SENG *</t>
  </si>
  <si>
    <t>MBB CT- TEYRUI FENG *Fund Transfer</t>
  </si>
  <si>
    <t>JUNE TAN</t>
  </si>
  <si>
    <t>rainbow TAN PEI HWA *tanpeihwa</t>
  </si>
  <si>
    <t>KAREN HOO</t>
  </si>
  <si>
    <t>FONG FASTER</t>
  </si>
  <si>
    <t>MBB CT- YANG NGET FONG *FONG FASTER</t>
  </si>
  <si>
    <t>JOANNE HOE</t>
  </si>
  <si>
    <t>MBB CT- Hoe Yoke Lian *Transfer</t>
  </si>
  <si>
    <t>WAT NGO</t>
  </si>
  <si>
    <t>MBB CT- YAP WAT NGO *FF</t>
  </si>
  <si>
    <t>陳佩佩</t>
  </si>
  <si>
    <t>JO MMY</t>
  </si>
  <si>
    <t>RAINBOW MOH MEI YOKE *JO MMY</t>
  </si>
  <si>
    <t>LEE YONG HENG</t>
  </si>
  <si>
    <t>MBB CT- HENG LEE YONG *Fund Transfer</t>
  </si>
  <si>
    <t>YOGIE WONG</t>
  </si>
  <si>
    <t>Yogie Wong WONG MAY KUEN *EE208 n EE219</t>
  </si>
  <si>
    <t>BOBO CHAN</t>
  </si>
  <si>
    <t>Prawn crackers CHAN WEI LENG *Bobochan</t>
  </si>
  <si>
    <t>筱芬</t>
  </si>
  <si>
    <t>DUITNOW QR- TAN SOH FERN *</t>
  </si>
  <si>
    <t>EE174 CHAN CHE LIN *chan che lin</t>
  </si>
  <si>
    <t>CHAI FONG ONG</t>
  </si>
  <si>
    <t>DUITNOW QR- ONG CHAI FONG *</t>
  </si>
  <si>
    <t>APPLE KEK</t>
  </si>
  <si>
    <t>MBB CT- KEK LAI LING *Applekek</t>
  </si>
  <si>
    <t>ONG TENG HONG</t>
  </si>
  <si>
    <t>ONG TENG HONG *Ong teng hong</t>
  </si>
  <si>
    <t>XIAO AI FOO</t>
  </si>
  <si>
    <t>DUITNOW QR- FOO CHUAN AI *</t>
  </si>
  <si>
    <t>CHOOR PING YONG</t>
  </si>
  <si>
    <t>MBB CT- YONG CHOOR PING *yong choor pin</t>
  </si>
  <si>
    <t>PEGGY TAN</t>
  </si>
  <si>
    <t>801174873Q *11112829126499</t>
  </si>
  <si>
    <t>AGNES NG</t>
  </si>
  <si>
    <t>DUITNOW QR- NG CHEN CHEN *</t>
  </si>
  <si>
    <t>KWON JY</t>
  </si>
  <si>
    <t>Kwon jy WONG SOOK YEE *Transfer</t>
  </si>
  <si>
    <t>QIN QIN</t>
  </si>
  <si>
    <t>DUITNOW QR- TAN SHU LING *</t>
  </si>
  <si>
    <t>KOH JOANNE</t>
  </si>
  <si>
    <t>KOH FOCK KIEW *joanne koh</t>
  </si>
  <si>
    <t>CHRISTINE LIM</t>
  </si>
  <si>
    <t>DUITNOW QR- LIM YOKE PHENG *</t>
  </si>
  <si>
    <t>Chine Guangzhou EE oWONG MAY KUEN *EE052,050,094,</t>
  </si>
  <si>
    <t>PENG LIEW</t>
  </si>
  <si>
    <t>LIEW CHOOI PENG *PengLiew-353.3</t>
  </si>
  <si>
    <t>Lim Arh Nya LIM ZHENG SHEM *Fund Transfer</t>
  </si>
  <si>
    <t>WAI FANG</t>
  </si>
  <si>
    <t>ON WAI FANG *On Wai Fang</t>
  </si>
  <si>
    <t>MEELING LAI</t>
  </si>
  <si>
    <t>LAI MEE LING FUND TRANSFER</t>
  </si>
  <si>
    <t>陈美云</t>
  </si>
  <si>
    <t>DUITNOW QR- NG WEE SIONG *</t>
  </si>
  <si>
    <t>VERON CSL</t>
  </si>
  <si>
    <t>MBB CT- CHIN SHUI LEE *Household</t>
  </si>
  <si>
    <t>TYNE TYNE CHRISTINE</t>
  </si>
  <si>
    <t>MBB CT- HOH FUNG KIN *from Christine</t>
  </si>
  <si>
    <t>JESSIE WONG</t>
  </si>
  <si>
    <t>WONG SIE YEN *Jessie wong</t>
  </si>
  <si>
    <t>KELLY HWEY</t>
  </si>
  <si>
    <t>RM21.10 LOW POH HWEY *KELLY HWEY</t>
  </si>
  <si>
    <t>DUITNOW QR- MR TAN PENG KIA *</t>
  </si>
  <si>
    <t>KUEE MOI LIM</t>
  </si>
  <si>
    <t>Bill LIM KUEE MOI *Sent from AmOn</t>
  </si>
  <si>
    <t>SAN SAN LEE</t>
  </si>
  <si>
    <t>LEE SAN SAN *San San Lee</t>
  </si>
  <si>
    <t>MABEL POH KENG</t>
  </si>
  <si>
    <t>DUITNOW QR- BOI POH KENG *</t>
  </si>
  <si>
    <t>MBB CT- CHAN KIT YEONG *Fund Transfer</t>
  </si>
  <si>
    <t>TENG CHIN HWA</t>
  </si>
  <si>
    <t>Food TENG CHIN HWA *TENG CHIN HWA</t>
  </si>
  <si>
    <t>MINNIE OOI</t>
  </si>
  <si>
    <t>DUITNOW QR- KOAY BEE EAN *</t>
  </si>
  <si>
    <t>陈丽珠</t>
  </si>
  <si>
    <t>MBB CT- KEDAI BUKU YI TONG *Sent from AmOn</t>
  </si>
  <si>
    <t>MEI CHONG</t>
  </si>
  <si>
    <t>MBB CT- CHONG YNEH MEET *Fund transfer</t>
  </si>
  <si>
    <t>LEY YONG LEE</t>
  </si>
  <si>
    <t>DUITNOW QR- LEE LEYYONG *</t>
  </si>
  <si>
    <t>MEI HIA</t>
  </si>
  <si>
    <t>NG MEI HIA FUND TRANSFER</t>
  </si>
  <si>
    <t>ELBY GOH</t>
  </si>
  <si>
    <t>Power bank GOH LEE BOON *Elby</t>
  </si>
  <si>
    <t>MAXIE KOK</t>
  </si>
  <si>
    <t>DUITNOW QR- KOK HIEW FOONG *</t>
  </si>
  <si>
    <t>蔡萌芹</t>
  </si>
  <si>
    <t>MBB CT- CHAI MEY CHIN *Chai mey chin</t>
  </si>
  <si>
    <t>JUDY JUDY</t>
  </si>
  <si>
    <t>DUITNOW QR- CHEOH PHAIK GEOK *</t>
  </si>
  <si>
    <t>QUISTIS JIN</t>
  </si>
  <si>
    <t>MBB CT- LIOW JON LAN *Fund Transfer</t>
  </si>
  <si>
    <t>LOW BRENDA</t>
  </si>
  <si>
    <t>MBB CT- ONG BEE SIAN *Fund Transfer</t>
  </si>
  <si>
    <t>LILY LIM</t>
  </si>
  <si>
    <t>CHUATEE LEE</t>
  </si>
  <si>
    <t>LEE CHUA TEE *Chua Tee</t>
  </si>
  <si>
    <t>GOO IRENE</t>
  </si>
  <si>
    <t>DUITNOW QR- GOO LAI CHING *</t>
  </si>
  <si>
    <t>LILIAN SEAH</t>
  </si>
  <si>
    <t>MBB CT- SEAH YOKE MENG *Fund transfer</t>
  </si>
  <si>
    <t>CARINE WONG</t>
  </si>
  <si>
    <t>MBB CT- WONG LAI KIEN *gift</t>
  </si>
  <si>
    <t>JENNY JENNYHIEW</t>
  </si>
  <si>
    <t>Hiew Fui Len HIEW FUI LEN *Jennyjennyhiew</t>
  </si>
  <si>
    <t>LAI PEI PEI</t>
  </si>
  <si>
    <t>Jaselyn Cheng</t>
  </si>
  <si>
    <t>LIM CHEE SIONG *Jaselyn Cheng</t>
  </si>
  <si>
    <t>Audrey Tan</t>
  </si>
  <si>
    <t>TOW EIK CHUN *Audrey Tan</t>
  </si>
  <si>
    <t>乔斯琳</t>
  </si>
  <si>
    <t>MBB CT- LIEW SIOR WEI *Fund Transfer</t>
  </si>
  <si>
    <t>SHERI LEE</t>
  </si>
  <si>
    <t>Tissue LEE SIEW RENG *Sheri Lee</t>
  </si>
  <si>
    <t>CHAN MAI</t>
  </si>
  <si>
    <t>foods MS CHAN GEAH MAI *rainbow wholes</t>
  </si>
  <si>
    <t>Mei Sim Yap</t>
  </si>
  <si>
    <t>MBB CT- YAP MEI SIM *Site B 15.1 to</t>
  </si>
  <si>
    <t>JEIN YEN</t>
  </si>
  <si>
    <t>MBB CT- YONG JEIN YEN *jein yen</t>
  </si>
  <si>
    <t>VICHELLE CHONG</t>
  </si>
  <si>
    <t>fb vichelle chong CHONG SZE MEI *Fund transfer</t>
  </si>
  <si>
    <t>GAN LAI CHOO</t>
  </si>
  <si>
    <t>MBB CT- GAN LAI CHOO *Gan Lai choo 2</t>
  </si>
  <si>
    <t>MBB CT- YEAP AI LEE *Fund transfer</t>
  </si>
  <si>
    <t>Lee Kah Loo LEE KAH LOO *Fund transfer</t>
  </si>
  <si>
    <t>TEY TENG ONG *Goh Swee Ting</t>
  </si>
  <si>
    <t>Cookies TAN PAU LING *Ling</t>
  </si>
  <si>
    <t>AA/leesau yong LEE SAU YONG *Fund Transfer</t>
  </si>
  <si>
    <t>Chris Ngo</t>
  </si>
  <si>
    <t>DUITNOW QR- NGO YOK LAN *</t>
  </si>
  <si>
    <t>LINDA LOW</t>
  </si>
  <si>
    <t>DUITNOW QR- LOW KWEE HAK *</t>
  </si>
  <si>
    <t>TAN AI BEE</t>
  </si>
  <si>
    <t>MBB CT- TAN AI BEE *TAN AI BEE</t>
  </si>
  <si>
    <t>MEE KIEW MEE KIEW</t>
  </si>
  <si>
    <t>MBB CT- CHANG KA HUI *Mee Kiew</t>
  </si>
  <si>
    <t>YUNICHOE CHOO</t>
  </si>
  <si>
    <t>MBB CT- CHOO PUI YEE *Fund Transfer</t>
  </si>
  <si>
    <t>CINDY LEE</t>
  </si>
  <si>
    <t>CINDY LEE CINDY LEE PEI SIA *Fund transfer</t>
  </si>
  <si>
    <t>Candy Choo</t>
  </si>
  <si>
    <t>CHING YEE MOOI FUND TRANSFER</t>
  </si>
  <si>
    <t>THERESA SUN</t>
  </si>
  <si>
    <t>Theresa sun THERESA TAN GEOK SU*Theresa sun</t>
  </si>
  <si>
    <t>TONI CHOW</t>
  </si>
  <si>
    <t>Teoh Chui Lian-ALiveTEOH CHUI LIAN *Toni chow</t>
  </si>
  <si>
    <t>JOYCE YEE</t>
  </si>
  <si>
    <t>MBB CT- WU YEE CHIN *Goods</t>
  </si>
  <si>
    <t>Marsh Cindy YONG FOOK THAI *3rd Party Tran</t>
  </si>
  <si>
    <t>MEI YOKE FOO</t>
  </si>
  <si>
    <t>MBB CT- FOO MEI YOKE *Fund transfer</t>
  </si>
  <si>
    <t>Wong Yoke Lan</t>
  </si>
  <si>
    <t>HCMR012600454994 CHONG TUCK YOU IBG through AT</t>
  </si>
  <si>
    <t>May Lee</t>
  </si>
  <si>
    <t>MBB CT- LEE SAW MOY *Fund transfer</t>
  </si>
  <si>
    <t>THUYHONGPHUONGLE</t>
  </si>
  <si>
    <t>770489234Q *11112986576321</t>
  </si>
  <si>
    <t>BELLE BELLE</t>
  </si>
  <si>
    <t>MBB CT- BEH CHOOI PING *Beh Chooi Ping</t>
  </si>
  <si>
    <t>CHRIS CHENG</t>
  </si>
  <si>
    <t>USXTGLJWRR58 NIUM SDN. BHD.(FKA *YouTrip Overse</t>
  </si>
  <si>
    <t>YUE LEE FANG *JC Parts</t>
  </si>
  <si>
    <t>Tan Siew Ann</t>
  </si>
  <si>
    <t>INSTANT TRANSFER TAN SIEW ANN *MEPS FUNDS TRA</t>
  </si>
  <si>
    <t>MBB CT- LIM SOW CHOON *Fund transfer</t>
  </si>
  <si>
    <t>YOBETTY SAY</t>
  </si>
  <si>
    <t>MBB CT- CHUAH CHUI FONG *POSTAGE IPHONE</t>
  </si>
  <si>
    <t>DUITNOW QR- LIM BOON WAH *</t>
  </si>
  <si>
    <t>A goods NG LI LENG *Jacqueline Ng</t>
  </si>
  <si>
    <t>LER GEOK HONG</t>
  </si>
  <si>
    <t>DUITNOW QR- LER GEOK HONG *</t>
  </si>
  <si>
    <t>HWEI THENG LIM</t>
  </si>
  <si>
    <t>LIM HWEI TENG *Hwei Theng</t>
  </si>
  <si>
    <t>Yeoh Gim Poh</t>
  </si>
  <si>
    <t>MBB CT- YEOH GIM POH *Fund transfer</t>
  </si>
  <si>
    <t>gan poh cheng GAN POH CHENG *emily ong</t>
  </si>
  <si>
    <t>ANGEL LIEW</t>
  </si>
  <si>
    <t>DUITNOW QR- LIEW MUI FONG *</t>
  </si>
  <si>
    <t>gan poh cheng GAN POH CHENG *belle win</t>
  </si>
  <si>
    <t>gan poh cheng GAN POH CHENG *evon pc</t>
  </si>
  <si>
    <t>gan poh cheng GAN POH CHENG *evon evon</t>
  </si>
  <si>
    <t>Fb live KEE BOON TIT *Paris Qream</t>
  </si>
  <si>
    <t>Chokeyin Hong</t>
  </si>
  <si>
    <t>MBB CT- LIM SHUEH NEE *chokeyin</t>
  </si>
  <si>
    <t>MBB CT- NG YEN LING *YEN LING NG</t>
  </si>
  <si>
    <t>MBB CT- NG SIEW FAH *from SIew Fah</t>
  </si>
  <si>
    <t>EVANNE</t>
  </si>
  <si>
    <t>MBB CT- BY HUEY CHING *postage</t>
  </si>
  <si>
    <t>MDM NG SIEW LEE *Siewlee</t>
  </si>
  <si>
    <t>谢丽芳</t>
  </si>
  <si>
    <t>Lay Fung TAN KAI QIN *Fund Transfer</t>
  </si>
  <si>
    <t>EE TAN</t>
  </si>
  <si>
    <t>Payment NG CHONG BENG *Ee tan</t>
  </si>
  <si>
    <t>MBB CT- CHONG YEE LIEW *yee liew</t>
  </si>
  <si>
    <t>SHANICE TEO</t>
  </si>
  <si>
    <t>250126 TEO MUI FONG *Shanice Teo</t>
  </si>
  <si>
    <t>GIGI TANG</t>
  </si>
  <si>
    <t>gigi tang TANG OI CHEE *gigi tang</t>
  </si>
  <si>
    <t>CHUAN TECK GEONG</t>
  </si>
  <si>
    <t>kua sha CHUAN TECK GEONG *Fund transfer</t>
  </si>
  <si>
    <t>LA MAX</t>
  </si>
  <si>
    <t>MBB CT- LEONG KEAN KEAT/WOO*Gennice woon B</t>
  </si>
  <si>
    <t>MBB CT- NGEE KIM LIM *Fund transfer</t>
  </si>
  <si>
    <t>KWEELIM GOH</t>
  </si>
  <si>
    <t>MBB CT- GOH KWEE LIM *Fund transfer</t>
  </si>
  <si>
    <t>Likko Lee</t>
  </si>
  <si>
    <t>MBB CT- LEE SIOW LI *Likkolee</t>
  </si>
  <si>
    <t>SIEW HONG LEE</t>
  </si>
  <si>
    <t>lee siew hong kl LEE SIEW HONG *F9850202601240</t>
  </si>
  <si>
    <t>MICHELLEKAM</t>
  </si>
  <si>
    <t>Mei Fong Tang</t>
  </si>
  <si>
    <t>INSTANT TRANSFER TANG MEI FONG *MEPS FUNDS TRA</t>
  </si>
  <si>
    <t>pay KU SHY MING *Fund Transfer</t>
  </si>
  <si>
    <t>DUITNOW QR- HOO SEE ING *</t>
  </si>
  <si>
    <t>JESSLYN TAN</t>
  </si>
  <si>
    <t>MBB CT- TAN CHOOI PENG *JESSLYN 012669</t>
  </si>
  <si>
    <t>DUITNOW QR- SAW CHOOI HONG *</t>
  </si>
  <si>
    <t>Sharon Leong</t>
  </si>
  <si>
    <t>LEONG NGAN LEIN *Sharon Leong</t>
  </si>
  <si>
    <t>LEE CJ</t>
  </si>
  <si>
    <t>MBB CT- LEE CHUI JOO *from Lee CJ</t>
  </si>
  <si>
    <t>LIZ LIM</t>
  </si>
  <si>
    <t>Payment LIM KIM CHING *Rainbow wholes</t>
  </si>
  <si>
    <t>YAP YYS</t>
  </si>
  <si>
    <t>MBB CT- YAP YOKE SIAM *shirt</t>
  </si>
  <si>
    <t>MAY TEO</t>
  </si>
  <si>
    <t>Chong Siau Mei</t>
  </si>
  <si>
    <t>CHONG SIAU MEI *Chongsiaumei</t>
  </si>
  <si>
    <t>VIVIAN ANG</t>
  </si>
  <si>
    <t>MBB CT- ANG MOOI SIM *Ge</t>
  </si>
  <si>
    <t>TrueSG WALLET *</t>
  </si>
  <si>
    <t>LEW CHOY FAU *RAINBOW WHOLES</t>
  </si>
  <si>
    <t>MBB CT- CHEONG SIEW YIN *Fund Transfer</t>
  </si>
  <si>
    <t>EE002, EE032 and EE0LIM YOKE LAN *Mandy Lim</t>
  </si>
  <si>
    <t>MBB CT- ONG SIEW KEAM *L</t>
  </si>
  <si>
    <t>yenpei PEI PEI YEN *Fund transfer</t>
  </si>
  <si>
    <t>MANDY TUNG</t>
  </si>
  <si>
    <t>MBB CT- TUNG FOONG MOI *Fund Transfer</t>
  </si>
  <si>
    <t>Adam live WONG LOK WAN *Teh Guat Fong</t>
  </si>
  <si>
    <t>410461972Q *11112972117542</t>
  </si>
  <si>
    <t>TY NGAI</t>
  </si>
  <si>
    <t>DUITNOW QR- NGAI THAI YENG *</t>
  </si>
  <si>
    <t>MBB CT- LOY YEOU FEI *abigail joey</t>
  </si>
  <si>
    <t>MBB CT- ER SIEW KIM *Fund Transfer</t>
  </si>
  <si>
    <t>JANET TEH</t>
  </si>
  <si>
    <t>MBB CT- NG CHEE HUA *janet teh</t>
  </si>
  <si>
    <t>RO KO YO</t>
  </si>
  <si>
    <t>DUITNOW QR- NG YING SZE *</t>
  </si>
  <si>
    <t>JO CHEONG</t>
  </si>
  <si>
    <t>DUITNOW QR- CHEONG HOO LAN *</t>
  </si>
  <si>
    <t>Peng Ho Ong</t>
  </si>
  <si>
    <t>MBB CT- ONG PENG HO *Fund Transfer</t>
  </si>
  <si>
    <t>TERLYN TANG</t>
  </si>
  <si>
    <t>Fb Terlyn TANG YEN JIN *Fund Transfer</t>
  </si>
  <si>
    <t>ADELINE ANN TAN</t>
  </si>
  <si>
    <t>DUITNOW QR- TAN SAW EAN *</t>
  </si>
  <si>
    <t>SIEWTHO NG</t>
  </si>
  <si>
    <t>MBB CT- NG SIEW THO *siewthoNg</t>
  </si>
  <si>
    <t>GINN SUM</t>
  </si>
  <si>
    <t>Ginn SUM SAN PENG *Sum San Peng</t>
  </si>
  <si>
    <t>263123704Q *11112966648941</t>
  </si>
  <si>
    <t>MBB CT- LEE PEY CHIN *Fund transfer</t>
  </si>
  <si>
    <t>Janet Lee</t>
  </si>
  <si>
    <t>MBB CT- LEE KAM SIM *Janet Lee</t>
  </si>
  <si>
    <t>Grace Ng</t>
  </si>
  <si>
    <t>MBB CT- NG SIEW LAN *Fund transfer</t>
  </si>
  <si>
    <t>MEE LEE</t>
  </si>
  <si>
    <t>WONG MEE LEE FUND TRANSFER</t>
  </si>
  <si>
    <t>KOK SOOI NEE *Transfer fund</t>
  </si>
  <si>
    <t>CONNIE LAM</t>
  </si>
  <si>
    <t>DUITNOW QR- LAM YUET LAI *</t>
  </si>
  <si>
    <t>DUITNOW QR- DIN LIH CHOO *</t>
  </si>
  <si>
    <t>PANG KWAI FAH</t>
  </si>
  <si>
    <t>as PANG KWAI FAH *Rainbow Wholes</t>
  </si>
  <si>
    <t>MBB CT- HO HUI PIN *from Ho Hui Pi</t>
  </si>
  <si>
    <t>MBB CT- TAN CEEN YEI *Clothes</t>
  </si>
  <si>
    <t>DUITNOW QR- OOI SU KIAN *</t>
  </si>
  <si>
    <t>Yee YM Yee</t>
  </si>
  <si>
    <t>SHUWEN WEN</t>
  </si>
  <si>
    <t>MBB CT- KOK DOYZ SHUWEN *Fund Transfer</t>
  </si>
  <si>
    <t>LEN TAM</t>
  </si>
  <si>
    <t>LAI LI XIA *Len tam</t>
  </si>
  <si>
    <t>ZI XIN</t>
  </si>
  <si>
    <t>DUITNOW QR- TEONG MEI SEN *</t>
  </si>
  <si>
    <t>Powerbank LEE AI LIN *Lee Ai Lin</t>
  </si>
  <si>
    <t>DUITNOW QR- LIOW PUI LEE *</t>
  </si>
  <si>
    <t>Purchase B LIM SIM YEE *Fund transfer</t>
  </si>
  <si>
    <t>chole DG -MM Mall LAI HUA CHING *Fund transfer</t>
  </si>
  <si>
    <t>GOH SIEW HOONG</t>
  </si>
  <si>
    <t>Payment GOH SIEW HOONG *Goh Siew Hoong</t>
  </si>
  <si>
    <t>FENNY LAI</t>
  </si>
  <si>
    <t>DEPOSIT LAI SEOK FUN RAINBOW WHOLES</t>
  </si>
  <si>
    <t>MBB CT- YAP SUAT CHENG *Fund Transfer</t>
  </si>
  <si>
    <t>MBB CT- OOI CHEE MEOI *Fund Transfer</t>
  </si>
  <si>
    <t>BERNICE TAN</t>
  </si>
  <si>
    <t>Bernice Tan Siew FooTAN SIEW FOONG *Fund transfer</t>
  </si>
  <si>
    <t>MBB CT- TAN LAY SEAH *Layseah Tan</t>
  </si>
  <si>
    <t>MBB CT- LIM SEW FONG *LIM SEW FONG</t>
  </si>
  <si>
    <t>SHU LING NG NG SO LING *Fund transfer</t>
  </si>
  <si>
    <t>DUITNOW QR- WAN MAY CHAN *</t>
  </si>
  <si>
    <t>MBB CT- TAN YOU DA *Fund Transfer</t>
  </si>
  <si>
    <t>ZJ WONG</t>
  </si>
  <si>
    <t>MBB CT- ENG CHUI PING *zjw</t>
  </si>
  <si>
    <t>DUITNOW QR- TAN KA KIAU *</t>
  </si>
  <si>
    <t>JENNIFER TENG</t>
  </si>
  <si>
    <t>DUITNOW QR- TENG SIEW KIM *</t>
  </si>
  <si>
    <t>MBB CT- LEE EI SIAH *Carmen lee</t>
  </si>
  <si>
    <t>DUITNOW QR- CHUA HONG MOOI *</t>
  </si>
  <si>
    <t>DUITNOW QR- OO PEI WAN *</t>
  </si>
  <si>
    <t>Local sundries PAN SIAW LENG @ LIL*Lilypan</t>
  </si>
  <si>
    <t>Gigi Liew</t>
  </si>
  <si>
    <t>DUITNOW QR- LIEW LING NAI *</t>
  </si>
  <si>
    <t>pay MAH JIA CHI *payment</t>
  </si>
  <si>
    <t>Rainbow wholesale CHU POOI LENG *Pooi Leng Chu</t>
  </si>
  <si>
    <t>Huey Ling Chia</t>
  </si>
  <si>
    <t>MBB CT- CHIA HUEY LING *Huey Ling Chia</t>
  </si>
  <si>
    <t>Shuwen Wen</t>
  </si>
  <si>
    <t>SY WONG</t>
  </si>
  <si>
    <t>SYWong WONG SHOK YEE *Fund Transfer</t>
  </si>
  <si>
    <t>Joanne Chang Y Peng</t>
  </si>
  <si>
    <t>MBB CT- CHANG YIN PENG *from JOANNE CH</t>
  </si>
  <si>
    <t>Keow Lee</t>
  </si>
  <si>
    <t>THING YEE LIANG *LEE GEOK KEOW</t>
  </si>
  <si>
    <t>ZZ078 x3 xiang nang LUM SHEAU FEN *Coca Lui</t>
  </si>
  <si>
    <t>Angeline Ooi</t>
  </si>
  <si>
    <t>DUITNOW QR- YOE WEI LOONG *</t>
  </si>
  <si>
    <t>Transfer CHUNG LI KONG *Sent from AmOn</t>
  </si>
  <si>
    <t>DUITNOW QR- LAI NYET CHOI *</t>
  </si>
  <si>
    <t>WEI LING</t>
  </si>
  <si>
    <t>CHEW WEI LING *chew wei ling</t>
  </si>
  <si>
    <t>Ivana Xu</t>
  </si>
  <si>
    <t>MBB CT- HEE SAI FOON *from Foon Hee</t>
  </si>
  <si>
    <t>MBB CT- BAN HUP LEONG INDUS*Bill payment</t>
  </si>
  <si>
    <t>MBB CT- GENETECH ENGINEERIN*Purchase of Tr</t>
  </si>
  <si>
    <t>Ai Hua Tan</t>
  </si>
  <si>
    <t>MR KWAN HO WING *Rainbow Wholes</t>
  </si>
  <si>
    <t>MBB CT- LEE KIM LIONG *Fund Transfer</t>
  </si>
  <si>
    <t>WONG FOOK LAM FUND TRANSFER</t>
  </si>
  <si>
    <t>MBB CT- CHAN YONG KOK *ZZ Store</t>
  </si>
  <si>
    <t>Tan Bee Hong</t>
  </si>
  <si>
    <t>MBB CT- TAN BEE HONG *Fund transfer</t>
  </si>
  <si>
    <t>MBB CT- THAI SIA YUN *rainbow</t>
  </si>
  <si>
    <t>MBB CT- TAN KAR KHENG *Alina Chua</t>
  </si>
  <si>
    <t>Karen Hui Leng Hong</t>
  </si>
  <si>
    <t>D HONG HUI LENG *Karen hui Leng</t>
  </si>
  <si>
    <t>HUI LUAN GEOK</t>
  </si>
  <si>
    <t>GEOK HUI LUAN FUND TRANSFER</t>
  </si>
  <si>
    <t>POW HOI AOW</t>
  </si>
  <si>
    <t>Powhoi aow AOW POW HOI *Sent from AmOn</t>
  </si>
  <si>
    <t>Zi Xin</t>
  </si>
  <si>
    <t>TEO HUI KHIM *Hui Khim</t>
  </si>
  <si>
    <t>Tong MuiKee</t>
  </si>
  <si>
    <t>DUITNOW QR- TONG MUI KEE *</t>
  </si>
  <si>
    <t>SINN MEI</t>
  </si>
  <si>
    <t>MBB CT- CHONG SINN MEI *Fund Transfer</t>
  </si>
  <si>
    <t>Purchase LIM GAIK CHENG *FB Apple orang</t>
  </si>
  <si>
    <t>Kicii Yu</t>
  </si>
  <si>
    <t>MBB CT- CHONG SHR CHYUN *Fund Transfer</t>
  </si>
  <si>
    <t>JANET CHONG</t>
  </si>
  <si>
    <t>MBB CT- CHONG LAY IMM *Fund Transfer</t>
  </si>
  <si>
    <t>TAN SHARON</t>
  </si>
  <si>
    <t>TAN LEE PING *Rainbow sister</t>
  </si>
  <si>
    <t>HUI HUI</t>
  </si>
  <si>
    <t>MBB CT- KORNIATY NJOMANTO *HuiHui</t>
  </si>
  <si>
    <t>LAM SUNSHINE</t>
  </si>
  <si>
    <t>MBB CT- Wise Payments Malay*TW1676227179 O</t>
  </si>
  <si>
    <t>Mei Foong Chin</t>
  </si>
  <si>
    <t>MR CHIN MEI LEE *Meifoongchin</t>
  </si>
  <si>
    <t>LIM ELLA</t>
  </si>
  <si>
    <t>DUITNOW QR- LIM SHWU EYE *</t>
  </si>
  <si>
    <t>LAI KIN</t>
  </si>
  <si>
    <t>MBB CT- WONG LAI KIN *Lai Kin</t>
  </si>
  <si>
    <t>Annie Saw</t>
  </si>
  <si>
    <t>INSTANT TRANSFER SAW LEE POH *MEPS FUNDS TRA</t>
  </si>
  <si>
    <t>Lee Yong Heng</t>
  </si>
  <si>
    <t>DUITNOW QR- HENG LEE YONG *</t>
  </si>
  <si>
    <t>Gigi Tang</t>
  </si>
  <si>
    <t>Janet Ytf</t>
  </si>
  <si>
    <t>Foods YAP TSUEY FENG *RAINBOW WHOLES</t>
  </si>
  <si>
    <t>Hui Chia</t>
  </si>
  <si>
    <t>TRANSFER TO CA/SA CHIA JIA HUEY *MEPS FUNDS TRA</t>
  </si>
  <si>
    <t>INSTANT TRANSFER HEW YOON FOOK *MEPS FUNDS TRA</t>
  </si>
  <si>
    <t>Teh Phaik Hoon</t>
  </si>
  <si>
    <t>DUITNOW QR- TEH PHAIK HOON *</t>
  </si>
  <si>
    <t>Ooi Sze Ling OOI SZE LING *Ooi Sze Ling</t>
  </si>
  <si>
    <t>Jenn Mok</t>
  </si>
  <si>
    <t>MOK CHIU HIONG *Jenn mok</t>
  </si>
  <si>
    <t>Gekluang Tan</t>
  </si>
  <si>
    <t>MBB CT- TAN GEK LUANG *Fund transfer</t>
  </si>
  <si>
    <t>Janet Yeow</t>
  </si>
  <si>
    <t>YEOW SOEK ENG *Payment</t>
  </si>
  <si>
    <t>Irvee Chong</t>
  </si>
  <si>
    <t>rainbow sister CHONG SU YIN *Fund transfer</t>
  </si>
  <si>
    <t>MBB CT- ELVOR BIN LORENE *Pindahan Dana</t>
  </si>
  <si>
    <t>CHENG YOCK LAN *postage</t>
  </si>
  <si>
    <t>秀丽</t>
  </si>
  <si>
    <t>MBB CT- HENG SIEW LI *from Theresa H</t>
  </si>
  <si>
    <t>PUI SEE CHAN</t>
  </si>
  <si>
    <t>MBB CT- LIU HOO MUN *Fund transfer</t>
  </si>
  <si>
    <t>MBB CT- LOO CHOI MEI *Fund transfer</t>
  </si>
  <si>
    <t>Ann flowers boutiqueANN FLOWERS BOUTIQU*Rainbow wholes</t>
  </si>
  <si>
    <t>EN HEN</t>
  </si>
  <si>
    <t>WONG EN HEN *payment</t>
  </si>
  <si>
    <t>罗明利</t>
  </si>
  <si>
    <t>DUITNOW QR- LOH MENG LAI *</t>
  </si>
  <si>
    <t>MEEHONG SAM</t>
  </si>
  <si>
    <t>MBB CT- SAM MEE HONG *from Mee Hong</t>
  </si>
  <si>
    <t>JESSIE WANG</t>
  </si>
  <si>
    <t>MBB CT- WANG JIONG SHEE *Jessie</t>
  </si>
  <si>
    <t>MBB CT- TOH YAN TONG *Fund Transfer</t>
  </si>
  <si>
    <t>SIOK HOON TEO</t>
  </si>
  <si>
    <t>2140/POSTAL AND COURTEO SIOK HWEE (ZHAN /ROC/MB6010501</t>
  </si>
  <si>
    <t>SAU YIN WAN</t>
  </si>
  <si>
    <t>MBB CT- WAN SAU YIN *Bill payment</t>
  </si>
  <si>
    <t>JESSLYN WONG</t>
  </si>
  <si>
    <t>NICOLE TOH</t>
  </si>
  <si>
    <t>DUITNOW QR- TOH SOOK CHIN *</t>
  </si>
  <si>
    <t>MBB CT- TANG MIAO KING *Fund Transfer</t>
  </si>
  <si>
    <t>WENDY TAN</t>
  </si>
  <si>
    <t>DUITNOW QR- TAN POH HOON *</t>
  </si>
  <si>
    <t>FONG LING KOK</t>
  </si>
  <si>
    <t>MBB CT- KOK FONG LING *from Kok fong</t>
  </si>
  <si>
    <t>Thien Ka Yin</t>
  </si>
  <si>
    <t>MBB CT- THIEN KA YIN *Fund Transfer</t>
  </si>
  <si>
    <t>MBB CT- TENG CHAI ENG *Fund Transfer</t>
  </si>
  <si>
    <t>CATHERINE WONG SIEW ENG</t>
  </si>
  <si>
    <t>MBB CT- WONG SIEW ENG *Fund transfer</t>
  </si>
  <si>
    <t>Lin ChuChu</t>
  </si>
  <si>
    <t>MBB CT- LINDA NG SIEW YEN *Fund Transfer</t>
  </si>
  <si>
    <t>Ivy Kooh</t>
  </si>
  <si>
    <t>Ivy Kooh KOOH MEI CHIN *Korea A 18/20</t>
  </si>
  <si>
    <t>盤秋君</t>
  </si>
  <si>
    <t>WONG JYH HAUR *Payment</t>
  </si>
  <si>
    <t>Ooi Laysee</t>
  </si>
  <si>
    <t>INSTANT TRANSFER OOI LAY SEE *MEPS FUNDS TRA</t>
  </si>
  <si>
    <t>桂英</t>
  </si>
  <si>
    <t>MBB CT- ONG KWAI YING *from Mdm ong</t>
  </si>
  <si>
    <t>MBB CT- PANG LEE HONG *Tan Shan Chen</t>
  </si>
  <si>
    <t>MBB CT- CHEN LI CHIN *Fund Transfer</t>
  </si>
  <si>
    <t>Catherine Tham</t>
  </si>
  <si>
    <t>THAM NGAN KIEW *Catherine</t>
  </si>
  <si>
    <t>Ivy Hew</t>
  </si>
  <si>
    <t>Crystal HEW MEE YONG *Rainbow Sister</t>
  </si>
  <si>
    <t>Pua Jing Yi</t>
  </si>
  <si>
    <t>MBB CT- PUA JING YI *A106 S6267</t>
  </si>
  <si>
    <t>JANNY KYMBERLY</t>
  </si>
  <si>
    <t>MBB CT- LIM CHONG INN *janny kymberly</t>
  </si>
  <si>
    <t>EE MEI</t>
  </si>
  <si>
    <t>DUITNOW QR- CHUAH GAIK MOOI *</t>
  </si>
  <si>
    <t>Jenny Liew</t>
  </si>
  <si>
    <t>Hong bao dai LIEW CHIEW JIN *Jenny liew</t>
  </si>
  <si>
    <t>siew chiew TEO LEE MING *Fund transfer</t>
  </si>
  <si>
    <t>KweeFang Tan</t>
  </si>
  <si>
    <t>MBB CT- TAN KWEE FANG *Fund transfer</t>
  </si>
  <si>
    <t>MBB CT- SAW GER HONG *Fund Transfer</t>
  </si>
  <si>
    <t>MICHELLE CHIA MENG CHENG</t>
  </si>
  <si>
    <t>Home product CHIA MENG CHENG *Chia Meng Chen</t>
  </si>
  <si>
    <t>Nana Geak Kui</t>
  </si>
  <si>
    <t>DUITNOW QR- LEE GEAK KUI *</t>
  </si>
  <si>
    <t>MBB CT- CHEE BEE SUAN *yuki chee</t>
  </si>
  <si>
    <t>MAY LEE</t>
  </si>
  <si>
    <t>LEE MING HIONG *pat</t>
  </si>
  <si>
    <t>Geegee Heng</t>
  </si>
  <si>
    <t>TING ZI XIN *HENG</t>
  </si>
  <si>
    <t>DUITNOW QR- POT SEE NEE *</t>
  </si>
  <si>
    <t>SIEW HOON ANG</t>
  </si>
  <si>
    <t>DUITNOW QR- ANG SIEW HOON *</t>
  </si>
  <si>
    <t>Leong Sheong Leng</t>
  </si>
  <si>
    <t>LEONG SHEONG LENG FUND TRANSFER</t>
  </si>
  <si>
    <t>黄月凤</t>
  </si>
  <si>
    <t>q QUAH BI ZHI *Sent from AmOn</t>
  </si>
  <si>
    <t>Joan Wong</t>
  </si>
  <si>
    <t>DUITNOW QR- WONG SHIAU SHIN *</t>
  </si>
  <si>
    <t>YK LOW</t>
  </si>
  <si>
    <t>yklow1 LOW YEE KOON *Fund transfer</t>
  </si>
  <si>
    <t>Tan Nee Nee</t>
  </si>
  <si>
    <t>T shirt TAN NEE NEE *Tan nee nee</t>
  </si>
  <si>
    <t>Poh Hong</t>
  </si>
  <si>
    <t>DUITNOW QR- TEOH POH HONG *</t>
  </si>
  <si>
    <t>TOH SIAN</t>
  </si>
  <si>
    <t>LIM YEE LUN *Toh Sian</t>
  </si>
  <si>
    <t>DUITNOW QR- LIM PUAY FUNG *</t>
  </si>
  <si>
    <t>hatsukot hat GAN YOKE LING *Fund transfer</t>
  </si>
  <si>
    <t>Pek Yong Chang</t>
  </si>
  <si>
    <t>CNY CHANG PEK YONG *Live</t>
  </si>
  <si>
    <t>Lisa Loh</t>
  </si>
  <si>
    <t>MBB CT- LOH SIEW CHING *Fund Transfer</t>
  </si>
  <si>
    <t>LAIMAY LIM</t>
  </si>
  <si>
    <t>LIM LAI MUAY *May</t>
  </si>
  <si>
    <t>Eden Tiong</t>
  </si>
  <si>
    <t>MBB CT- TIONG NGOR CHOO *clothing</t>
  </si>
  <si>
    <t>DUITNOW QR- ONG AH KIT *</t>
  </si>
  <si>
    <t>DUITNOW QR- TAN CHIA SIANG *</t>
  </si>
  <si>
    <t>Fiona Gcl</t>
  </si>
  <si>
    <t>MBB CT- GOH CHWEE LAN (MS) *balance</t>
  </si>
  <si>
    <t>SHISHI KWAN</t>
  </si>
  <si>
    <t>MBB CT- KWAN MEI SER *Fund Transfer</t>
  </si>
  <si>
    <t>Annie Yew</t>
  </si>
  <si>
    <t>MBB CT- YAP P TAT &amp; YEW AH *Annie Yew</t>
  </si>
  <si>
    <t>Joan Lim</t>
  </si>
  <si>
    <t>MBB CT- WENDY TEH SIU PING *Joan Lim</t>
  </si>
  <si>
    <t>Wk Ng</t>
  </si>
  <si>
    <t>MBB CT- NG WEI KHIM *wkng</t>
  </si>
  <si>
    <t>SHYWEN WONG</t>
  </si>
  <si>
    <t>MBB CT- BEHKOONCHIEWWONGSEO*Shywen Wong</t>
  </si>
  <si>
    <t>Rainbow Sister TAN BEE NGERN *Evelyn Tan</t>
  </si>
  <si>
    <t>HOR LEE HONG</t>
  </si>
  <si>
    <t>Hor Lee Hong HOR ACCOUNTING SERV*Fund transfer</t>
  </si>
  <si>
    <t>JEANNIE AW YANG</t>
  </si>
  <si>
    <t>TEOH CHAI FONG *Jeannie Aw Yan</t>
  </si>
  <si>
    <t>YEN NEE PHANG</t>
  </si>
  <si>
    <t>MBB CT- PHANG YEN NEE *phang yen nee</t>
  </si>
  <si>
    <t>TRICIA TING</t>
  </si>
  <si>
    <t>DUITNOW QR- TING CHWEE SEAH *</t>
  </si>
  <si>
    <t>SOPHIA PANG</t>
  </si>
  <si>
    <t>DUITNOW QR- PANG SIEW KUAN *</t>
  </si>
  <si>
    <t>Hui Chee Lim</t>
  </si>
  <si>
    <t>Hui Chee Lim LIM HUI CHEE *EE034 plus 1</t>
  </si>
  <si>
    <t>MBB CT- NG LEE PYNG *Apple Ng</t>
  </si>
  <si>
    <t>OLIVIA TAN</t>
  </si>
  <si>
    <t>TAN SEH KHENG - B002TAN SEH KHENG *Olivia Tan</t>
  </si>
  <si>
    <t>Lee Yannshya</t>
  </si>
  <si>
    <t>market HH LEE YANN SHYA *Bill payment</t>
  </si>
  <si>
    <t>Joey Vexueno</t>
  </si>
  <si>
    <t>DUITNOW QR- LIM VIN YEAR *</t>
  </si>
  <si>
    <t>Yoke Chun Tew</t>
  </si>
  <si>
    <t>Chai Yoke Woo</t>
  </si>
  <si>
    <t>DUITNOW QR- WOO CHAI YOKE *</t>
  </si>
  <si>
    <t>Beng Chan</t>
  </si>
  <si>
    <t>DUITNOW QR- GOH BENG CHAN *</t>
  </si>
  <si>
    <t>ELLEN HO</t>
  </si>
  <si>
    <t>MBB CT- HO POH LING ELLEN *c purchase</t>
  </si>
  <si>
    <t>Xiang LAI MEI KEE *Lai Mei kee</t>
  </si>
  <si>
    <t>145256754Q *11113041038049</t>
  </si>
  <si>
    <t>HIW THIAM LOY</t>
  </si>
  <si>
    <t>DUITNOW QR- HIW THIAM LOY *</t>
  </si>
  <si>
    <t>SAMANTHA SAM</t>
  </si>
  <si>
    <t>SAM SANG LAN *Samantha Sam</t>
  </si>
  <si>
    <t>Linzi Tan</t>
  </si>
  <si>
    <t>Linzi Tan TAN LIN ZI *Fund transfer</t>
  </si>
  <si>
    <t>Xin Yu</t>
  </si>
  <si>
    <t>STITCH DISNEY</t>
  </si>
  <si>
    <t>2140/POSTAL AND COURLEONG LAI EE MABEL /ROC/MB6021203</t>
  </si>
  <si>
    <t>Sally Wong</t>
  </si>
  <si>
    <t>Rainbow WONG CHOY FOONG *Sent from AmOn</t>
  </si>
  <si>
    <t>MICHELLE NG</t>
  </si>
  <si>
    <t>D NG WEE ING *Michelle ng</t>
  </si>
  <si>
    <t>MAY HENG</t>
  </si>
  <si>
    <t>DUITNOW QR- HENG MEI HO *</t>
  </si>
  <si>
    <t>Goo Irene</t>
  </si>
  <si>
    <t>MBB CT- GOO LAI CHING *GooIrene</t>
  </si>
  <si>
    <t>Tiffany Yii</t>
  </si>
  <si>
    <t>MBB CT- YIP PIK YOKE *Fund transfer</t>
  </si>
  <si>
    <t>李素雯</t>
  </si>
  <si>
    <t>KamWah Look</t>
  </si>
  <si>
    <t>KamWah Look YAP BOON SHING *Fund Transfer</t>
  </si>
  <si>
    <t>Janice lim</t>
  </si>
  <si>
    <t>LAM LEE YIN *Janice lim</t>
  </si>
  <si>
    <t>Lynn Chuah</t>
  </si>
  <si>
    <t>MBB CT- CHUAH SU LING *Fund Transfer</t>
  </si>
  <si>
    <t>Christie Wong</t>
  </si>
  <si>
    <t>raibow live mall WONG CHOY PIN *household good</t>
  </si>
  <si>
    <t>黄金玲
25627166003592066</t>
  </si>
  <si>
    <t>NG KING LENG *Ngkingleng</t>
  </si>
  <si>
    <t>KELVIN YONG
ID：26165535646435149</t>
  </si>
  <si>
    <t>丽云</t>
  </si>
  <si>
    <t>MBB CT- BUA LEE EING *Rai</t>
  </si>
  <si>
    <t>Evonne Tan</t>
  </si>
  <si>
    <t>MR TAN SOH BOEY *Ego</t>
  </si>
  <si>
    <t>Kim Yong Ong</t>
  </si>
  <si>
    <t>MBB CT- ONG KIM YONG *KIM YONG ONG</t>
  </si>
  <si>
    <t>MBB CT- LIM BEE PENG *Fund Transfer</t>
  </si>
  <si>
    <t>Doreen Teh</t>
  </si>
  <si>
    <t>MBB CT- TEH SIU HWA *Fund transfer</t>
  </si>
  <si>
    <t>JOHN YEN</t>
  </si>
  <si>
    <t>Johnyen LIN SIN YEW *Sent from AmOn</t>
  </si>
  <si>
    <t>KF TAN</t>
  </si>
  <si>
    <t>kftan TAN KEAT FONG *Fund transfer</t>
  </si>
  <si>
    <t>PANG LAI PENG</t>
  </si>
  <si>
    <t>DUITNOW QR- PANG LAI PENG *</t>
  </si>
  <si>
    <t>T John</t>
  </si>
  <si>
    <t>EE TEOH WEI SHEN *Fund transfer</t>
  </si>
  <si>
    <t>STEPHANIE CHEAH</t>
  </si>
  <si>
    <t>DUITNOW QR- CHEAH WAI KEE *</t>
  </si>
  <si>
    <t>Maxine Chan</t>
  </si>
  <si>
    <t>ANG KIAN HUAT *Maxine Chan</t>
  </si>
  <si>
    <t>MBB CT- LEE GUEY HONG *from Lee Guey</t>
  </si>
  <si>
    <t>CY LIM</t>
  </si>
  <si>
    <t>CY LIM LIM CHEY YING *CY LIM</t>
  </si>
  <si>
    <t>MIN TAN LING</t>
  </si>
  <si>
    <t>Ruby Er</t>
  </si>
  <si>
    <t>MBB CT- LUT SYIN E *ruby er</t>
  </si>
  <si>
    <t>Amy Tiong</t>
  </si>
  <si>
    <t>DUITNOW QR- LING KHOON HONG *</t>
  </si>
  <si>
    <t>Siew Hing</t>
  </si>
  <si>
    <t>MBB CT- CHOW LOY THAI @ CHO*Fund transfer</t>
  </si>
  <si>
    <t>MBB CT- WOON POH CHIN *La Max Gennice</t>
  </si>
  <si>
    <t>Nicole Loo</t>
  </si>
  <si>
    <t>MBB CT- LOO HOON HOON *Nicole Loo</t>
  </si>
  <si>
    <t>Yuqing Xie</t>
  </si>
  <si>
    <t>MBB CT- ING GET CHING *Fund Transfer</t>
  </si>
  <si>
    <t>Avie Yap</t>
  </si>
  <si>
    <t>Household items YAP HWEI YUEN *Avie</t>
  </si>
  <si>
    <t>Jenny Lee</t>
  </si>
  <si>
    <t>Jenny Lee LEE CHING NEE *Fund Transfer</t>
  </si>
  <si>
    <t>Elyn Ng</t>
  </si>
  <si>
    <t>Multi purchase NG CHOONG YIN *Payment by Ely</t>
  </si>
  <si>
    <t>Property May</t>
  </si>
  <si>
    <t>DUITNOW QR- LAW TEE SEM *</t>
  </si>
  <si>
    <t>Law May May Law</t>
  </si>
  <si>
    <t>Toh Siew Lai</t>
  </si>
  <si>
    <t>DUITNOW QR- TOH SIEW LAI *</t>
  </si>
  <si>
    <t>Kao Yam Kee</t>
  </si>
  <si>
    <t>Kao yam kee KAO YAM KEE *Fund transfer</t>
  </si>
  <si>
    <t>Chin Chong Yu</t>
  </si>
  <si>
    <t>DUITNOW QR- LAU TING LOON *</t>
  </si>
  <si>
    <t>小蔡</t>
  </si>
  <si>
    <t>FSRK022701952248 CHAI CHEN TING IBG through AT</t>
  </si>
  <si>
    <t>SKSK LEOW</t>
  </si>
  <si>
    <t>DUITNOW QR- Leow soo khim *</t>
  </si>
  <si>
    <t>Chooihua Chia</t>
  </si>
  <si>
    <t>CHIA CHOOI HUA *Chiachooihua</t>
  </si>
  <si>
    <t>TAN HUEY FERN</t>
  </si>
  <si>
    <t>TAN HUEY FERN *FB TAN HUEY FE</t>
  </si>
  <si>
    <t>TP KHOR</t>
  </si>
  <si>
    <t>Payment KHOR TZE PING *Tpkhor</t>
  </si>
  <si>
    <t>LOW SIN KIN</t>
  </si>
  <si>
    <t>DUITNOW QR- LOW SIN KIN *</t>
  </si>
  <si>
    <t>mask CHEE MAI LEAN *joan chew</t>
  </si>
  <si>
    <t>STEPHENIE SIM SAW YIK</t>
  </si>
  <si>
    <t>MOLLY SKY</t>
  </si>
  <si>
    <t>SONG KOR YEN *Molly Sky</t>
  </si>
  <si>
    <t>MBB CT- TEIO YING YING *Fund Transfer</t>
  </si>
  <si>
    <t>MBB CT- LEE HOON KEONG *Fund Transfer</t>
  </si>
  <si>
    <t>ALICE TAN
9506698522760363</t>
  </si>
  <si>
    <t>MBB CT- SIEA MIN KAI *Fund Transfer</t>
  </si>
  <si>
    <t>CHAN CHOW SAN FUND TRANSFER</t>
  </si>
  <si>
    <t>MBB CT- Wise Payments Malay*TW1764873842 O</t>
  </si>
  <si>
    <t>JESLY ONG</t>
  </si>
  <si>
    <t>DUITNOW QR- ONG SOO GOH *</t>
  </si>
  <si>
    <t>DUITNOW QR- LEE CHOI HWA *</t>
  </si>
  <si>
    <t>WINNIE LEE
4429731910477504</t>
  </si>
  <si>
    <t>WINNIE LEE LEE MOOI FONG *Fund transfer</t>
  </si>
  <si>
    <t>YOK LAN NG
4772457889504272</t>
  </si>
  <si>
    <t>NG YOK LAN NG YOK LAN *Fund transfer</t>
  </si>
  <si>
    <t>PHANG KIM JIN</t>
  </si>
  <si>
    <t>MBB CT- PHANG KIM JIN *Fund transfer</t>
  </si>
  <si>
    <t>NA NA</t>
  </si>
  <si>
    <t>DUITNOW QR- CHUA LEE NA *</t>
  </si>
  <si>
    <t>MBB CT- CHUAN TECK GEONG *Fund transfer</t>
  </si>
  <si>
    <t>SIEW WEI GOH</t>
  </si>
  <si>
    <t>DUITNOW QR- GOH SIEW WEI *</t>
  </si>
  <si>
    <t>SALLY WONG</t>
  </si>
  <si>
    <t>MBB CT- WONG CHOY FOONG *Sent from AmOn</t>
  </si>
  <si>
    <t>A CHANG YOKE LING *Lynn Ceng</t>
  </si>
  <si>
    <t>MBB CT- CHONG YAP WEE SHAN *Fund Transfer</t>
  </si>
  <si>
    <t>Priscilla Yong</t>
  </si>
  <si>
    <t>Grocery YONG FUIE MOY *Yong Fuie Moy</t>
  </si>
  <si>
    <t>ELESPTH PANG</t>
  </si>
  <si>
    <t>1210/GIFTS TO INDIVIPANG SIEW HUI /ROC/MB6032205</t>
  </si>
  <si>
    <t>Amy Phoon</t>
  </si>
  <si>
    <t>Amy Phoon PHOON MEE YING *Fund transfer</t>
  </si>
  <si>
    <t>SAN DRA</t>
  </si>
  <si>
    <t>MBB CT- SANDRA WONG CHANG Y*Fund Transfer</t>
  </si>
  <si>
    <t>DUITNOW QR- LOW SIEW CHIN *</t>
  </si>
  <si>
    <t>LEE LING HUI *Pinky Apple</t>
  </si>
  <si>
    <t>DUITNOW QR- CHAN LEE FONG *</t>
  </si>
  <si>
    <t>MBB CT- LIM SHAW HONG *lim sh</t>
  </si>
  <si>
    <t>Zoey Won</t>
  </si>
  <si>
    <t>DUITNOW QR- WON CHUI YEE *</t>
  </si>
  <si>
    <t>MBB CT- ALVIN LOO YONG JIAN*Fund transfer</t>
  </si>
  <si>
    <t>INSTANT TRANSFER CHONG YEE LEO *MEPS FUNDS TRA</t>
  </si>
  <si>
    <t>MBB CT- TEY LILENG *chan yit kiew</t>
  </si>
  <si>
    <t>Jennie Ho</t>
  </si>
  <si>
    <t>SIM HUEY WEN *Jennie</t>
  </si>
  <si>
    <t>退款</t>
  </si>
  <si>
    <t>A mai chang TING SING KING *Fund transfer</t>
  </si>
  <si>
    <t>MBB CT- SIM TINA YEN NIU *Fund Transfer</t>
  </si>
  <si>
    <t>MBB CT- ONG BEE CHOO *Ong Jennifer</t>
  </si>
  <si>
    <t>购物金</t>
  </si>
  <si>
    <t>MBB CT- DORIS CHONG SIN LIA*hi</t>
  </si>
  <si>
    <t>MBB CT- PHUAN SI JIE *Fund Transfer</t>
  </si>
  <si>
    <t>CHEANG SOOK MOOI *Ecg</t>
  </si>
  <si>
    <t>NG SALLY</t>
  </si>
  <si>
    <t>MBB CT- NG ZHAN LIANG *Ng Sally</t>
  </si>
  <si>
    <t>MBB CT- KHOO NEE SUAN *from Khoo</t>
  </si>
  <si>
    <t>DOONG HWEI WEN *Ivy tong or do</t>
  </si>
  <si>
    <t>MAH SEW YONG *Mah sew Yong</t>
  </si>
  <si>
    <t>MBB CT- NG BOON KIAT *YenSiauYen</t>
  </si>
  <si>
    <t>RAINBOW 15/4 B YAP SIEW WAH *Sent from AmOn</t>
  </si>
  <si>
    <t>Chang Shi Yun CHANG SHI YUN *Chang Shi Yun</t>
  </si>
  <si>
    <t>EMILY CHIA</t>
  </si>
  <si>
    <t>12140/POSTAL AND COUCHIA SIEW FOONG /ROC/MB1645110</t>
  </si>
  <si>
    <t>MBB CT- YEE CHIU LENG *Fund transfer</t>
  </si>
  <si>
    <t>Peggy Tey TEY PEI KAEY *Fund transfer</t>
  </si>
  <si>
    <t>MBB CT- ONG SIEW CHOO *Syion Er</t>
  </si>
  <si>
    <t>CHIOH SIEW GIOK *Kennis chioh</t>
  </si>
  <si>
    <t>MBB CT- CHAI SEK MOI *Natelie csm/ C</t>
  </si>
  <si>
    <t>Yap Yoke Lan YAP YOKE LAN *Evone Yap</t>
  </si>
  <si>
    <t>EUNICE LUI</t>
  </si>
  <si>
    <t>MBB CT- LUI SOW KIM *Eunice Lui</t>
  </si>
  <si>
    <t>DUITNOW QR- CHOW SIE SIE *</t>
  </si>
  <si>
    <t>Karen Liow LIOW PEI YN *Rainbow sister</t>
  </si>
  <si>
    <t>Shipping fee GOON WEI LENG *Ling Goon</t>
  </si>
  <si>
    <t>INSTANT TRANSFER HENG CHWEE HONG *MEPS FUNDS TRA</t>
  </si>
  <si>
    <t>TEO HONG MOI *payment</t>
  </si>
  <si>
    <t>DUITNOW QR- GAN FUI SUAN *</t>
  </si>
  <si>
    <t>345.62 499 149 KEK SIEW KUAN *MILLIE KEK 016</t>
  </si>
  <si>
    <t>Rainbow sister Sdn BWONG AI LING *Fund transfer</t>
  </si>
  <si>
    <t>MBB CT- WONG LI LI *Fund Transfer</t>
  </si>
  <si>
    <t>DUITNOW QR- NG WAN FERN *</t>
  </si>
  <si>
    <t>Soan So SO GEK LIAN *Fund transfer</t>
  </si>
  <si>
    <t>DUITNOW QR- LOH CHOW HA *</t>
  </si>
  <si>
    <t>MBB CT- LEE SEE CHEONG *Lee Siew Teng</t>
  </si>
  <si>
    <t>DUITNOW QR- HOH SEOK YUN *</t>
  </si>
  <si>
    <t>postage LING WAI YOKE *Bill payment</t>
  </si>
  <si>
    <t>CHONG SOOI YUEN *Sooi yuen</t>
  </si>
  <si>
    <t>POH HONG</t>
  </si>
  <si>
    <t>ivytah tan TAN AI HUEY *Fund transfer</t>
  </si>
  <si>
    <t>ck win(chea yuke yinCHEA YUKE YIN *Fund Transfer</t>
  </si>
  <si>
    <t>PONG CHOY TING *winnie</t>
  </si>
  <si>
    <t>MBB CT- VINCENT CHOONG *Yong Yin Pheng</t>
  </si>
  <si>
    <t>Vicky Wong NOORLIDA BT TAN AH *Vicky Wong</t>
  </si>
  <si>
    <t>A VOILAEU WAI LENG *Fb name Eyulen</t>
  </si>
  <si>
    <t>shirleytai TAI SIAH LEE *Fund transfer</t>
  </si>
  <si>
    <t>MBB CT- TAN BEE YONG *shimoxi</t>
  </si>
  <si>
    <t>MBB CT- TEH SIOK HWEE *from Seline</t>
  </si>
  <si>
    <t>INSTANT TRANSFER WONG HOONG CHAR *MEPS FUNDS TRA</t>
  </si>
  <si>
    <t>Mary Tan Chik Nan PIONG CHYI WEI *Fund transfer</t>
  </si>
  <si>
    <t>rainbow sister groupTEO SIEW LING *Sent from AmOn</t>
  </si>
  <si>
    <t>RAINBOW SISTER MS YOU TEIK CHEAU *RAINBOW SISTER</t>
  </si>
  <si>
    <t>jody YAP BOON YEN *Fund transfer</t>
  </si>
  <si>
    <t>MBB CT- NG SIEW HOON *hoon ng</t>
  </si>
  <si>
    <t>DUITNOW QR- TEH SIU HWA *</t>
  </si>
  <si>
    <t>VIVIAN BONG</t>
  </si>
  <si>
    <t>Postage BONG WEE LIAN *Vivian Bong</t>
  </si>
  <si>
    <t>DUITNOW QR- GOH SHIAU HOIE *</t>
  </si>
  <si>
    <t>GOH SEOK LEE *payment</t>
  </si>
  <si>
    <t>LEE HENG</t>
  </si>
  <si>
    <t>MBB CT- KOH SHUANG SHUANG *Fund Transfer</t>
  </si>
  <si>
    <t>MBB CT- LEE GEOK VAN *from Lee Geok</t>
  </si>
  <si>
    <t>TAN MEE TING *xiao ting</t>
  </si>
  <si>
    <t>MBB CT- CHIN LAI YIN *Fund transfer</t>
  </si>
  <si>
    <t>CHOY AH MOOI *Ahmei</t>
  </si>
  <si>
    <t>卢碧云</t>
  </si>
  <si>
    <t>LOH HON PIAK LOH SI YINN *Fund Transfer</t>
  </si>
  <si>
    <t>987141937Q *11112196717874</t>
  </si>
  <si>
    <t>Cyrus Tay</t>
  </si>
  <si>
    <t>DUITNOW QR- TAY ZHI MUN *</t>
  </si>
  <si>
    <t>995470228Q *11112196972305</t>
  </si>
  <si>
    <t>MBB CT- YAP CHIL YIN *gift</t>
  </si>
  <si>
    <t>Mandy Au AU WEE CHIN *Fund transfer</t>
  </si>
  <si>
    <t>MBB CT- LOH YONG HIN *Fund Transfer</t>
  </si>
  <si>
    <t>CHERRI CHERRI</t>
  </si>
  <si>
    <t>DUITNOW QR- THONG CHAO LING *</t>
  </si>
  <si>
    <t>S510x1 BIG C FITNE RWONG CHUI SEN *Rainbow Sister</t>
  </si>
  <si>
    <t>DUITNOW QR- CHUAH SIEW FOONG *</t>
  </si>
  <si>
    <t>DUITNOW QR- TEE SIEW ENG *</t>
  </si>
  <si>
    <t>WONG KIT CHENG *Transfer R</t>
  </si>
  <si>
    <t>21210/GIFTS TO INDIVCHONG SEOW CHEAN /ROC/MB1653746</t>
  </si>
  <si>
    <t>V Platfo Thailand CHAN WAI KUEN *Shirley Chan</t>
  </si>
  <si>
    <t>MBB CT- CHEONG SEET YIN *Fund Transfer</t>
  </si>
  <si>
    <t>DUITNOW QR- JENNY WONG SHI HUNG*</t>
  </si>
  <si>
    <t>CHRIS CHEE</t>
  </si>
  <si>
    <t>MBB CT- CHEE SIEW FOONG *Fund transfer</t>
  </si>
  <si>
    <t>Yen Theng Tan(fb) TAN HUEI HUEI *A postage</t>
  </si>
  <si>
    <t>MBB CT- TANG MEI LENG *Fund transfer</t>
  </si>
  <si>
    <t>DUITNOW QR- LIM CHAI HONG *</t>
  </si>
  <si>
    <t>rainbow sister CHING YOW FOONG *rainbow AA</t>
  </si>
  <si>
    <t>MBB CT- WONG XIAO YING *Fund transfer</t>
  </si>
  <si>
    <t>HOCK HOY TAN</t>
  </si>
  <si>
    <t>HockHoyTan TAN PENG LIM *Fund transfer</t>
  </si>
  <si>
    <t>MBB CT- LIM SOOK FONG *Fund Transfer</t>
  </si>
  <si>
    <t>Pyt ROSE LEE SIEW FONG *Rainbow sister</t>
  </si>
  <si>
    <t>MBB CT- TAN PEI XIN *Caleen Tee</t>
  </si>
  <si>
    <t>Chan ka yin CHAN KA YIN *Callie Lam</t>
  </si>
  <si>
    <t>DUITNOW QR- TEE CHOI KIN *</t>
  </si>
  <si>
    <t>TEE SIEW LAN TEE SIEW LAN *Sent from AmOn</t>
  </si>
  <si>
    <t>黄玲玉</t>
  </si>
  <si>
    <t>MBB CT- WONG YOKE LING *from Evon Wong</t>
  </si>
  <si>
    <t>DUITNOW QR- TEH LEE YONG *</t>
  </si>
  <si>
    <t>MBB CT- LIM SIAO SI *SiewMeng</t>
  </si>
  <si>
    <t>555959094Q *11112212438015</t>
  </si>
  <si>
    <t>MBB CT- HO LEE FAH *Sent from AmOn</t>
  </si>
  <si>
    <t>Jeane hu HU HOON MIN *Jeane hu</t>
  </si>
  <si>
    <t>MBB CT- CHONG FOON LEE *Fund Transfer</t>
  </si>
  <si>
    <t>CHRISTY TAN CHEW KIM HAR *RAINBOW SISTER</t>
  </si>
  <si>
    <t>WINNIE LEE</t>
  </si>
  <si>
    <t>MBB CT- CHAN HUI LING *Ling</t>
  </si>
  <si>
    <t>Rainbow (TH) LIM SWEE BEE *Rainbow Sister</t>
  </si>
  <si>
    <t>INSTANT TRANSFER ANG PEK HA *MEPS FUNDS TRA</t>
  </si>
  <si>
    <t>KELLY LEONG</t>
  </si>
  <si>
    <t>Kelly Leong LEONG LAI FERN *Fund transfer</t>
  </si>
  <si>
    <t>DUITNOW QR- ONG PEIK LIAN *</t>
  </si>
  <si>
    <t>Shirt LAU SOCK LENG *Christine Lau</t>
  </si>
  <si>
    <t>DUITNOW QR- GOH BAN WAH *</t>
  </si>
  <si>
    <t>SINYI SIN</t>
  </si>
  <si>
    <t>DUITNOW QR- SIN SINYI *</t>
  </si>
  <si>
    <t>INSTANT TRANSFER TEO POOI HOONG *MEPS FUNDS TRA</t>
  </si>
  <si>
    <t>HONG YA LING HONG YA LING *RAINBOW SISTER</t>
  </si>
  <si>
    <t>DUITNOW QR- YEE MIN XUAN *</t>
  </si>
  <si>
    <t>DUITNOW QR- KONG WING YAN *</t>
  </si>
  <si>
    <t>May Choo CHOO YUH MEI *Fund transfer</t>
  </si>
  <si>
    <t>DUITNOW QR- SELLING YEW CHEE LI*</t>
  </si>
  <si>
    <t>Transfer F FANNIE KONG FONG LING *Transfer F F</t>
  </si>
  <si>
    <t>21210/GIFTS TO INDIVSEOW CHWEE LOON /ROC/MB1659467</t>
  </si>
  <si>
    <t>DUITNOW QR- GOH BEE LENG *</t>
  </si>
  <si>
    <t>899696225Q *11112222726825</t>
  </si>
  <si>
    <t>V84 V128 V323 V336 NG LAY SIN *Angie Ng</t>
  </si>
  <si>
    <t>FB LIVE LIM SIOK KIAN *HO CHEN HUA</t>
  </si>
  <si>
    <t>MBB CT- KHOO CHIEW WAN *Michelle Khoo</t>
  </si>
  <si>
    <t>ML THIEN</t>
  </si>
  <si>
    <t>MBB CT- THIEN MUI LIN FOR P*postage</t>
  </si>
  <si>
    <t>DUITNOW QR- LIM BEE SAN *</t>
  </si>
  <si>
    <t>CHOW HEM MI *Postage Thai O</t>
  </si>
  <si>
    <t>NG HUI ENG *EngRainbowMb13</t>
  </si>
  <si>
    <t>MBB CT- WAI SEW CHING *from Gg</t>
  </si>
  <si>
    <t>MBB CT- MDM LEE SIEW CHOO *Evonlee</t>
  </si>
  <si>
    <t>MBB CT- LOW KWOK CHUNG *Lay Lay</t>
  </si>
  <si>
    <t>MBB CT- CHEW SEW KIM *delivery fee</t>
  </si>
  <si>
    <t>WONG FION</t>
  </si>
  <si>
    <t>MBB CT- WONG CHUI SEN *Rainbow Sister</t>
  </si>
  <si>
    <t>WONG HEONG PEN *PinkPink Wong</t>
  </si>
  <si>
    <t>MBB CT- JEE YII YII *Fund transfer</t>
  </si>
  <si>
    <t>OOI POH LEE *OOI</t>
  </si>
  <si>
    <t>MELISSA LIM</t>
  </si>
  <si>
    <t>LIM KIM FOONG *Melissa lim</t>
  </si>
  <si>
    <t>FEDU051202786768 ANG KWEE LAM IBG through AT</t>
  </si>
  <si>
    <t>MBB CT- CHONG JAI YUN *CHONG JAI YUN</t>
  </si>
  <si>
    <t>FSJM051102481598 YAP SOO BEE IBG through AT</t>
  </si>
  <si>
    <t>rainbow LEE BOON KUAN *lee</t>
  </si>
  <si>
    <t>payment CKT SOLUTION *Sent from AmOn</t>
  </si>
  <si>
    <t>Mandy Lee LEE GEOK CHEE *Fund Transfer</t>
  </si>
  <si>
    <t>LEW CHUAN HOW *Apple yan</t>
  </si>
  <si>
    <t>MBB CT- PHONG SU SHIA *FB Name unme E</t>
  </si>
  <si>
    <t>CHUA SUAN SIM *CHUA SUAN SIM</t>
  </si>
  <si>
    <t>Order TAN MEI SHUANG *Tan mei shuang</t>
  </si>
  <si>
    <t>MBB CT- KOH ZHI CHEN *from Koh elain</t>
  </si>
  <si>
    <t>Skin Care LEE BEE CHOON *MayLee</t>
  </si>
  <si>
    <t>MBB CT- S &amp; C MARINE SUPPLY*Hing Poe Ching</t>
  </si>
  <si>
    <t>MBB CT- LEE MEI FANG *from meifang</t>
  </si>
  <si>
    <t>DUITNOW QR- LEE SHANG HOO *</t>
  </si>
  <si>
    <t>DUITNOW QR- LEE YAN MING *</t>
  </si>
  <si>
    <t>Elly Cheah CHEAH SHIAU LEI *Chong Poh Loy</t>
  </si>
  <si>
    <t>_ CHAY MEI FONG *Yi Fong Fong</t>
  </si>
  <si>
    <t>MBB CT- CHANG PUI CHING *Fund transfer</t>
  </si>
  <si>
    <t>MBB CT- NG SIEW ENG *charger</t>
  </si>
  <si>
    <t>Rainbow online shop LOW SEE KEAT *Jess Low</t>
  </si>
  <si>
    <t>MBB CT- WONG AI WAN *Daniel Loh</t>
  </si>
  <si>
    <t>A POON SAU MEE *Poonsaumee</t>
  </si>
  <si>
    <t>DUITNOW QR- HO YAR HENG *</t>
  </si>
  <si>
    <t>MBB CT- GOH SOK TIN *FB CHRIS GOH</t>
  </si>
  <si>
    <t>Postage-14/5/25 YOW LEE SEE *Rainbow</t>
  </si>
  <si>
    <t>Joyce jks JOYCE OOI KIM SEE *Fund transfer</t>
  </si>
  <si>
    <t>MBB CT- CHONG GEK TING *Celina chong</t>
  </si>
  <si>
    <t>APPLE LEE</t>
  </si>
  <si>
    <t>DUITNOW QR- LEE HONG KEE *</t>
  </si>
  <si>
    <t>Alice Oon OON FONG CHU *Rainbow Sister</t>
  </si>
  <si>
    <t>MBB CT- NG SIEW JIN *NG SIEW JIN</t>
  </si>
  <si>
    <t>MBB CT- FONG YAN YEE *Fund transfer</t>
  </si>
  <si>
    <t>156.87+103.99 CHONG TIN TAI *Cindy Chong</t>
  </si>
  <si>
    <t>AA MARKET SIM SHUAT LI *SHIRLY SIM</t>
  </si>
  <si>
    <t>A(8 May 11 May) KoreTANG LEE LENG *Tang Lee Leng</t>
  </si>
  <si>
    <t>DUITNOW QR- TAN SIEW LING *</t>
  </si>
  <si>
    <t>Fong Meikin</t>
  </si>
  <si>
    <t>FONG MEI KIN *Fong mei kin</t>
  </si>
  <si>
    <t>LIM POI HOI *rainbow sister</t>
  </si>
  <si>
    <t>DUITNOW QR- NGHAN SO KHENG *</t>
  </si>
  <si>
    <t>DUITNOW QR- CHONG SIEW LEE *</t>
  </si>
  <si>
    <t>fb shu ee LAU SHU EE *LAU SHU EE</t>
  </si>
  <si>
    <t>DUITNOW S/CHRG REFUND</t>
  </si>
  <si>
    <t>FEDU051503033981 ANG KWEE LAM IBG through AT</t>
  </si>
  <si>
    <t>Postage CHIN SEOK YEAN *SY CHIN</t>
  </si>
  <si>
    <t>LEE MAY</t>
  </si>
  <si>
    <t>leemay korea LEE SIEW MOOY *Leemay korea</t>
  </si>
  <si>
    <t>LEE YOKE LENG FUND TRANSFER</t>
  </si>
  <si>
    <t>MBB CT- CHEN PEI JU *keroppiju</t>
  </si>
  <si>
    <t>DUITNOW QR- ER SUEN TIAN *</t>
  </si>
  <si>
    <t>DUITNOW QR- TEH GUAT HOON *</t>
  </si>
  <si>
    <t>LIMSK LIM SUAN KIANG *Fund Transfer</t>
  </si>
  <si>
    <t>DuitNow CHUA SIEW KENG *3rd Party Tran</t>
  </si>
  <si>
    <t>MBB CT- TANG SONG KIAT *Song Jie Tang</t>
  </si>
  <si>
    <t>MBB CT- LAI CHIN QUAN *Fund Transfer</t>
  </si>
  <si>
    <t>Ling Yen</t>
  </si>
  <si>
    <t>Ling NG YEN LING *Sent from AmOn</t>
  </si>
  <si>
    <t>Rainbow CHONG SIEW LING *Lynn Chong</t>
  </si>
  <si>
    <t>DUITNOW QR- SABRINA ONG SIEW FE*</t>
  </si>
  <si>
    <t>MBB CT- WONG SUET NEE *Balance paymen</t>
  </si>
  <si>
    <t>DUITNOW QR- CHAN TIAN LEE *</t>
  </si>
  <si>
    <t>12140/POSTAL AND COUCHIA SIEW FOONG /ROC/MB1665974</t>
  </si>
  <si>
    <t>Ah Fun OH SIM MUN *Fund transfer</t>
  </si>
  <si>
    <t>DUITNOW QR- KHOO XIAO LING *</t>
  </si>
  <si>
    <t>YIN NG</t>
  </si>
  <si>
    <t>YIN DEE</t>
  </si>
  <si>
    <t>DUITNOW QR- YAP YIN DEE *</t>
  </si>
  <si>
    <t>Jessica Phua</t>
  </si>
  <si>
    <t>PHUA SOH CHOO *Jessica Phua</t>
  </si>
  <si>
    <t>DUITNOW QR- TAN SIEW ANN *</t>
  </si>
  <si>
    <t>Jenny Panda</t>
  </si>
  <si>
    <t>MBB CT- LEE BEE LIN *from Bee</t>
  </si>
  <si>
    <t>Teh Sammi</t>
  </si>
  <si>
    <t>DUITNOW QR- TEH SIEW HUA *</t>
  </si>
  <si>
    <t>MBB CT- FOO CHER YIN *JOSLYN FOO lau</t>
  </si>
  <si>
    <t>WONG SEAU MUN *Karen wsm</t>
  </si>
  <si>
    <t>DUITNOW QR- KEE SEK HWA *</t>
  </si>
  <si>
    <t>ZHI HUI</t>
  </si>
  <si>
    <t>DUITNOW QR- WONG CHUNG MING *</t>
  </si>
  <si>
    <t>CHINCHIN LEW</t>
  </si>
  <si>
    <t>MBB CT- LEW CHIN CHIN *Fund transfer</t>
  </si>
  <si>
    <t>DUITNOW QR- GAN DAY CHU *</t>
  </si>
  <si>
    <t>MBB CT- LIM YOCK LIAN *from Lim yock</t>
  </si>
  <si>
    <t>LIUNG CHEK CHEN *LIUNG Chek Che</t>
  </si>
  <si>
    <t>ANNIE ONG</t>
  </si>
  <si>
    <t>MBB CT- ONG PO YIN *Fund transfer</t>
  </si>
  <si>
    <t>MBB CT- LI MEI XUAN *Fish</t>
  </si>
  <si>
    <t>Rainbow CHAN YOON NGOH *Christy Chan</t>
  </si>
  <si>
    <t>wai yee vivian mun (MUN WAI YEE *Fund transfer</t>
  </si>
  <si>
    <t>MBB CT- NG POH PING *pay</t>
  </si>
  <si>
    <t>DUITNOW QR- CHEAH HUI LING *</t>
  </si>
  <si>
    <t>Isabella Wong WONG WAI LING *Fund Transfer</t>
  </si>
  <si>
    <t>MBB CT- LIEU YUEN SHAN *Iwernlieu</t>
  </si>
  <si>
    <t>DUITNOW QR- Lau Koak Tian *</t>
  </si>
  <si>
    <t>A - Korea YEO SU HUEY *Jane yeo Su hu</t>
  </si>
  <si>
    <t>DUITNOW QR- ZTEW NYFAN KEOW *</t>
  </si>
  <si>
    <t>MBB CT- CHONG AI FENG *FBFELICIAFENFE</t>
  </si>
  <si>
    <t>DUITNOW QR- LEE HUAI YIN *</t>
  </si>
  <si>
    <t>DUITNOW QR- LAU YING HAO *</t>
  </si>
  <si>
    <t>DUITNOW QR- TANG LIAN YOK *</t>
  </si>
  <si>
    <t>KHOR LING LING</t>
  </si>
  <si>
    <t>MBB CT- SUSINAWATI TIU *Fund transfer</t>
  </si>
  <si>
    <t>DUITNOW QR- KAU SIN MUN *</t>
  </si>
  <si>
    <t>LIYI LIM</t>
  </si>
  <si>
    <t>MBB CT- LIM LAY GEOK *Fund Transfer</t>
  </si>
  <si>
    <t>MBB CT- TAN CHEIN KUANG *Sent from AmOn</t>
  </si>
  <si>
    <t>MBB CT- LI MEI XUAN *fish</t>
  </si>
  <si>
    <t>DUITNOW QR- CHONG HUAT TEE *</t>
  </si>
  <si>
    <t>DUITNOW QR- TEO SHUEH YEE *</t>
  </si>
  <si>
    <t>MBB CT- NG SIOW HAN *Xiaohan</t>
  </si>
  <si>
    <t>MBB CT- LILY FOONG YEN LING*lily foong</t>
  </si>
  <si>
    <t>DUITNOW QR- CHENG POH PEO *</t>
  </si>
  <si>
    <t>12140/POSTAL AND COUJESLINE LIM SIOK LI /ROC/MB1671031</t>
  </si>
  <si>
    <t>ONG LAY NGOH *CASSANDRA ONG</t>
  </si>
  <si>
    <t>LING CHAN</t>
  </si>
  <si>
    <t>CHAN HUEY LING *Ling Chan</t>
  </si>
  <si>
    <t>DUITNOW QR- FOO CHIN YING *</t>
  </si>
  <si>
    <t>JUNE LIM</t>
  </si>
  <si>
    <t>MBB CT- LIM SHI LING *Fund Transfer</t>
  </si>
  <si>
    <t>MBB CT- TAN WATT POH *Fund Transfer</t>
  </si>
  <si>
    <t>BB mai chang TEY SOK YEOK *Sokyeok Tey</t>
  </si>
  <si>
    <t>310489732Q *11112270438793</t>
  </si>
  <si>
    <t>Graces Tang Shuh Meng</t>
  </si>
  <si>
    <t>GRACES TANG SHUH MENTANG SHUH MENG *BB</t>
  </si>
  <si>
    <t>SITI NOOR HAZAH</t>
  </si>
  <si>
    <t>DUITNOW QR- LIEW LI FUEN *</t>
  </si>
  <si>
    <t>DUITNOW QR- CHEW CUI HONG *</t>
  </si>
  <si>
    <t>MBB CT- TAM YIT PENG *Elise Tam</t>
  </si>
  <si>
    <t>DUITNOW QR- CHIN SIEW KEN *</t>
  </si>
  <si>
    <t>DUITNOW QR- LEE SIEW TENG *</t>
  </si>
  <si>
    <t>DUITNOW QR- TING CHU LANG *</t>
  </si>
  <si>
    <t>CHANG LEE KIAN *alice chang</t>
  </si>
  <si>
    <t>DUITNOW QR- TAN LEH HOON *</t>
  </si>
  <si>
    <t>MBB CT- CHAN JIE CONG *BeeBeeSoo</t>
  </si>
  <si>
    <t>MBB CT- CHAN JIE HONG *Fund transfer</t>
  </si>
  <si>
    <t>DUITNOW QR- KHOO BEE PENG *</t>
  </si>
  <si>
    <t>MBB CT- LEE SAU LAI *Yuki Lee</t>
  </si>
  <si>
    <t>MBB CT- WONG KOK MUN *Fund transfer</t>
  </si>
  <si>
    <t>DUITNOW QR- TAN SIEW YEN *</t>
  </si>
  <si>
    <t>MBB CT- GUN CHIK TAT *Maggie Tan</t>
  </si>
  <si>
    <t>lv QUAH SWEY LI *coco</t>
  </si>
  <si>
    <t>MEI SEE</t>
  </si>
  <si>
    <t>mei see EE MEI SEE *Fund transfer</t>
  </si>
  <si>
    <t>MBB CT- YEO MEI CHEN *from Yeo Mei C</t>
  </si>
  <si>
    <t>MBB CT- TAN MEEI CHYI *Maggie Tan</t>
  </si>
  <si>
    <t>26 may 25-30/5/25 HO SIEW HUI *Fund Transfer</t>
  </si>
  <si>
    <t>MR YEN YIT FONG *Fang Fang</t>
  </si>
  <si>
    <t>Swis Jin Ong</t>
  </si>
  <si>
    <t>MBB CT- ONG SWIS JIN *Fund Transfer</t>
  </si>
  <si>
    <t>MBB CT- TAN CHONG PEI *c0422 s8543</t>
  </si>
  <si>
    <t>- KON NYET OI *Transfer</t>
  </si>
  <si>
    <t>DUITNOW QR- ONG SIAU MEE *</t>
  </si>
  <si>
    <t>玉芳</t>
  </si>
  <si>
    <t>MBB CT- LEE YOKE FONG *rainbow</t>
  </si>
  <si>
    <t>VINNE LIM</t>
  </si>
  <si>
    <t>DUITNOW QR- LIM FONG MEI *</t>
  </si>
  <si>
    <t>DUITNOW QR- GAN SIEW LEE *</t>
  </si>
  <si>
    <t>Sky Lam</t>
  </si>
  <si>
    <t>lim kim heng LIM KIM HENG *Fund transfer</t>
  </si>
  <si>
    <t>DUITNOW QR- TAI CHI LING *</t>
  </si>
  <si>
    <t>Catherine Tang</t>
  </si>
  <si>
    <t>Catherine tang TANG PEI HSIA *Fund Transfer</t>
  </si>
  <si>
    <t>Katherine Tai Fb TAI KAR YI *TAI KAR YI</t>
  </si>
  <si>
    <t>Ai moon KON NYET OI *Sent from AmOn</t>
  </si>
  <si>
    <t>MBB CT- CHEN SIOW WOON *Fund Transfer</t>
  </si>
  <si>
    <t>Moon KON NYET OI *Sent from AmOn</t>
  </si>
  <si>
    <t>21210/GIFTS TO INDIVLEE SEET MOI/CHOW C /ROC/MB1681099</t>
  </si>
  <si>
    <t>DUITNOW QR- LIM LAY GEOK *</t>
  </si>
  <si>
    <t>winter tiw TIW MEY HOOI *hooi</t>
  </si>
  <si>
    <t>INSTANT TRANSFER SIM YEAN KEY *MEPS FUNDS TRA</t>
  </si>
  <si>
    <t>MBB CT- GOH YEN MUI *Fund Transfer</t>
  </si>
  <si>
    <t>MBB CT- ONG BEE CHOO *Jessica Ong--</t>
  </si>
  <si>
    <t>Wong Meifun</t>
  </si>
  <si>
    <t>RAINBOW LUGGAGE WONG MEI FUN *RAINBOW LUGGAG</t>
  </si>
  <si>
    <t>LIM FUNG FUNG</t>
  </si>
  <si>
    <t>MBB CT- LIM FUNG FUNG *shampoo</t>
  </si>
  <si>
    <t>EVELYN YEO GUEK PIN*Scarlet Momo</t>
  </si>
  <si>
    <t>IVY LEE</t>
  </si>
  <si>
    <t>561422204Q *11112309693762</t>
  </si>
  <si>
    <t>MBB CT- LIEW WIE YUEH *A PART</t>
  </si>
  <si>
    <t>INSTANT TRANSFER CHEW CHOON PING *MEPS FUNDS TRA</t>
  </si>
  <si>
    <t>DUITNOW QR- ONG SEK GOR *</t>
  </si>
  <si>
    <t>DUITNOW QR- YONG MAY MEE *</t>
  </si>
  <si>
    <t>DUITNOW QR- TANG GEOK LUNG *</t>
  </si>
  <si>
    <t>SIA MEE FONG *Mfung Law</t>
  </si>
  <si>
    <t>TAN MIN LING</t>
  </si>
  <si>
    <t>Wong Mei Fah WONG MEI FAH *Wong Mei Fah</t>
  </si>
  <si>
    <t>Xin Tong Ng</t>
  </si>
  <si>
    <t>DUITNOW QR- TAN CHOY THENG *</t>
  </si>
  <si>
    <t>735165208Q *11112316145621</t>
  </si>
  <si>
    <t>MBB CT- CHEN KUI FONG *c goods</t>
  </si>
  <si>
    <t>iris LEOW CAI HOOI *Fund transfer</t>
  </si>
  <si>
    <t>MBB CT- TEO PHEY SZE *B sale</t>
  </si>
  <si>
    <t>Coco LIM SWEE BEE *Rainbow Sister</t>
  </si>
  <si>
    <t>WONG CHOOI HAR *Rainbow</t>
  </si>
  <si>
    <t>TAN LENG HUAN</t>
  </si>
  <si>
    <t>MBB CT- TAN HUAN LENG *Fund transfer</t>
  </si>
  <si>
    <t>DUITNOW QR- LOH LEE HAH *</t>
  </si>
  <si>
    <t>TAMMY CHONG</t>
  </si>
  <si>
    <t>Tammy Chong CHONG LEE HONG *Fund transfer</t>
  </si>
  <si>
    <t>YVONNE UNG</t>
  </si>
  <si>
    <t>NG FONG ENG *D part</t>
  </si>
  <si>
    <t>FANG LEE PING *Fangleeping</t>
  </si>
  <si>
    <t>MBB CT- LEE QIAO YAN *Lee Qiao Yan</t>
  </si>
  <si>
    <t>Liz Lee</t>
  </si>
  <si>
    <t>Payment CHUA SERVICES *Fund transfer</t>
  </si>
  <si>
    <t>SIAW FENG NG</t>
  </si>
  <si>
    <t>MBB CT- NG SIAW FENG *from Siawfeng</t>
  </si>
  <si>
    <t>未回复，放购物金</t>
  </si>
  <si>
    <t>DUITNOW QR- YANG POH YIN *</t>
  </si>
  <si>
    <t>MBB CT- TEH CHIA PENG *China purchase</t>
  </si>
  <si>
    <t>MBB CT- TEH YOKE KIAN *Jenny teh</t>
  </si>
  <si>
    <t>DUITNOW QR- LIM SIN BEI *</t>
  </si>
  <si>
    <t>DUITNOW QR- LIEW LI LY *</t>
  </si>
  <si>
    <t>B postage NGOO BEE KOON *Nicole ngoo</t>
  </si>
  <si>
    <t>KU ING HIE</t>
  </si>
  <si>
    <t>MBB CT- KU ING HIE *Sent from AmOn</t>
  </si>
  <si>
    <t>LI LYN</t>
  </si>
  <si>
    <t>LEE HOOI LING FB LI LEE HOOI LING *D12+2</t>
  </si>
  <si>
    <t>WONG SUING MING *Suingming Wong</t>
  </si>
  <si>
    <t>zhunyu LIM XIN HUI *Fund Transfer</t>
  </si>
  <si>
    <t>134509022Q *11112330924419</t>
  </si>
  <si>
    <t>Rainbow LIM SIEW YEE *Cris Lim Siew</t>
  </si>
  <si>
    <t>MBB CT- CHEW SIEW PENG *Fund Transfer</t>
  </si>
  <si>
    <t>DUITNOW QR- CHOO YAK BOON *</t>
  </si>
  <si>
    <t>MBB CT- CHEAH HUI LING *Fund Transfer</t>
  </si>
  <si>
    <t>DUITNOW QR- TANG SUOK HUNG *</t>
  </si>
  <si>
    <t>MBB CT- CHENG CHIA LING *Crystal</t>
  </si>
  <si>
    <t>IVY TAN</t>
  </si>
  <si>
    <t>MBB CT- TAN CHIN WOEN *Skincare</t>
  </si>
  <si>
    <t>321341182Q *11112337114964</t>
  </si>
  <si>
    <t>DUITNOW QR- KOOI HOOI ENG *</t>
  </si>
  <si>
    <t>MBB CT- TAN AH PENG *Fund transfer</t>
  </si>
  <si>
    <t>DUITNOW QR- NG HUAY HUAY *</t>
  </si>
  <si>
    <t>Wong Kit Mun WONG KIT MUN *Sent from AmOn</t>
  </si>
  <si>
    <t>Diamond Hong</t>
  </si>
  <si>
    <t>MBB CT- LEE HUEYJIEN *Fund Transfer</t>
  </si>
  <si>
    <t>MBB CT- WONG CHENG HSIA *Pant</t>
  </si>
  <si>
    <t>MBB CT- LOCK CHEE YEN *M</t>
  </si>
  <si>
    <t>DUITNOW QR- KHO LAY YI *</t>
  </si>
  <si>
    <t>DUITNOW QR- KHOO HUI YING *</t>
  </si>
  <si>
    <t>JOKO E MARKETING *PANG YL</t>
  </si>
  <si>
    <t>CHONG MING FUI</t>
  </si>
  <si>
    <t>ming fui CHONG MING FUI *M Store China</t>
  </si>
  <si>
    <t>DUITNOW QR- CHEW LYE SUM *</t>
  </si>
  <si>
    <t>season coco c LEE SIEW TENG *season coco c</t>
  </si>
  <si>
    <t>CHEAH EA ROU *Erou Cheah</t>
  </si>
  <si>
    <t>DUITNOW QR- Khaw lay ean *</t>
  </si>
  <si>
    <t>DUITNOW QR- TEOH MUI LEE *</t>
  </si>
  <si>
    <t>EMILY CHEW</t>
  </si>
  <si>
    <t>DUITNOW QR- CHEW LI CHIN *</t>
  </si>
  <si>
    <t>Shopping WONG HUI SEAN *Quinnie Wong H</t>
  </si>
  <si>
    <t>21210/GIFTS TO INDIVLOW MEE LIAN /ROC/MB1693504</t>
  </si>
  <si>
    <t>ZONA LAI</t>
  </si>
  <si>
    <t>MBB CT- LAI KIN HAR *from zonalai</t>
  </si>
  <si>
    <t>rainbow CHEW MEI ANG *serenachew</t>
  </si>
  <si>
    <t>EVELYN CHONG</t>
  </si>
  <si>
    <t>Evelyn chong CHONG CHAI SIA *miscellaneous</t>
  </si>
  <si>
    <t>Vichelle Chong</t>
  </si>
  <si>
    <t>Li Yan</t>
  </si>
  <si>
    <t>Item Y11 YONG LI YAN *Fb-Li Yan</t>
  </si>
  <si>
    <t>美棠</t>
  </si>
  <si>
    <t>DUITNOW QR- TAN MAN HANG *</t>
  </si>
  <si>
    <t>NICKI KHONG</t>
  </si>
  <si>
    <t>DUITNOW QR- KHONG NYUK TING *</t>
  </si>
  <si>
    <t>CN Chai</t>
  </si>
  <si>
    <t>CHAI CHANG NGEOK *CN Chai</t>
  </si>
  <si>
    <t>Pei Ping</t>
  </si>
  <si>
    <t>DUITNOW QR- LAM PEI PING *</t>
  </si>
  <si>
    <t>Lennie Teh</t>
  </si>
  <si>
    <t>TEH LIAN NEE TEH LIAN NEE *LennieTeh</t>
  </si>
  <si>
    <t>CHINA PREORDER PART WONG PEI SAN *AI LI SI</t>
  </si>
  <si>
    <t>Winnie Chia</t>
  </si>
  <si>
    <t>DUITNOW QR- CHIA PEI PEI *</t>
  </si>
  <si>
    <t>ING LEH</t>
  </si>
  <si>
    <t>MBB CT- CHIENG LEH ING *from Ing Leh</t>
  </si>
  <si>
    <t>DUITNOW QR- LIM SEAN FONG *</t>
  </si>
  <si>
    <t>MBB CT- KAN EE WEI *Fund Transfer</t>
  </si>
  <si>
    <t>CINDY CHEN</t>
  </si>
  <si>
    <t>1210/GIFTS TO INDIVICHEN LEE YUEN/FOONG /ROC/MB7538369</t>
  </si>
  <si>
    <t>DUITNOW QR- BAN YOKE FOONG *</t>
  </si>
  <si>
    <t>MBB CT- LIM GEK LAN *Feicui/LimGekL</t>
  </si>
  <si>
    <t>APPLE KELLY</t>
  </si>
  <si>
    <t>DUITNOW QR- TANG LAM TING *</t>
  </si>
  <si>
    <t>FB name Tracy Tracy LEE SOOK MEI *Fund transfer</t>
  </si>
  <si>
    <t>MBB CT- WONG AI CHEN *wong yi en</t>
  </si>
  <si>
    <t>KENIX HO</t>
  </si>
  <si>
    <t>DUITNOW QR- HO LEE PENG *</t>
  </si>
  <si>
    <t>MBB CT- KEE SEK HWA *Fund Transfer</t>
  </si>
  <si>
    <t>MAGGIE LOH</t>
  </si>
  <si>
    <t>MBB CT- KOO KIM CHON &amp;/OR L*Rainbow sister</t>
  </si>
  <si>
    <t>DUITNOW QR- KOH PENG PENG *</t>
  </si>
  <si>
    <t>MBB CT- NOVIANTI NG *rose angel</t>
  </si>
  <si>
    <t>WONG YU HONG</t>
  </si>
  <si>
    <t>MBB CT- WONG YU HONG *payment</t>
  </si>
  <si>
    <t>DUITNOW QR- THER WUAN HUE *</t>
  </si>
  <si>
    <t>Serene Sereneng</t>
  </si>
  <si>
    <t>serene sereneng NG SEW KIEM *Fund Transfer</t>
  </si>
  <si>
    <t>MBB CT- KUA SIOW LEE *kua siow lee</t>
  </si>
  <si>
    <t>Mimosa Mimosa</t>
  </si>
  <si>
    <t>MBB CT- TAN WEE MENG *Fund Transfer</t>
  </si>
  <si>
    <t>GLC CINDY</t>
  </si>
  <si>
    <t>MBB CT- GOH LEE CHENG *GLC CINDY</t>
  </si>
  <si>
    <t>MBB CT- TAN YEOK KUIN *Fund Transfer</t>
  </si>
  <si>
    <t>Grace Gan</t>
  </si>
  <si>
    <t>MBB CT- HARVEST ENTERPRISE *Skin care</t>
  </si>
  <si>
    <t>Elly Cheah</t>
  </si>
  <si>
    <t>DUITNOW QR- CHEAH SHIAU LEI *</t>
  </si>
  <si>
    <t>Chew Vivian</t>
  </si>
  <si>
    <t>Chew vivian CHEW YOK PENG *Vivian chew</t>
  </si>
  <si>
    <t>MBB CT- LIEW CHEE SEONG *Fund transfer</t>
  </si>
  <si>
    <t>SEOW HAR</t>
  </si>
  <si>
    <t>KWAN SEOW HAR *Seow Har</t>
  </si>
  <si>
    <t>MBB CT- SIM YOKE SIM *sim yoke sim</t>
  </si>
  <si>
    <t>TAN SIEW LING *sister</t>
  </si>
  <si>
    <t>MBB CT- YAP LING LING *Fund transfer</t>
  </si>
  <si>
    <t>Chiew Hwa Mindy</t>
  </si>
  <si>
    <t>MBB CT- GOR CHIEW HWA *from Chiew Hwa</t>
  </si>
  <si>
    <t>Carol Kang</t>
  </si>
  <si>
    <t>MBB CT- KANG KER SING *Carol Kang</t>
  </si>
  <si>
    <t>LEE WAN SHIN *Ty Ngai</t>
  </si>
  <si>
    <t>Shown Tan</t>
  </si>
  <si>
    <t>DUITNOW QR- NICKY TAN PANG QI *</t>
  </si>
  <si>
    <t>MBB CT- YONG SOO FUN *einidyong</t>
  </si>
  <si>
    <t>JING XIAN NG</t>
  </si>
  <si>
    <t>NG JING XIAN *Rainbow sis</t>
  </si>
  <si>
    <t>Cha Pei Yin</t>
  </si>
  <si>
    <t>DUITNOW QR- CHA PEI YIN *</t>
  </si>
  <si>
    <t>LIM HUEY TING *Hting</t>
  </si>
  <si>
    <t>Lee Heong Lian</t>
  </si>
  <si>
    <t>SOOK WEI</t>
  </si>
  <si>
    <t>733408142Q *11112418002699</t>
  </si>
  <si>
    <t>Wenny Tan</t>
  </si>
  <si>
    <t>DUITNOW QR- Tan Tze Wen *</t>
  </si>
  <si>
    <t>MBB CT- TEH PHAIK GIM *Teh Phaik Gim</t>
  </si>
  <si>
    <t>Cheah Jenn</t>
  </si>
  <si>
    <t>Panty x 2 set LEE KIM HONG *Cheah Jenn</t>
  </si>
  <si>
    <t>MBB CT- CHUA SIEW KEE *chloe chua</t>
  </si>
  <si>
    <t>SIM JIA BEI *FB Janie Sim</t>
  </si>
  <si>
    <t>Janie Sim</t>
  </si>
  <si>
    <t>SIM JIA BEI *Fb Janie Sim</t>
  </si>
  <si>
    <t xml:space="preserve">Nicole Foo
</t>
  </si>
  <si>
    <t>M FOO MEI CHEN *Nicole</t>
  </si>
  <si>
    <t>May Yang</t>
  </si>
  <si>
    <t>DUITNOW QR- YANG LEE ENG *</t>
  </si>
  <si>
    <t>Voann YU</t>
  </si>
  <si>
    <t>MBB CT- YU SIT FON *Voann Yu Sit F</t>
  </si>
  <si>
    <t>LEE SOOK WEI *sook wei</t>
  </si>
  <si>
    <t>SHELLY CHENG</t>
  </si>
  <si>
    <t>CHANG SEAK LI *Shelly cheng</t>
  </si>
  <si>
    <t>Grace Chang</t>
  </si>
  <si>
    <t>MBB CT- CHANG LEE FUN/LEONG*from Grace Cha</t>
  </si>
  <si>
    <t>Wong ChaiPeng</t>
  </si>
  <si>
    <t>MBB CT- WONG CHAI PENG *Fund transfer</t>
  </si>
  <si>
    <t>MBB CT- HANG WEI TENG *Hang Teng</t>
  </si>
  <si>
    <t>TAY ELYN</t>
  </si>
  <si>
    <t>DUITNOW QR- TAY SIEW ENG *</t>
  </si>
  <si>
    <t>Fun Liew LIEW YOKE FUN *Fund transfer</t>
  </si>
  <si>
    <t>Yok Bee Chuah</t>
  </si>
  <si>
    <t>CHUAH YOK BEE *Rainbow</t>
  </si>
  <si>
    <t>DUITNOW QR- TAN SIEW BEE *</t>
  </si>
  <si>
    <t>Yying Kong</t>
  </si>
  <si>
    <t>MR TAN SEH HEONG *RAINBOW SISTER</t>
  </si>
  <si>
    <t>APPLE APPLE</t>
  </si>
  <si>
    <t>MBB CT- TAN SHUE FERN *Lim Sherlynn</t>
  </si>
  <si>
    <t>DUITNOW QR- TAN CHEA MEI *</t>
  </si>
  <si>
    <t>Bei Bi Loke</t>
  </si>
  <si>
    <t>Bei Bi Loke ENG YUH SHAN *Fund transfer</t>
  </si>
  <si>
    <t>Purchase payment TEH PHAIK GIM *Rainbow Sister</t>
  </si>
  <si>
    <t>DUITNOW QR- KHOO CHIEW WAN *</t>
  </si>
  <si>
    <t>JENNY YEO</t>
  </si>
  <si>
    <t>JENNY YEO FB YEO HENG CHEN *B part</t>
  </si>
  <si>
    <t>SHENNIE KEE</t>
  </si>
  <si>
    <t>DUITNOW QR- KEE LAI HAR *</t>
  </si>
  <si>
    <t>ALICE YAP</t>
  </si>
  <si>
    <t>MBB CT- YAP CHEW ENG *Fund Transfer</t>
  </si>
  <si>
    <t>370062157Q *11112405870370</t>
  </si>
  <si>
    <t>Wendy Ho</t>
  </si>
  <si>
    <t>C HO MUN KIN *Wendy ho</t>
  </si>
  <si>
    <t>Kai Lee</t>
  </si>
  <si>
    <t>MBB CT- LEE YONG KAI *Fund Transfer</t>
  </si>
  <si>
    <t>MBB CT- LIM JOO HONG *Fund Transfer</t>
  </si>
  <si>
    <t>INSTANT TRANSFER J H LIM &amp; C H KHOR *MEPS FUNDS TRA</t>
  </si>
  <si>
    <t>MBB CT- TEOW HUEI XIN *Fund Transfer</t>
  </si>
  <si>
    <t>DUITNOW QR- YONG SIEW FOONG CAR*</t>
  </si>
  <si>
    <t>MBB CT- TEE GEK HONG *Fund Transfer</t>
  </si>
  <si>
    <t>JM LAW</t>
  </si>
  <si>
    <t>DUITNOW QR- LAW WAI HAR *</t>
  </si>
  <si>
    <t>MBB CT- LIM SOOK FONG *Rainbow sister</t>
  </si>
  <si>
    <t>MBB CT- LEE FUI KYE *Fund Transfer</t>
  </si>
  <si>
    <t>TEOH PENNY</t>
  </si>
  <si>
    <t>MBB CT- TEOH PEI NI *teoh penny</t>
  </si>
  <si>
    <t>PEARLY NG</t>
  </si>
  <si>
    <t>DUITNOW QR- NG KUAN PING *</t>
  </si>
  <si>
    <t>MBB CT- SHIRLEY TANG *from Shirley</t>
  </si>
  <si>
    <t>MBB CT- HIM LI CHIN *Jess Him</t>
  </si>
  <si>
    <t>Ah Pong Tang</t>
  </si>
  <si>
    <t>TANG AH PONG *rm10</t>
  </si>
  <si>
    <t>MBB CT- WONG JUN YI *low poh kuan b</t>
  </si>
  <si>
    <t>RAINBOW SISTER LAU YEN PING *C korea things</t>
  </si>
  <si>
    <t>DORIS CHUA</t>
  </si>
  <si>
    <t>DUITNOW QR- CHUA WEE KIAN *</t>
  </si>
  <si>
    <t>Kiko Lee</t>
  </si>
  <si>
    <t>DUITNOW QR- LIM BEE TIN *</t>
  </si>
  <si>
    <t>MBB CT- CHEN SIAU YEE *Fund transfer</t>
  </si>
  <si>
    <t>CHIA FONG MING *hannah woo</t>
  </si>
  <si>
    <t>DUITNOW QR- NG LEE MENG *</t>
  </si>
  <si>
    <t>MBB CT- SIA BEE TIAN *Fund transfer</t>
  </si>
  <si>
    <t>KELLY KEOW</t>
  </si>
  <si>
    <t>018-3134313 CHAN PHAIK KEOW *Kellykeow</t>
  </si>
  <si>
    <t>Bee Leng khor</t>
  </si>
  <si>
    <t>KHOR BEE LENG *KHOR BEE LENG</t>
  </si>
  <si>
    <t>Rainbow sister CHAN YOKE PENG *Venus Chan</t>
  </si>
  <si>
    <t>Bev Ho</t>
  </si>
  <si>
    <t>DUITNOW QR- HO MEI KWAN *</t>
  </si>
  <si>
    <t>Apple Loo</t>
  </si>
  <si>
    <t>DUITNOW QR- LOO WIN MING *</t>
  </si>
  <si>
    <t>KEOY SOO PENG *Keoy Soo Peng</t>
  </si>
  <si>
    <t>EVON SOON</t>
  </si>
  <si>
    <t>BANK ACC HOLDER SOONSOON MENG LI *FB EVON SOON C</t>
  </si>
  <si>
    <t>MBB CT- NG GUAT CHIN *Fund transfer</t>
  </si>
  <si>
    <t>MBB CT- WANG JOK KHENG *Chew Joka</t>
  </si>
  <si>
    <t>温秀风</t>
  </si>
  <si>
    <t>Peng Wongpohpeng</t>
  </si>
  <si>
    <t>DUITNOW QR- WONG POH PENG *</t>
  </si>
  <si>
    <t>Hair ALAN SIEW HEN JEY *Tan bp</t>
  </si>
  <si>
    <t>VERONICA WONG</t>
  </si>
  <si>
    <t>MBB CT- WONG YIM KWAN *veronica wong</t>
  </si>
  <si>
    <t>Doreen Ling</t>
  </si>
  <si>
    <t>DUITNOW QR- LIU YANTING MILLI *</t>
  </si>
  <si>
    <t>CHING MAY</t>
  </si>
  <si>
    <t>ching may CHING POH NIU *Bill payment</t>
  </si>
  <si>
    <t>Belinda Ng</t>
  </si>
  <si>
    <t>DUITNOW QR- NG BELINDA JIEWEN *</t>
  </si>
  <si>
    <t>惠婷</t>
  </si>
  <si>
    <t>MBB CT- YOUNG HUI TING *Huitingpaidrai</t>
  </si>
  <si>
    <t>CONNIE SIA</t>
  </si>
  <si>
    <t>Rebecca Ang</t>
  </si>
  <si>
    <t>DUITNOW QR- ANG SIEW KHUAN *</t>
  </si>
  <si>
    <t>RENNY TAY</t>
  </si>
  <si>
    <t>MBB CT- TAY MAY CHI *Renny</t>
  </si>
  <si>
    <t>MBB CT- KOH WAN YUN *Fund transfer</t>
  </si>
  <si>
    <t>DUITNOW QR- TAN GEOK THENG *</t>
  </si>
  <si>
    <t>Alex Chong Alex Chong</t>
  </si>
  <si>
    <t>INSTANT TRANSFER CHONG WOON LIEH *MEPS FUNDS TRA</t>
  </si>
  <si>
    <t>PHANG LAI KUAN</t>
  </si>
  <si>
    <t>MBB CT- LOH KAR MUN *Phang Lai Kuan</t>
  </si>
  <si>
    <t>ling.z GOH SIEW LAN *ling.zui</t>
  </si>
  <si>
    <t>FP9850202507079254 TEOW AI LING *joey teow</t>
  </si>
  <si>
    <t>XIAO LIAN</t>
  </si>
  <si>
    <t>DUITNOW QR- PANG XIAO LIAN *</t>
  </si>
  <si>
    <t>林瑞玉</t>
  </si>
  <si>
    <t>DUITNOW QR- LIM SOI GEET *</t>
  </si>
  <si>
    <t>Averil Chong</t>
  </si>
  <si>
    <t>MBB CT- CHONG MUI MUI *tart cherry</t>
  </si>
  <si>
    <t>LYNN YEW</t>
  </si>
  <si>
    <t>MBB CT- YEW KOOI HONG *Others</t>
  </si>
  <si>
    <t>MBB CT- LEE KIM LIAN *rainbow sister</t>
  </si>
  <si>
    <t>MBB CT- CHAN SWEE HOONG *payment</t>
  </si>
  <si>
    <t>Cindy Lee</t>
  </si>
  <si>
    <t>DUITNOW QR- LEE LAY SHIAN *</t>
  </si>
  <si>
    <t>MBB CT- LEE MAN KIN *Rose Koh</t>
  </si>
  <si>
    <t>DUITNOW QR- HANG SIEW KUAN *</t>
  </si>
  <si>
    <t>颖雪</t>
  </si>
  <si>
    <t>DUITNOW QR- LOH SAM MOI *</t>
  </si>
  <si>
    <t>SUKI CHONG</t>
  </si>
  <si>
    <t>DUITNOW QR- IVY CHEANG MAY MAY *</t>
  </si>
  <si>
    <t>CATHERINE OOI</t>
  </si>
  <si>
    <t>DUITNOW QR- OOI WAI PENG *</t>
  </si>
  <si>
    <t>Siewcheng Hooi</t>
  </si>
  <si>
    <t>DUITNOW QR- HOOI SIEW CHENG *</t>
  </si>
  <si>
    <t>LEE KIM TOH *Toh Lee</t>
  </si>
  <si>
    <t>久恩</t>
  </si>
  <si>
    <t>MBB CT- ANG XIN YING *from Ang xin y</t>
  </si>
  <si>
    <t>WONG ANGEL</t>
  </si>
  <si>
    <t>DUITNOW QR- WAY SOOK EE *</t>
  </si>
  <si>
    <t>Adeline Gan</t>
  </si>
  <si>
    <t>MBB CT- GAN DAY CHU *from Adeline</t>
  </si>
  <si>
    <t>DUITNOW QR- KEE HUNG HIE *</t>
  </si>
  <si>
    <t>Peipei Yan</t>
  </si>
  <si>
    <t>YAN PEI PEI *peipeiyan</t>
  </si>
  <si>
    <t>Ong Wei Wei</t>
  </si>
  <si>
    <t>MBB CT- ONG WEI WEI *Ong Wei Wei (0</t>
  </si>
  <si>
    <t>SKiaw Beh</t>
  </si>
  <si>
    <t>DUITNOW QR- BEH SOO KIAW *</t>
  </si>
  <si>
    <t>Angela Koh ('C' OrdeKOH KIM HWA *Angela Koh ('C</t>
  </si>
  <si>
    <t>MBB CT- KOH KIM HWA *Geva KH Purcha</t>
  </si>
  <si>
    <t>MBB CT- CHONG YEN TIN *A from Kelly C</t>
  </si>
  <si>
    <t xml:space="preserve">Shirley Tai
</t>
  </si>
  <si>
    <t>HSST070102885131 LOKE SAU CHUN IBG through AT</t>
  </si>
  <si>
    <t>刘晓娟</t>
  </si>
  <si>
    <t>MBB CT- LOW SHIOW CHIN *hello</t>
  </si>
  <si>
    <t>MBB CT- GAN KIAN SENG *thank you</t>
  </si>
  <si>
    <t>DUITNOW QR- LOH CHUE GEK *</t>
  </si>
  <si>
    <t>Shin Rong</t>
  </si>
  <si>
    <t>DUITNOW QR- GUN SHIN RONG *</t>
  </si>
  <si>
    <t>894626309Q *11112353992263</t>
  </si>
  <si>
    <t>MBB CT- WONG CHEW LING *chew ling</t>
  </si>
  <si>
    <t>Yee Chin Moi YEE CHIN MOI *Yee Chin Moi</t>
  </si>
  <si>
    <t>cindy kho KHO XIN NEE *Fund transfer</t>
  </si>
  <si>
    <t>K GOH SIEW LAN *caihongluagge(</t>
  </si>
  <si>
    <t>Joann Loh</t>
  </si>
  <si>
    <t>MBB CT- LOH SIEW YANN *from Joann</t>
  </si>
  <si>
    <t>DUITNOW QR- EWE TEONG WAI *</t>
  </si>
  <si>
    <t>MAYWANG MAYWANG WANG</t>
  </si>
  <si>
    <t>DUITNOW QR- WANG SAW HUN *</t>
  </si>
  <si>
    <t>DUITNOW QR- GOH LEE CHIN *</t>
  </si>
  <si>
    <t>MANDY LEONG</t>
  </si>
  <si>
    <t>DUITNOW QR- LEONG MAN LOOI *</t>
  </si>
  <si>
    <t>Bee Huay Goh</t>
  </si>
  <si>
    <t>DUITNOW QR- GOH BEE HUAY *</t>
  </si>
  <si>
    <t>DUITNOW QR- NG CHEN LAI *</t>
  </si>
  <si>
    <t>ShirLey Lee</t>
  </si>
  <si>
    <t>LEE SUET LAI *Shirley Lee</t>
  </si>
  <si>
    <t>MBB CT- LEE XUE CEN *Fund Transfer</t>
  </si>
  <si>
    <t>Candy Lee</t>
  </si>
  <si>
    <t>MBB CT- KHOO KER SIN *candylee</t>
  </si>
  <si>
    <t>Teoh lay li</t>
  </si>
  <si>
    <t>MBB CT- TEOH LAY LI *Fund transfer</t>
  </si>
  <si>
    <t>Chai Yin</t>
  </si>
  <si>
    <t>DUITNOW QR- ENG CHAI YIN *</t>
  </si>
  <si>
    <t>Angel Kong</t>
  </si>
  <si>
    <t>MBB CT- KONG KAI LING *from Angel</t>
  </si>
  <si>
    <t>Shirley Soh</t>
  </si>
  <si>
    <t>SOH SHIAU TEIN *shirley soh</t>
  </si>
  <si>
    <t>Pameline Mah</t>
  </si>
  <si>
    <t>2 items MAH LAI LING *Rainbow sister</t>
  </si>
  <si>
    <t>MBB CT- PANG LEE YONG / *ROSEMARIE PANG</t>
  </si>
  <si>
    <t>DUITNOW QR- LAI SOO FAH *</t>
  </si>
  <si>
    <t>SALLY NG</t>
  </si>
  <si>
    <t>DUITNOW QR- YAP SAW YONG *</t>
  </si>
  <si>
    <t>MBB CT- LIM KING KING *Fund Transfer</t>
  </si>
  <si>
    <t>2140/POSTAL AND COURISABELLE LEE YUN LI /ROC/MB7560168</t>
  </si>
  <si>
    <t>2140/POSTAL AND COURISABELLE LEE YUN LI /ROC/MB7558672</t>
  </si>
  <si>
    <t>Lau See Keow
Elin Lim</t>
  </si>
  <si>
    <t>LAU SEE KEOW *PAY</t>
  </si>
  <si>
    <t>Rae Toh</t>
  </si>
  <si>
    <t>DUITNOW QR- TOH KIAN FAH *</t>
  </si>
  <si>
    <t>DUITNOW QR- WONG SHIAU CHING *</t>
  </si>
  <si>
    <t>Callie Chan</t>
  </si>
  <si>
    <t>CHAN YIN CHING *Callie Chan</t>
  </si>
  <si>
    <t>EVELYN LIEU</t>
  </si>
  <si>
    <t>MBB CT- LOW HUI YING *Fund transfer</t>
  </si>
  <si>
    <t>FION LQY</t>
  </si>
  <si>
    <t>LIM QENG YIE *fion lqy</t>
  </si>
  <si>
    <t>MBB CT- KANG CHIEW WEN *Fund Transfer</t>
  </si>
  <si>
    <t>JACLYN LAI</t>
  </si>
  <si>
    <t>MBB CT- LAI MING CHIA *FB-jaclynLai01</t>
  </si>
  <si>
    <t>Lim Cyndear</t>
  </si>
  <si>
    <t>lim cyndear LIM SIEW CHU *Fund transfer</t>
  </si>
  <si>
    <t>Cindy Khen</t>
  </si>
  <si>
    <t>DUITNOW QR- KHEN EE PING *</t>
  </si>
  <si>
    <t>YIM SOOI SENG/YIM S*Lim vee kuann</t>
  </si>
  <si>
    <t>Koh Wei Mun</t>
  </si>
  <si>
    <t>MBB CT- KOH WEI MUN *thank you</t>
  </si>
  <si>
    <t>DUITNOW QR- TEE GEOK LUAN *</t>
  </si>
  <si>
    <t>Jessie Fong</t>
  </si>
  <si>
    <t>INSTANT TRANSFER FOONG CHOY PHING *MEPS FUNDS TRA</t>
  </si>
  <si>
    <t>FIONA YEO</t>
  </si>
  <si>
    <t>DUITNOW QR- YEO CHIN FUANG *</t>
  </si>
  <si>
    <t>GAN HWEE HWEE *GAN HWEE HWEE</t>
  </si>
  <si>
    <t>Nicole Chin</t>
  </si>
  <si>
    <t>0103110004 CHIN SIEW AI *nicolechin</t>
  </si>
  <si>
    <t>U KEOW FONG</t>
  </si>
  <si>
    <t>DUITNOW QR- U KEOW FONG *</t>
  </si>
  <si>
    <t>1210/GIFTS TO INDIVISHIM SIEW TIN /ROC/MB7557414</t>
  </si>
  <si>
    <t>HARMONY CHONG</t>
  </si>
  <si>
    <t>Harmony Chong WONG SEOK PING *Fund transfer</t>
  </si>
  <si>
    <t>NG WAN JING *Miko</t>
  </si>
  <si>
    <t>O MEGGIE LIM</t>
  </si>
  <si>
    <t>Omeggie Lim MEGGIE LIM *Omeggie Lim</t>
  </si>
  <si>
    <t>Karine Vvi</t>
  </si>
  <si>
    <t>WI GEOK PENG *Karine Vvi</t>
  </si>
  <si>
    <t>Lisa Goh</t>
  </si>
  <si>
    <t>MBB CT- GOH CHENG PIN *from Lisa</t>
  </si>
  <si>
    <t>Cheng June</t>
  </si>
  <si>
    <t>MBB CT- CHAN SIEW MEI *cheng june</t>
  </si>
  <si>
    <t>TP Lee</t>
  </si>
  <si>
    <t>MBB CT- LEE TECK PUN *Bill payment</t>
  </si>
  <si>
    <t>Xuen Wong</t>
  </si>
  <si>
    <t>Fee FIONA WONG JAY XUEN*Wong jay xuen</t>
  </si>
  <si>
    <t>IVY IVY</t>
  </si>
  <si>
    <t>DUITNOW QR- YONG SAU LAN *</t>
  </si>
  <si>
    <t xml:space="preserve">Kiling Ang
</t>
  </si>
  <si>
    <t>DUITNOW QR- ANG KI LING *</t>
  </si>
  <si>
    <t>0126026203 YONG SIEW MOI *May Yong</t>
  </si>
  <si>
    <t>KELULUT TRACY</t>
  </si>
  <si>
    <t>MBB CT- TAI HUI CHING *Fund Transfer</t>
  </si>
  <si>
    <t>Payment LAI CHOY PENG (MS) *Penny Lai</t>
  </si>
  <si>
    <t>A section KUOK CHOE SHEONG / *Kuok Soon Sheo</t>
  </si>
  <si>
    <t>MBB CT- WONG SOK WAI *from Tiffany</t>
  </si>
  <si>
    <t xml:space="preserve">Anna Koh
</t>
  </si>
  <si>
    <t>DUITNOW QR- KOH BOON LING @ ARI*</t>
  </si>
  <si>
    <t>E Live OOI WAN YING *Ooi Wan Ying</t>
  </si>
  <si>
    <t>May Chee</t>
  </si>
  <si>
    <t>MBB CT- CHEE CHOY LEAN *Fund transfer</t>
  </si>
  <si>
    <t>Keonghilary Ngo</t>
  </si>
  <si>
    <t>MBB CT- NG KAM KEONG *from Luu Ly Ho</t>
  </si>
  <si>
    <t>KWONG PHEK SAN *Pheksan</t>
  </si>
  <si>
    <t>Ting Leh Sing</t>
  </si>
  <si>
    <t>MBB CT- LIEW MUN YEE *Mun Yee</t>
  </si>
  <si>
    <t>Jessica LOW</t>
  </si>
  <si>
    <t>MBB CT- Wise Payments Malay*TW1460340112 L</t>
  </si>
  <si>
    <t>VIVIAN RC</t>
  </si>
  <si>
    <t>Vivian Rc shipping fLEE SZU WEI *Fund Transfer</t>
  </si>
  <si>
    <t>LEE HARMIE</t>
  </si>
  <si>
    <t>F-A 1208-1508 lee xiLEE MIE HAR *lee mie har</t>
  </si>
  <si>
    <t>jo D- Mall LAI HUA CHING *Fund transfer</t>
  </si>
  <si>
    <t>DUITNOW QR- KONG LEE AI *</t>
  </si>
  <si>
    <t>DUITNOW QR- SOO LAI SEE *</t>
  </si>
  <si>
    <t>MBB CT- ALBB ENTERPRISE *from Alice</t>
  </si>
  <si>
    <t>Mei Lee</t>
  </si>
  <si>
    <t>MBB CT- LEE CHOI MEI *Fund transfer</t>
  </si>
  <si>
    <t>MAY ER</t>
  </si>
  <si>
    <t>DUITNOW QR- Er Chin Bee *</t>
  </si>
  <si>
    <t>BBL LEE</t>
  </si>
  <si>
    <t>LING</t>
  </si>
  <si>
    <t>Lim Chiou Luan *Ling</t>
  </si>
  <si>
    <t>FONG MEI LING *FML</t>
  </si>
  <si>
    <t>CHEE PEI TING *Tingchee</t>
  </si>
  <si>
    <t>Michelle Ngai</t>
  </si>
  <si>
    <t>MBB CT- NGAI BEE YEA *MichelleNgai_r</t>
  </si>
  <si>
    <t>Tan Alrisa</t>
  </si>
  <si>
    <t>DUITNOW QR- ALRISA TAN CHUN LIN*</t>
  </si>
  <si>
    <t>Florence Och</t>
  </si>
  <si>
    <t>MBB CT- ONG CHOY HUA *Florence OCH</t>
  </si>
  <si>
    <t>MBB CT- FOONG CHOY PHING *Fund transfer</t>
  </si>
  <si>
    <t>MBB CT- TAN WEI EN *lee guat kim</t>
  </si>
  <si>
    <t>MEIMEI YEE</t>
  </si>
  <si>
    <t>YEE LEE DING *Meimei yee</t>
  </si>
  <si>
    <t>DUITNOW QR- Too Li May *</t>
  </si>
  <si>
    <t>MBB CT- TEN WAI LOON *Rainbow</t>
  </si>
  <si>
    <t>Marry Chong</t>
  </si>
  <si>
    <t>JENNY CHONG SIEW CHIN</t>
  </si>
  <si>
    <t>home style CHONG SIEW CHIN *Fund transfer</t>
  </si>
  <si>
    <t>YILEEN KANG</t>
  </si>
  <si>
    <t>YILEEN KANG KANG YI LING *YILEEN KANG</t>
  </si>
  <si>
    <t>celestine lai LAI TENG MUN *celestine lai</t>
  </si>
  <si>
    <t>Coco rainbow LOH HONG CHOO *Loh hong Choo</t>
  </si>
  <si>
    <t>Sephine LCY</t>
  </si>
  <si>
    <t>LIM CHUI YEE *Sephine LCY</t>
  </si>
  <si>
    <t>赖惠娟</t>
  </si>
  <si>
    <t>DUITNOW QR- LAI WAI KUEN *</t>
  </si>
  <si>
    <t>LAW MAY MAY LAW</t>
  </si>
  <si>
    <t>Teyo Sock Sin TEYO SOCK SIN *Sent from AmOn</t>
  </si>
  <si>
    <t>FT CHAN</t>
  </si>
  <si>
    <t>Payment CHANCOL BISWAS *Sent from AmOn</t>
  </si>
  <si>
    <t>Lee Pey Wen</t>
  </si>
  <si>
    <t>MBB CT- LEE PEY WEN *lee pey wen</t>
  </si>
  <si>
    <t>MBB CT- KOO BEE CHIN *Fund Transfer</t>
  </si>
  <si>
    <t>FUN SIAU HOR</t>
  </si>
  <si>
    <t>HOR FUN SIAU *Hor Fun Siau</t>
  </si>
  <si>
    <t>MBB CT- GOH CHUI YAN *Fund transfer</t>
  </si>
  <si>
    <t>DUITNOW QR- SENG LEE SIM *</t>
  </si>
  <si>
    <t>谭美珍</t>
  </si>
  <si>
    <t>DUITNOW QR- TAM MUI CHERN *</t>
  </si>
  <si>
    <t>DUITNOW QR- TAN SHU HUI *</t>
  </si>
  <si>
    <t>Rainbow Sis V/W ThaiTEH SIEW CHOO *Sheila Teh</t>
  </si>
  <si>
    <t>MBB CT- MAH KIM LOO *may mah</t>
  </si>
  <si>
    <t>Transport fee LOW FOONG MEE *Foong Mee Low</t>
  </si>
  <si>
    <t>YI CHIAN TEH</t>
  </si>
  <si>
    <t>DUITNOW QR- YONG YEE WAN *</t>
  </si>
  <si>
    <t>MANDY LAW</t>
  </si>
  <si>
    <t>JENNIFER THAI</t>
  </si>
  <si>
    <t>MBB CT- THAI SIA YUN *from Ms Thai</t>
  </si>
  <si>
    <t>Fanniss Chia</t>
  </si>
  <si>
    <t>DUITNOW QR- CHIA CHEONG HEOK *</t>
  </si>
  <si>
    <t>BENBEN WOO</t>
  </si>
  <si>
    <t>MBB CT- LIM HUEI VOON *ben Ben woo</t>
  </si>
  <si>
    <t>张 秀英</t>
  </si>
  <si>
    <t>DUITNOW QR- CHONG SIEW CHIN *</t>
  </si>
  <si>
    <t>JOANNE CHONG</t>
  </si>
  <si>
    <t>CHONG SEAT FONG *Chong Seat Fon</t>
  </si>
  <si>
    <t>MBB CT- NG LEI KON *rainbow sister</t>
  </si>
  <si>
    <t>MBB CT- CHENG SHEAU LING *rainbow</t>
  </si>
  <si>
    <t>DUITNOW QR- LOCK SIEW HIONG *</t>
  </si>
  <si>
    <t>MANDY MOH</t>
  </si>
  <si>
    <t>MBB CT- MOH HUI JUAN *Mandy Moh</t>
  </si>
  <si>
    <t>DUITNOW QR- HONG SIEW BOE *</t>
  </si>
  <si>
    <t>Vivian Ang</t>
  </si>
  <si>
    <t>INSTANT TRANSFER YAP LAY HOON *MEPS FUNDS TRA</t>
  </si>
  <si>
    <t>gan GAN YI UUN *gan</t>
  </si>
  <si>
    <t>MBB CT- SIAU MEI LING *Fund transfer</t>
  </si>
  <si>
    <t>JY Live TAN SAIK BEE *ANN TAN SAIK B</t>
  </si>
  <si>
    <t xml:space="preserve">Qx Choong
</t>
  </si>
  <si>
    <t>panty CHAN OOI SIN *qxCHOONG</t>
  </si>
  <si>
    <t>BEE SIM CHNG</t>
  </si>
  <si>
    <t>CHEW EE LING *chng bee sim</t>
  </si>
  <si>
    <t>MBB CT- CHAN CHEN LING *Thai China(Cha</t>
  </si>
  <si>
    <t>Thalia Donation LIM SOOK FONG *Rainbow sister</t>
  </si>
  <si>
    <t>Vivian Ng</t>
  </si>
  <si>
    <t>MANDY LEE</t>
  </si>
  <si>
    <t>DUITNOW QR- CHIA CHEONG HEOK</t>
  </si>
  <si>
    <t>MBB CT- WANNA A/P EBAV *Bach 31/7</t>
  </si>
  <si>
    <t>Patricia Lam</t>
  </si>
  <si>
    <t>MBB CT- LAM LAI FUN *Patricia Lam</t>
  </si>
  <si>
    <t>Blu Lemon</t>
  </si>
  <si>
    <t>751941095Q *11112451236106</t>
  </si>
  <si>
    <t>DORIS YAP</t>
  </si>
  <si>
    <t>MBB CT- YAP SIEW PHONG *from Doris yap</t>
  </si>
  <si>
    <t>Niki Fong</t>
  </si>
  <si>
    <t>Niki Fong FONG LAI YEN *Fund Transfer</t>
  </si>
  <si>
    <t>Kwai Ng</t>
  </si>
  <si>
    <t>NG KWAI KHUM *transport</t>
  </si>
  <si>
    <t>VIVIAN TOH</t>
  </si>
  <si>
    <t>TOH FUI NIL *FB:Vivian Toh</t>
  </si>
  <si>
    <t>cloth LAI CHOY PENG (MS) *penny Lai</t>
  </si>
  <si>
    <t>MBB CT- TAN PEK FUEN *janny</t>
  </si>
  <si>
    <t>0167435786 CHIA MEI YUEN *Molly chia</t>
  </si>
  <si>
    <t>JENNY QU</t>
  </si>
  <si>
    <t>MBB CT- MOE SABAI *Sent from AmOn</t>
  </si>
  <si>
    <t>Coco4Aug CINDY NG IMEI *Imei NG</t>
  </si>
  <si>
    <t>DUITNOW QR- YAP SER HEN *</t>
  </si>
  <si>
    <t>LA-MAX GENNICE</t>
  </si>
  <si>
    <t>DUITNOW QR- WOON POH CHIN *</t>
  </si>
  <si>
    <t>May Woon</t>
  </si>
  <si>
    <t>MBB CT- WOON SUK MAY *MAY WOON</t>
  </si>
  <si>
    <t>Laipingwong WONG LAI PING *Laipingwong</t>
  </si>
  <si>
    <t>MBB CT- NG YOKE MOOI *Fund Transfer</t>
  </si>
  <si>
    <t>kahhow CHUA KAH HOW *kahhow</t>
  </si>
  <si>
    <t>MBB CT- LEE SIEW POH *Goods</t>
  </si>
  <si>
    <t>Lina Por</t>
  </si>
  <si>
    <t>POR LAY TIN *Lina Por</t>
  </si>
  <si>
    <t>CE CHIA</t>
  </si>
  <si>
    <t>TAN HUI QI *tan</t>
  </si>
  <si>
    <t>GB SOO REBECCA</t>
  </si>
  <si>
    <t>SOO GEOK BEE *GB Soo Rebecca</t>
  </si>
  <si>
    <t>MBB CT- CHONG SUET TING *Fund transfer</t>
  </si>
  <si>
    <t>DUITNOW QR- TAN CHOOI HUANG *</t>
  </si>
  <si>
    <t>Kok Seng Yap</t>
  </si>
  <si>
    <t>YAP KOK SIN *6868</t>
  </si>
  <si>
    <t>DUITNOW QR- TEE YOKE HUA *</t>
  </si>
  <si>
    <t>S China 6.0 WOON POH CHIN *La Max Gennice</t>
  </si>
  <si>
    <t>coco GOH SIEW LAN *coco</t>
  </si>
  <si>
    <t>彭蜜蜜</t>
  </si>
  <si>
    <t>DUITNOW QR- BEH TIONG YAW *</t>
  </si>
  <si>
    <t>Bobo Tpk</t>
  </si>
  <si>
    <t>0122153655 TAN POH KIUM *Bobo Tpk</t>
  </si>
  <si>
    <t>CHOOI YEE</t>
  </si>
  <si>
    <t>MBB CT- KEH CHOOI YEE *Chooi yee</t>
  </si>
  <si>
    <t>Ly Fun</t>
  </si>
  <si>
    <t>DUITNOW QR- FUN SIEW LAN *</t>
  </si>
  <si>
    <t>Adda Moon</t>
  </si>
  <si>
    <t>DUITNOW QR- WOO SAI YENG *</t>
  </si>
  <si>
    <t>SUSAN ER</t>
  </si>
  <si>
    <t>china daigou ER PUAY SAN *Susan Er</t>
  </si>
  <si>
    <t>Li Ong</t>
  </si>
  <si>
    <t>Rainbowsistergrp CHEONG TAT YOON *ONG Yong li</t>
  </si>
  <si>
    <t>Shirley Lee</t>
  </si>
  <si>
    <t>Shirley Lee TAI FOOK WEI *Sent from AmOn</t>
  </si>
  <si>
    <t>Cheah Ching Wung</t>
  </si>
  <si>
    <t>MBB CT- CHEAH CHING WUNG *Fund Transfer</t>
  </si>
  <si>
    <t>燕玲黄</t>
  </si>
  <si>
    <t>MBB CT- WONG YEN LENG *Fund Transfer</t>
  </si>
  <si>
    <t>JANE LIM</t>
  </si>
  <si>
    <t xml:space="preserve">Sophia Low
</t>
  </si>
  <si>
    <t>DUITNOW QR- LOW SIOW FEI *</t>
  </si>
  <si>
    <t>ANNE AYC</t>
  </si>
  <si>
    <t>DUITNOW QR- ANG YEN CHING *</t>
  </si>
  <si>
    <t>Belinda Lkf</t>
  </si>
  <si>
    <t>MBB CT- LOH KIM FOONG *Fund Transfer</t>
  </si>
  <si>
    <t xml:space="preserve">Elis Wong 
</t>
  </si>
  <si>
    <t>DUITNOW QR- WONG SOK MOI *</t>
  </si>
  <si>
    <t xml:space="preserve">Sylvia Khor 
</t>
  </si>
  <si>
    <t>DUITNOW QR- KHOR SEOK KHIM *</t>
  </si>
  <si>
    <t>Mikki Ong</t>
  </si>
  <si>
    <t>ONG BEE LEE FUND TRANSFER</t>
  </si>
  <si>
    <t>HNg Gim</t>
  </si>
  <si>
    <t>MBB CT- HNG CHENG GIM *Fund Transfer</t>
  </si>
  <si>
    <t>Tan Kim Hong</t>
  </si>
  <si>
    <t>DUITNOW QR- TAN KIM HONG *</t>
  </si>
  <si>
    <t>CHOK LULU</t>
  </si>
  <si>
    <t>MBB CT- CHOK CHU MOI *Choklulu</t>
  </si>
  <si>
    <t>chin meilan</t>
  </si>
  <si>
    <t>MBB CT- CHIN MUI LAN *Chin Mei Lan</t>
  </si>
  <si>
    <t>Rainbow LOW BOON TUAN *LowBt</t>
  </si>
  <si>
    <t>DUITNOW QR- MIOW EI CHEN *</t>
  </si>
  <si>
    <t>DUITNOW QR- LIAN KAH CHENG *</t>
  </si>
  <si>
    <t>Fenny Lai</t>
  </si>
  <si>
    <t>DUITNOW QR- LAI SEOK FUN *</t>
  </si>
  <si>
    <t>Lee Harmie</t>
  </si>
  <si>
    <t>F-B 3009-0410 lee xiLEE MIE HAR *lee mie har</t>
  </si>
  <si>
    <t>Sally Soo</t>
  </si>
  <si>
    <t>SOO KAM NANG *Sally Soo</t>
  </si>
  <si>
    <t>Yoke Foong</t>
  </si>
  <si>
    <t>DUITNOW QR- SOON YOKE FOONG *</t>
  </si>
  <si>
    <t>SAI FAY LEE</t>
  </si>
  <si>
    <t>DUITNOW QR- CHAN SYIN GEE *</t>
  </si>
  <si>
    <t>JOYCE LEE</t>
  </si>
  <si>
    <t>MBB CT- LEE CHEE KUAN *rainbow</t>
  </si>
  <si>
    <t>SALLY TAN II</t>
  </si>
  <si>
    <t>Rhou TAN SZE RHOU *Rhou</t>
  </si>
  <si>
    <t>KAREN GOH</t>
  </si>
  <si>
    <t>daigou GOH SIEW LAN *daigou</t>
  </si>
  <si>
    <t>NICEGIRL CHOW</t>
  </si>
  <si>
    <t>2140/POSTAL AND COURISABELLE LEE YUN LI /ROC/MB7647688</t>
  </si>
  <si>
    <t>2025-11-07</t>
  </si>
  <si>
    <t>PVPBB-2511-143</t>
  </si>
  <si>
    <t>-</t>
  </si>
  <si>
    <t>LR</t>
  </si>
  <si>
    <t>RWS</t>
  </si>
  <si>
    <t>2025-10-28</t>
  </si>
  <si>
    <t>PVPBB-2510-168</t>
  </si>
  <si>
    <t>2025-10-09</t>
  </si>
  <si>
    <t>PVPBB-2510-041</t>
  </si>
  <si>
    <t>2025-10-01</t>
  </si>
  <si>
    <t>PVPBB-2510-013</t>
  </si>
  <si>
    <t>2026-05-06</t>
  </si>
  <si>
    <t>PVPBB-2605-0350</t>
  </si>
  <si>
    <t>2025-10-31</t>
  </si>
  <si>
    <t>PVPBB-2510-192</t>
  </si>
  <si>
    <t>2025-09-04</t>
  </si>
  <si>
    <t>PVPBB-2509-021</t>
  </si>
  <si>
    <t>2025-11-03</t>
  </si>
  <si>
    <t>PVPBB-2511-045</t>
  </si>
  <si>
    <t>PVPBB-2511-042</t>
  </si>
  <si>
    <t>2026-04-29</t>
  </si>
  <si>
    <t>PVPBB-2604-1570</t>
  </si>
  <si>
    <t>2025-11-14</t>
  </si>
  <si>
    <t>PVPBB-2511-303</t>
  </si>
  <si>
    <t>PVPBB-2511-044</t>
  </si>
  <si>
    <t>2025-11-05</t>
  </si>
  <si>
    <t>PVPBB-2511-079</t>
  </si>
  <si>
    <t>PVPBB-2510-191</t>
  </si>
  <si>
    <t>2025-12-05</t>
  </si>
  <si>
    <t>PVPBB-2512-110</t>
  </si>
  <si>
    <t>2025-10-27</t>
  </si>
  <si>
    <t>PVPBB-2510-151</t>
  </si>
  <si>
    <t>2025-12-03</t>
  </si>
  <si>
    <t>PVPBB-2512-066</t>
  </si>
  <si>
    <t>PVPBB-2510-150</t>
  </si>
  <si>
    <t>2025-10-22</t>
  </si>
  <si>
    <t>PVPBB-2510-120</t>
  </si>
  <si>
    <t>PVPBB-2510-164</t>
  </si>
  <si>
    <t>2025-12-01</t>
  </si>
  <si>
    <t>PVPBB-2512-039</t>
  </si>
  <si>
    <t>PVPBB-2511-043</t>
  </si>
  <si>
    <t>PVPBB-2510-162</t>
  </si>
  <si>
    <t>PVPBB-2511-037</t>
  </si>
  <si>
    <t>PVPBB-2510-118</t>
  </si>
  <si>
    <t>2025-10-15</t>
  </si>
  <si>
    <t>PVPBB-2510-057</t>
  </si>
  <si>
    <t>PVPBB-2510-125</t>
  </si>
  <si>
    <t>PVPBB-2510-060</t>
  </si>
  <si>
    <t>2026-03-31</t>
  </si>
  <si>
    <t>PVPBB-2603-1883A</t>
  </si>
  <si>
    <t>PVPBB-2605-0359</t>
  </si>
  <si>
    <t>PVPBB-2510-042</t>
  </si>
  <si>
    <t>PVPBB-2510-043</t>
  </si>
  <si>
    <t>2026-01-23</t>
  </si>
  <si>
    <t>PVPBB-2601-557</t>
  </si>
  <si>
    <t>2026-01-14</t>
  </si>
  <si>
    <t>PVPBB-2601-396</t>
  </si>
  <si>
    <t>2026-01-08</t>
  </si>
  <si>
    <t>PVPBB-2601-199</t>
  </si>
  <si>
    <t>PVPBB-2605-0351</t>
  </si>
  <si>
    <t>2025-12-15</t>
  </si>
  <si>
    <t>PVPBB-2512-302</t>
  </si>
  <si>
    <t>2025-12-26</t>
  </si>
  <si>
    <t>PVPBB-2512-738</t>
  </si>
  <si>
    <t>2025-11-27</t>
  </si>
  <si>
    <t>PVPBB-2511-415</t>
  </si>
  <si>
    <t>2026-01-10</t>
  </si>
  <si>
    <t>PVPBB-2601-321</t>
  </si>
  <si>
    <t>PVPBB-2601-267</t>
  </si>
  <si>
    <t>PVPBB-2511-413</t>
  </si>
  <si>
    <t>2025-12-17</t>
  </si>
  <si>
    <t>PVPBB-2512-382</t>
  </si>
  <si>
    <t>PVPBB-2601-212</t>
  </si>
  <si>
    <t>2025-12-22</t>
  </si>
  <si>
    <t>PVPBB-2512-545</t>
  </si>
  <si>
    <t>PVPBB-2601-324</t>
  </si>
  <si>
    <t>PVPBB-2601-214</t>
  </si>
  <si>
    <t>2025-11-22</t>
  </si>
  <si>
    <t>PVPBB-2511-393</t>
  </si>
  <si>
    <t>PVPBB-2601-399</t>
  </si>
  <si>
    <t>PVPBB-2511-398</t>
  </si>
  <si>
    <t>PVPBB-2511-399</t>
  </si>
  <si>
    <t>PVPBB-2512-593</t>
  </si>
  <si>
    <t>PVPBB-2511-397</t>
  </si>
  <si>
    <t>PVPBB-2511-336</t>
  </si>
  <si>
    <t>PVPBB-2511-331</t>
  </si>
  <si>
    <t>PVPBB-2511-335</t>
  </si>
  <si>
    <t>PVPBB-2511-394</t>
  </si>
  <si>
    <t>PVPBB-2511-334</t>
  </si>
  <si>
    <t>2025-11-11</t>
  </si>
  <si>
    <t>PVPBB-2511-247</t>
  </si>
  <si>
    <t>PVPBB-2512-057</t>
  </si>
  <si>
    <t>PVPBB-2511-237</t>
  </si>
  <si>
    <t>PVPBB-2511-332</t>
  </si>
  <si>
    <t>PVPBB-2511-273</t>
  </si>
  <si>
    <t>PVPBB-2512-109</t>
  </si>
  <si>
    <t>PVPBB-2511-333</t>
  </si>
  <si>
    <t>2025-11-10</t>
  </si>
  <si>
    <t>PVPBB-2511-183</t>
  </si>
  <si>
    <t>PVPBB-2511-142</t>
  </si>
  <si>
    <t>PVPBB-2511-081</t>
  </si>
  <si>
    <t>2026-03-12</t>
  </si>
  <si>
    <t>PVPBB-2603-0756</t>
  </si>
  <si>
    <t>PVPBB-2601-311</t>
  </si>
  <si>
    <t>2026-03-14</t>
  </si>
  <si>
    <t>PVPBB-2603-0846</t>
  </si>
  <si>
    <t>2026-01-20</t>
  </si>
  <si>
    <t>PVPBB-2601-461</t>
  </si>
  <si>
    <t>PVPBB-2601-213</t>
  </si>
  <si>
    <t>2026-03-18</t>
  </si>
  <si>
    <t>PVPBB-2603-1051</t>
  </si>
  <si>
    <t>PVPBB-2603-0854</t>
  </si>
  <si>
    <t>PVPBB-2603-0853</t>
  </si>
  <si>
    <t>2026-02-27</t>
  </si>
  <si>
    <t>PVPBB-2602-862</t>
  </si>
  <si>
    <t>PVPBB-2601-319</t>
  </si>
  <si>
    <t>PVPBB-2603-0838</t>
  </si>
  <si>
    <t>PVPBB-2603-0857</t>
  </si>
  <si>
    <t>PVPBB-2603-0805</t>
  </si>
  <si>
    <t>PVPBB-2603-1860</t>
  </si>
  <si>
    <t>PVPBB-2603-0848</t>
  </si>
  <si>
    <t>2026-02-25</t>
  </si>
  <si>
    <t>PVPBB-2602-602</t>
  </si>
  <si>
    <t>PVPBB-2603-0842</t>
  </si>
  <si>
    <t>PVPBB-2602-866</t>
  </si>
  <si>
    <t>PVPBB-2603-0856</t>
  </si>
  <si>
    <t>PVPBB-2601-330</t>
  </si>
  <si>
    <t>PVPBB-2602-842</t>
  </si>
  <si>
    <t>PVPBB-2603-1042</t>
  </si>
  <si>
    <t>PVPBB-2603-0831</t>
  </si>
  <si>
    <t>PVPBB-2603-0849</t>
  </si>
  <si>
    <t>PVPBB-2601-210</t>
  </si>
  <si>
    <t>PVPBB-2603-0851</t>
  </si>
  <si>
    <t>PVPBB-2603-1880</t>
  </si>
  <si>
    <t>2025-12-30</t>
  </si>
  <si>
    <t>PVPBB-2601-116</t>
  </si>
  <si>
    <t>PVPBB-2603-0847</t>
  </si>
  <si>
    <t>PVPBB-2601-385</t>
  </si>
  <si>
    <t>PVPBB-2603-0841</t>
  </si>
  <si>
    <t>PVPBB-2603-0858</t>
  </si>
  <si>
    <t>PVPBB-2603-0835</t>
  </si>
  <si>
    <t>PVPBB-2603-0852</t>
  </si>
  <si>
    <t>PVPBB-2512-578</t>
  </si>
  <si>
    <t>PVPBB-2512-595</t>
  </si>
  <si>
    <t>PVPBB-2602-609</t>
  </si>
  <si>
    <t>PVPBB-2512-597</t>
  </si>
  <si>
    <t>PVPBB-2512-387</t>
  </si>
  <si>
    <t>PVPBB-2512-386</t>
  </si>
  <si>
    <t>PVPBB-2601-209</t>
  </si>
  <si>
    <t>2026-03-19</t>
  </si>
  <si>
    <t>PVPBB-2603-1144</t>
  </si>
  <si>
    <t>PVPBB-2603-1033</t>
  </si>
  <si>
    <t>PVPBB-2512-553</t>
  </si>
  <si>
    <t>2026-05-11</t>
  </si>
  <si>
    <t>PVPBB-2605-0609</t>
  </si>
  <si>
    <t>MX</t>
  </si>
  <si>
    <t>PVPBB-2603-1021</t>
  </si>
  <si>
    <t>PVPBB-2603-0860</t>
  </si>
  <si>
    <t>2026-04-08</t>
  </si>
  <si>
    <t>PVPBB-2604-0435</t>
  </si>
  <si>
    <t>PVPBB-2603-0825</t>
  </si>
  <si>
    <t>PVPBB-2603-0816</t>
  </si>
  <si>
    <t>PVPBB-2512-548</t>
  </si>
  <si>
    <t>2025-12-11</t>
  </si>
  <si>
    <t>PVPBB-2512-202</t>
  </si>
  <si>
    <t>PVPBB-2603-0840</t>
  </si>
  <si>
    <t>2026-04-17</t>
  </si>
  <si>
    <t>PVPBB-2604-1047</t>
  </si>
  <si>
    <t>PVPBB-2512-251</t>
  </si>
  <si>
    <t>PVPBB-2603-0836</t>
  </si>
  <si>
    <t>2025-12-09</t>
  </si>
  <si>
    <t>PVPBB-2512-150</t>
  </si>
  <si>
    <t>PVPBB-2512-748</t>
  </si>
  <si>
    <t>PVPBB-2512-200</t>
  </si>
  <si>
    <t>PVPBB-2603-0824</t>
  </si>
  <si>
    <t>PVPBB-2512-159</t>
  </si>
  <si>
    <t>PVPBB-2601-297</t>
  </si>
  <si>
    <t>PVPBB-2603-0830</t>
  </si>
  <si>
    <t>2026-04-06</t>
  </si>
  <si>
    <t>PVPBB-2604-0188</t>
  </si>
  <si>
    <t>XN</t>
  </si>
  <si>
    <t>2026-03-30</t>
  </si>
  <si>
    <t>PVPBB-2603-1659</t>
  </si>
  <si>
    <t>PVPBB-2603-0855</t>
  </si>
  <si>
    <t>PVPBB-2603-0850</t>
  </si>
  <si>
    <t>2026-04-02</t>
  </si>
  <si>
    <t>PVPBB-2604-0108</t>
  </si>
  <si>
    <t>PVPBB-2604-0103</t>
  </si>
  <si>
    <t>PVPBB-2602-857</t>
  </si>
  <si>
    <t>2026-04-01</t>
  </si>
  <si>
    <t>PVPBB-2604-0032</t>
  </si>
  <si>
    <t>PVPBB-2604-0047</t>
  </si>
  <si>
    <t>JOYCE</t>
  </si>
  <si>
    <t>PVPBB-2604-0057</t>
  </si>
  <si>
    <t>PVPBB-2604-0112</t>
  </si>
  <si>
    <t>PVPBB-2604-0193</t>
  </si>
  <si>
    <t>2026-03-06</t>
  </si>
  <si>
    <t>PVPBB-2603-0371</t>
  </si>
  <si>
    <t>PVPBB-2604-0441</t>
  </si>
  <si>
    <t>PVPBB-2604-0107</t>
  </si>
  <si>
    <t>PVPBB-2603-0376</t>
  </si>
  <si>
    <t>2026-03-05</t>
  </si>
  <si>
    <t>PVPBB-2603-0291</t>
  </si>
  <si>
    <t>2026-03-11</t>
  </si>
  <si>
    <t>PVPBB-2603-0655</t>
  </si>
  <si>
    <t>PVPBB-2603-1865</t>
  </si>
  <si>
    <t>2026-04-10</t>
  </si>
  <si>
    <t>PVPBB-2604-0531</t>
  </si>
  <si>
    <t>PVPBB-2604-0555</t>
  </si>
  <si>
    <t>PVPBB-2604-0409</t>
  </si>
  <si>
    <t>PVPBB-2604-0550</t>
  </si>
  <si>
    <t>PVPBB-2603-0749</t>
  </si>
  <si>
    <t>PVPBB-2602-582</t>
  </si>
  <si>
    <t>PVPBB-2604-0526</t>
  </si>
  <si>
    <t>PVPBB-2603-1867</t>
  </si>
  <si>
    <t>PVPBB-2604-0549</t>
  </si>
  <si>
    <t>2026-04-15</t>
  </si>
  <si>
    <t>PVPBB-2604-0896</t>
  </si>
  <si>
    <t>PVPBB-2604-0566</t>
  </si>
  <si>
    <t>2026-05-04</t>
  </si>
  <si>
    <t>PVPBB-2605-0130</t>
  </si>
  <si>
    <t>PVPBB-2604-0534</t>
  </si>
  <si>
    <t>2026-04-13</t>
  </si>
  <si>
    <t>PVPBB-2604-0629</t>
  </si>
  <si>
    <t>PVPBB-2604-0532</t>
  </si>
  <si>
    <t>2026-03-27</t>
  </si>
  <si>
    <t>PVPBB-2603-1540</t>
  </si>
  <si>
    <t>PVPBB-2604-0889</t>
  </si>
  <si>
    <t>PVPBB-2604-0515</t>
  </si>
  <si>
    <t>PVPBB-2604-0542</t>
  </si>
  <si>
    <t>PVPBB-2602-598</t>
  </si>
  <si>
    <t>PVPBB-2604-0539</t>
  </si>
  <si>
    <t>PVPBB-2604-0326</t>
  </si>
  <si>
    <t>2026-03-13</t>
  </si>
  <si>
    <t>PVPBB-2603-0763</t>
  </si>
  <si>
    <t>PVPBB-2604-0545</t>
  </si>
  <si>
    <t>PVPBB-2601-576</t>
  </si>
  <si>
    <t>PVPBB-2601-584</t>
  </si>
  <si>
    <t>PVPBB-2601-571</t>
  </si>
  <si>
    <t>2026-01-17</t>
  </si>
  <si>
    <t>PVPBB-2601-406</t>
  </si>
  <si>
    <t>2026-01-28</t>
  </si>
  <si>
    <t>PVPBB-2601-606</t>
  </si>
  <si>
    <t>PVPBB-2601-579</t>
  </si>
  <si>
    <t>PVPBB-2601-457</t>
  </si>
  <si>
    <t>PVPBB-2601-563</t>
  </si>
  <si>
    <t>PVPBB-2601-398</t>
  </si>
  <si>
    <t>PVPBB-2601-400</t>
  </si>
  <si>
    <t>PVPBB-2601-380</t>
  </si>
  <si>
    <t>PVPBB-2601-370</t>
  </si>
  <si>
    <t>PVPBB-2601-383</t>
  </si>
  <si>
    <t>PVPBB-2601-459</t>
  </si>
  <si>
    <t>PVPBB-2601-577</t>
  </si>
  <si>
    <t>PVPBB-2603-0647</t>
  </si>
  <si>
    <t>2026-02-23</t>
  </si>
  <si>
    <t>PVPBB-2602-432</t>
  </si>
  <si>
    <t>2026-02-28</t>
  </si>
  <si>
    <t>PVPBB-2602-966</t>
  </si>
  <si>
    <t>PVPBB-2601-257</t>
  </si>
  <si>
    <t>PVPBB-2601-585</t>
  </si>
  <si>
    <t>2026-05-08</t>
  </si>
  <si>
    <t>PVPBB-2605-0554</t>
  </si>
  <si>
    <t>PVPBB-2601-294</t>
  </si>
  <si>
    <t>2026-03-25</t>
  </si>
  <si>
    <t>PVPBB-2603-1309</t>
  </si>
  <si>
    <t>PVPBB-2601-327A</t>
  </si>
  <si>
    <t>PVPBB-2604-0432</t>
  </si>
  <si>
    <t>2026-03-16</t>
  </si>
  <si>
    <t>PVPBB-2603-0946</t>
  </si>
  <si>
    <t>PVPBB-2604-1591</t>
  </si>
  <si>
    <t>PVPBB-2602-852</t>
  </si>
  <si>
    <t>2026-03-02</t>
  </si>
  <si>
    <t>PVPBB-2603-0003</t>
  </si>
  <si>
    <t>PVPBB-2602-608</t>
  </si>
  <si>
    <t>PVPBB-2602-848</t>
  </si>
  <si>
    <t>PVPBB-2602-557</t>
  </si>
  <si>
    <t>2026-04-22</t>
  </si>
  <si>
    <t>PVPBB-2604-1198</t>
  </si>
  <si>
    <t>PVPBB-2604-1224</t>
  </si>
  <si>
    <t>2026-03-04</t>
  </si>
  <si>
    <t>PVPBB-2603-0185</t>
  </si>
  <si>
    <t>PVPBB-2604-1209</t>
  </si>
  <si>
    <t>PVPBB-2602-755</t>
  </si>
  <si>
    <t>2026-04-27</t>
  </si>
  <si>
    <t>PVPBB-2604-1427</t>
  </si>
  <si>
    <t>PVPBB-2603-1680</t>
  </si>
  <si>
    <t>2026-04-21</t>
  </si>
  <si>
    <t>PVPBB-2604-1134</t>
  </si>
  <si>
    <t>2026-03-09</t>
  </si>
  <si>
    <t>PVPBB-2603-0473</t>
  </si>
  <si>
    <t>PVPBB-2604-1215</t>
  </si>
  <si>
    <t>PVPBB-2604-1244</t>
  </si>
  <si>
    <t>PVPBB-2604-1435</t>
  </si>
  <si>
    <t>PVPBB-2604-1235</t>
  </si>
  <si>
    <t>PVPBB-2604-1417</t>
  </si>
  <si>
    <t>PVPBB-2603-0951</t>
  </si>
  <si>
    <t>PVPBB-2603-1263</t>
  </si>
  <si>
    <t>PVPBB-2604-1229</t>
  </si>
  <si>
    <t>PVPBB-2603-1152</t>
  </si>
  <si>
    <t>PVPBB-2604-1180</t>
  </si>
  <si>
    <t>2026-03-28</t>
  </si>
  <si>
    <t>PVPBB-2603-1599</t>
  </si>
  <si>
    <t>PVPBB-2604-1119</t>
  </si>
  <si>
    <t>PVPBB-2604-1142</t>
  </si>
  <si>
    <t>PVPBB-2603-1297</t>
  </si>
  <si>
    <t>PVPBB-2603-1050</t>
  </si>
  <si>
    <t>PVPBB-2605-0366</t>
  </si>
  <si>
    <t>PVPBB-2604-1146</t>
  </si>
  <si>
    <t>PVPBB-2603-0747</t>
  </si>
  <si>
    <t>PVPBB-2604-1371</t>
  </si>
  <si>
    <t>PVPBB-2603-0386</t>
  </si>
  <si>
    <t>PVPBB-2603-1148</t>
  </si>
  <si>
    <t>PVPBB-2604-1138</t>
  </si>
  <si>
    <t>PVPBB-2603-0832</t>
  </si>
  <si>
    <t>PVPBB-2604-1216</t>
  </si>
  <si>
    <t>PVPBB-2603-0380</t>
  </si>
  <si>
    <t>PVPBB-2604-1243</t>
  </si>
  <si>
    <t>PVPBB-2603-0382</t>
  </si>
  <si>
    <t>PVPBB-2603-0470</t>
  </si>
  <si>
    <t>PVPBB-2603-0483</t>
  </si>
  <si>
    <t>PVPBB-2603-0486</t>
  </si>
  <si>
    <t>PVPBB-2603-0487</t>
  </si>
  <si>
    <t>PVPBB-2603-0639</t>
  </si>
  <si>
    <t>PVPBB-2603-0658</t>
  </si>
  <si>
    <t>PVPBB-2603-0642</t>
  </si>
  <si>
    <t>2026-03-26</t>
  </si>
  <si>
    <t>PVPBB-2603-1381</t>
  </si>
  <si>
    <t>PVPBB-2604-038</t>
  </si>
  <si>
    <t>GRP</t>
  </si>
  <si>
    <t>2026-05-07</t>
  </si>
  <si>
    <t>PVPBB-2605-0195</t>
  </si>
  <si>
    <t>PVPBB-2509-015</t>
  </si>
  <si>
    <t>PVPBB-2509-012</t>
  </si>
  <si>
    <t>PVPBB-2605-0545</t>
  </si>
  <si>
    <t>PVPBB-2605-0555</t>
  </si>
  <si>
    <t>2025-09-18</t>
  </si>
  <si>
    <t>PVPBB-2509-037</t>
  </si>
  <si>
    <t>PVPBB-2509-016</t>
  </si>
  <si>
    <t>PVPBB-2605-0210</t>
  </si>
  <si>
    <t>PVPBB-2509-019</t>
  </si>
  <si>
    <t>PVPBB-2605-0114</t>
  </si>
  <si>
    <t>2025-11-19</t>
  </si>
  <si>
    <t>PVPBB-2511-368</t>
  </si>
  <si>
    <t>2025-11-30</t>
  </si>
  <si>
    <t>RVG-2511-068</t>
  </si>
  <si>
    <t>F443420251127000610</t>
  </si>
  <si>
    <t>XY</t>
  </si>
  <si>
    <t>GROUP</t>
  </si>
  <si>
    <t>2025-09-19</t>
  </si>
  <si>
    <t>PVPBB-2509-088</t>
  </si>
  <si>
    <t>PVPBB-2511-179</t>
  </si>
  <si>
    <t>PVPBB-2511-041</t>
  </si>
  <si>
    <t>PVPBB-2512-589</t>
  </si>
  <si>
    <t>PVPBB-2603-009</t>
  </si>
  <si>
    <t>PVPBB-2512-044</t>
  </si>
  <si>
    <t>PVPBB-2603-012</t>
  </si>
  <si>
    <t>PVPBB-2511-144</t>
  </si>
  <si>
    <t>PVPBB-2512-381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</si>
</sst>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0_);[Red]\(0.00\)"/>
    <numFmt numFmtId="180" formatCode="d/m/yyyy"/>
  </numFmts>
  <fonts count="24">
    <font>
      <name val="Calibri"/>
      <charset val="134"/>
      <color theme="1"/>
      <sz val="11"/>
      <scheme val="minor"/>
    </font>
    <font>
      <name val="Calibri"/>
      <charset val="134"/>
      <color theme="1"/>
      <sz val="11"/>
    </font>
    <font>
      <name val="Calibri"/>
      <charset val="134"/>
      <b val="1"/>
      <color rgb="FFCC0000"/>
      <sz val="11"/>
    </font>
    <font>
      <name val="Calibri"/>
      <charset val="134"/>
      <b val="1"/>
      <color theme="1"/>
      <sz val="12"/>
    </font>
    <font>
      <name val="Calibri"/>
      <charset val="134"/>
      <color rgb="FF000000"/>
      <sz val="11"/>
    </font>
    <font>
      <name val="Calibri"/>
      <charset val="0"/>
      <color rgb="FF0000FF"/>
      <sz val="11"/>
      <u/>
      <scheme val="minor"/>
    </font>
    <font>
      <name val="Calibri"/>
      <charset val="0"/>
      <color rgb="FF800080"/>
      <sz val="11"/>
      <u/>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177"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0" fillId="4"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5" applyNumberFormat="false" applyAlignment="false" applyProtection="false">
      <alignment vertical="center"/>
    </xf>
    <xf numFmtId="0" fontId="14" fillId="6" borderId="6" applyNumberFormat="false" applyAlignment="false" applyProtection="false">
      <alignment vertical="center"/>
    </xf>
    <xf numFmtId="0" fontId="15" fillId="6" borderId="5" applyNumberFormat="false" applyAlignment="false" applyProtection="false">
      <alignment vertical="center"/>
    </xf>
    <xf numFmtId="0" fontId="16" fillId="7"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cellStyleXfs>
  <cellXfs count="34">
    <xf numFmtId="0" fontId="0" fillId="0" borderId="0" xfId="0"/>
    <xf numFmtId="0" fontId="0" fillId="0" borderId="0" xfId="0" applyFont="true" applyAlignment="true">
      <alignment vertical="center"/>
    </xf>
    <xf numFmtId="0" fontId="1" fillId="0" borderId="0" xfId="0" applyFont="true" applyAlignment="true">
      <alignment vertical="center"/>
    </xf>
    <xf numFmtId="4" fontId="1" fillId="0" borderId="0" xfId="0" applyNumberFormat="true" applyFont="true" applyAlignment="true">
      <alignment horizontal="right" vertical="center"/>
    </xf>
    <xf numFmtId="178" fontId="1" fillId="0" borderId="0" xfId="0" applyNumberFormat="true" applyFont="true" applyAlignment="true">
      <alignment vertical="center"/>
    </xf>
    <xf numFmtId="179" fontId="1" fillId="0" borderId="0" xfId="0" applyNumberFormat="true" applyFont="true" applyAlignment="true">
      <alignment vertical="center"/>
    </xf>
    <xf numFmtId="4" fontId="1" fillId="0" borderId="0" xfId="0" applyNumberFormat="true" applyFont="true" applyAlignment="true">
      <alignment vertical="center"/>
    </xf>
    <xf numFmtId="179" fontId="1" fillId="0" borderId="0" xfId="0" applyNumberFormat="true" applyFont="true" applyAlignment="true">
      <alignment horizontal="right" vertical="center"/>
    </xf>
    <xf numFmtId="4" fontId="2" fillId="0" borderId="0" xfId="0" applyNumberFormat="true" applyFont="true" applyAlignment="true">
      <alignment horizontal="right" vertical="center"/>
    </xf>
    <xf numFmtId="0" fontId="3" fillId="0" borderId="1" xfId="0" applyFont="true" applyBorder="true" applyAlignment="true">
      <alignment horizontal="center" vertical="center"/>
    </xf>
    <xf numFmtId="0" fontId="3" fillId="0" borderId="1" xfId="0" applyFont="true" applyBorder="true" applyAlignment="true">
      <alignment horizontal="center" vertical="center" wrapText="true"/>
    </xf>
    <xf numFmtId="4" fontId="3" fillId="0" borderId="1" xfId="0" applyNumberFormat="true" applyFont="true" applyBorder="true" applyAlignment="true">
      <alignment horizontal="center" vertical="center"/>
    </xf>
    <xf numFmtId="178" fontId="3" fillId="0" borderId="1" xfId="0" applyNumberFormat="true" applyFont="true" applyBorder="true" applyAlignment="true">
      <alignment horizontal="center" vertical="center"/>
    </xf>
    <xf numFmtId="179" fontId="3" fillId="0" borderId="1" xfId="0" applyNumberFormat="true" applyFont="true" applyBorder="true" applyAlignment="true">
      <alignment horizontal="center" vertical="center" wrapText="true"/>
    </xf>
    <xf numFmtId="179" fontId="3" fillId="0" borderId="1" xfId="0" applyNumberFormat="true" applyFont="true" applyBorder="true" applyAlignment="true">
      <alignment vertical="center"/>
    </xf>
    <xf numFmtId="180" fontId="1" fillId="0" borderId="0" xfId="0" applyNumberFormat="true" applyFont="true" applyAlignment="true">
      <alignment horizontal="center" vertical="center"/>
    </xf>
    <xf numFmtId="178" fontId="4" fillId="0" borderId="0" xfId="0" applyNumberFormat="true" applyFont="true" applyAlignment="true">
      <alignment horizontal="center" vertical="center"/>
    </xf>
    <xf numFmtId="0" fontId="4" fillId="0" borderId="0" xfId="0" applyFont="true" applyAlignment="true">
      <alignment horizontal="center" vertical="center"/>
    </xf>
    <xf numFmtId="4" fontId="4" fillId="0" borderId="0" xfId="0" applyNumberFormat="true" applyFont="true" applyAlignment="true">
      <alignment horizontal="center" vertical="center"/>
    </xf>
    <xf numFmtId="0" fontId="1" fillId="2" borderId="0" xfId="0" applyFont="true" applyFill="true" applyAlignment="true">
      <alignment vertical="center"/>
    </xf>
    <xf numFmtId="180" fontId="1" fillId="2" borderId="0" xfId="0" applyNumberFormat="true" applyFont="true" applyFill="true" applyAlignment="true">
      <alignment horizontal="center" vertical="center"/>
    </xf>
    <xf numFmtId="4" fontId="1" fillId="2" borderId="0" xfId="0" applyNumberFormat="true" applyFont="true" applyFill="true" applyAlignment="true">
      <alignment horizontal="right" vertical="center"/>
    </xf>
    <xf numFmtId="178" fontId="4" fillId="2" borderId="0" xfId="0" applyNumberFormat="true" applyFont="true" applyFill="true" applyAlignment="true">
      <alignment horizontal="center" vertical="center"/>
    </xf>
    <xf numFmtId="0" fontId="4" fillId="2" borderId="0" xfId="0" applyFont="true" applyFill="true" applyAlignment="true">
      <alignment horizontal="center" vertical="center"/>
    </xf>
    <xf numFmtId="4" fontId="4" fillId="2" borderId="0" xfId="0" applyNumberFormat="true" applyFont="true" applyFill="true" applyAlignment="true">
      <alignment horizontal="center" vertical="center"/>
    </xf>
    <xf numFmtId="0" fontId="1" fillId="3" borderId="0" xfId="0" applyFont="true" applyFill="true" applyAlignment="true">
      <alignment vertical="center"/>
    </xf>
    <xf numFmtId="180" fontId="1" fillId="3" borderId="0" xfId="0" applyNumberFormat="true" applyFont="true" applyFill="true" applyAlignment="true">
      <alignment horizontal="center" vertical="center"/>
    </xf>
    <xf numFmtId="4" fontId="1" fillId="3" borderId="0" xfId="0" applyNumberFormat="true" applyFont="true" applyFill="true" applyAlignment="true">
      <alignment horizontal="right" vertical="center"/>
    </xf>
    <xf numFmtId="178" fontId="4" fillId="3" borderId="0" xfId="0" applyNumberFormat="true" applyFont="true" applyFill="true" applyAlignment="true">
      <alignment horizontal="center" vertical="center"/>
    </xf>
    <xf numFmtId="0" fontId="4" fillId="3" borderId="0" xfId="0" applyFont="true" applyFill="true" applyAlignment="true">
      <alignment horizontal="center" vertical="center"/>
    </xf>
    <xf numFmtId="4" fontId="4" fillId="3" borderId="0" xfId="0" applyNumberFormat="true" applyFont="true" applyFill="true" applyAlignment="true">
      <alignment horizontal="center" vertical="center"/>
    </xf>
    <xf numFmtId="178" fontId="1" fillId="0" borderId="0" xfId="0" applyNumberFormat="true" applyFont="true" applyAlignment="true">
      <alignment horizontal="center" vertical="center"/>
    </xf>
    <xf numFmtId="4" fontId="1" fillId="2" borderId="0" xfId="0" applyNumberFormat="true" applyFont="true" applyFill="true" applyAlignment="true">
      <alignment vertical="center"/>
    </xf>
    <xf numFmtId="4" fontId="1" fillId="3" borderId="0" xfId="0" applyNumberFormat="true" applyFont="true" applyFill="true" applyAlignment="true">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C78D8"/>
  </sheetPr>
  <dimension ref="A1:AB1701"/>
  <sheetViews>
    <sheetView tabSelected="true" workbookViewId="0">
      <pane activePane="bottomLeft" state="frozen" topLeftCell="A4" ySplit="3"/>
      <selection/>
      <selection activeCell="J15" pane="bottomLeft" sqref="J15"/>
    </sheetView>
  </sheetViews>
  <sheetFormatPr defaultColWidth="14.4285714285714" defaultRowHeight="15" customHeight="true"/>
  <cols>
    <col customWidth="true" max="2" min="1" style="1" width="24"/>
    <col customWidth="true" max="3" min="3" style="1" width="58.2857142857143"/>
    <col customWidth="true" max="4" min="4" style="1" width="20.5714285714286"/>
    <col customWidth="true" max="5" min="5" style="1" width="17.4285714285714"/>
    <col customWidth="true" max="6" min="6" style="1" width="20.4285714285714"/>
    <col customWidth="true" max="7" min="7" style="1" width="22.4285714285714"/>
    <col customWidth="true" max="8" min="8" style="1" width="17"/>
    <col customWidth="true" max="10" min="9" style="1" width="17.8571428571429"/>
    <col customWidth="true" max="12" min="11" style="1" width="15.8571428571429"/>
    <col customWidth="true" max="13" min="13" style="1" width="9.14285714285714"/>
    <col customWidth="true" max="14" min="14" style="1" width="17.4285714285714"/>
    <col customWidth="true" max="15" min="15" style="1" width="21.1428571428571"/>
    <col customWidth="true" max="28" min="16" style="1" width="9.14285714285714"/>
    <col max="16384" min="29" style="1" width="14.4285714285714"/>
  </cols>
  <sheetData>
    <row r="1" spans="1:28" customHeight="true">
      <c r="A1" s="2"/>
      <c r="B1" s="2"/>
      <c r="C1" s="2"/>
      <c r="D1" s="3">
        <f>SUM(D58:D1266)</f>
        <v>227725.95</v>
      </c>
      <c r="E1" s="4"/>
      <c r="F1" s="2"/>
      <c r="G1" s="5"/>
      <c r="H1" s="3"/>
      <c r="I1" s="3">
        <f>SUM(I4:I3266)</f>
        <v>11439</v>
      </c>
      <c r="J1" s="6"/>
      <c r="K1" s="7"/>
      <c r="L1" s="7">
        <f>D1-I1</f>
        <v>216286.95</v>
      </c>
      <c r="M1" s="2"/>
      <c r="N1" s="2"/>
      <c r="O1" s="2"/>
      <c r="P1" s="2"/>
      <c r="Q1" s="2"/>
      <c r="R1" s="2"/>
      <c r="S1" s="2"/>
      <c r="T1" s="2"/>
      <c r="U1" s="2"/>
      <c r="V1" s="2"/>
      <c r="W1" s="2"/>
      <c r="X1" s="2"/>
      <c r="Y1" s="2"/>
      <c r="Z1" s="2"/>
      <c r="AA1" s="2"/>
      <c r="AB1" s="2"/>
    </row>
    <row r="2" spans="1:28" customHeight="true">
      <c r="A2" s="2"/>
      <c r="B2" s="2"/>
      <c r="C2" s="2"/>
      <c r="D2" s="8" t="s">
        <v>0</v>
      </c>
      <c r="E2" s="4"/>
      <c r="F2" s="2"/>
      <c r="G2" s="5"/>
      <c r="H2" s="6"/>
      <c r="I2" s="6"/>
      <c r="J2" s="6"/>
      <c r="K2" s="5"/>
      <c r="L2" s="5"/>
      <c r="M2" s="2"/>
      <c r="N2" s="2"/>
      <c r="O2" s="2"/>
      <c r="P2" s="2"/>
      <c r="Q2" s="2"/>
      <c r="R2" s="2"/>
      <c r="S2" s="2"/>
      <c r="T2" s="2"/>
      <c r="U2" s="2"/>
      <c r="V2" s="2"/>
      <c r="W2" s="2"/>
      <c r="X2" s="2"/>
      <c r="Y2" s="2"/>
      <c r="Z2" s="2"/>
      <c r="AA2" s="2"/>
      <c r="AB2" s="2"/>
    </row>
    <row r="3" spans="1:28" customHeight="true">
      <c r="A3" s="9" t="s">
        <v>1</v>
      </c>
      <c r="B3" s="10" t="s">
        <v>2</v>
      </c>
      <c r="C3" s="10" t="s">
        <v>3</v>
      </c>
      <c r="D3" s="11" t="s">
        <v>4</v>
      </c>
      <c r="E3" s="12" t="s">
        <v>5</v>
      </c>
      <c r="F3" s="13" t="s">
        <v>6</v>
      </c>
      <c r="G3" s="14" t="s">
        <v>7</v>
      </c>
      <c r="H3" s="11" t="s">
        <v>8</v>
      </c>
      <c r="I3" s="11" t="s">
        <v>9</v>
      </c>
      <c r="J3" s="11" t="s">
        <v>10</v>
      </c>
      <c r="K3" s="13" t="s">
        <v>11</v>
      </c>
      <c r="L3" s="13" t="s">
        <v>12</v>
      </c>
      <c r="M3" s="2"/>
      <c r="N3" s="2"/>
      <c r="O3" s="2"/>
      <c r="P3" s="2"/>
      <c r="Q3" s="2"/>
      <c r="R3" s="2"/>
      <c r="S3" s="2"/>
      <c r="T3" s="2"/>
      <c r="U3" s="2"/>
      <c r="V3" s="2"/>
      <c r="W3" s="2"/>
      <c r="X3" s="2"/>
      <c r="Y3" s="2"/>
      <c r="Z3" s="2"/>
      <c r="AA3" s="2"/>
      <c r="AB3" s="2"/>
    </row>
    <row r="4" spans="1:28" customHeight="true">
      <c r="A4" s="2" t="s">
        <v>13</v>
      </c>
      <c r="B4" s="15">
        <v>45930</v>
      </c>
      <c r="C4" s="2" t="s">
        <v>14</v>
      </c>
      <c r="D4" s="3">
        <v>161.88</v>
      </c>
      <c r="E4" s="16" t="str">
        <f>IFERROR(__xludf.DUMMYFUNCTION("IFERROR(
  TEXTJOIN(CHAR(10),TRUE,FILTER('SUMMARY DATA'!E:E,'SUMMARY DATA'!$A:$A=$A4,'SUMMARY DATA'!$C:$C=$B4,'SUMMARY DATA'!$B:$B=""RWS"")),
  IF(
    OR(
      ISNUMBER(SEARCH(""CDM CASH DEPOSIT"",$C4)),
      ISNUMBER(SEARCH(""CASH DEPOSIT"",$C4)),
   "&amp;"   COUNTIFS('SUMMARY DATA'!$D:$D,$C4,'SUMMARY DATA'!$B:$B,""RWS"")&lt;&gt;1
    ),
    """",
    IFERROR(TEXTJOIN(CHAR(10),TRUE,FILTER('SUMMARY DATA'!E:E,'SUMMARY DATA'!$D:$D=$C4,'SUMMARY DATA'!$B:$B=""RWS"")),"""")
  )
)"),"")</f>
      </c>
      <c r="F4" s="17" t="str">
        <f>IFERROR(__xludf.DUMMYFUNCTION("IFERROR(
  TEXTJOIN(CHAR(10),TRUE,FILTER('SUMMARY DATA'!F:F,'SUMMARY DATA'!$A:$A=$A4,'SUMMARY DATA'!$C:$C=$B4,'SUMMARY DATA'!$B:$B=""RWS"")),
  IF(
    OR(
      ISNUMBER(SEARCH(""CDM CASH DEPOSIT"",$C4)),
      ISNUMBER(SEARCH(""CASH DEPOSIT"",$C4)),
   "&amp;"   COUNTIFS('SUMMARY DATA'!$D:$D,$C4,'SUMMARY DATA'!$B:$B,""RWS"")&lt;&gt;1
    ),
    """",
    IFERROR(TEXTJOIN(CHAR(10),TRUE,FILTER('SUMMARY DATA'!F:F,'SUMMARY DATA'!$D:$D=$C4,'SUMMARY DATA'!$B:$B=""RWS"")),"""")
  )
)"),"")</f>
      </c>
      <c r="G4" s="17" t="str">
        <f>IFERROR(__xludf.DUMMYFUNCTION("IFERROR(
  TEXTJOIN(CHAR(10),TRUE,FILTER('SUMMARY DATA'!G:G,'SUMMARY DATA'!$A:$A=$A4,'SUMMARY DATA'!$C:$C=$B4,'SUMMARY DATA'!$B:$B=""RWS"")),
  IF(
    OR(
      ISNUMBER(SEARCH(""CDM CASH DEPOSIT"",$C4)),
      ISNUMBER(SEARCH(""CASH DEPOSIT"",$C4)),
   "&amp;"   COUNTIFS('SUMMARY DATA'!$D:$D,$C4,'SUMMARY DATA'!$B:$B,""RWS"")&lt;&gt;1
    ),
    """",
    IFERROR(TEXTJOIN(CHAR(10),TRUE,FILTER('SUMMARY DATA'!G:G,'SUMMARY DATA'!$D:$D=$C4,'SUMMARY DATA'!$B:$B=""RWS"")),"""")
  )
)"),"")</f>
      </c>
      <c r="H4" s="18" t="str">
        <f>IFERROR(__xludf.DUMMYFUNCTION("IFERROR(
  TEXTJOIN(CHAR(10),TRUE,FILTER('SUMMARY DATA'!H:H,'SUMMARY DATA'!$A:$A=$A4,'SUMMARY DATA'!$C:$C=$B4,'SUMMARY DATA'!$B:$B=""RWS"",'SUMMARY DATA'!$H:$H=$D4)),
  IF(
    OR(
      ISNUMBER(SEARCH(""CDM CASH DEPOSIT"",$C4)),
      ISNUMBER(SEARCH("""&amp;"CASH DEPOSIT"",$C4))
    ),
    """",
    IFERROR(TEXTJOIN(CHAR(10),TRUE,FILTER('SUMMARY DATA'!H:H,'SUMMARY DATA'!$D:$D=$C4,'SUMMARY DATA'!$B:$B=""RWS"",'SUMMARY DATA'!$H:$H=$D4)),"""")
  )
)"),"")</f>
      </c>
      <c r="I4" s="18" t="str">
        <f>IFERROR(__xludf.DUMMYFUNCTION("IF(H4="""","""",
SUM(ARRAYFORMULA(VALUE(SPLIT(H4,CHAR(10)))))
)"),"")</f>
      </c>
      <c r="J4" s="17" t="str">
        <f>IFERROR(__xludf.DUMMYFUNCTION("IFERROR(
  TEXTJOIN(CHAR(10),TRUE,FILTER('SUMMARY DATA'!I:I,'SUMMARY DATA'!$A:$A=$A4,'SUMMARY DATA'!$C:$C=$B4,'SUMMARY DATA'!$B:$B=""RWS"")),
  IF(
    OR(
      ISNUMBER(SEARCH(""CDM CASH DEPOSIT"",$C4)),
      ISNUMBER(SEARCH(""CASH DEPOSIT"",$C4)),
   "&amp;"   COUNTIFS('SUMMARY DATA'!$D:$D,$C4,'SUMMARY DATA'!$B:$B,""RWS"")&lt;&gt;1
    ),
    """",
    IFERROR(TEXTJOIN(CHAR(10),TRUE,FILTER('SUMMARY DATA'!I:I,'SUMMARY DATA'!$D:$D=$C4,'SUMMARY DATA'!$B:$B=""RWS"")),"""")
  )
)"),"")</f>
      </c>
      <c r="K4" s="2"/>
      <c r="L4" s="2"/>
      <c r="M4" s="2"/>
      <c r="S4" s="2"/>
      <c r="T4" s="2"/>
      <c r="U4" s="2"/>
      <c r="V4" s="2"/>
      <c r="W4" s="2"/>
      <c r="X4" s="2"/>
      <c r="Y4" s="2"/>
      <c r="Z4" s="2"/>
      <c r="AA4" s="2"/>
      <c r="AB4" s="2"/>
    </row>
    <row r="5" spans="1:28" customHeight="true">
      <c r="A5" s="2" t="s">
        <v>15</v>
      </c>
      <c r="B5" s="15">
        <v>45930</v>
      </c>
      <c r="C5" s="2" t="s">
        <v>16</v>
      </c>
      <c r="D5" s="3">
        <v>2.8</v>
      </c>
      <c r="E5" s="16" t="str">
        <f>IFERROR(__xludf.DUMMYFUNCTION("IFERROR(
  TEXTJOIN(CHAR(10),TRUE,FILTER('SUMMARY DATA'!E:E,'SUMMARY DATA'!$A:$A=$A5,'SUMMARY DATA'!$C:$C=$B5,'SUMMARY DATA'!$B:$B=""RWS"")),
  IF(
    OR(
      ISNUMBER(SEARCH(""CDM CASH DEPOSIT"",$C5)),
      ISNUMBER(SEARCH(""CASH DEPOSIT"",$C5)),
   "&amp;"   COUNTIFS('SUMMARY DATA'!$D:$D,$C5,'SUMMARY DATA'!$B:$B,""RWS"")&lt;&gt;1
    ),
    """",
    IFERROR(TEXTJOIN(CHAR(10),TRUE,FILTER('SUMMARY DATA'!E:E,'SUMMARY DATA'!$D:$D=$C5,'SUMMARY DATA'!$B:$B=""RWS"")),"""")
  )
)"),"")</f>
      </c>
      <c r="F5" s="17" t="str">
        <f>IFERROR(__xludf.DUMMYFUNCTION("IFERROR(
  TEXTJOIN(CHAR(10),TRUE,FILTER('SUMMARY DATA'!F:F,'SUMMARY DATA'!$A:$A=$A5,'SUMMARY DATA'!$C:$C=$B5,'SUMMARY DATA'!$B:$B=""RWS"")),
  IF(
    OR(
      ISNUMBER(SEARCH(""CDM CASH DEPOSIT"",$C5)),
      ISNUMBER(SEARCH(""CASH DEPOSIT"",$C5)),
   "&amp;"   COUNTIFS('SUMMARY DATA'!$D:$D,$C5,'SUMMARY DATA'!$B:$B,""RWS"")&lt;&gt;1
    ),
    """",
    IFERROR(TEXTJOIN(CHAR(10),TRUE,FILTER('SUMMARY DATA'!F:F,'SUMMARY DATA'!$D:$D=$C5,'SUMMARY DATA'!$B:$B=""RWS"")),"""")
  )
)"),"")</f>
      </c>
      <c r="G5" s="17" t="str">
        <f>IFERROR(__xludf.DUMMYFUNCTION("IFERROR(
  TEXTJOIN(CHAR(10),TRUE,FILTER('SUMMARY DATA'!G:G,'SUMMARY DATA'!$A:$A=$A5,'SUMMARY DATA'!$C:$C=$B5,'SUMMARY DATA'!$B:$B=""RWS"")),
  IF(
    OR(
      ISNUMBER(SEARCH(""CDM CASH DEPOSIT"",$C5)),
      ISNUMBER(SEARCH(""CASH DEPOSIT"",$C5)),
   "&amp;"   COUNTIFS('SUMMARY DATA'!$D:$D,$C5,'SUMMARY DATA'!$B:$B,""RWS"")&lt;&gt;1
    ),
    """",
    IFERROR(TEXTJOIN(CHAR(10),TRUE,FILTER('SUMMARY DATA'!G:G,'SUMMARY DATA'!$D:$D=$C5,'SUMMARY DATA'!$B:$B=""RWS"")),"""")
  )
)"),"")</f>
      </c>
      <c r="H5" s="18" t="str">
        <f>IFERROR(__xludf.DUMMYFUNCTION("IFERROR(
  TEXTJOIN(CHAR(10),TRUE,FILTER('SUMMARY DATA'!H:H,'SUMMARY DATA'!$A:$A=$A5,'SUMMARY DATA'!$C:$C=$B5,'SUMMARY DATA'!$B:$B=""RWS"",'SUMMARY DATA'!$H:$H=$D5)),
  IF(
    OR(
      ISNUMBER(SEARCH(""CDM CASH DEPOSIT"",$C5)),
      ISNUMBER(SEARCH("""&amp;"CASH DEPOSIT"",$C5))
    ),
    """",
    IFERROR(TEXTJOIN(CHAR(10),TRUE,FILTER('SUMMARY DATA'!H:H,'SUMMARY DATA'!$D:$D=$C5,'SUMMARY DATA'!$B:$B=""RWS"",'SUMMARY DATA'!$H:$H=$D5)),"""")
  )
)"),"")</f>
      </c>
      <c r="I5" s="18" t="str">
        <f>IFERROR(__xludf.DUMMYFUNCTION("IF(H5="""","""",
SUM(ARRAYFORMULA(VALUE(SPLIT(H5,CHAR(10)))))
)"),"")</f>
      </c>
      <c r="J5" s="17" t="str">
        <f>IFERROR(__xludf.DUMMYFUNCTION("IFERROR(
  TEXTJOIN(CHAR(10),TRUE,FILTER('SUMMARY DATA'!I:I,'SUMMARY DATA'!$A:$A=$A5,'SUMMARY DATA'!$C:$C=$B5,'SUMMARY DATA'!$B:$B=""RWS"")),
  IF(
    OR(
      ISNUMBER(SEARCH(""CDM CASH DEPOSIT"",$C5)),
      ISNUMBER(SEARCH(""CASH DEPOSIT"",$C5)),
   "&amp;"   COUNTIFS('SUMMARY DATA'!$D:$D,$C5,'SUMMARY DATA'!$B:$B,""RWS"")&lt;&gt;1
    ),
    """",
    IFERROR(TEXTJOIN(CHAR(10),TRUE,FILTER('SUMMARY DATA'!I:I,'SUMMARY DATA'!$D:$D=$C5,'SUMMARY DATA'!$B:$B=""RWS"")),"""")
  )
)"),"")</f>
      </c>
      <c r="K5" s="2"/>
      <c r="L5" s="2"/>
      <c r="M5" s="2"/>
      <c r="N5" s="2"/>
      <c r="O5" s="2"/>
      <c r="P5" s="2"/>
      <c r="Q5" s="2"/>
      <c r="R5" s="2"/>
      <c r="S5" s="2"/>
      <c r="T5" s="2"/>
      <c r="U5" s="2"/>
      <c r="V5" s="2"/>
      <c r="W5" s="2"/>
      <c r="X5" s="2"/>
      <c r="Y5" s="2"/>
      <c r="Z5" s="2"/>
      <c r="AA5" s="2"/>
      <c r="AB5" s="2"/>
    </row>
    <row r="6" spans="1:28" customHeight="true">
      <c r="A6" s="2" t="s">
        <v>17</v>
      </c>
      <c r="B6" s="15">
        <v>45930</v>
      </c>
      <c r="C6" s="2" t="s">
        <v>18</v>
      </c>
      <c r="D6" s="3">
        <v>10</v>
      </c>
      <c r="E6" s="16" t="str">
        <f>IFERROR(__xludf.DUMMYFUNCTION("IFERROR(
  TEXTJOIN(CHAR(10),TRUE,FILTER('SUMMARY DATA'!E:E,'SUMMARY DATA'!$A:$A=$A6,'SUMMARY DATA'!$C:$C=$B6,'SUMMARY DATA'!$B:$B=""RWS"")),
  IF(
    OR(
      ISNUMBER(SEARCH(""CDM CASH DEPOSIT"",$C6)),
      ISNUMBER(SEARCH(""CASH DEPOSIT"",$C6)),
   "&amp;"   COUNTIFS('SUMMARY DATA'!$D:$D,$C6,'SUMMARY DATA'!$B:$B,""RWS"")&lt;&gt;1
    ),
    """",
    IFERROR(TEXTJOIN(CHAR(10),TRUE,FILTER('SUMMARY DATA'!E:E,'SUMMARY DATA'!$D:$D=$C6,'SUMMARY DATA'!$B:$B=""RWS"")),"""")
  )
)"),"")</f>
      </c>
      <c r="F6" s="17" t="str">
        <f>IFERROR(__xludf.DUMMYFUNCTION("IFERROR(
  TEXTJOIN(CHAR(10),TRUE,FILTER('SUMMARY DATA'!F:F,'SUMMARY DATA'!$A:$A=$A6,'SUMMARY DATA'!$C:$C=$B6,'SUMMARY DATA'!$B:$B=""RWS"")),
  IF(
    OR(
      ISNUMBER(SEARCH(""CDM CASH DEPOSIT"",$C6)),
      ISNUMBER(SEARCH(""CASH DEPOSIT"",$C6)),
   "&amp;"   COUNTIFS('SUMMARY DATA'!$D:$D,$C6,'SUMMARY DATA'!$B:$B,""RWS"")&lt;&gt;1
    ),
    """",
    IFERROR(TEXTJOIN(CHAR(10),TRUE,FILTER('SUMMARY DATA'!F:F,'SUMMARY DATA'!$D:$D=$C6,'SUMMARY DATA'!$B:$B=""RWS"")),"""")
  )
)"),"")</f>
      </c>
      <c r="G6" s="17" t="str">
        <f>IFERROR(__xludf.DUMMYFUNCTION("IFERROR(
  TEXTJOIN(CHAR(10),TRUE,FILTER('SUMMARY DATA'!G:G,'SUMMARY DATA'!$A:$A=$A6,'SUMMARY DATA'!$C:$C=$B6,'SUMMARY DATA'!$B:$B=""RWS"")),
  IF(
    OR(
      ISNUMBER(SEARCH(""CDM CASH DEPOSIT"",$C6)),
      ISNUMBER(SEARCH(""CASH DEPOSIT"",$C6)),
   "&amp;"   COUNTIFS('SUMMARY DATA'!$D:$D,$C6,'SUMMARY DATA'!$B:$B,""RWS"")&lt;&gt;1
    ),
    """",
    IFERROR(TEXTJOIN(CHAR(10),TRUE,FILTER('SUMMARY DATA'!G:G,'SUMMARY DATA'!$D:$D=$C6,'SUMMARY DATA'!$B:$B=""RWS"")),"""")
  )
)"),"")</f>
      </c>
      <c r="H6" s="18" t="str">
        <f>IFERROR(__xludf.DUMMYFUNCTION("IFERROR(
  TEXTJOIN(CHAR(10),TRUE,FILTER('SUMMARY DATA'!H:H,'SUMMARY DATA'!$A:$A=$A6,'SUMMARY DATA'!$C:$C=$B6,'SUMMARY DATA'!$B:$B=""RWS"",'SUMMARY DATA'!$H:$H=$D6)),
  IF(
    OR(
      ISNUMBER(SEARCH(""CDM CASH DEPOSIT"",$C6)),
      ISNUMBER(SEARCH("""&amp;"CASH DEPOSIT"",$C6))
    ),
    """",
    IFERROR(TEXTJOIN(CHAR(10),TRUE,FILTER('SUMMARY DATA'!H:H,'SUMMARY DATA'!$D:$D=$C6,'SUMMARY DATA'!$B:$B=""RWS"",'SUMMARY DATA'!$H:$H=$D6)),"""")
  )
)"),"")</f>
      </c>
      <c r="I6" s="18" t="str">
        <f>IFERROR(__xludf.DUMMYFUNCTION("IF(H6="""","""",
SUM(ARRAYFORMULA(VALUE(SPLIT(H6,CHAR(10)))))
)"),"")</f>
      </c>
      <c r="J6" s="17" t="str">
        <f>IFERROR(__xludf.DUMMYFUNCTION("IFERROR(
  TEXTJOIN(CHAR(10),TRUE,FILTER('SUMMARY DATA'!I:I,'SUMMARY DATA'!$A:$A=$A6,'SUMMARY DATA'!$C:$C=$B6,'SUMMARY DATA'!$B:$B=""RWS"")),
  IF(
    OR(
      ISNUMBER(SEARCH(""CDM CASH DEPOSIT"",$C6)),
      ISNUMBER(SEARCH(""CASH DEPOSIT"",$C6)),
   "&amp;"   COUNTIFS('SUMMARY DATA'!$D:$D,$C6,'SUMMARY DATA'!$B:$B,""RWS"")&lt;&gt;1
    ),
    """",
    IFERROR(TEXTJOIN(CHAR(10),TRUE,FILTER('SUMMARY DATA'!I:I,'SUMMARY DATA'!$D:$D=$C6,'SUMMARY DATA'!$B:$B=""RWS"")),"""")
  )
)"),"")</f>
      </c>
      <c r="K6" s="2"/>
      <c r="L6" s="2"/>
      <c r="M6" s="2"/>
      <c r="N6" s="2"/>
      <c r="O6" s="2"/>
      <c r="P6" s="2"/>
      <c r="Q6" s="2"/>
      <c r="R6" s="2"/>
      <c r="S6" s="2"/>
      <c r="T6" s="2"/>
      <c r="U6" s="2"/>
      <c r="V6" s="2"/>
      <c r="W6" s="2"/>
      <c r="X6" s="2"/>
      <c r="Y6" s="2"/>
      <c r="Z6" s="2"/>
      <c r="AA6" s="2"/>
      <c r="AB6" s="2"/>
    </row>
    <row r="7" spans="1:28" customHeight="true">
      <c r="A7" s="2" t="s">
        <v>19</v>
      </c>
      <c r="B7" s="15">
        <v>45930</v>
      </c>
      <c r="C7" s="2" t="s">
        <v>20</v>
      </c>
      <c r="D7" s="3">
        <v>6.4</v>
      </c>
      <c r="E7" s="16" t="str">
        <f>IFERROR(__xludf.DUMMYFUNCTION("IFERROR(
  TEXTJOIN(CHAR(10),TRUE,FILTER('SUMMARY DATA'!E:E,'SUMMARY DATA'!$A:$A=$A7,'SUMMARY DATA'!$C:$C=$B7,'SUMMARY DATA'!$B:$B=""RWS"")),
  IF(
    OR(
      ISNUMBER(SEARCH(""CDM CASH DEPOSIT"",$C7)),
      ISNUMBER(SEARCH(""CASH DEPOSIT"",$C7)),
   "&amp;"   COUNTIFS('SUMMARY DATA'!$D:$D,$C7,'SUMMARY DATA'!$B:$B,""RWS"")&lt;&gt;1
    ),
    """",
    IFERROR(TEXTJOIN(CHAR(10),TRUE,FILTER('SUMMARY DATA'!E:E,'SUMMARY DATA'!$D:$D=$C7,'SUMMARY DATA'!$B:$B=""RWS"")),"""")
  )
)"),"")</f>
      </c>
      <c r="F7" s="17" t="str">
        <f>IFERROR(__xludf.DUMMYFUNCTION("IFERROR(
  TEXTJOIN(CHAR(10),TRUE,FILTER('SUMMARY DATA'!F:F,'SUMMARY DATA'!$A:$A=$A7,'SUMMARY DATA'!$C:$C=$B7,'SUMMARY DATA'!$B:$B=""RWS"")),
  IF(
    OR(
      ISNUMBER(SEARCH(""CDM CASH DEPOSIT"",$C7)),
      ISNUMBER(SEARCH(""CASH DEPOSIT"",$C7)),
   "&amp;"   COUNTIFS('SUMMARY DATA'!$D:$D,$C7,'SUMMARY DATA'!$B:$B,""RWS"")&lt;&gt;1
    ),
    """",
    IFERROR(TEXTJOIN(CHAR(10),TRUE,FILTER('SUMMARY DATA'!F:F,'SUMMARY DATA'!$D:$D=$C7,'SUMMARY DATA'!$B:$B=""RWS"")),"""")
  )
)"),"")</f>
      </c>
      <c r="G7" s="17" t="str">
        <f>IFERROR(__xludf.DUMMYFUNCTION("IFERROR(
  TEXTJOIN(CHAR(10),TRUE,FILTER('SUMMARY DATA'!G:G,'SUMMARY DATA'!$A:$A=$A7,'SUMMARY DATA'!$C:$C=$B7,'SUMMARY DATA'!$B:$B=""RWS"")),
  IF(
    OR(
      ISNUMBER(SEARCH(""CDM CASH DEPOSIT"",$C7)),
      ISNUMBER(SEARCH(""CASH DEPOSIT"",$C7)),
   "&amp;"   COUNTIFS('SUMMARY DATA'!$D:$D,$C7,'SUMMARY DATA'!$B:$B,""RWS"")&lt;&gt;1
    ),
    """",
    IFERROR(TEXTJOIN(CHAR(10),TRUE,FILTER('SUMMARY DATA'!G:G,'SUMMARY DATA'!$D:$D=$C7,'SUMMARY DATA'!$B:$B=""RWS"")),"""")
  )
)"),"")</f>
      </c>
      <c r="H7" s="18" t="str">
        <f>IFERROR(__xludf.DUMMYFUNCTION("IFERROR(
  TEXTJOIN(CHAR(10),TRUE,FILTER('SUMMARY DATA'!H:H,'SUMMARY DATA'!$A:$A=$A7,'SUMMARY DATA'!$C:$C=$B7,'SUMMARY DATA'!$B:$B=""RWS"",'SUMMARY DATA'!$H:$H=$D7)),
  IF(
    OR(
      ISNUMBER(SEARCH(""CDM CASH DEPOSIT"",$C7)),
      ISNUMBER(SEARCH("""&amp;"CASH DEPOSIT"",$C7))
    ),
    """",
    IFERROR(TEXTJOIN(CHAR(10),TRUE,FILTER('SUMMARY DATA'!H:H,'SUMMARY DATA'!$D:$D=$C7,'SUMMARY DATA'!$B:$B=""RWS"",'SUMMARY DATA'!$H:$H=$D7)),"""")
  )
)"),"")</f>
      </c>
      <c r="I7" s="18" t="str">
        <f>IFERROR(__xludf.DUMMYFUNCTION("IF(H7="""","""",
SUM(ARRAYFORMULA(VALUE(SPLIT(H7,CHAR(10)))))
)"),"")</f>
      </c>
      <c r="J7" s="17" t="str">
        <f>IFERROR(__xludf.DUMMYFUNCTION("IFERROR(
  TEXTJOIN(CHAR(10),TRUE,FILTER('SUMMARY DATA'!I:I,'SUMMARY DATA'!$A:$A=$A7,'SUMMARY DATA'!$C:$C=$B7,'SUMMARY DATA'!$B:$B=""RWS"")),
  IF(
    OR(
      ISNUMBER(SEARCH(""CDM CASH DEPOSIT"",$C7)),
      ISNUMBER(SEARCH(""CASH DEPOSIT"",$C7)),
   "&amp;"   COUNTIFS('SUMMARY DATA'!$D:$D,$C7,'SUMMARY DATA'!$B:$B,""RWS"")&lt;&gt;1
    ),
    """",
    IFERROR(TEXTJOIN(CHAR(10),TRUE,FILTER('SUMMARY DATA'!I:I,'SUMMARY DATA'!$D:$D=$C7,'SUMMARY DATA'!$B:$B=""RWS"")),"""")
  )
)"),"")</f>
      </c>
      <c r="K7" s="2"/>
      <c r="L7" s="2"/>
      <c r="M7" s="2"/>
      <c r="N7" s="2"/>
      <c r="O7" s="2"/>
      <c r="P7" s="2"/>
      <c r="Q7" s="2"/>
      <c r="R7" s="2"/>
      <c r="S7" s="2"/>
      <c r="T7" s="2"/>
      <c r="U7" s="2"/>
      <c r="V7" s="2"/>
      <c r="W7" s="2"/>
      <c r="X7" s="2"/>
      <c r="Y7" s="2"/>
      <c r="Z7" s="2"/>
      <c r="AA7" s="2"/>
      <c r="AB7" s="2"/>
    </row>
    <row r="8" spans="1:28" customHeight="true">
      <c r="A8" s="2" t="s">
        <v>21</v>
      </c>
      <c r="B8" s="15">
        <v>45929</v>
      </c>
      <c r="C8" s="2" t="s">
        <v>22</v>
      </c>
      <c r="D8" s="3">
        <v>232.48</v>
      </c>
      <c r="E8" s="16" t="str">
        <f>IFERROR(__xludf.DUMMYFUNCTION("IFERROR(
  TEXTJOIN(CHAR(10),TRUE,FILTER('SUMMARY DATA'!E:E,'SUMMARY DATA'!$A:$A=$A8,'SUMMARY DATA'!$C:$C=$B8,'SUMMARY DATA'!$B:$B=""RWS"")),
  IF(
    OR(
      ISNUMBER(SEARCH(""CDM CASH DEPOSIT"",$C8)),
      ISNUMBER(SEARCH(""CASH DEPOSIT"",$C8)),
   "&amp;"   COUNTIFS('SUMMARY DATA'!$D:$D,$C8,'SUMMARY DATA'!$B:$B,""RWS"")&lt;&gt;1
    ),
    """",
    IFERROR(TEXTJOIN(CHAR(10),TRUE,FILTER('SUMMARY DATA'!E:E,'SUMMARY DATA'!$D:$D=$C8,'SUMMARY DATA'!$B:$B=""RWS"")),"""")
  )
)"),"")</f>
      </c>
      <c r="F8" s="17" t="str">
        <f>IFERROR(__xludf.DUMMYFUNCTION("IFERROR(
  TEXTJOIN(CHAR(10),TRUE,FILTER('SUMMARY DATA'!F:F,'SUMMARY DATA'!$A:$A=$A8,'SUMMARY DATA'!$C:$C=$B8,'SUMMARY DATA'!$B:$B=""RWS"")),
  IF(
    OR(
      ISNUMBER(SEARCH(""CDM CASH DEPOSIT"",$C8)),
      ISNUMBER(SEARCH(""CASH DEPOSIT"",$C8)),
   "&amp;"   COUNTIFS('SUMMARY DATA'!$D:$D,$C8,'SUMMARY DATA'!$B:$B,""RWS"")&lt;&gt;1
    ),
    """",
    IFERROR(TEXTJOIN(CHAR(10),TRUE,FILTER('SUMMARY DATA'!F:F,'SUMMARY DATA'!$D:$D=$C8,'SUMMARY DATA'!$B:$B=""RWS"")),"""")
  )
)"),"")</f>
      </c>
      <c r="G8" s="17" t="str">
        <f>IFERROR(__xludf.DUMMYFUNCTION("IFERROR(
  TEXTJOIN(CHAR(10),TRUE,FILTER('SUMMARY DATA'!G:G,'SUMMARY DATA'!$A:$A=$A8,'SUMMARY DATA'!$C:$C=$B8,'SUMMARY DATA'!$B:$B=""RWS"")),
  IF(
    OR(
      ISNUMBER(SEARCH(""CDM CASH DEPOSIT"",$C8)),
      ISNUMBER(SEARCH(""CASH DEPOSIT"",$C8)),
   "&amp;"   COUNTIFS('SUMMARY DATA'!$D:$D,$C8,'SUMMARY DATA'!$B:$B,""RWS"")&lt;&gt;1
    ),
    """",
    IFERROR(TEXTJOIN(CHAR(10),TRUE,FILTER('SUMMARY DATA'!G:G,'SUMMARY DATA'!$D:$D=$C8,'SUMMARY DATA'!$B:$B=""RWS"")),"""")
  )
)"),"")</f>
      </c>
      <c r="H8" s="18" t="str">
        <f>IFERROR(__xludf.DUMMYFUNCTION("IFERROR(
  TEXTJOIN(CHAR(10),TRUE,FILTER('SUMMARY DATA'!H:H,'SUMMARY DATA'!$A:$A=$A8,'SUMMARY DATA'!$C:$C=$B8,'SUMMARY DATA'!$B:$B=""RWS"",'SUMMARY DATA'!$H:$H=$D8)),
  IF(
    OR(
      ISNUMBER(SEARCH(""CDM CASH DEPOSIT"",$C8)),
      ISNUMBER(SEARCH("""&amp;"CASH DEPOSIT"",$C8))
    ),
    """",
    IFERROR(TEXTJOIN(CHAR(10),TRUE,FILTER('SUMMARY DATA'!H:H,'SUMMARY DATA'!$D:$D=$C8,'SUMMARY DATA'!$B:$B=""RWS"",'SUMMARY DATA'!$H:$H=$D8)),"""")
  )
)"),"")</f>
      </c>
      <c r="I8" s="18" t="str">
        <f>IFERROR(__xludf.DUMMYFUNCTION("IF(H8="""","""",
SUM(ARRAYFORMULA(VALUE(SPLIT(H8,CHAR(10)))))
)"),"")</f>
      </c>
      <c r="J8" s="17" t="str">
        <f>IFERROR(__xludf.DUMMYFUNCTION("IFERROR(
  TEXTJOIN(CHAR(10),TRUE,FILTER('SUMMARY DATA'!I:I,'SUMMARY DATA'!$A:$A=$A8,'SUMMARY DATA'!$C:$C=$B8,'SUMMARY DATA'!$B:$B=""RWS"")),
  IF(
    OR(
      ISNUMBER(SEARCH(""CDM CASH DEPOSIT"",$C8)),
      ISNUMBER(SEARCH(""CASH DEPOSIT"",$C8)),
   "&amp;"   COUNTIFS('SUMMARY DATA'!$D:$D,$C8,'SUMMARY DATA'!$B:$B,""RWS"")&lt;&gt;1
    ),
    """",
    IFERROR(TEXTJOIN(CHAR(10),TRUE,FILTER('SUMMARY DATA'!I:I,'SUMMARY DATA'!$D:$D=$C8,'SUMMARY DATA'!$B:$B=""RWS"")),"""")
  )
)"),"")</f>
      </c>
      <c r="K8" s="2"/>
      <c r="L8" s="2"/>
      <c r="M8" s="2"/>
      <c r="N8" s="2"/>
      <c r="O8" s="2"/>
      <c r="P8" s="2"/>
      <c r="Q8" s="2"/>
      <c r="R8" s="2"/>
      <c r="S8" s="2"/>
      <c r="T8" s="2"/>
      <c r="U8" s="2"/>
      <c r="V8" s="2"/>
      <c r="W8" s="2"/>
      <c r="X8" s="2"/>
      <c r="Y8" s="2"/>
      <c r="Z8" s="2"/>
      <c r="AA8" s="2"/>
      <c r="AB8" s="2"/>
    </row>
    <row r="9" spans="1:28" customHeight="true">
      <c r="A9" s="2" t="s">
        <v>23</v>
      </c>
      <c r="B9" s="15">
        <v>45929</v>
      </c>
      <c r="C9" s="2" t="s">
        <v>24</v>
      </c>
      <c r="D9" s="3">
        <v>203.98</v>
      </c>
      <c r="E9" s="16" t="str">
        <f>IFERROR(__xludf.DUMMYFUNCTION("IFERROR(
  TEXTJOIN(CHAR(10),TRUE,FILTER('SUMMARY DATA'!E:E,'SUMMARY DATA'!$A:$A=$A9,'SUMMARY DATA'!$C:$C=$B9,'SUMMARY DATA'!$B:$B=""RWS"")),
  IF(
    OR(
      ISNUMBER(SEARCH(""CDM CASH DEPOSIT"",$C9)),
      ISNUMBER(SEARCH(""CASH DEPOSIT"",$C9)),
   "&amp;"   COUNTIFS('SUMMARY DATA'!$D:$D,$C9,'SUMMARY DATA'!$B:$B,""RWS"")&lt;&gt;1
    ),
    """",
    IFERROR(TEXTJOIN(CHAR(10),TRUE,FILTER('SUMMARY DATA'!E:E,'SUMMARY DATA'!$D:$D=$C9,'SUMMARY DATA'!$B:$B=""RWS"")),"""")
  )
)"),"")</f>
      </c>
      <c r="F9" s="17" t="str">
        <f>IFERROR(__xludf.DUMMYFUNCTION("IFERROR(
  TEXTJOIN(CHAR(10),TRUE,FILTER('SUMMARY DATA'!F:F,'SUMMARY DATA'!$A:$A=$A9,'SUMMARY DATA'!$C:$C=$B9,'SUMMARY DATA'!$B:$B=""RWS"")),
  IF(
    OR(
      ISNUMBER(SEARCH(""CDM CASH DEPOSIT"",$C9)),
      ISNUMBER(SEARCH(""CASH DEPOSIT"",$C9)),
   "&amp;"   COUNTIFS('SUMMARY DATA'!$D:$D,$C9,'SUMMARY DATA'!$B:$B,""RWS"")&lt;&gt;1
    ),
    """",
    IFERROR(TEXTJOIN(CHAR(10),TRUE,FILTER('SUMMARY DATA'!F:F,'SUMMARY DATA'!$D:$D=$C9,'SUMMARY DATA'!$B:$B=""RWS"")),"""")
  )
)"),"")</f>
      </c>
      <c r="G9" s="17" t="str">
        <f>IFERROR(__xludf.DUMMYFUNCTION("IFERROR(
  TEXTJOIN(CHAR(10),TRUE,FILTER('SUMMARY DATA'!G:G,'SUMMARY DATA'!$A:$A=$A9,'SUMMARY DATA'!$C:$C=$B9,'SUMMARY DATA'!$B:$B=""RWS"")),
  IF(
    OR(
      ISNUMBER(SEARCH(""CDM CASH DEPOSIT"",$C9)),
      ISNUMBER(SEARCH(""CASH DEPOSIT"",$C9)),
   "&amp;"   COUNTIFS('SUMMARY DATA'!$D:$D,$C9,'SUMMARY DATA'!$B:$B,""RWS"")&lt;&gt;1
    ),
    """",
    IFERROR(TEXTJOIN(CHAR(10),TRUE,FILTER('SUMMARY DATA'!G:G,'SUMMARY DATA'!$D:$D=$C9,'SUMMARY DATA'!$B:$B=""RWS"")),"""")
  )
)"),"")</f>
      </c>
      <c r="H9" s="18" t="str">
        <f>IFERROR(__xludf.DUMMYFUNCTION("IFERROR(
  TEXTJOIN(CHAR(10),TRUE,FILTER('SUMMARY DATA'!H:H,'SUMMARY DATA'!$A:$A=$A9,'SUMMARY DATA'!$C:$C=$B9,'SUMMARY DATA'!$B:$B=""RWS"",'SUMMARY DATA'!$H:$H=$D9)),
  IF(
    OR(
      ISNUMBER(SEARCH(""CDM CASH DEPOSIT"",$C9)),
      ISNUMBER(SEARCH("""&amp;"CASH DEPOSIT"",$C9))
    ),
    """",
    IFERROR(TEXTJOIN(CHAR(10),TRUE,FILTER('SUMMARY DATA'!H:H,'SUMMARY DATA'!$D:$D=$C9,'SUMMARY DATA'!$B:$B=""RWS"",'SUMMARY DATA'!$H:$H=$D9)),"""")
  )
)"),"")</f>
      </c>
      <c r="I9" s="18" t="str">
        <f>IFERROR(__xludf.DUMMYFUNCTION("IF(H9="""","""",
SUM(ARRAYFORMULA(VALUE(SPLIT(H9,CHAR(10)))))
)"),"")</f>
      </c>
      <c r="J9" s="17" t="str">
        <f>IFERROR(__xludf.DUMMYFUNCTION("IFERROR(
  TEXTJOIN(CHAR(10),TRUE,FILTER('SUMMARY DATA'!I:I,'SUMMARY DATA'!$A:$A=$A9,'SUMMARY DATA'!$C:$C=$B9,'SUMMARY DATA'!$B:$B=""RWS"")),
  IF(
    OR(
      ISNUMBER(SEARCH(""CDM CASH DEPOSIT"",$C9)),
      ISNUMBER(SEARCH(""CASH DEPOSIT"",$C9)),
   "&amp;"   COUNTIFS('SUMMARY DATA'!$D:$D,$C9,'SUMMARY DATA'!$B:$B,""RWS"")&lt;&gt;1
    ),
    """",
    IFERROR(TEXTJOIN(CHAR(10),TRUE,FILTER('SUMMARY DATA'!I:I,'SUMMARY DATA'!$D:$D=$C9,'SUMMARY DATA'!$B:$B=""RWS"")),"""")
  )
)"),"")</f>
      </c>
      <c r="K9" s="2"/>
      <c r="L9" s="2"/>
      <c r="M9" s="2"/>
      <c r="N9" s="2"/>
      <c r="O9" s="2"/>
      <c r="P9" s="2"/>
      <c r="Q9" s="2"/>
      <c r="R9" s="2"/>
      <c r="S9" s="2"/>
      <c r="T9" s="2"/>
      <c r="U9" s="2"/>
      <c r="V9" s="2"/>
      <c r="W9" s="2"/>
      <c r="X9" s="2"/>
      <c r="Y9" s="2"/>
      <c r="Z9" s="2"/>
      <c r="AA9" s="2"/>
      <c r="AB9" s="2"/>
    </row>
    <row r="10" spans="1:28" customHeight="true">
      <c r="A10" s="2" t="s">
        <v>25</v>
      </c>
      <c r="B10" s="15">
        <v>45929</v>
      </c>
      <c r="C10" s="2" t="s">
        <v>26</v>
      </c>
      <c r="D10" s="3">
        <v>175.71</v>
      </c>
      <c r="E10" s="16" t="s">
        <v>2391</v>
      </c>
      <c r="F10" s="17" t="s">
        <v>2392</v>
      </c>
      <c r="G10" s="17" t="s">
        <v>2393</v>
      </c>
      <c r="H10" s="18">
        <v>175.71</v>
      </c>
      <c r="I10" s="18">
        <v>175.71</v>
      </c>
      <c r="J10" s="17" t="s">
        <v>2394</v>
      </c>
      <c r="K10" s="2" t="s">
        <v>2395</v>
      </c>
      <c r="L10" s="2"/>
      <c r="M10" s="2"/>
      <c r="N10" s="2"/>
      <c r="O10" s="2"/>
      <c r="P10" s="2"/>
      <c r="Q10" s="2"/>
      <c r="R10" s="2"/>
      <c r="S10" s="2"/>
      <c r="T10" s="2"/>
      <c r="U10" s="2"/>
      <c r="V10" s="2"/>
      <c r="W10" s="2"/>
      <c r="X10" s="2"/>
      <c r="Y10" s="2"/>
      <c r="Z10" s="2"/>
      <c r="AA10" s="2"/>
      <c r="AB10" s="2"/>
    </row>
    <row r="11" spans="1:28" customHeight="true">
      <c r="A11" s="2" t="s">
        <v>27</v>
      </c>
      <c r="B11" s="15">
        <v>45929</v>
      </c>
      <c r="C11" s="2" t="s">
        <v>28</v>
      </c>
      <c r="D11" s="3">
        <v>61.98</v>
      </c>
      <c r="E11" s="16" t="str">
        <f>IFERROR(__xludf.DUMMYFUNCTION("IFERROR(
  TEXTJOIN(CHAR(10),TRUE,FILTER('SUMMARY DATA'!E:E,'SUMMARY DATA'!$A:$A=$A11,'SUMMARY DATA'!$C:$C=$B11,'SUMMARY DATA'!$B:$B=""RWS"")),
  IF(
    OR(
      ISNUMBER(SEARCH(""CDM CASH DEPOSIT"",$C11)),
      ISNUMBER(SEARCH(""CASH DEPOSIT"",$C11)),"&amp;"
      COUNTIFS('SUMMARY DATA'!$D:$D,$C11,'SUMMARY DATA'!$B:$B,""RWS"")&lt;&gt;1
    ),
    """",
    IFERROR(TEXTJOIN(CHAR(10),TRUE,FILTER('SUMMARY DATA'!E:E,'SUMMARY DATA'!$D:$D=$C11,'SUMMARY DATA'!$B:$B=""RWS"")),"""")
  )
)"),"")</f>
      </c>
      <c r="F11" s="17" t="str">
        <f>IFERROR(__xludf.DUMMYFUNCTION("IFERROR(
  TEXTJOIN(CHAR(10),TRUE,FILTER('SUMMARY DATA'!F:F,'SUMMARY DATA'!$A:$A=$A11,'SUMMARY DATA'!$C:$C=$B11,'SUMMARY DATA'!$B:$B=""RWS"")),
  IF(
    OR(
      ISNUMBER(SEARCH(""CDM CASH DEPOSIT"",$C11)),
      ISNUMBER(SEARCH(""CASH DEPOSIT"",$C11)),"&amp;"
      COUNTIFS('SUMMARY DATA'!$D:$D,$C11,'SUMMARY DATA'!$B:$B,""RWS"")&lt;&gt;1
    ),
    """",
    IFERROR(TEXTJOIN(CHAR(10),TRUE,FILTER('SUMMARY DATA'!F:F,'SUMMARY DATA'!$D:$D=$C11,'SUMMARY DATA'!$B:$B=""RWS"")),"""")
  )
)"),"")</f>
      </c>
      <c r="G11" s="17" t="str">
        <f>IFERROR(__xludf.DUMMYFUNCTION("IFERROR(
  TEXTJOIN(CHAR(10),TRUE,FILTER('SUMMARY DATA'!G:G,'SUMMARY DATA'!$A:$A=$A11,'SUMMARY DATA'!$C:$C=$B11,'SUMMARY DATA'!$B:$B=""RWS"")),
  IF(
    OR(
      ISNUMBER(SEARCH(""CDM CASH DEPOSIT"",$C11)),
      ISNUMBER(SEARCH(""CASH DEPOSIT"",$C11)),"&amp;"
      COUNTIFS('SUMMARY DATA'!$D:$D,$C11,'SUMMARY DATA'!$B:$B,""RWS"")&lt;&gt;1
    ),
    """",
    IFERROR(TEXTJOIN(CHAR(10),TRUE,FILTER('SUMMARY DATA'!G:G,'SUMMARY DATA'!$D:$D=$C11,'SUMMARY DATA'!$B:$B=""RWS"")),"""")
  )
)"),"")</f>
      </c>
      <c r="H11" s="18" t="str">
        <f>IFERROR(__xludf.DUMMYFUNCTION("IFERROR(
  TEXTJOIN(CHAR(10),TRUE,FILTER('SUMMARY DATA'!H:H,'SUMMARY DATA'!$A:$A=$A11,'SUMMARY DATA'!$C:$C=$B11,'SUMMARY DATA'!$B:$B=""RWS"",'SUMMARY DATA'!$H:$H=$D11)),
  IF(
    OR(
      ISNUMBER(SEARCH(""CDM CASH DEPOSIT"",$C11)),
      ISNUMBER(SEARC"&amp;"H(""CASH DEPOSIT"",$C11))
    ),
    """",
    IFERROR(TEXTJOIN(CHAR(10),TRUE,FILTER('SUMMARY DATA'!H:H,'SUMMARY DATA'!$D:$D=$C11,'SUMMARY DATA'!$B:$B=""RWS"",'SUMMARY DATA'!$H:$H=$D11)),"""")
  )
)"),"")</f>
      </c>
      <c r="I11" s="18" t="str">
        <f>IFERROR(__xludf.DUMMYFUNCTION("IF(H11="""","""",
SUM(ARRAYFORMULA(VALUE(SPLIT(H11,CHAR(10)))))
)"),"")</f>
      </c>
      <c r="J11" s="17" t="str">
        <f>IFERROR(__xludf.DUMMYFUNCTION("IFERROR(
  TEXTJOIN(CHAR(10),TRUE,FILTER('SUMMARY DATA'!I:I,'SUMMARY DATA'!$A:$A=$A11,'SUMMARY DATA'!$C:$C=$B11,'SUMMARY DATA'!$B:$B=""RWS"")),
  IF(
    OR(
      ISNUMBER(SEARCH(""CDM CASH DEPOSIT"",$C11)),
      ISNUMBER(SEARCH(""CASH DEPOSIT"",$C11)),"&amp;"
      COUNTIFS('SUMMARY DATA'!$D:$D,$C11,'SUMMARY DATA'!$B:$B,""RWS"")&lt;&gt;1
    ),
    """",
    IFERROR(TEXTJOIN(CHAR(10),TRUE,FILTER('SUMMARY DATA'!I:I,'SUMMARY DATA'!$D:$D=$C11,'SUMMARY DATA'!$B:$B=""RWS"")),"""")
  )
)"),"")</f>
      </c>
      <c r="K11" s="2"/>
      <c r="L11" s="2"/>
      <c r="M11" s="2"/>
      <c r="N11" s="2"/>
      <c r="O11" s="2"/>
      <c r="P11" s="2"/>
      <c r="Q11" s="2"/>
      <c r="R11" s="2"/>
      <c r="S11" s="2"/>
      <c r="T11" s="2"/>
      <c r="U11" s="2"/>
      <c r="V11" s="2"/>
      <c r="W11" s="2"/>
      <c r="X11" s="2"/>
      <c r="Y11" s="2"/>
      <c r="Z11" s="2"/>
      <c r="AA11" s="2"/>
      <c r="AB11" s="2"/>
    </row>
    <row r="12" spans="1:28" customHeight="true">
      <c r="A12" s="2" t="s">
        <v>29</v>
      </c>
      <c r="B12" s="15">
        <v>45928</v>
      </c>
      <c r="C12" s="2" t="s">
        <v>30</v>
      </c>
      <c r="D12" s="3">
        <v>20</v>
      </c>
      <c r="E12" s="16" t="str">
        <f>IFERROR(__xludf.DUMMYFUNCTION("IFERROR(
  TEXTJOIN(CHAR(10),TRUE,FILTER('SUMMARY DATA'!E:E,'SUMMARY DATA'!$A:$A=$A12,'SUMMARY DATA'!$C:$C=$B12,'SUMMARY DATA'!$B:$B=""RWS"")),
  IF(
    OR(
      ISNUMBER(SEARCH(""CDM CASH DEPOSIT"",$C12)),
      ISNUMBER(SEARCH(""CASH DEPOSIT"",$C12)),"&amp;"
      COUNTIFS('SUMMARY DATA'!$D:$D,$C12,'SUMMARY DATA'!$B:$B,""RWS"")&lt;&gt;1
    ),
    """",
    IFERROR(TEXTJOIN(CHAR(10),TRUE,FILTER('SUMMARY DATA'!E:E,'SUMMARY DATA'!$D:$D=$C12,'SUMMARY DATA'!$B:$B=""RWS"")),"""")
  )
)"),"")</f>
      </c>
      <c r="F12" s="17" t="str">
        <f>IFERROR(__xludf.DUMMYFUNCTION("IFERROR(
  TEXTJOIN(CHAR(10),TRUE,FILTER('SUMMARY DATA'!F:F,'SUMMARY DATA'!$A:$A=$A12,'SUMMARY DATA'!$C:$C=$B12,'SUMMARY DATA'!$B:$B=""RWS"")),
  IF(
    OR(
      ISNUMBER(SEARCH(""CDM CASH DEPOSIT"",$C12)),
      ISNUMBER(SEARCH(""CASH DEPOSIT"",$C12)),"&amp;"
      COUNTIFS('SUMMARY DATA'!$D:$D,$C12,'SUMMARY DATA'!$B:$B,""RWS"")&lt;&gt;1
    ),
    """",
    IFERROR(TEXTJOIN(CHAR(10),TRUE,FILTER('SUMMARY DATA'!F:F,'SUMMARY DATA'!$D:$D=$C12,'SUMMARY DATA'!$B:$B=""RWS"")),"""")
  )
)"),"")</f>
      </c>
      <c r="G12" s="17" t="str">
        <f>IFERROR(__xludf.DUMMYFUNCTION("IFERROR(
  TEXTJOIN(CHAR(10),TRUE,FILTER('SUMMARY DATA'!G:G,'SUMMARY DATA'!$A:$A=$A12,'SUMMARY DATA'!$C:$C=$B12,'SUMMARY DATA'!$B:$B=""RWS"")),
  IF(
    OR(
      ISNUMBER(SEARCH(""CDM CASH DEPOSIT"",$C12)),
      ISNUMBER(SEARCH(""CASH DEPOSIT"",$C12)),"&amp;"
      COUNTIFS('SUMMARY DATA'!$D:$D,$C12,'SUMMARY DATA'!$B:$B,""RWS"")&lt;&gt;1
    ),
    """",
    IFERROR(TEXTJOIN(CHAR(10),TRUE,FILTER('SUMMARY DATA'!G:G,'SUMMARY DATA'!$D:$D=$C12,'SUMMARY DATA'!$B:$B=""RWS"")),"""")
  )
)"),"")</f>
      </c>
      <c r="H12" s="18" t="str">
        <f>IFERROR(__xludf.DUMMYFUNCTION("IFERROR(
  TEXTJOIN(CHAR(10),TRUE,FILTER('SUMMARY DATA'!H:H,'SUMMARY DATA'!$A:$A=$A12,'SUMMARY DATA'!$C:$C=$B12,'SUMMARY DATA'!$B:$B=""RWS"",'SUMMARY DATA'!$H:$H=$D12)),
  IF(
    OR(
      ISNUMBER(SEARCH(""CDM CASH DEPOSIT"",$C12)),
      ISNUMBER(SEARC"&amp;"H(""CASH DEPOSIT"",$C12))
    ),
    """",
    IFERROR(TEXTJOIN(CHAR(10),TRUE,FILTER('SUMMARY DATA'!H:H,'SUMMARY DATA'!$D:$D=$C12,'SUMMARY DATA'!$B:$B=""RWS"",'SUMMARY DATA'!$H:$H=$D12)),"""")
  )
)"),"")</f>
      </c>
      <c r="I12" s="18" t="str">
        <f>IFERROR(__xludf.DUMMYFUNCTION("IF(H12="""","""",
SUM(ARRAYFORMULA(VALUE(SPLIT(H12,CHAR(10)))))
)"),"")</f>
      </c>
      <c r="J12" s="17" t="str">
        <f>IFERROR(__xludf.DUMMYFUNCTION("IFERROR(
  TEXTJOIN(CHAR(10),TRUE,FILTER('SUMMARY DATA'!I:I,'SUMMARY DATA'!$A:$A=$A12,'SUMMARY DATA'!$C:$C=$B12,'SUMMARY DATA'!$B:$B=""RWS"")),
  IF(
    OR(
      ISNUMBER(SEARCH(""CDM CASH DEPOSIT"",$C12)),
      ISNUMBER(SEARCH(""CASH DEPOSIT"",$C12)),"&amp;"
      COUNTIFS('SUMMARY DATA'!$D:$D,$C12,'SUMMARY DATA'!$B:$B,""RWS"")&lt;&gt;1
    ),
    """",
    IFERROR(TEXTJOIN(CHAR(10),TRUE,FILTER('SUMMARY DATA'!I:I,'SUMMARY DATA'!$D:$D=$C12,'SUMMARY DATA'!$B:$B=""RWS"")),"""")
  )
)"),"")</f>
      </c>
      <c r="K12" s="2"/>
      <c r="L12" s="2"/>
      <c r="M12" s="2"/>
      <c r="N12" s="2"/>
      <c r="O12" s="2"/>
      <c r="P12" s="2"/>
      <c r="Q12" s="2"/>
      <c r="R12" s="2"/>
      <c r="S12" s="2"/>
      <c r="T12" s="2"/>
      <c r="U12" s="2"/>
      <c r="V12" s="2"/>
      <c r="W12" s="2"/>
      <c r="X12" s="2"/>
      <c r="Y12" s="2"/>
      <c r="Z12" s="2"/>
      <c r="AA12" s="2"/>
      <c r="AB12" s="2"/>
    </row>
    <row r="13" spans="1:28" customHeight="true">
      <c r="A13" s="2" t="s">
        <v>29</v>
      </c>
      <c r="B13" s="15">
        <v>45928</v>
      </c>
      <c r="C13" s="2" t="s">
        <v>30</v>
      </c>
      <c r="D13" s="3">
        <v>110</v>
      </c>
      <c r="E13" s="16" t="str">
        <f>IFERROR(__xludf.DUMMYFUNCTION("IFERROR(
  TEXTJOIN(CHAR(10),TRUE,FILTER('SUMMARY DATA'!E:E,'SUMMARY DATA'!$A:$A=$A13,'SUMMARY DATA'!$C:$C=$B13,'SUMMARY DATA'!$B:$B=""RWS"")),
  IF(
    OR(
      ISNUMBER(SEARCH(""CDM CASH DEPOSIT"",$C13)),
      ISNUMBER(SEARCH(""CASH DEPOSIT"",$C13)),"&amp;"
      COUNTIFS('SUMMARY DATA'!$D:$D,$C13,'SUMMARY DATA'!$B:$B,""RWS"")&lt;&gt;1
    ),
    """",
    IFERROR(TEXTJOIN(CHAR(10),TRUE,FILTER('SUMMARY DATA'!E:E,'SUMMARY DATA'!$D:$D=$C13,'SUMMARY DATA'!$B:$B=""RWS"")),"""")
  )
)"),"")</f>
      </c>
      <c r="F13" s="17" t="str">
        <f>IFERROR(__xludf.DUMMYFUNCTION("IFERROR(
  TEXTJOIN(CHAR(10),TRUE,FILTER('SUMMARY DATA'!F:F,'SUMMARY DATA'!$A:$A=$A13,'SUMMARY DATA'!$C:$C=$B13,'SUMMARY DATA'!$B:$B=""RWS"")),
  IF(
    OR(
      ISNUMBER(SEARCH(""CDM CASH DEPOSIT"",$C13)),
      ISNUMBER(SEARCH(""CASH DEPOSIT"",$C13)),"&amp;"
      COUNTIFS('SUMMARY DATA'!$D:$D,$C13,'SUMMARY DATA'!$B:$B,""RWS"")&lt;&gt;1
    ),
    """",
    IFERROR(TEXTJOIN(CHAR(10),TRUE,FILTER('SUMMARY DATA'!F:F,'SUMMARY DATA'!$D:$D=$C13,'SUMMARY DATA'!$B:$B=""RWS"")),"""")
  )
)"),"")</f>
      </c>
      <c r="G13" s="17" t="str">
        <f>IFERROR(__xludf.DUMMYFUNCTION("IFERROR(
  TEXTJOIN(CHAR(10),TRUE,FILTER('SUMMARY DATA'!G:G,'SUMMARY DATA'!$A:$A=$A13,'SUMMARY DATA'!$C:$C=$B13,'SUMMARY DATA'!$B:$B=""RWS"")),
  IF(
    OR(
      ISNUMBER(SEARCH(""CDM CASH DEPOSIT"",$C13)),
      ISNUMBER(SEARCH(""CASH DEPOSIT"",$C13)),"&amp;"
      COUNTIFS('SUMMARY DATA'!$D:$D,$C13,'SUMMARY DATA'!$B:$B,""RWS"")&lt;&gt;1
    ),
    """",
    IFERROR(TEXTJOIN(CHAR(10),TRUE,FILTER('SUMMARY DATA'!G:G,'SUMMARY DATA'!$D:$D=$C13,'SUMMARY DATA'!$B:$B=""RWS"")),"""")
  )
)"),"")</f>
      </c>
      <c r="H13" s="18" t="str">
        <f>IFERROR(__xludf.DUMMYFUNCTION("IFERROR(
  TEXTJOIN(CHAR(10),TRUE,FILTER('SUMMARY DATA'!H:H,'SUMMARY DATA'!$A:$A=$A13,'SUMMARY DATA'!$C:$C=$B13,'SUMMARY DATA'!$B:$B=""RWS"",'SUMMARY DATA'!$H:$H=$D13)),
  IF(
    OR(
      ISNUMBER(SEARCH(""CDM CASH DEPOSIT"",$C13)),
      ISNUMBER(SEARC"&amp;"H(""CASH DEPOSIT"",$C13))
    ),
    """",
    IFERROR(TEXTJOIN(CHAR(10),TRUE,FILTER('SUMMARY DATA'!H:H,'SUMMARY DATA'!$D:$D=$C13,'SUMMARY DATA'!$B:$B=""RWS"",'SUMMARY DATA'!$H:$H=$D13)),"""")
  )
)"),"")</f>
      </c>
      <c r="I13" s="18" t="str">
        <f>IFERROR(__xludf.DUMMYFUNCTION("IF(H13="""","""",
SUM(ARRAYFORMULA(VALUE(SPLIT(H13,CHAR(10)))))
)"),"")</f>
      </c>
      <c r="J13" s="17" t="str">
        <f>IFERROR(__xludf.DUMMYFUNCTION("IFERROR(
  TEXTJOIN(CHAR(10),TRUE,FILTER('SUMMARY DATA'!I:I,'SUMMARY DATA'!$A:$A=$A13,'SUMMARY DATA'!$C:$C=$B13,'SUMMARY DATA'!$B:$B=""RWS"")),
  IF(
    OR(
      ISNUMBER(SEARCH(""CDM CASH DEPOSIT"",$C13)),
      ISNUMBER(SEARCH(""CASH DEPOSIT"",$C13)),"&amp;"
      COUNTIFS('SUMMARY DATA'!$D:$D,$C13,'SUMMARY DATA'!$B:$B,""RWS"")&lt;&gt;1
    ),
    """",
    IFERROR(TEXTJOIN(CHAR(10),TRUE,FILTER('SUMMARY DATA'!I:I,'SUMMARY DATA'!$D:$D=$C13,'SUMMARY DATA'!$B:$B=""RWS"")),"""")
  )
)"),"")</f>
      </c>
      <c r="K13" s="2"/>
      <c r="L13" s="2"/>
      <c r="M13" s="2"/>
      <c r="N13" s="2"/>
      <c r="O13" s="2"/>
      <c r="P13" s="2"/>
      <c r="Q13" s="2"/>
      <c r="R13" s="2"/>
      <c r="S13" s="2"/>
      <c r="T13" s="2"/>
      <c r="U13" s="2"/>
      <c r="V13" s="2"/>
      <c r="W13" s="2"/>
      <c r="X13" s="2"/>
      <c r="Y13" s="2"/>
      <c r="Z13" s="2"/>
      <c r="AA13" s="2"/>
      <c r="AB13" s="2"/>
    </row>
    <row r="14" spans="1:28" customHeight="true">
      <c r="A14" s="2" t="s">
        <v>31</v>
      </c>
      <c r="B14" s="15">
        <v>45928</v>
      </c>
      <c r="C14" s="2" t="s">
        <v>32</v>
      </c>
      <c r="D14" s="3">
        <v>325.99</v>
      </c>
      <c r="E14" s="16" t="s">
        <v>2396</v>
      </c>
      <c r="F14" s="17" t="s">
        <v>2397</v>
      </c>
      <c r="G14" s="17" t="s">
        <v>2393</v>
      </c>
      <c r="H14" s="18">
        <v>325.99</v>
      </c>
      <c r="I14" s="18">
        <v>325.99</v>
      </c>
      <c r="J14" s="17" t="s">
        <v>2394</v>
      </c>
      <c r="K14" s="2" t="s">
        <v>2395</v>
      </c>
      <c r="L14" s="2"/>
      <c r="M14" s="2"/>
      <c r="N14" s="2"/>
      <c r="O14" s="2"/>
      <c r="P14" s="2"/>
      <c r="Q14" s="2"/>
      <c r="R14" s="2"/>
      <c r="S14" s="2"/>
      <c r="T14" s="2"/>
      <c r="U14" s="2"/>
      <c r="V14" s="2"/>
      <c r="W14" s="2"/>
      <c r="X14" s="2"/>
      <c r="Y14" s="2"/>
      <c r="Z14" s="2"/>
      <c r="AA14" s="2"/>
      <c r="AB14" s="2"/>
    </row>
    <row r="15" spans="1:28" customHeight="true">
      <c r="A15" s="2" t="s">
        <v>33</v>
      </c>
      <c r="B15" s="15">
        <v>45928</v>
      </c>
      <c r="C15" s="2" t="s">
        <v>34</v>
      </c>
      <c r="D15" s="3">
        <v>10</v>
      </c>
      <c r="E15" s="16" t="str">
        <f>IFERROR(__xludf.DUMMYFUNCTION("IFERROR(
  TEXTJOIN(CHAR(10),TRUE,FILTER('SUMMARY DATA'!E:E,'SUMMARY DATA'!$A:$A=$A15,'SUMMARY DATA'!$C:$C=$B15,'SUMMARY DATA'!$B:$B=""RWS"")),
  IF(
    OR(
      ISNUMBER(SEARCH(""CDM CASH DEPOSIT"",$C15)),
      ISNUMBER(SEARCH(""CASH DEPOSIT"",$C15)),"&amp;"
      COUNTIFS('SUMMARY DATA'!$D:$D,$C15,'SUMMARY DATA'!$B:$B,""RWS"")&lt;&gt;1
    ),
    """",
    IFERROR(TEXTJOIN(CHAR(10),TRUE,FILTER('SUMMARY DATA'!E:E,'SUMMARY DATA'!$D:$D=$C15,'SUMMARY DATA'!$B:$B=""RWS"")),"""")
  )
)"),"")</f>
      </c>
      <c r="F15" s="17" t="str">
        <f>IFERROR(__xludf.DUMMYFUNCTION("IFERROR(
  TEXTJOIN(CHAR(10),TRUE,FILTER('SUMMARY DATA'!F:F,'SUMMARY DATA'!$A:$A=$A15,'SUMMARY DATA'!$C:$C=$B15,'SUMMARY DATA'!$B:$B=""RWS"")),
  IF(
    OR(
      ISNUMBER(SEARCH(""CDM CASH DEPOSIT"",$C15)),
      ISNUMBER(SEARCH(""CASH DEPOSIT"",$C15)),"&amp;"
      COUNTIFS('SUMMARY DATA'!$D:$D,$C15,'SUMMARY DATA'!$B:$B,""RWS"")&lt;&gt;1
    ),
    """",
    IFERROR(TEXTJOIN(CHAR(10),TRUE,FILTER('SUMMARY DATA'!F:F,'SUMMARY DATA'!$D:$D=$C15,'SUMMARY DATA'!$B:$B=""RWS"")),"""")
  )
)"),"")</f>
      </c>
      <c r="G15" s="17" t="str">
        <f>IFERROR(__xludf.DUMMYFUNCTION("IFERROR(
  TEXTJOIN(CHAR(10),TRUE,FILTER('SUMMARY DATA'!G:G,'SUMMARY DATA'!$A:$A=$A15,'SUMMARY DATA'!$C:$C=$B15,'SUMMARY DATA'!$B:$B=""RWS"")),
  IF(
    OR(
      ISNUMBER(SEARCH(""CDM CASH DEPOSIT"",$C15)),
      ISNUMBER(SEARCH(""CASH DEPOSIT"",$C15)),"&amp;"
      COUNTIFS('SUMMARY DATA'!$D:$D,$C15,'SUMMARY DATA'!$B:$B,""RWS"")&lt;&gt;1
    ),
    """",
    IFERROR(TEXTJOIN(CHAR(10),TRUE,FILTER('SUMMARY DATA'!G:G,'SUMMARY DATA'!$D:$D=$C15,'SUMMARY DATA'!$B:$B=""RWS"")),"""")
  )
)"),"")</f>
      </c>
      <c r="H15" s="18" t="str">
        <f>IFERROR(__xludf.DUMMYFUNCTION("IFERROR(
  TEXTJOIN(CHAR(10),TRUE,FILTER('SUMMARY DATA'!H:H,'SUMMARY DATA'!$A:$A=$A15,'SUMMARY DATA'!$C:$C=$B15,'SUMMARY DATA'!$B:$B=""RWS"",'SUMMARY DATA'!$H:$H=$D15)),
  IF(
    OR(
      ISNUMBER(SEARCH(""CDM CASH DEPOSIT"",$C15)),
      ISNUMBER(SEARC"&amp;"H(""CASH DEPOSIT"",$C15))
    ),
    """",
    IFERROR(TEXTJOIN(CHAR(10),TRUE,FILTER('SUMMARY DATA'!H:H,'SUMMARY DATA'!$D:$D=$C15,'SUMMARY DATA'!$B:$B=""RWS"",'SUMMARY DATA'!$H:$H=$D15)),"""")
  )
)"),"")</f>
      </c>
      <c r="I15" s="18" t="str">
        <f>IFERROR(__xludf.DUMMYFUNCTION("IF(H15="""","""",
SUM(ARRAYFORMULA(VALUE(SPLIT(H15,CHAR(10)))))
)"),"")</f>
      </c>
      <c r="J15" s="17" t="str">
        <f>IFERROR(__xludf.DUMMYFUNCTION("IFERROR(
  TEXTJOIN(CHAR(10),TRUE,FILTER('SUMMARY DATA'!I:I,'SUMMARY DATA'!$A:$A=$A15,'SUMMARY DATA'!$C:$C=$B15,'SUMMARY DATA'!$B:$B=""RWS"")),
  IF(
    OR(
      ISNUMBER(SEARCH(""CDM CASH DEPOSIT"",$C15)),
      ISNUMBER(SEARCH(""CASH DEPOSIT"",$C15)),"&amp;"
      COUNTIFS('SUMMARY DATA'!$D:$D,$C15,'SUMMARY DATA'!$B:$B,""RWS"")&lt;&gt;1
    ),
    """",
    IFERROR(TEXTJOIN(CHAR(10),TRUE,FILTER('SUMMARY DATA'!I:I,'SUMMARY DATA'!$D:$D=$C15,'SUMMARY DATA'!$B:$B=""RWS"")),"""")
  )
)"),"")</f>
      </c>
      <c r="K15" s="2"/>
      <c r="L15" s="2"/>
      <c r="M15" s="2"/>
      <c r="N15" s="2"/>
      <c r="O15" s="2"/>
      <c r="P15" s="2"/>
      <c r="Q15" s="2"/>
      <c r="R15" s="2"/>
      <c r="S15" s="2"/>
      <c r="T15" s="2"/>
      <c r="U15" s="2"/>
      <c r="V15" s="2"/>
      <c r="W15" s="2"/>
      <c r="X15" s="2"/>
      <c r="Y15" s="2"/>
      <c r="Z15" s="2"/>
      <c r="AA15" s="2"/>
      <c r="AB15" s="2"/>
    </row>
    <row r="16" spans="1:28" customHeight="true">
      <c r="A16" s="2" t="s">
        <v>35</v>
      </c>
      <c r="B16" s="15">
        <v>45928</v>
      </c>
      <c r="C16" s="2" t="s">
        <v>36</v>
      </c>
      <c r="D16" s="3">
        <v>2</v>
      </c>
      <c r="E16" s="16" t="str">
        <f>IFERROR(__xludf.DUMMYFUNCTION("IFERROR(
  TEXTJOIN(CHAR(10),TRUE,FILTER('SUMMARY DATA'!E:E,'SUMMARY DATA'!$A:$A=$A16,'SUMMARY DATA'!$C:$C=$B16,'SUMMARY DATA'!$B:$B=""RWS"")),
  IF(
    OR(
      ISNUMBER(SEARCH(""CDM CASH DEPOSIT"",$C16)),
      ISNUMBER(SEARCH(""CASH DEPOSIT"",$C16)),"&amp;"
      COUNTIFS('SUMMARY DATA'!$D:$D,$C16,'SUMMARY DATA'!$B:$B,""RWS"")&lt;&gt;1
    ),
    """",
    IFERROR(TEXTJOIN(CHAR(10),TRUE,FILTER('SUMMARY DATA'!E:E,'SUMMARY DATA'!$D:$D=$C16,'SUMMARY DATA'!$B:$B=""RWS"")),"""")
  )
)"),"")</f>
      </c>
      <c r="F16" s="17" t="str">
        <f>IFERROR(__xludf.DUMMYFUNCTION("IFERROR(
  TEXTJOIN(CHAR(10),TRUE,FILTER('SUMMARY DATA'!F:F,'SUMMARY DATA'!$A:$A=$A16,'SUMMARY DATA'!$C:$C=$B16,'SUMMARY DATA'!$B:$B=""RWS"")),
  IF(
    OR(
      ISNUMBER(SEARCH(""CDM CASH DEPOSIT"",$C16)),
      ISNUMBER(SEARCH(""CASH DEPOSIT"",$C16)),"&amp;"
      COUNTIFS('SUMMARY DATA'!$D:$D,$C16,'SUMMARY DATA'!$B:$B,""RWS"")&lt;&gt;1
    ),
    """",
    IFERROR(TEXTJOIN(CHAR(10),TRUE,FILTER('SUMMARY DATA'!F:F,'SUMMARY DATA'!$D:$D=$C16,'SUMMARY DATA'!$B:$B=""RWS"")),"""")
  )
)"),"")</f>
      </c>
      <c r="G16" s="17" t="str">
        <f>IFERROR(__xludf.DUMMYFUNCTION("IFERROR(
  TEXTJOIN(CHAR(10),TRUE,FILTER('SUMMARY DATA'!G:G,'SUMMARY DATA'!$A:$A=$A16,'SUMMARY DATA'!$C:$C=$B16,'SUMMARY DATA'!$B:$B=""RWS"")),
  IF(
    OR(
      ISNUMBER(SEARCH(""CDM CASH DEPOSIT"",$C16)),
      ISNUMBER(SEARCH(""CASH DEPOSIT"",$C16)),"&amp;"
      COUNTIFS('SUMMARY DATA'!$D:$D,$C16,'SUMMARY DATA'!$B:$B,""RWS"")&lt;&gt;1
    ),
    """",
    IFERROR(TEXTJOIN(CHAR(10),TRUE,FILTER('SUMMARY DATA'!G:G,'SUMMARY DATA'!$D:$D=$C16,'SUMMARY DATA'!$B:$B=""RWS"")),"""")
  )
)"),"")</f>
      </c>
      <c r="H16" s="18" t="str">
        <f>IFERROR(__xludf.DUMMYFUNCTION("IFERROR(
  TEXTJOIN(CHAR(10),TRUE,FILTER('SUMMARY DATA'!H:H,'SUMMARY DATA'!$A:$A=$A16,'SUMMARY DATA'!$C:$C=$B16,'SUMMARY DATA'!$B:$B=""RWS"",'SUMMARY DATA'!$H:$H=$D16)),
  IF(
    OR(
      ISNUMBER(SEARCH(""CDM CASH DEPOSIT"",$C16)),
      ISNUMBER(SEARC"&amp;"H(""CASH DEPOSIT"",$C16))
    ),
    """",
    IFERROR(TEXTJOIN(CHAR(10),TRUE,FILTER('SUMMARY DATA'!H:H,'SUMMARY DATA'!$D:$D=$C16,'SUMMARY DATA'!$B:$B=""RWS"",'SUMMARY DATA'!$H:$H=$D16)),"""")
  )
)"),"")</f>
      </c>
      <c r="I16" s="18" t="str">
        <f>IFERROR(__xludf.DUMMYFUNCTION("IF(H16="""","""",
SUM(ARRAYFORMULA(VALUE(SPLIT(H16,CHAR(10)))))
)"),"")</f>
      </c>
      <c r="J16" s="17" t="str">
        <f>IFERROR(__xludf.DUMMYFUNCTION("IFERROR(
  TEXTJOIN(CHAR(10),TRUE,FILTER('SUMMARY DATA'!I:I,'SUMMARY DATA'!$A:$A=$A16,'SUMMARY DATA'!$C:$C=$B16,'SUMMARY DATA'!$B:$B=""RWS"")),
  IF(
    OR(
      ISNUMBER(SEARCH(""CDM CASH DEPOSIT"",$C16)),
      ISNUMBER(SEARCH(""CASH DEPOSIT"",$C16)),"&amp;"
      COUNTIFS('SUMMARY DATA'!$D:$D,$C16,'SUMMARY DATA'!$B:$B,""RWS"")&lt;&gt;1
    ),
    """",
    IFERROR(TEXTJOIN(CHAR(10),TRUE,FILTER('SUMMARY DATA'!I:I,'SUMMARY DATA'!$D:$D=$C16,'SUMMARY DATA'!$B:$B=""RWS"")),"""")
  )
)"),"")</f>
      </c>
      <c r="K16" s="2"/>
      <c r="L16" s="2"/>
      <c r="M16" s="2"/>
      <c r="N16" s="2"/>
      <c r="O16" s="2"/>
      <c r="P16" s="2"/>
      <c r="Q16" s="2"/>
      <c r="R16" s="2"/>
      <c r="S16" s="2"/>
      <c r="T16" s="2"/>
      <c r="U16" s="2"/>
      <c r="V16" s="2"/>
      <c r="W16" s="2"/>
      <c r="X16" s="2"/>
      <c r="Y16" s="2"/>
      <c r="Z16" s="2"/>
      <c r="AA16" s="2"/>
      <c r="AB16" s="2"/>
    </row>
    <row r="17" spans="1:28" customHeight="true">
      <c r="A17" s="2" t="s">
        <v>37</v>
      </c>
      <c r="B17" s="15">
        <v>45928</v>
      </c>
      <c r="C17" s="2" t="s">
        <v>38</v>
      </c>
      <c r="D17" s="3">
        <v>6.26</v>
      </c>
      <c r="E17" s="16" t="str">
        <f>IFERROR(__xludf.DUMMYFUNCTION("IFERROR(
  TEXTJOIN(CHAR(10),TRUE,FILTER('SUMMARY DATA'!E:E,'SUMMARY DATA'!$A:$A=$A17,'SUMMARY DATA'!$C:$C=$B17,'SUMMARY DATA'!$B:$B=""RWS"")),
  IF(
    OR(
      ISNUMBER(SEARCH(""CDM CASH DEPOSIT"",$C17)),
      ISNUMBER(SEARCH(""CASH DEPOSIT"",$C17)),"&amp;"
      COUNTIFS('SUMMARY DATA'!$D:$D,$C17,'SUMMARY DATA'!$B:$B,""RWS"")&lt;&gt;1
    ),
    """",
    IFERROR(TEXTJOIN(CHAR(10),TRUE,FILTER('SUMMARY DATA'!E:E,'SUMMARY DATA'!$D:$D=$C17,'SUMMARY DATA'!$B:$B=""RWS"")),"""")
  )
)"),"")</f>
      </c>
      <c r="F17" s="17" t="str">
        <f>IFERROR(__xludf.DUMMYFUNCTION("IFERROR(
  TEXTJOIN(CHAR(10),TRUE,FILTER('SUMMARY DATA'!F:F,'SUMMARY DATA'!$A:$A=$A17,'SUMMARY DATA'!$C:$C=$B17,'SUMMARY DATA'!$B:$B=""RWS"")),
  IF(
    OR(
      ISNUMBER(SEARCH(""CDM CASH DEPOSIT"",$C17)),
      ISNUMBER(SEARCH(""CASH DEPOSIT"",$C17)),"&amp;"
      COUNTIFS('SUMMARY DATA'!$D:$D,$C17,'SUMMARY DATA'!$B:$B,""RWS"")&lt;&gt;1
    ),
    """",
    IFERROR(TEXTJOIN(CHAR(10),TRUE,FILTER('SUMMARY DATA'!F:F,'SUMMARY DATA'!$D:$D=$C17,'SUMMARY DATA'!$B:$B=""RWS"")),"""")
  )
)"),"")</f>
      </c>
      <c r="G17" s="17" t="str">
        <f>IFERROR(__xludf.DUMMYFUNCTION("IFERROR(
  TEXTJOIN(CHAR(10),TRUE,FILTER('SUMMARY DATA'!G:G,'SUMMARY DATA'!$A:$A=$A17,'SUMMARY DATA'!$C:$C=$B17,'SUMMARY DATA'!$B:$B=""RWS"")),
  IF(
    OR(
      ISNUMBER(SEARCH(""CDM CASH DEPOSIT"",$C17)),
      ISNUMBER(SEARCH(""CASH DEPOSIT"",$C17)),"&amp;"
      COUNTIFS('SUMMARY DATA'!$D:$D,$C17,'SUMMARY DATA'!$B:$B,""RWS"")&lt;&gt;1
    ),
    """",
    IFERROR(TEXTJOIN(CHAR(10),TRUE,FILTER('SUMMARY DATA'!G:G,'SUMMARY DATA'!$D:$D=$C17,'SUMMARY DATA'!$B:$B=""RWS"")),"""")
  )
)"),"")</f>
      </c>
      <c r="H17" s="18" t="str">
        <f>IFERROR(__xludf.DUMMYFUNCTION("IFERROR(
  TEXTJOIN(CHAR(10),TRUE,FILTER('SUMMARY DATA'!H:H,'SUMMARY DATA'!$A:$A=$A17,'SUMMARY DATA'!$C:$C=$B17,'SUMMARY DATA'!$B:$B=""RWS"",'SUMMARY DATA'!$H:$H=$D17)),
  IF(
    OR(
      ISNUMBER(SEARCH(""CDM CASH DEPOSIT"",$C17)),
      ISNUMBER(SEARC"&amp;"H(""CASH DEPOSIT"",$C17))
    ),
    """",
    IFERROR(TEXTJOIN(CHAR(10),TRUE,FILTER('SUMMARY DATA'!H:H,'SUMMARY DATA'!$D:$D=$C17,'SUMMARY DATA'!$B:$B=""RWS"",'SUMMARY DATA'!$H:$H=$D17)),"""")
  )
)"),"")</f>
      </c>
      <c r="I17" s="18" t="str">
        <f>IFERROR(__xludf.DUMMYFUNCTION("IF(H17="""","""",
SUM(ARRAYFORMULA(VALUE(SPLIT(H17,CHAR(10)))))
)"),"")</f>
      </c>
      <c r="J17" s="17" t="str">
        <f>IFERROR(__xludf.DUMMYFUNCTION("IFERROR(
  TEXTJOIN(CHAR(10),TRUE,FILTER('SUMMARY DATA'!I:I,'SUMMARY DATA'!$A:$A=$A17,'SUMMARY DATA'!$C:$C=$B17,'SUMMARY DATA'!$B:$B=""RWS"")),
  IF(
    OR(
      ISNUMBER(SEARCH(""CDM CASH DEPOSIT"",$C17)),
      ISNUMBER(SEARCH(""CASH DEPOSIT"",$C17)),"&amp;"
      COUNTIFS('SUMMARY DATA'!$D:$D,$C17,'SUMMARY DATA'!$B:$B,""RWS"")&lt;&gt;1
    ),
    """",
    IFERROR(TEXTJOIN(CHAR(10),TRUE,FILTER('SUMMARY DATA'!I:I,'SUMMARY DATA'!$D:$D=$C17,'SUMMARY DATA'!$B:$B=""RWS"")),"""")
  )
)"),"")</f>
      </c>
      <c r="K17" s="2"/>
      <c r="L17" s="2"/>
      <c r="M17" s="2"/>
      <c r="N17" s="2"/>
      <c r="O17" s="2"/>
      <c r="P17" s="2"/>
      <c r="Q17" s="2"/>
      <c r="R17" s="2"/>
      <c r="S17" s="2"/>
      <c r="T17" s="2"/>
      <c r="U17" s="2"/>
      <c r="V17" s="2"/>
      <c r="W17" s="2"/>
      <c r="X17" s="2"/>
      <c r="Y17" s="2"/>
      <c r="Z17" s="2"/>
      <c r="AA17" s="2"/>
      <c r="AB17" s="2"/>
    </row>
    <row r="18" spans="1:28" customHeight="true">
      <c r="A18" s="2" t="s">
        <v>39</v>
      </c>
      <c r="B18" s="15">
        <v>45928</v>
      </c>
      <c r="C18" s="2" t="s">
        <v>40</v>
      </c>
      <c r="D18" s="3">
        <v>10</v>
      </c>
      <c r="E18" s="16" t="str">
        <f>IFERROR(__xludf.DUMMYFUNCTION("IFERROR(
  TEXTJOIN(CHAR(10),TRUE,FILTER('SUMMARY DATA'!E:E,'SUMMARY DATA'!$A:$A=$A18,'SUMMARY DATA'!$C:$C=$B18,'SUMMARY DATA'!$B:$B=""RWS"")),
  IF(
    OR(
      ISNUMBER(SEARCH(""CDM CASH DEPOSIT"",$C18)),
      ISNUMBER(SEARCH(""CASH DEPOSIT"",$C18)),"&amp;"
      COUNTIFS('SUMMARY DATA'!$D:$D,$C18,'SUMMARY DATA'!$B:$B,""RWS"")&lt;&gt;1
    ),
    """",
    IFERROR(TEXTJOIN(CHAR(10),TRUE,FILTER('SUMMARY DATA'!E:E,'SUMMARY DATA'!$D:$D=$C18,'SUMMARY DATA'!$B:$B=""RWS"")),"""")
  )
)"),"")</f>
      </c>
      <c r="F18" s="17" t="str">
        <f>IFERROR(__xludf.DUMMYFUNCTION("IFERROR(
  TEXTJOIN(CHAR(10),TRUE,FILTER('SUMMARY DATA'!F:F,'SUMMARY DATA'!$A:$A=$A18,'SUMMARY DATA'!$C:$C=$B18,'SUMMARY DATA'!$B:$B=""RWS"")),
  IF(
    OR(
      ISNUMBER(SEARCH(""CDM CASH DEPOSIT"",$C18)),
      ISNUMBER(SEARCH(""CASH DEPOSIT"",$C18)),"&amp;"
      COUNTIFS('SUMMARY DATA'!$D:$D,$C18,'SUMMARY DATA'!$B:$B,""RWS"")&lt;&gt;1
    ),
    """",
    IFERROR(TEXTJOIN(CHAR(10),TRUE,FILTER('SUMMARY DATA'!F:F,'SUMMARY DATA'!$D:$D=$C18,'SUMMARY DATA'!$B:$B=""RWS"")),"""")
  )
)"),"")</f>
      </c>
      <c r="G18" s="17" t="str">
        <f>IFERROR(__xludf.DUMMYFUNCTION("IFERROR(
  TEXTJOIN(CHAR(10),TRUE,FILTER('SUMMARY DATA'!G:G,'SUMMARY DATA'!$A:$A=$A18,'SUMMARY DATA'!$C:$C=$B18,'SUMMARY DATA'!$B:$B=""RWS"")),
  IF(
    OR(
      ISNUMBER(SEARCH(""CDM CASH DEPOSIT"",$C18)),
      ISNUMBER(SEARCH(""CASH DEPOSIT"",$C18)),"&amp;"
      COUNTIFS('SUMMARY DATA'!$D:$D,$C18,'SUMMARY DATA'!$B:$B,""RWS"")&lt;&gt;1
    ),
    """",
    IFERROR(TEXTJOIN(CHAR(10),TRUE,FILTER('SUMMARY DATA'!G:G,'SUMMARY DATA'!$D:$D=$C18,'SUMMARY DATA'!$B:$B=""RWS"")),"""")
  )
)"),"")</f>
      </c>
      <c r="H18" s="18" t="str">
        <f>IFERROR(__xludf.DUMMYFUNCTION("IFERROR(
  TEXTJOIN(CHAR(10),TRUE,FILTER('SUMMARY DATA'!H:H,'SUMMARY DATA'!$A:$A=$A18,'SUMMARY DATA'!$C:$C=$B18,'SUMMARY DATA'!$B:$B=""RWS"",'SUMMARY DATA'!$H:$H=$D18)),
  IF(
    OR(
      ISNUMBER(SEARCH(""CDM CASH DEPOSIT"",$C18)),
      ISNUMBER(SEARC"&amp;"H(""CASH DEPOSIT"",$C18))
    ),
    """",
    IFERROR(TEXTJOIN(CHAR(10),TRUE,FILTER('SUMMARY DATA'!H:H,'SUMMARY DATA'!$D:$D=$C18,'SUMMARY DATA'!$B:$B=""RWS"",'SUMMARY DATA'!$H:$H=$D18)),"""")
  )
)"),"")</f>
      </c>
      <c r="I18" s="18" t="str">
        <f>IFERROR(__xludf.DUMMYFUNCTION("IF(H18="""","""",
SUM(ARRAYFORMULA(VALUE(SPLIT(H18,CHAR(10)))))
)"),"")</f>
      </c>
      <c r="J18" s="17" t="str">
        <f>IFERROR(__xludf.DUMMYFUNCTION("IFERROR(
  TEXTJOIN(CHAR(10),TRUE,FILTER('SUMMARY DATA'!I:I,'SUMMARY DATA'!$A:$A=$A18,'SUMMARY DATA'!$C:$C=$B18,'SUMMARY DATA'!$B:$B=""RWS"")),
  IF(
    OR(
      ISNUMBER(SEARCH(""CDM CASH DEPOSIT"",$C18)),
      ISNUMBER(SEARCH(""CASH DEPOSIT"",$C18)),"&amp;"
      COUNTIFS('SUMMARY DATA'!$D:$D,$C18,'SUMMARY DATA'!$B:$B,""RWS"")&lt;&gt;1
    ),
    """",
    IFERROR(TEXTJOIN(CHAR(10),TRUE,FILTER('SUMMARY DATA'!I:I,'SUMMARY DATA'!$D:$D=$C18,'SUMMARY DATA'!$B:$B=""RWS"")),"""")
  )
)"),"")</f>
      </c>
      <c r="K18" s="2"/>
      <c r="L18" s="2"/>
      <c r="M18" s="2"/>
      <c r="N18" s="2"/>
      <c r="O18" s="2"/>
      <c r="P18" s="2"/>
      <c r="Q18" s="2"/>
      <c r="R18" s="2"/>
      <c r="S18" s="2"/>
      <c r="T18" s="2"/>
      <c r="U18" s="2"/>
      <c r="V18" s="2"/>
      <c r="W18" s="2"/>
      <c r="X18" s="2"/>
      <c r="Y18" s="2"/>
      <c r="Z18" s="2"/>
      <c r="AA18" s="2"/>
      <c r="AB18" s="2"/>
    </row>
    <row r="19" spans="1:28" customHeight="true">
      <c r="A19" s="2" t="s">
        <v>41</v>
      </c>
      <c r="B19" s="15">
        <v>45927</v>
      </c>
      <c r="C19" s="2" t="s">
        <v>42</v>
      </c>
      <c r="D19" s="3">
        <v>406.36</v>
      </c>
      <c r="E19" s="16" t="str">
        <f>IFERROR(__xludf.DUMMYFUNCTION("IFERROR(
  TEXTJOIN(CHAR(10),TRUE,FILTER('SUMMARY DATA'!E:E,'SUMMARY DATA'!$A:$A=$A19,'SUMMARY DATA'!$C:$C=$B19,'SUMMARY DATA'!$B:$B=""RWS"")),
  IF(
    OR(
      ISNUMBER(SEARCH(""CDM CASH DEPOSIT"",$C19)),
      ISNUMBER(SEARCH(""CASH DEPOSIT"",$C19)),"&amp;"
      COUNTIFS('SUMMARY DATA'!$D:$D,$C19,'SUMMARY DATA'!$B:$B,""RWS"")&lt;&gt;1
    ),
    """",
    IFERROR(TEXTJOIN(CHAR(10),TRUE,FILTER('SUMMARY DATA'!E:E,'SUMMARY DATA'!$D:$D=$C19,'SUMMARY DATA'!$B:$B=""RWS"")),"""")
  )
)"),"")</f>
      </c>
      <c r="F19" s="17" t="str">
        <f>IFERROR(__xludf.DUMMYFUNCTION("IFERROR(
  TEXTJOIN(CHAR(10),TRUE,FILTER('SUMMARY DATA'!F:F,'SUMMARY DATA'!$A:$A=$A19,'SUMMARY DATA'!$C:$C=$B19,'SUMMARY DATA'!$B:$B=""RWS"")),
  IF(
    OR(
      ISNUMBER(SEARCH(""CDM CASH DEPOSIT"",$C19)),
      ISNUMBER(SEARCH(""CASH DEPOSIT"",$C19)),"&amp;"
      COUNTIFS('SUMMARY DATA'!$D:$D,$C19,'SUMMARY DATA'!$B:$B,""RWS"")&lt;&gt;1
    ),
    """",
    IFERROR(TEXTJOIN(CHAR(10),TRUE,FILTER('SUMMARY DATA'!F:F,'SUMMARY DATA'!$D:$D=$C19,'SUMMARY DATA'!$B:$B=""RWS"")),"""")
  )
)"),"")</f>
      </c>
      <c r="G19" s="17" t="str">
        <f>IFERROR(__xludf.DUMMYFUNCTION("IFERROR(
  TEXTJOIN(CHAR(10),TRUE,FILTER('SUMMARY DATA'!G:G,'SUMMARY DATA'!$A:$A=$A19,'SUMMARY DATA'!$C:$C=$B19,'SUMMARY DATA'!$B:$B=""RWS"")),
  IF(
    OR(
      ISNUMBER(SEARCH(""CDM CASH DEPOSIT"",$C19)),
      ISNUMBER(SEARCH(""CASH DEPOSIT"",$C19)),"&amp;"
      COUNTIFS('SUMMARY DATA'!$D:$D,$C19,'SUMMARY DATA'!$B:$B,""RWS"")&lt;&gt;1
    ),
    """",
    IFERROR(TEXTJOIN(CHAR(10),TRUE,FILTER('SUMMARY DATA'!G:G,'SUMMARY DATA'!$D:$D=$C19,'SUMMARY DATA'!$B:$B=""RWS"")),"""")
  )
)"),"")</f>
      </c>
      <c r="H19" s="18" t="str">
        <f>IFERROR(__xludf.DUMMYFUNCTION("IFERROR(
  TEXTJOIN(CHAR(10),TRUE,FILTER('SUMMARY DATA'!H:H,'SUMMARY DATA'!$A:$A=$A19,'SUMMARY DATA'!$C:$C=$B19,'SUMMARY DATA'!$B:$B=""RWS"",'SUMMARY DATA'!$H:$H=$D19)),
  IF(
    OR(
      ISNUMBER(SEARCH(""CDM CASH DEPOSIT"",$C19)),
      ISNUMBER(SEARC"&amp;"H(""CASH DEPOSIT"",$C19))
    ),
    """",
    IFERROR(TEXTJOIN(CHAR(10),TRUE,FILTER('SUMMARY DATA'!H:H,'SUMMARY DATA'!$D:$D=$C19,'SUMMARY DATA'!$B:$B=""RWS"",'SUMMARY DATA'!$H:$H=$D19)),"""")
  )
)"),"")</f>
      </c>
      <c r="I19" s="18" t="str">
        <f>IFERROR(__xludf.DUMMYFUNCTION("IF(H19="""","""",
SUM(ARRAYFORMULA(VALUE(SPLIT(H19,CHAR(10)))))
)"),"")</f>
      </c>
      <c r="J19" s="17" t="str">
        <f>IFERROR(__xludf.DUMMYFUNCTION("IFERROR(
  TEXTJOIN(CHAR(10),TRUE,FILTER('SUMMARY DATA'!I:I,'SUMMARY DATA'!$A:$A=$A19,'SUMMARY DATA'!$C:$C=$B19,'SUMMARY DATA'!$B:$B=""RWS"")),
  IF(
    OR(
      ISNUMBER(SEARCH(""CDM CASH DEPOSIT"",$C19)),
      ISNUMBER(SEARCH(""CASH DEPOSIT"",$C19)),"&amp;"
      COUNTIFS('SUMMARY DATA'!$D:$D,$C19,'SUMMARY DATA'!$B:$B,""RWS"")&lt;&gt;1
    ),
    """",
    IFERROR(TEXTJOIN(CHAR(10),TRUE,FILTER('SUMMARY DATA'!I:I,'SUMMARY DATA'!$D:$D=$C19,'SUMMARY DATA'!$B:$B=""RWS"")),"""")
  )
)"),"")</f>
      </c>
      <c r="K19" s="2"/>
      <c r="L19" s="2"/>
      <c r="M19" s="2"/>
      <c r="N19" s="2"/>
      <c r="O19" s="2"/>
      <c r="P19" s="2"/>
      <c r="Q19" s="2"/>
      <c r="R19" s="2"/>
      <c r="S19" s="2"/>
      <c r="T19" s="2"/>
      <c r="U19" s="2"/>
      <c r="V19" s="2"/>
      <c r="W19" s="2"/>
      <c r="X19" s="2"/>
      <c r="Y19" s="2"/>
      <c r="Z19" s="2"/>
      <c r="AA19" s="2"/>
      <c r="AB19" s="2"/>
    </row>
    <row r="20" spans="1:28" customHeight="true">
      <c r="A20" s="2" t="s">
        <v>43</v>
      </c>
      <c r="B20" s="15">
        <v>45927</v>
      </c>
      <c r="C20" s="2" t="s">
        <v>44</v>
      </c>
      <c r="D20" s="3">
        <v>13.31</v>
      </c>
      <c r="E20" s="16" t="str">
        <f>IFERROR(__xludf.DUMMYFUNCTION("IFERROR(
  TEXTJOIN(CHAR(10),TRUE,FILTER('SUMMARY DATA'!E:E,'SUMMARY DATA'!$A:$A=$A20,'SUMMARY DATA'!$C:$C=$B20,'SUMMARY DATA'!$B:$B=""RWS"")),
  IF(
    OR(
      ISNUMBER(SEARCH(""CDM CASH DEPOSIT"",$C20)),
      ISNUMBER(SEARCH(""CASH DEPOSIT"",$C20)),"&amp;"
      COUNTIFS('SUMMARY DATA'!$D:$D,$C20,'SUMMARY DATA'!$B:$B,""RWS"")&lt;&gt;1
    ),
    """",
    IFERROR(TEXTJOIN(CHAR(10),TRUE,FILTER('SUMMARY DATA'!E:E,'SUMMARY DATA'!$D:$D=$C20,'SUMMARY DATA'!$B:$B=""RWS"")),"""")
  )
)"),"")</f>
      </c>
      <c r="F20" s="17" t="str">
        <f>IFERROR(__xludf.DUMMYFUNCTION("IFERROR(
  TEXTJOIN(CHAR(10),TRUE,FILTER('SUMMARY DATA'!F:F,'SUMMARY DATA'!$A:$A=$A20,'SUMMARY DATA'!$C:$C=$B20,'SUMMARY DATA'!$B:$B=""RWS"")),
  IF(
    OR(
      ISNUMBER(SEARCH(""CDM CASH DEPOSIT"",$C20)),
      ISNUMBER(SEARCH(""CASH DEPOSIT"",$C20)),"&amp;"
      COUNTIFS('SUMMARY DATA'!$D:$D,$C20,'SUMMARY DATA'!$B:$B,""RWS"")&lt;&gt;1
    ),
    """",
    IFERROR(TEXTJOIN(CHAR(10),TRUE,FILTER('SUMMARY DATA'!F:F,'SUMMARY DATA'!$D:$D=$C20,'SUMMARY DATA'!$B:$B=""RWS"")),"""")
  )
)"),"")</f>
      </c>
      <c r="G20" s="17" t="str">
        <f>IFERROR(__xludf.DUMMYFUNCTION("IFERROR(
  TEXTJOIN(CHAR(10),TRUE,FILTER('SUMMARY DATA'!G:G,'SUMMARY DATA'!$A:$A=$A20,'SUMMARY DATA'!$C:$C=$B20,'SUMMARY DATA'!$B:$B=""RWS"")),
  IF(
    OR(
      ISNUMBER(SEARCH(""CDM CASH DEPOSIT"",$C20)),
      ISNUMBER(SEARCH(""CASH DEPOSIT"",$C20)),"&amp;"
      COUNTIFS('SUMMARY DATA'!$D:$D,$C20,'SUMMARY DATA'!$B:$B,""RWS"")&lt;&gt;1
    ),
    """",
    IFERROR(TEXTJOIN(CHAR(10),TRUE,FILTER('SUMMARY DATA'!G:G,'SUMMARY DATA'!$D:$D=$C20,'SUMMARY DATA'!$B:$B=""RWS"")),"""")
  )
)"),"")</f>
      </c>
      <c r="H20" s="18" t="str">
        <f>IFERROR(__xludf.DUMMYFUNCTION("IFERROR(
  TEXTJOIN(CHAR(10),TRUE,FILTER('SUMMARY DATA'!H:H,'SUMMARY DATA'!$A:$A=$A20,'SUMMARY DATA'!$C:$C=$B20,'SUMMARY DATA'!$B:$B=""RWS"",'SUMMARY DATA'!$H:$H=$D20)),
  IF(
    OR(
      ISNUMBER(SEARCH(""CDM CASH DEPOSIT"",$C20)),
      ISNUMBER(SEARC"&amp;"H(""CASH DEPOSIT"",$C20))
    ),
    """",
    IFERROR(TEXTJOIN(CHAR(10),TRUE,FILTER('SUMMARY DATA'!H:H,'SUMMARY DATA'!$D:$D=$C20,'SUMMARY DATA'!$B:$B=""RWS"",'SUMMARY DATA'!$H:$H=$D20)),"""")
  )
)"),"")</f>
      </c>
      <c r="I20" s="18" t="str">
        <f>IFERROR(__xludf.DUMMYFUNCTION("IF(H20="""","""",
SUM(ARRAYFORMULA(VALUE(SPLIT(H20,CHAR(10)))))
)"),"")</f>
      </c>
      <c r="J20" s="17" t="str">
        <f>IFERROR(__xludf.DUMMYFUNCTION("IFERROR(
  TEXTJOIN(CHAR(10),TRUE,FILTER('SUMMARY DATA'!I:I,'SUMMARY DATA'!$A:$A=$A20,'SUMMARY DATA'!$C:$C=$B20,'SUMMARY DATA'!$B:$B=""RWS"")),
  IF(
    OR(
      ISNUMBER(SEARCH(""CDM CASH DEPOSIT"",$C20)),
      ISNUMBER(SEARCH(""CASH DEPOSIT"",$C20)),"&amp;"
      COUNTIFS('SUMMARY DATA'!$D:$D,$C20,'SUMMARY DATA'!$B:$B,""RWS"")&lt;&gt;1
    ),
    """",
    IFERROR(TEXTJOIN(CHAR(10),TRUE,FILTER('SUMMARY DATA'!I:I,'SUMMARY DATA'!$D:$D=$C20,'SUMMARY DATA'!$B:$B=""RWS"")),"""")
  )
)"),"")</f>
      </c>
      <c r="K20" s="2"/>
      <c r="L20" s="2"/>
      <c r="M20" s="2"/>
      <c r="N20" s="2"/>
      <c r="O20" s="2"/>
      <c r="P20" s="2"/>
      <c r="Q20" s="2"/>
      <c r="R20" s="2"/>
      <c r="S20" s="2"/>
      <c r="T20" s="2"/>
      <c r="U20" s="2"/>
      <c r="V20" s="2"/>
      <c r="W20" s="2"/>
      <c r="X20" s="2"/>
      <c r="Y20" s="2"/>
      <c r="Z20" s="2"/>
      <c r="AA20" s="2"/>
      <c r="AB20" s="2"/>
    </row>
    <row r="21" spans="1:28" customHeight="true">
      <c r="A21" s="2"/>
      <c r="B21" s="15">
        <v>45927</v>
      </c>
      <c r="C21" s="2" t="s">
        <v>45</v>
      </c>
      <c r="D21" s="3">
        <v>0.6</v>
      </c>
      <c r="E21" s="16" t="str">
        <f>IFERROR(__xludf.DUMMYFUNCTION("IFERROR(
  TEXTJOIN(CHAR(10),TRUE,FILTER('SUMMARY DATA'!E:E,'SUMMARY DATA'!$A:$A=$A21,'SUMMARY DATA'!$C:$C=$B21,'SUMMARY DATA'!$B:$B=""RWS"")),
  IF(
    OR(
      ISNUMBER(SEARCH(""CDM CASH DEPOSIT"",$C21)),
      ISNUMBER(SEARCH(""CASH DEPOSIT"",$C21)),"&amp;"
      COUNTIFS('SUMMARY DATA'!$D:$D,$C21,'SUMMARY DATA'!$B:$B,""RWS"")&lt;&gt;1
    ),
    """",
    IFERROR(TEXTJOIN(CHAR(10),TRUE,FILTER('SUMMARY DATA'!E:E,'SUMMARY DATA'!$D:$D=$C21,'SUMMARY DATA'!$B:$B=""RWS"")),"""")
  )
)"),"")</f>
      </c>
      <c r="F21" s="17" t="str">
        <f>IFERROR(__xludf.DUMMYFUNCTION("IFERROR(
  TEXTJOIN(CHAR(10),TRUE,FILTER('SUMMARY DATA'!F:F,'SUMMARY DATA'!$A:$A=$A21,'SUMMARY DATA'!$C:$C=$B21,'SUMMARY DATA'!$B:$B=""RWS"")),
  IF(
    OR(
      ISNUMBER(SEARCH(""CDM CASH DEPOSIT"",$C21)),
      ISNUMBER(SEARCH(""CASH DEPOSIT"",$C21)),"&amp;"
      COUNTIFS('SUMMARY DATA'!$D:$D,$C21,'SUMMARY DATA'!$B:$B,""RWS"")&lt;&gt;1
    ),
    """",
    IFERROR(TEXTJOIN(CHAR(10),TRUE,FILTER('SUMMARY DATA'!F:F,'SUMMARY DATA'!$D:$D=$C21,'SUMMARY DATA'!$B:$B=""RWS"")),"""")
  )
)"),"")</f>
      </c>
      <c r="G21" s="17" t="str">
        <f>IFERROR(__xludf.DUMMYFUNCTION("IFERROR(
  TEXTJOIN(CHAR(10),TRUE,FILTER('SUMMARY DATA'!G:G,'SUMMARY DATA'!$A:$A=$A21,'SUMMARY DATA'!$C:$C=$B21,'SUMMARY DATA'!$B:$B=""RWS"")),
  IF(
    OR(
      ISNUMBER(SEARCH(""CDM CASH DEPOSIT"",$C21)),
      ISNUMBER(SEARCH(""CASH DEPOSIT"",$C21)),"&amp;"
      COUNTIFS('SUMMARY DATA'!$D:$D,$C21,'SUMMARY DATA'!$B:$B,""RWS"")&lt;&gt;1
    ),
    """",
    IFERROR(TEXTJOIN(CHAR(10),TRUE,FILTER('SUMMARY DATA'!G:G,'SUMMARY DATA'!$D:$D=$C21,'SUMMARY DATA'!$B:$B=""RWS"")),"""")
  )
)"),"")</f>
      </c>
      <c r="H21" s="18" t="str">
        <f>IFERROR(__xludf.DUMMYFUNCTION("IFERROR(
  TEXTJOIN(CHAR(10),TRUE,FILTER('SUMMARY DATA'!H:H,'SUMMARY DATA'!$A:$A=$A21,'SUMMARY DATA'!$C:$C=$B21,'SUMMARY DATA'!$B:$B=""RWS"",'SUMMARY DATA'!$H:$H=$D21)),
  IF(
    OR(
      ISNUMBER(SEARCH(""CDM CASH DEPOSIT"",$C21)),
      ISNUMBER(SEARC"&amp;"H(""CASH DEPOSIT"",$C21))
    ),
    """",
    IFERROR(TEXTJOIN(CHAR(10),TRUE,FILTER('SUMMARY DATA'!H:H,'SUMMARY DATA'!$D:$D=$C21,'SUMMARY DATA'!$B:$B=""RWS"",'SUMMARY DATA'!$H:$H=$D21)),"""")
  )
)"),"")</f>
      </c>
      <c r="I21" s="18" t="str">
        <f>IFERROR(__xludf.DUMMYFUNCTION("IF(H21="""","""",
SUM(ARRAYFORMULA(VALUE(SPLIT(H21,CHAR(10)))))
)"),"")</f>
      </c>
      <c r="J21" s="17" t="str">
        <f>IFERROR(__xludf.DUMMYFUNCTION("IFERROR(
  TEXTJOIN(CHAR(10),TRUE,FILTER('SUMMARY DATA'!I:I,'SUMMARY DATA'!$A:$A=$A21,'SUMMARY DATA'!$C:$C=$B21,'SUMMARY DATA'!$B:$B=""RWS"")),
  IF(
    OR(
      ISNUMBER(SEARCH(""CDM CASH DEPOSIT"",$C21)),
      ISNUMBER(SEARCH(""CASH DEPOSIT"",$C21)),"&amp;"
      COUNTIFS('SUMMARY DATA'!$D:$D,$C21,'SUMMARY DATA'!$B:$B,""RWS"")&lt;&gt;1
    ),
    """",
    IFERROR(TEXTJOIN(CHAR(10),TRUE,FILTER('SUMMARY DATA'!I:I,'SUMMARY DATA'!$D:$D=$C21,'SUMMARY DATA'!$B:$B=""RWS"")),"""")
  )
)"),"")</f>
      </c>
      <c r="K21" s="2"/>
      <c r="L21" s="2"/>
      <c r="M21" s="2"/>
      <c r="N21" s="2"/>
      <c r="O21" s="2"/>
      <c r="P21" s="2"/>
      <c r="Q21" s="2"/>
      <c r="R21" s="2"/>
      <c r="S21" s="2"/>
      <c r="T21" s="2"/>
      <c r="U21" s="2"/>
      <c r="V21" s="2"/>
      <c r="W21" s="2"/>
      <c r="X21" s="2"/>
      <c r="Y21" s="2"/>
      <c r="Z21" s="2"/>
      <c r="AA21" s="2"/>
      <c r="AB21" s="2"/>
    </row>
    <row r="22" spans="1:28" customHeight="true">
      <c r="A22" s="2" t="s">
        <v>46</v>
      </c>
      <c r="B22" s="15">
        <v>45927</v>
      </c>
      <c r="C22" s="2" t="s">
        <v>47</v>
      </c>
      <c r="D22" s="3">
        <v>19.95</v>
      </c>
      <c r="E22" s="16" t="str">
        <f>IFERROR(__xludf.DUMMYFUNCTION("IFERROR(
  TEXTJOIN(CHAR(10),TRUE,FILTER('SUMMARY DATA'!E:E,'SUMMARY DATA'!$A:$A=$A22,'SUMMARY DATA'!$C:$C=$B22,'SUMMARY DATA'!$B:$B=""RWS"")),
  IF(
    OR(
      ISNUMBER(SEARCH(""CDM CASH DEPOSIT"",$C22)),
      ISNUMBER(SEARCH(""CASH DEPOSIT"",$C22)),"&amp;"
      COUNTIFS('SUMMARY DATA'!$D:$D,$C22,'SUMMARY DATA'!$B:$B,""RWS"")&lt;&gt;1
    ),
    """",
    IFERROR(TEXTJOIN(CHAR(10),TRUE,FILTER('SUMMARY DATA'!E:E,'SUMMARY DATA'!$D:$D=$C22,'SUMMARY DATA'!$B:$B=""RWS"")),"""")
  )
)"),"")</f>
      </c>
      <c r="F22" s="17" t="str">
        <f>IFERROR(__xludf.DUMMYFUNCTION("IFERROR(
  TEXTJOIN(CHAR(10),TRUE,FILTER('SUMMARY DATA'!F:F,'SUMMARY DATA'!$A:$A=$A22,'SUMMARY DATA'!$C:$C=$B22,'SUMMARY DATA'!$B:$B=""RWS"")),
  IF(
    OR(
      ISNUMBER(SEARCH(""CDM CASH DEPOSIT"",$C22)),
      ISNUMBER(SEARCH(""CASH DEPOSIT"",$C22)),"&amp;"
      COUNTIFS('SUMMARY DATA'!$D:$D,$C22,'SUMMARY DATA'!$B:$B,""RWS"")&lt;&gt;1
    ),
    """",
    IFERROR(TEXTJOIN(CHAR(10),TRUE,FILTER('SUMMARY DATA'!F:F,'SUMMARY DATA'!$D:$D=$C22,'SUMMARY DATA'!$B:$B=""RWS"")),"""")
  )
)"),"")</f>
      </c>
      <c r="G22" s="17" t="str">
        <f>IFERROR(__xludf.DUMMYFUNCTION("IFERROR(
  TEXTJOIN(CHAR(10),TRUE,FILTER('SUMMARY DATA'!G:G,'SUMMARY DATA'!$A:$A=$A22,'SUMMARY DATA'!$C:$C=$B22,'SUMMARY DATA'!$B:$B=""RWS"")),
  IF(
    OR(
      ISNUMBER(SEARCH(""CDM CASH DEPOSIT"",$C22)),
      ISNUMBER(SEARCH(""CASH DEPOSIT"",$C22)),"&amp;"
      COUNTIFS('SUMMARY DATA'!$D:$D,$C22,'SUMMARY DATA'!$B:$B,""RWS"")&lt;&gt;1
    ),
    """",
    IFERROR(TEXTJOIN(CHAR(10),TRUE,FILTER('SUMMARY DATA'!G:G,'SUMMARY DATA'!$D:$D=$C22,'SUMMARY DATA'!$B:$B=""RWS"")),"""")
  )
)"),"")</f>
      </c>
      <c r="H22" s="18" t="str">
        <f>IFERROR(__xludf.DUMMYFUNCTION("IFERROR(
  TEXTJOIN(CHAR(10),TRUE,FILTER('SUMMARY DATA'!H:H,'SUMMARY DATA'!$A:$A=$A22,'SUMMARY DATA'!$C:$C=$B22,'SUMMARY DATA'!$B:$B=""RWS"",'SUMMARY DATA'!$H:$H=$D22)),
  IF(
    OR(
      ISNUMBER(SEARCH(""CDM CASH DEPOSIT"",$C22)),
      ISNUMBER(SEARC"&amp;"H(""CASH DEPOSIT"",$C22))
    ),
    """",
    IFERROR(TEXTJOIN(CHAR(10),TRUE,FILTER('SUMMARY DATA'!H:H,'SUMMARY DATA'!$D:$D=$C22,'SUMMARY DATA'!$B:$B=""RWS"",'SUMMARY DATA'!$H:$H=$D22)),"""")
  )
)"),"")</f>
      </c>
      <c r="I22" s="18" t="str">
        <f>IFERROR(__xludf.DUMMYFUNCTION("IF(H22="""","""",
SUM(ARRAYFORMULA(VALUE(SPLIT(H22,CHAR(10)))))
)"),"")</f>
      </c>
      <c r="J22" s="17" t="str">
        <f>IFERROR(__xludf.DUMMYFUNCTION("IFERROR(
  TEXTJOIN(CHAR(10),TRUE,FILTER('SUMMARY DATA'!I:I,'SUMMARY DATA'!$A:$A=$A22,'SUMMARY DATA'!$C:$C=$B22,'SUMMARY DATA'!$B:$B=""RWS"")),
  IF(
    OR(
      ISNUMBER(SEARCH(""CDM CASH DEPOSIT"",$C22)),
      ISNUMBER(SEARCH(""CASH DEPOSIT"",$C22)),"&amp;"
      COUNTIFS('SUMMARY DATA'!$D:$D,$C22,'SUMMARY DATA'!$B:$B,""RWS"")&lt;&gt;1
    ),
    """",
    IFERROR(TEXTJOIN(CHAR(10),TRUE,FILTER('SUMMARY DATA'!I:I,'SUMMARY DATA'!$D:$D=$C22,'SUMMARY DATA'!$B:$B=""RWS"")),"""")
  )
)"),"")</f>
      </c>
      <c r="K22" s="2"/>
      <c r="L22" s="2"/>
      <c r="M22" s="2"/>
      <c r="N22" s="2"/>
      <c r="O22" s="2"/>
      <c r="P22" s="2"/>
      <c r="Q22" s="2"/>
      <c r="R22" s="2"/>
      <c r="S22" s="2"/>
      <c r="T22" s="2"/>
      <c r="U22" s="2"/>
      <c r="V22" s="2"/>
      <c r="W22" s="2"/>
      <c r="X22" s="2"/>
      <c r="Y22" s="2"/>
      <c r="Z22" s="2"/>
      <c r="AA22" s="2"/>
      <c r="AB22" s="2"/>
    </row>
    <row r="23" spans="1:28" customHeight="true">
      <c r="A23" s="2" t="s">
        <v>43</v>
      </c>
      <c r="B23" s="15">
        <v>45927</v>
      </c>
      <c r="C23" s="2" t="s">
        <v>48</v>
      </c>
      <c r="D23" s="3">
        <v>300</v>
      </c>
      <c r="E23" s="16" t="str">
        <f>IFERROR(__xludf.DUMMYFUNCTION("IFERROR(
  TEXTJOIN(CHAR(10),TRUE,FILTER('SUMMARY DATA'!E:E,'SUMMARY DATA'!$A:$A=$A23,'SUMMARY DATA'!$C:$C=$B23,'SUMMARY DATA'!$B:$B=""RWS"")),
  IF(
    OR(
      ISNUMBER(SEARCH(""CDM CASH DEPOSIT"",$C23)),
      ISNUMBER(SEARCH(""CASH DEPOSIT"",$C23)),"&amp;"
      COUNTIFS('SUMMARY DATA'!$D:$D,$C23,'SUMMARY DATA'!$B:$B,""RWS"")&lt;&gt;1
    ),
    """",
    IFERROR(TEXTJOIN(CHAR(10),TRUE,FILTER('SUMMARY DATA'!E:E,'SUMMARY DATA'!$D:$D=$C23,'SUMMARY DATA'!$B:$B=""RWS"")),"""")
  )
)"),"")</f>
      </c>
      <c r="F23" s="17" t="str">
        <f>IFERROR(__xludf.DUMMYFUNCTION("IFERROR(
  TEXTJOIN(CHAR(10),TRUE,FILTER('SUMMARY DATA'!F:F,'SUMMARY DATA'!$A:$A=$A23,'SUMMARY DATA'!$C:$C=$B23,'SUMMARY DATA'!$B:$B=""RWS"")),
  IF(
    OR(
      ISNUMBER(SEARCH(""CDM CASH DEPOSIT"",$C23)),
      ISNUMBER(SEARCH(""CASH DEPOSIT"",$C23)),"&amp;"
      COUNTIFS('SUMMARY DATA'!$D:$D,$C23,'SUMMARY DATA'!$B:$B,""RWS"")&lt;&gt;1
    ),
    """",
    IFERROR(TEXTJOIN(CHAR(10),TRUE,FILTER('SUMMARY DATA'!F:F,'SUMMARY DATA'!$D:$D=$C23,'SUMMARY DATA'!$B:$B=""RWS"")),"""")
  )
)"),"")</f>
      </c>
      <c r="G23" s="17" t="str">
        <f>IFERROR(__xludf.DUMMYFUNCTION("IFERROR(
  TEXTJOIN(CHAR(10),TRUE,FILTER('SUMMARY DATA'!G:G,'SUMMARY DATA'!$A:$A=$A23,'SUMMARY DATA'!$C:$C=$B23,'SUMMARY DATA'!$B:$B=""RWS"")),
  IF(
    OR(
      ISNUMBER(SEARCH(""CDM CASH DEPOSIT"",$C23)),
      ISNUMBER(SEARCH(""CASH DEPOSIT"",$C23)),"&amp;"
      COUNTIFS('SUMMARY DATA'!$D:$D,$C23,'SUMMARY DATA'!$B:$B,""RWS"")&lt;&gt;1
    ),
    """",
    IFERROR(TEXTJOIN(CHAR(10),TRUE,FILTER('SUMMARY DATA'!G:G,'SUMMARY DATA'!$D:$D=$C23,'SUMMARY DATA'!$B:$B=""RWS"")),"""")
  )
)"),"")</f>
      </c>
      <c r="H23" s="18" t="str">
        <f>IFERROR(__xludf.DUMMYFUNCTION("IFERROR(
  TEXTJOIN(CHAR(10),TRUE,FILTER('SUMMARY DATA'!H:H,'SUMMARY DATA'!$A:$A=$A23,'SUMMARY DATA'!$C:$C=$B23,'SUMMARY DATA'!$B:$B=""RWS"",'SUMMARY DATA'!$H:$H=$D23)),
  IF(
    OR(
      ISNUMBER(SEARCH(""CDM CASH DEPOSIT"",$C23)),
      ISNUMBER(SEARC"&amp;"H(""CASH DEPOSIT"",$C23))
    ),
    """",
    IFERROR(TEXTJOIN(CHAR(10),TRUE,FILTER('SUMMARY DATA'!H:H,'SUMMARY DATA'!$D:$D=$C23,'SUMMARY DATA'!$B:$B=""RWS"",'SUMMARY DATA'!$H:$H=$D23)),"""")
  )
)"),"")</f>
      </c>
      <c r="I23" s="18" t="str">
        <f>IFERROR(__xludf.DUMMYFUNCTION("IF(H23="""","""",
SUM(ARRAYFORMULA(VALUE(SPLIT(H23,CHAR(10)))))
)"),"")</f>
      </c>
      <c r="J23" s="17" t="str">
        <f>IFERROR(__xludf.DUMMYFUNCTION("IFERROR(
  TEXTJOIN(CHAR(10),TRUE,FILTER('SUMMARY DATA'!I:I,'SUMMARY DATA'!$A:$A=$A23,'SUMMARY DATA'!$C:$C=$B23,'SUMMARY DATA'!$B:$B=""RWS"")),
  IF(
    OR(
      ISNUMBER(SEARCH(""CDM CASH DEPOSIT"",$C23)),
      ISNUMBER(SEARCH(""CASH DEPOSIT"",$C23)),"&amp;"
      COUNTIFS('SUMMARY DATA'!$D:$D,$C23,'SUMMARY DATA'!$B:$B,""RWS"")&lt;&gt;1
    ),
    """",
    IFERROR(TEXTJOIN(CHAR(10),TRUE,FILTER('SUMMARY DATA'!I:I,'SUMMARY DATA'!$D:$D=$C23,'SUMMARY DATA'!$B:$B=""RWS"")),"""")
  )
)"),"")</f>
      </c>
      <c r="K23" s="2"/>
      <c r="L23" s="2"/>
      <c r="M23" s="2"/>
      <c r="N23" s="2"/>
      <c r="O23" s="2"/>
      <c r="P23" s="2"/>
      <c r="Q23" s="2"/>
      <c r="R23" s="2"/>
      <c r="S23" s="2"/>
      <c r="T23" s="2"/>
      <c r="U23" s="2"/>
      <c r="V23" s="2"/>
      <c r="W23" s="2"/>
      <c r="X23" s="2"/>
      <c r="Y23" s="2"/>
      <c r="Z23" s="2"/>
      <c r="AA23" s="2"/>
      <c r="AB23" s="2"/>
    </row>
    <row r="24" spans="1:28" customHeight="true">
      <c r="A24" s="2"/>
      <c r="B24" s="15">
        <v>45927</v>
      </c>
      <c r="C24" s="2" t="s">
        <v>49</v>
      </c>
      <c r="D24" s="3">
        <v>120</v>
      </c>
      <c r="E24" s="16" t="str">
        <f>IFERROR(__xludf.DUMMYFUNCTION("IFERROR(
  TEXTJOIN(CHAR(10),TRUE,FILTER('SUMMARY DATA'!E:E,'SUMMARY DATA'!$A:$A=$A24,'SUMMARY DATA'!$C:$C=$B24,'SUMMARY DATA'!$B:$B=""RWS"")),
  IF(
    OR(
      ISNUMBER(SEARCH(""CDM CASH DEPOSIT"",$C24)),
      ISNUMBER(SEARCH(""CASH DEPOSIT"",$C24)),"&amp;"
      COUNTIFS('SUMMARY DATA'!$D:$D,$C24,'SUMMARY DATA'!$B:$B,""RWS"")&lt;&gt;1
    ),
    """",
    IFERROR(TEXTJOIN(CHAR(10),TRUE,FILTER('SUMMARY DATA'!E:E,'SUMMARY DATA'!$D:$D=$C24,'SUMMARY DATA'!$B:$B=""RWS"")),"""")
  )
)"),"")</f>
      </c>
      <c r="F24" s="17" t="str">
        <f>IFERROR(__xludf.DUMMYFUNCTION("IFERROR(
  TEXTJOIN(CHAR(10),TRUE,FILTER('SUMMARY DATA'!F:F,'SUMMARY DATA'!$A:$A=$A24,'SUMMARY DATA'!$C:$C=$B24,'SUMMARY DATA'!$B:$B=""RWS"")),
  IF(
    OR(
      ISNUMBER(SEARCH(""CDM CASH DEPOSIT"",$C24)),
      ISNUMBER(SEARCH(""CASH DEPOSIT"",$C24)),"&amp;"
      COUNTIFS('SUMMARY DATA'!$D:$D,$C24,'SUMMARY DATA'!$B:$B,""RWS"")&lt;&gt;1
    ),
    """",
    IFERROR(TEXTJOIN(CHAR(10),TRUE,FILTER('SUMMARY DATA'!F:F,'SUMMARY DATA'!$D:$D=$C24,'SUMMARY DATA'!$B:$B=""RWS"")),"""")
  )
)"),"")</f>
      </c>
      <c r="G24" s="17" t="str">
        <f>IFERROR(__xludf.DUMMYFUNCTION("IFERROR(
  TEXTJOIN(CHAR(10),TRUE,FILTER('SUMMARY DATA'!G:G,'SUMMARY DATA'!$A:$A=$A24,'SUMMARY DATA'!$C:$C=$B24,'SUMMARY DATA'!$B:$B=""RWS"")),
  IF(
    OR(
      ISNUMBER(SEARCH(""CDM CASH DEPOSIT"",$C24)),
      ISNUMBER(SEARCH(""CASH DEPOSIT"",$C24)),"&amp;"
      COUNTIFS('SUMMARY DATA'!$D:$D,$C24,'SUMMARY DATA'!$B:$B,""RWS"")&lt;&gt;1
    ),
    """",
    IFERROR(TEXTJOIN(CHAR(10),TRUE,FILTER('SUMMARY DATA'!G:G,'SUMMARY DATA'!$D:$D=$C24,'SUMMARY DATA'!$B:$B=""RWS"")),"""")
  )
)"),"")</f>
      </c>
      <c r="H24" s="18" t="str">
        <f>IFERROR(__xludf.DUMMYFUNCTION("IFERROR(
  TEXTJOIN(CHAR(10),TRUE,FILTER('SUMMARY DATA'!H:H,'SUMMARY DATA'!$A:$A=$A24,'SUMMARY DATA'!$C:$C=$B24,'SUMMARY DATA'!$B:$B=""RWS"",'SUMMARY DATA'!$H:$H=$D24)),
  IF(
    OR(
      ISNUMBER(SEARCH(""CDM CASH DEPOSIT"",$C24)),
      ISNUMBER(SEARC"&amp;"H(""CASH DEPOSIT"",$C24))
    ),
    """",
    IFERROR(TEXTJOIN(CHAR(10),TRUE,FILTER('SUMMARY DATA'!H:H,'SUMMARY DATA'!$D:$D=$C24,'SUMMARY DATA'!$B:$B=""RWS"",'SUMMARY DATA'!$H:$H=$D24)),"""")
  )
)"),"")</f>
      </c>
      <c r="I24" s="18" t="str">
        <f>IFERROR(__xludf.DUMMYFUNCTION("IF(H24="""","""",
SUM(ARRAYFORMULA(VALUE(SPLIT(H24,CHAR(10)))))
)"),"")</f>
      </c>
      <c r="J24" s="17" t="str">
        <f>IFERROR(__xludf.DUMMYFUNCTION("IFERROR(
  TEXTJOIN(CHAR(10),TRUE,FILTER('SUMMARY DATA'!I:I,'SUMMARY DATA'!$A:$A=$A24,'SUMMARY DATA'!$C:$C=$B24,'SUMMARY DATA'!$B:$B=""RWS"")),
  IF(
    OR(
      ISNUMBER(SEARCH(""CDM CASH DEPOSIT"",$C24)),
      ISNUMBER(SEARCH(""CASH DEPOSIT"",$C24)),"&amp;"
      COUNTIFS('SUMMARY DATA'!$D:$D,$C24,'SUMMARY DATA'!$B:$B,""RWS"")&lt;&gt;1
    ),
    """",
    IFERROR(TEXTJOIN(CHAR(10),TRUE,FILTER('SUMMARY DATA'!I:I,'SUMMARY DATA'!$D:$D=$C24,'SUMMARY DATA'!$B:$B=""RWS"")),"""")
  )
)"),"")</f>
      </c>
      <c r="K24" s="2"/>
      <c r="L24" s="2"/>
      <c r="M24" s="2"/>
      <c r="N24" s="2"/>
      <c r="O24" s="2"/>
      <c r="P24" s="2"/>
      <c r="Q24" s="2"/>
      <c r="R24" s="2"/>
      <c r="S24" s="2"/>
      <c r="T24" s="2"/>
      <c r="U24" s="2"/>
      <c r="V24" s="2"/>
      <c r="W24" s="2"/>
      <c r="X24" s="2"/>
      <c r="Y24" s="2"/>
      <c r="Z24" s="2"/>
      <c r="AA24" s="2"/>
      <c r="AB24" s="2"/>
    </row>
    <row r="25" spans="1:28" customHeight="true">
      <c r="A25" s="2"/>
      <c r="B25" s="15">
        <v>45927</v>
      </c>
      <c r="C25" s="2" t="s">
        <v>50</v>
      </c>
      <c r="D25" s="3">
        <v>45.98</v>
      </c>
      <c r="E25" s="16" t="str">
        <f>IFERROR(__xludf.DUMMYFUNCTION("IFERROR(
  TEXTJOIN(CHAR(10),TRUE,FILTER('SUMMARY DATA'!E:E,'SUMMARY DATA'!$A:$A=$A25,'SUMMARY DATA'!$C:$C=$B25,'SUMMARY DATA'!$B:$B=""RWS"")),
  IF(
    OR(
      ISNUMBER(SEARCH(""CDM CASH DEPOSIT"",$C25)),
      ISNUMBER(SEARCH(""CASH DEPOSIT"",$C25)),"&amp;"
      COUNTIFS('SUMMARY DATA'!$D:$D,$C25,'SUMMARY DATA'!$B:$B,""RWS"")&lt;&gt;1
    ),
    """",
    IFERROR(TEXTJOIN(CHAR(10),TRUE,FILTER('SUMMARY DATA'!E:E,'SUMMARY DATA'!$D:$D=$C25,'SUMMARY DATA'!$B:$B=""RWS"")),"""")
  )
)"),"")</f>
      </c>
      <c r="F25" s="17" t="str">
        <f>IFERROR(__xludf.DUMMYFUNCTION("IFERROR(
  TEXTJOIN(CHAR(10),TRUE,FILTER('SUMMARY DATA'!F:F,'SUMMARY DATA'!$A:$A=$A25,'SUMMARY DATA'!$C:$C=$B25,'SUMMARY DATA'!$B:$B=""RWS"")),
  IF(
    OR(
      ISNUMBER(SEARCH(""CDM CASH DEPOSIT"",$C25)),
      ISNUMBER(SEARCH(""CASH DEPOSIT"",$C25)),"&amp;"
      COUNTIFS('SUMMARY DATA'!$D:$D,$C25,'SUMMARY DATA'!$B:$B,""RWS"")&lt;&gt;1
    ),
    """",
    IFERROR(TEXTJOIN(CHAR(10),TRUE,FILTER('SUMMARY DATA'!F:F,'SUMMARY DATA'!$D:$D=$C25,'SUMMARY DATA'!$B:$B=""RWS"")),"""")
  )
)"),"")</f>
      </c>
      <c r="G25" s="17" t="str">
        <f>IFERROR(__xludf.DUMMYFUNCTION("IFERROR(
  TEXTJOIN(CHAR(10),TRUE,FILTER('SUMMARY DATA'!G:G,'SUMMARY DATA'!$A:$A=$A25,'SUMMARY DATA'!$C:$C=$B25,'SUMMARY DATA'!$B:$B=""RWS"")),
  IF(
    OR(
      ISNUMBER(SEARCH(""CDM CASH DEPOSIT"",$C25)),
      ISNUMBER(SEARCH(""CASH DEPOSIT"",$C25)),"&amp;"
      COUNTIFS('SUMMARY DATA'!$D:$D,$C25,'SUMMARY DATA'!$B:$B,""RWS"")&lt;&gt;1
    ),
    """",
    IFERROR(TEXTJOIN(CHAR(10),TRUE,FILTER('SUMMARY DATA'!G:G,'SUMMARY DATA'!$D:$D=$C25,'SUMMARY DATA'!$B:$B=""RWS"")),"""")
  )
)"),"")</f>
      </c>
      <c r="H25" s="18" t="str">
        <f>IFERROR(__xludf.DUMMYFUNCTION("IFERROR(
  TEXTJOIN(CHAR(10),TRUE,FILTER('SUMMARY DATA'!H:H,'SUMMARY DATA'!$A:$A=$A25,'SUMMARY DATA'!$C:$C=$B25,'SUMMARY DATA'!$B:$B=""RWS"",'SUMMARY DATA'!$H:$H=$D25)),
  IF(
    OR(
      ISNUMBER(SEARCH(""CDM CASH DEPOSIT"",$C25)),
      ISNUMBER(SEARC"&amp;"H(""CASH DEPOSIT"",$C25))
    ),
    """",
    IFERROR(TEXTJOIN(CHAR(10),TRUE,FILTER('SUMMARY DATA'!H:H,'SUMMARY DATA'!$D:$D=$C25,'SUMMARY DATA'!$B:$B=""RWS"",'SUMMARY DATA'!$H:$H=$D25)),"""")
  )
)"),"")</f>
      </c>
      <c r="I25" s="18" t="str">
        <f>IFERROR(__xludf.DUMMYFUNCTION("IF(H25="""","""",
SUM(ARRAYFORMULA(VALUE(SPLIT(H25,CHAR(10)))))
)"),"")</f>
      </c>
      <c r="J25" s="17" t="str">
        <f>IFERROR(__xludf.DUMMYFUNCTION("IFERROR(
  TEXTJOIN(CHAR(10),TRUE,FILTER('SUMMARY DATA'!I:I,'SUMMARY DATA'!$A:$A=$A25,'SUMMARY DATA'!$C:$C=$B25,'SUMMARY DATA'!$B:$B=""RWS"")),
  IF(
    OR(
      ISNUMBER(SEARCH(""CDM CASH DEPOSIT"",$C25)),
      ISNUMBER(SEARCH(""CASH DEPOSIT"",$C25)),"&amp;"
      COUNTIFS('SUMMARY DATA'!$D:$D,$C25,'SUMMARY DATA'!$B:$B,""RWS"")&lt;&gt;1
    ),
    """",
    IFERROR(TEXTJOIN(CHAR(10),TRUE,FILTER('SUMMARY DATA'!I:I,'SUMMARY DATA'!$D:$D=$C25,'SUMMARY DATA'!$B:$B=""RWS"")),"""")
  )
)"),"")</f>
      </c>
      <c r="K25" s="2"/>
      <c r="L25" s="2"/>
      <c r="M25" s="2"/>
      <c r="N25" s="2"/>
      <c r="O25" s="2"/>
      <c r="P25" s="2"/>
      <c r="Q25" s="2"/>
      <c r="R25" s="2"/>
      <c r="S25" s="2"/>
      <c r="T25" s="2"/>
      <c r="U25" s="2"/>
      <c r="V25" s="2"/>
      <c r="W25" s="2"/>
      <c r="X25" s="2"/>
      <c r="Y25" s="2"/>
      <c r="Z25" s="2"/>
      <c r="AA25" s="2"/>
      <c r="AB25" s="2"/>
    </row>
    <row r="26" spans="1:28" customHeight="true">
      <c r="A26" s="2" t="s">
        <v>51</v>
      </c>
      <c r="B26" s="15">
        <v>45926</v>
      </c>
      <c r="C26" s="2" t="s">
        <v>52</v>
      </c>
      <c r="D26" s="3">
        <v>10</v>
      </c>
      <c r="E26" s="16" t="str">
        <f>IFERROR(__xludf.DUMMYFUNCTION("IFERROR(
  TEXTJOIN(CHAR(10),TRUE,FILTER('SUMMARY DATA'!E:E,'SUMMARY DATA'!$A:$A=$A26,'SUMMARY DATA'!$C:$C=$B26,'SUMMARY DATA'!$B:$B=""RWS"")),
  IF(
    OR(
      ISNUMBER(SEARCH(""CDM CASH DEPOSIT"",$C26)),
      ISNUMBER(SEARCH(""CASH DEPOSIT"",$C26)),"&amp;"
      COUNTIFS('SUMMARY DATA'!$D:$D,$C26,'SUMMARY DATA'!$B:$B,""RWS"")&lt;&gt;1
    ),
    """",
    IFERROR(TEXTJOIN(CHAR(10),TRUE,FILTER('SUMMARY DATA'!E:E,'SUMMARY DATA'!$D:$D=$C26,'SUMMARY DATA'!$B:$B=""RWS"")),"""")
  )
)"),"")</f>
      </c>
      <c r="F26" s="17" t="str">
        <f>IFERROR(__xludf.DUMMYFUNCTION("IFERROR(
  TEXTJOIN(CHAR(10),TRUE,FILTER('SUMMARY DATA'!F:F,'SUMMARY DATA'!$A:$A=$A26,'SUMMARY DATA'!$C:$C=$B26,'SUMMARY DATA'!$B:$B=""RWS"")),
  IF(
    OR(
      ISNUMBER(SEARCH(""CDM CASH DEPOSIT"",$C26)),
      ISNUMBER(SEARCH(""CASH DEPOSIT"",$C26)),"&amp;"
      COUNTIFS('SUMMARY DATA'!$D:$D,$C26,'SUMMARY DATA'!$B:$B,""RWS"")&lt;&gt;1
    ),
    """",
    IFERROR(TEXTJOIN(CHAR(10),TRUE,FILTER('SUMMARY DATA'!F:F,'SUMMARY DATA'!$D:$D=$C26,'SUMMARY DATA'!$B:$B=""RWS"")),"""")
  )
)"),"")</f>
      </c>
      <c r="G26" s="17" t="str">
        <f>IFERROR(__xludf.DUMMYFUNCTION("IFERROR(
  TEXTJOIN(CHAR(10),TRUE,FILTER('SUMMARY DATA'!G:G,'SUMMARY DATA'!$A:$A=$A26,'SUMMARY DATA'!$C:$C=$B26,'SUMMARY DATA'!$B:$B=""RWS"")),
  IF(
    OR(
      ISNUMBER(SEARCH(""CDM CASH DEPOSIT"",$C26)),
      ISNUMBER(SEARCH(""CASH DEPOSIT"",$C26)),"&amp;"
      COUNTIFS('SUMMARY DATA'!$D:$D,$C26,'SUMMARY DATA'!$B:$B,""RWS"")&lt;&gt;1
    ),
    """",
    IFERROR(TEXTJOIN(CHAR(10),TRUE,FILTER('SUMMARY DATA'!G:G,'SUMMARY DATA'!$D:$D=$C26,'SUMMARY DATA'!$B:$B=""RWS"")),"""")
  )
)"),"")</f>
      </c>
      <c r="H26" s="18" t="str">
        <f>IFERROR(__xludf.DUMMYFUNCTION("IFERROR(
  TEXTJOIN(CHAR(10),TRUE,FILTER('SUMMARY DATA'!H:H,'SUMMARY DATA'!$A:$A=$A26,'SUMMARY DATA'!$C:$C=$B26,'SUMMARY DATA'!$B:$B=""RWS"",'SUMMARY DATA'!$H:$H=$D26)),
  IF(
    OR(
      ISNUMBER(SEARCH(""CDM CASH DEPOSIT"",$C26)),
      ISNUMBER(SEARC"&amp;"H(""CASH DEPOSIT"",$C26))
    ),
    """",
    IFERROR(TEXTJOIN(CHAR(10),TRUE,FILTER('SUMMARY DATA'!H:H,'SUMMARY DATA'!$D:$D=$C26,'SUMMARY DATA'!$B:$B=""RWS"",'SUMMARY DATA'!$H:$H=$D26)),"""")
  )
)"),"")</f>
      </c>
      <c r="I26" s="18" t="str">
        <f>IFERROR(__xludf.DUMMYFUNCTION("IF(H26="""","""",
SUM(ARRAYFORMULA(VALUE(SPLIT(H26,CHAR(10)))))
)"),"")</f>
      </c>
      <c r="J26" s="17" t="str">
        <f>IFERROR(__xludf.DUMMYFUNCTION("IFERROR(
  TEXTJOIN(CHAR(10),TRUE,FILTER('SUMMARY DATA'!I:I,'SUMMARY DATA'!$A:$A=$A26,'SUMMARY DATA'!$C:$C=$B26,'SUMMARY DATA'!$B:$B=""RWS"")),
  IF(
    OR(
      ISNUMBER(SEARCH(""CDM CASH DEPOSIT"",$C26)),
      ISNUMBER(SEARCH(""CASH DEPOSIT"",$C26)),"&amp;"
      COUNTIFS('SUMMARY DATA'!$D:$D,$C26,'SUMMARY DATA'!$B:$B,""RWS"")&lt;&gt;1
    ),
    """",
    IFERROR(TEXTJOIN(CHAR(10),TRUE,FILTER('SUMMARY DATA'!I:I,'SUMMARY DATA'!$D:$D=$C26,'SUMMARY DATA'!$B:$B=""RWS"")),"""")
  )
)"),"")</f>
      </c>
      <c r="K26" s="2"/>
      <c r="L26" s="2"/>
      <c r="M26" s="2"/>
      <c r="N26" s="2"/>
      <c r="O26" s="2"/>
      <c r="P26" s="2"/>
      <c r="Q26" s="2"/>
      <c r="R26" s="2"/>
      <c r="S26" s="2"/>
      <c r="T26" s="2"/>
      <c r="U26" s="2"/>
      <c r="V26" s="2"/>
      <c r="W26" s="2"/>
      <c r="X26" s="2"/>
      <c r="Y26" s="2"/>
      <c r="Z26" s="2"/>
      <c r="AA26" s="2"/>
      <c r="AB26" s="2"/>
    </row>
    <row r="27" spans="1:28" customHeight="true">
      <c r="A27" s="2" t="s">
        <v>53</v>
      </c>
      <c r="B27" s="15">
        <v>45926</v>
      </c>
      <c r="C27" s="2" t="s">
        <v>54</v>
      </c>
      <c r="D27" s="3">
        <v>209</v>
      </c>
      <c r="E27" s="16" t="s">
        <v>2398</v>
      </c>
      <c r="F27" s="17" t="s">
        <v>2399</v>
      </c>
      <c r="G27" s="17" t="s">
        <v>2393</v>
      </c>
      <c r="H27" s="18">
        <v>209</v>
      </c>
      <c r="I27" s="18">
        <v>209</v>
      </c>
      <c r="J27" s="17" t="s">
        <v>2394</v>
      </c>
      <c r="K27" s="2" t="s">
        <v>2395</v>
      </c>
      <c r="L27" s="2"/>
      <c r="M27" s="2"/>
      <c r="N27" s="2"/>
      <c r="O27" s="2"/>
      <c r="P27" s="2"/>
      <c r="Q27" s="2"/>
      <c r="R27" s="2"/>
      <c r="S27" s="2"/>
      <c r="T27" s="2"/>
      <c r="U27" s="2"/>
      <c r="V27" s="2"/>
      <c r="W27" s="2"/>
      <c r="X27" s="2"/>
      <c r="Y27" s="2"/>
      <c r="Z27" s="2"/>
      <c r="AA27" s="2"/>
      <c r="AB27" s="2"/>
    </row>
    <row r="28" spans="1:28" customHeight="true">
      <c r="A28" s="2" t="s">
        <v>55</v>
      </c>
      <c r="B28" s="15">
        <v>45926</v>
      </c>
      <c r="C28" s="2" t="s">
        <v>56</v>
      </c>
      <c r="D28" s="3">
        <v>89.89</v>
      </c>
      <c r="E28" s="16" t="s">
        <v>2400</v>
      </c>
      <c r="F28" s="17" t="s">
        <v>2401</v>
      </c>
      <c r="G28" s="17" t="s">
        <v>2393</v>
      </c>
      <c r="H28" s="18">
        <v>89.89</v>
      </c>
      <c r="I28" s="18">
        <v>89.89</v>
      </c>
      <c r="J28" s="17" t="s">
        <v>2394</v>
      </c>
      <c r="K28" s="2" t="s">
        <v>2395</v>
      </c>
      <c r="L28" s="2"/>
      <c r="M28" s="2"/>
      <c r="N28" s="2"/>
      <c r="O28" s="2"/>
      <c r="P28" s="2"/>
      <c r="Q28" s="2"/>
      <c r="R28" s="2"/>
      <c r="S28" s="2"/>
      <c r="T28" s="2"/>
      <c r="U28" s="2"/>
      <c r="V28" s="2"/>
      <c r="W28" s="2"/>
      <c r="X28" s="2"/>
      <c r="Y28" s="2"/>
      <c r="Z28" s="2"/>
      <c r="AA28" s="2"/>
      <c r="AB28" s="2"/>
    </row>
    <row r="29" spans="1:28" customHeight="true">
      <c r="A29" s="2" t="s">
        <v>57</v>
      </c>
      <c r="B29" s="15">
        <v>45926</v>
      </c>
      <c r="C29" s="2" t="s">
        <v>58</v>
      </c>
      <c r="D29" s="3">
        <v>313.68</v>
      </c>
      <c r="E29" s="16" t="str">
        <f>IFERROR(__xludf.DUMMYFUNCTION("IFERROR(
  TEXTJOIN(CHAR(10),TRUE,FILTER('SUMMARY DATA'!E:E,'SUMMARY DATA'!$A:$A=$A29,'SUMMARY DATA'!$C:$C=$B29,'SUMMARY DATA'!$B:$B=""RWS"")),
  IF(
    OR(
      ISNUMBER(SEARCH(""CDM CASH DEPOSIT"",$C29)),
      ISNUMBER(SEARCH(""CASH DEPOSIT"",$C29)),"&amp;"
      COUNTIFS('SUMMARY DATA'!$D:$D,$C29,'SUMMARY DATA'!$B:$B,""RWS"")&lt;&gt;1
    ),
    """",
    IFERROR(TEXTJOIN(CHAR(10),TRUE,FILTER('SUMMARY DATA'!E:E,'SUMMARY DATA'!$D:$D=$C29,'SUMMARY DATA'!$B:$B=""RWS"")),"""")
  )
)"),"")</f>
      </c>
      <c r="F29" s="17" t="str">
        <f>IFERROR(__xludf.DUMMYFUNCTION("IFERROR(
  TEXTJOIN(CHAR(10),TRUE,FILTER('SUMMARY DATA'!F:F,'SUMMARY DATA'!$A:$A=$A29,'SUMMARY DATA'!$C:$C=$B29,'SUMMARY DATA'!$B:$B=""RWS"")),
  IF(
    OR(
      ISNUMBER(SEARCH(""CDM CASH DEPOSIT"",$C29)),
      ISNUMBER(SEARCH(""CASH DEPOSIT"",$C29)),"&amp;"
      COUNTIFS('SUMMARY DATA'!$D:$D,$C29,'SUMMARY DATA'!$B:$B,""RWS"")&lt;&gt;1
    ),
    """",
    IFERROR(TEXTJOIN(CHAR(10),TRUE,FILTER('SUMMARY DATA'!F:F,'SUMMARY DATA'!$D:$D=$C29,'SUMMARY DATA'!$B:$B=""RWS"")),"""")
  )
)"),"")</f>
      </c>
      <c r="G29" s="17" t="str">
        <f>IFERROR(__xludf.DUMMYFUNCTION("IFERROR(
  TEXTJOIN(CHAR(10),TRUE,FILTER('SUMMARY DATA'!G:G,'SUMMARY DATA'!$A:$A=$A29,'SUMMARY DATA'!$C:$C=$B29,'SUMMARY DATA'!$B:$B=""RWS"")),
  IF(
    OR(
      ISNUMBER(SEARCH(""CDM CASH DEPOSIT"",$C29)),
      ISNUMBER(SEARCH(""CASH DEPOSIT"",$C29)),"&amp;"
      COUNTIFS('SUMMARY DATA'!$D:$D,$C29,'SUMMARY DATA'!$B:$B,""RWS"")&lt;&gt;1
    ),
    """",
    IFERROR(TEXTJOIN(CHAR(10),TRUE,FILTER('SUMMARY DATA'!G:G,'SUMMARY DATA'!$D:$D=$C29,'SUMMARY DATA'!$B:$B=""RWS"")),"""")
  )
)"),"")</f>
      </c>
      <c r="H29" s="18" t="str">
        <f>IFERROR(__xludf.DUMMYFUNCTION("IFERROR(
  TEXTJOIN(CHAR(10),TRUE,FILTER('SUMMARY DATA'!H:H,'SUMMARY DATA'!$A:$A=$A29,'SUMMARY DATA'!$C:$C=$B29,'SUMMARY DATA'!$B:$B=""RWS"",'SUMMARY DATA'!$H:$H=$D29)),
  IF(
    OR(
      ISNUMBER(SEARCH(""CDM CASH DEPOSIT"",$C29)),
      ISNUMBER(SEARC"&amp;"H(""CASH DEPOSIT"",$C29))
    ),
    """",
    IFERROR(TEXTJOIN(CHAR(10),TRUE,FILTER('SUMMARY DATA'!H:H,'SUMMARY DATA'!$D:$D=$C29,'SUMMARY DATA'!$B:$B=""RWS"",'SUMMARY DATA'!$H:$H=$D29)),"""")
  )
)"),"")</f>
      </c>
      <c r="I29" s="18" t="str">
        <f>IFERROR(__xludf.DUMMYFUNCTION("IF(H29="""","""",
SUM(ARRAYFORMULA(VALUE(SPLIT(H29,CHAR(10)))))
)"),"")</f>
      </c>
      <c r="J29" s="17" t="str">
        <f>IFERROR(__xludf.DUMMYFUNCTION("IFERROR(
  TEXTJOIN(CHAR(10),TRUE,FILTER('SUMMARY DATA'!I:I,'SUMMARY DATA'!$A:$A=$A29,'SUMMARY DATA'!$C:$C=$B29,'SUMMARY DATA'!$B:$B=""RWS"")),
  IF(
    OR(
      ISNUMBER(SEARCH(""CDM CASH DEPOSIT"",$C29)),
      ISNUMBER(SEARCH(""CASH DEPOSIT"",$C29)),"&amp;"
      COUNTIFS('SUMMARY DATA'!$D:$D,$C29,'SUMMARY DATA'!$B:$B,""RWS"")&lt;&gt;1
    ),
    """",
    IFERROR(TEXTJOIN(CHAR(10),TRUE,FILTER('SUMMARY DATA'!I:I,'SUMMARY DATA'!$D:$D=$C29,'SUMMARY DATA'!$B:$B=""RWS"")),"""")
  )
)"),"")</f>
      </c>
      <c r="K29" s="2"/>
      <c r="L29" s="2"/>
      <c r="M29" s="2"/>
      <c r="N29" s="2"/>
      <c r="O29" s="2"/>
      <c r="P29" s="2"/>
      <c r="Q29" s="2"/>
      <c r="R29" s="2"/>
      <c r="S29" s="2"/>
      <c r="T29" s="2"/>
      <c r="U29" s="2"/>
      <c r="V29" s="2"/>
      <c r="W29" s="2"/>
      <c r="X29" s="2"/>
      <c r="Y29" s="2"/>
      <c r="Z29" s="2"/>
      <c r="AA29" s="2"/>
      <c r="AB29" s="2"/>
    </row>
    <row r="30" spans="1:28" customHeight="true">
      <c r="A30" s="2"/>
      <c r="B30" s="15">
        <v>45926</v>
      </c>
      <c r="C30" s="2" t="s">
        <v>59</v>
      </c>
      <c r="D30" s="3">
        <v>154.63</v>
      </c>
      <c r="E30" s="16" t="str">
        <f>IFERROR(__xludf.DUMMYFUNCTION("IFERROR(
  TEXTJOIN(CHAR(10),TRUE,FILTER('SUMMARY DATA'!E:E,'SUMMARY DATA'!$A:$A=$A30,'SUMMARY DATA'!$C:$C=$B30,'SUMMARY DATA'!$B:$B=""RWS"")),
  IF(
    OR(
      ISNUMBER(SEARCH(""CDM CASH DEPOSIT"",$C30)),
      ISNUMBER(SEARCH(""CASH DEPOSIT"",$C30)),"&amp;"
      COUNTIFS('SUMMARY DATA'!$D:$D,$C30,'SUMMARY DATA'!$B:$B,""RWS"")&lt;&gt;1
    ),
    """",
    IFERROR(TEXTJOIN(CHAR(10),TRUE,FILTER('SUMMARY DATA'!E:E,'SUMMARY DATA'!$D:$D=$C30,'SUMMARY DATA'!$B:$B=""RWS"")),"""")
  )
)"),"")</f>
      </c>
      <c r="F30" s="17" t="str">
        <f>IFERROR(__xludf.DUMMYFUNCTION("IFERROR(
  TEXTJOIN(CHAR(10),TRUE,FILTER('SUMMARY DATA'!F:F,'SUMMARY DATA'!$A:$A=$A30,'SUMMARY DATA'!$C:$C=$B30,'SUMMARY DATA'!$B:$B=""RWS"")),
  IF(
    OR(
      ISNUMBER(SEARCH(""CDM CASH DEPOSIT"",$C30)),
      ISNUMBER(SEARCH(""CASH DEPOSIT"",$C30)),"&amp;"
      COUNTIFS('SUMMARY DATA'!$D:$D,$C30,'SUMMARY DATA'!$B:$B,""RWS"")&lt;&gt;1
    ),
    """",
    IFERROR(TEXTJOIN(CHAR(10),TRUE,FILTER('SUMMARY DATA'!F:F,'SUMMARY DATA'!$D:$D=$C30,'SUMMARY DATA'!$B:$B=""RWS"")),"""")
  )
)"),"")</f>
      </c>
      <c r="G30" s="17" t="str">
        <f>IFERROR(__xludf.DUMMYFUNCTION("IFERROR(
  TEXTJOIN(CHAR(10),TRUE,FILTER('SUMMARY DATA'!G:G,'SUMMARY DATA'!$A:$A=$A30,'SUMMARY DATA'!$C:$C=$B30,'SUMMARY DATA'!$B:$B=""RWS"")),
  IF(
    OR(
      ISNUMBER(SEARCH(""CDM CASH DEPOSIT"",$C30)),
      ISNUMBER(SEARCH(""CASH DEPOSIT"",$C30)),"&amp;"
      COUNTIFS('SUMMARY DATA'!$D:$D,$C30,'SUMMARY DATA'!$B:$B,""RWS"")&lt;&gt;1
    ),
    """",
    IFERROR(TEXTJOIN(CHAR(10),TRUE,FILTER('SUMMARY DATA'!G:G,'SUMMARY DATA'!$D:$D=$C30,'SUMMARY DATA'!$B:$B=""RWS"")),"""")
  )
)"),"")</f>
      </c>
      <c r="H30" s="18" t="str">
        <f>IFERROR(__xludf.DUMMYFUNCTION("IFERROR(
  TEXTJOIN(CHAR(10),TRUE,FILTER('SUMMARY DATA'!H:H,'SUMMARY DATA'!$A:$A=$A30,'SUMMARY DATA'!$C:$C=$B30,'SUMMARY DATA'!$B:$B=""RWS"",'SUMMARY DATA'!$H:$H=$D30)),
  IF(
    OR(
      ISNUMBER(SEARCH(""CDM CASH DEPOSIT"",$C30)),
      ISNUMBER(SEARC"&amp;"H(""CASH DEPOSIT"",$C30))
    ),
    """",
    IFERROR(TEXTJOIN(CHAR(10),TRUE,FILTER('SUMMARY DATA'!H:H,'SUMMARY DATA'!$D:$D=$C30,'SUMMARY DATA'!$B:$B=""RWS"",'SUMMARY DATA'!$H:$H=$D30)),"""")
  )
)"),"")</f>
      </c>
      <c r="I30" s="18" t="str">
        <f>IFERROR(__xludf.DUMMYFUNCTION("IF(H30="""","""",
SUM(ARRAYFORMULA(VALUE(SPLIT(H30,CHAR(10)))))
)"),"")</f>
      </c>
      <c r="J30" s="17" t="str">
        <f>IFERROR(__xludf.DUMMYFUNCTION("IFERROR(
  TEXTJOIN(CHAR(10),TRUE,FILTER('SUMMARY DATA'!I:I,'SUMMARY DATA'!$A:$A=$A30,'SUMMARY DATA'!$C:$C=$B30,'SUMMARY DATA'!$B:$B=""RWS"")),
  IF(
    OR(
      ISNUMBER(SEARCH(""CDM CASH DEPOSIT"",$C30)),
      ISNUMBER(SEARCH(""CASH DEPOSIT"",$C30)),"&amp;"
      COUNTIFS('SUMMARY DATA'!$D:$D,$C30,'SUMMARY DATA'!$B:$B,""RWS"")&lt;&gt;1
    ),
    """",
    IFERROR(TEXTJOIN(CHAR(10),TRUE,FILTER('SUMMARY DATA'!I:I,'SUMMARY DATA'!$D:$D=$C30,'SUMMARY DATA'!$B:$B=""RWS"")),"""")
  )
)"),"")</f>
      </c>
      <c r="K30" s="2"/>
      <c r="L30" s="2"/>
      <c r="M30" s="2"/>
      <c r="N30" s="2"/>
      <c r="O30" s="2"/>
      <c r="P30" s="2"/>
      <c r="Q30" s="2"/>
      <c r="R30" s="2"/>
      <c r="S30" s="2"/>
      <c r="T30" s="2"/>
      <c r="U30" s="2"/>
      <c r="V30" s="2"/>
      <c r="W30" s="2"/>
      <c r="X30" s="2"/>
      <c r="Y30" s="2"/>
      <c r="Z30" s="2"/>
      <c r="AA30" s="2"/>
      <c r="AB30" s="2"/>
    </row>
    <row r="31" spans="1:28" customHeight="true">
      <c r="A31" s="2"/>
      <c r="B31" s="15">
        <v>45926</v>
      </c>
      <c r="C31" s="2" t="s">
        <v>60</v>
      </c>
      <c r="D31" s="3">
        <v>1058.67</v>
      </c>
      <c r="E31" s="16" t="str">
        <f>IFERROR(__xludf.DUMMYFUNCTION("IFERROR(
  TEXTJOIN(CHAR(10),TRUE,FILTER('SUMMARY DATA'!E:E,'SUMMARY DATA'!$A:$A=$A31,'SUMMARY DATA'!$C:$C=$B31,'SUMMARY DATA'!$B:$B=""RWS"")),
  IF(
    OR(
      ISNUMBER(SEARCH(""CDM CASH DEPOSIT"",$C31)),
      ISNUMBER(SEARCH(""CASH DEPOSIT"",$C31)),"&amp;"
      COUNTIFS('SUMMARY DATA'!$D:$D,$C31,'SUMMARY DATA'!$B:$B,""RWS"")&lt;&gt;1
    ),
    """",
    IFERROR(TEXTJOIN(CHAR(10),TRUE,FILTER('SUMMARY DATA'!E:E,'SUMMARY DATA'!$D:$D=$C31,'SUMMARY DATA'!$B:$B=""RWS"")),"""")
  )
)"),"")</f>
      </c>
      <c r="F31" s="17" t="str">
        <f>IFERROR(__xludf.DUMMYFUNCTION("IFERROR(
  TEXTJOIN(CHAR(10),TRUE,FILTER('SUMMARY DATA'!F:F,'SUMMARY DATA'!$A:$A=$A31,'SUMMARY DATA'!$C:$C=$B31,'SUMMARY DATA'!$B:$B=""RWS"")),
  IF(
    OR(
      ISNUMBER(SEARCH(""CDM CASH DEPOSIT"",$C31)),
      ISNUMBER(SEARCH(""CASH DEPOSIT"",$C31)),"&amp;"
      COUNTIFS('SUMMARY DATA'!$D:$D,$C31,'SUMMARY DATA'!$B:$B,""RWS"")&lt;&gt;1
    ),
    """",
    IFERROR(TEXTJOIN(CHAR(10),TRUE,FILTER('SUMMARY DATA'!F:F,'SUMMARY DATA'!$D:$D=$C31,'SUMMARY DATA'!$B:$B=""RWS"")),"""")
  )
)"),"")</f>
      </c>
      <c r="G31" s="17" t="str">
        <f>IFERROR(__xludf.DUMMYFUNCTION("IFERROR(
  TEXTJOIN(CHAR(10),TRUE,FILTER('SUMMARY DATA'!G:G,'SUMMARY DATA'!$A:$A=$A31,'SUMMARY DATA'!$C:$C=$B31,'SUMMARY DATA'!$B:$B=""RWS"")),
  IF(
    OR(
      ISNUMBER(SEARCH(""CDM CASH DEPOSIT"",$C31)),
      ISNUMBER(SEARCH(""CASH DEPOSIT"",$C31)),"&amp;"
      COUNTIFS('SUMMARY DATA'!$D:$D,$C31,'SUMMARY DATA'!$B:$B,""RWS"")&lt;&gt;1
    ),
    """",
    IFERROR(TEXTJOIN(CHAR(10),TRUE,FILTER('SUMMARY DATA'!G:G,'SUMMARY DATA'!$D:$D=$C31,'SUMMARY DATA'!$B:$B=""RWS"")),"""")
  )
)"),"")</f>
      </c>
      <c r="H31" s="18" t="str">
        <f>IFERROR(__xludf.DUMMYFUNCTION("IFERROR(
  TEXTJOIN(CHAR(10),TRUE,FILTER('SUMMARY DATA'!H:H,'SUMMARY DATA'!$A:$A=$A31,'SUMMARY DATA'!$C:$C=$B31,'SUMMARY DATA'!$B:$B=""RWS"",'SUMMARY DATA'!$H:$H=$D31)),
  IF(
    OR(
      ISNUMBER(SEARCH(""CDM CASH DEPOSIT"",$C31)),
      ISNUMBER(SEARC"&amp;"H(""CASH DEPOSIT"",$C31))
    ),
    """",
    IFERROR(TEXTJOIN(CHAR(10),TRUE,FILTER('SUMMARY DATA'!H:H,'SUMMARY DATA'!$D:$D=$C31,'SUMMARY DATA'!$B:$B=""RWS"",'SUMMARY DATA'!$H:$H=$D31)),"""")
  )
)"),"")</f>
      </c>
      <c r="I31" s="18" t="str">
        <f>IFERROR(__xludf.DUMMYFUNCTION("IF(H31="""","""",
SUM(ARRAYFORMULA(VALUE(SPLIT(H31,CHAR(10)))))
)"),"")</f>
      </c>
      <c r="J31" s="17" t="str">
        <f>IFERROR(__xludf.DUMMYFUNCTION("IFERROR(
  TEXTJOIN(CHAR(10),TRUE,FILTER('SUMMARY DATA'!I:I,'SUMMARY DATA'!$A:$A=$A31,'SUMMARY DATA'!$C:$C=$B31,'SUMMARY DATA'!$B:$B=""RWS"")),
  IF(
    OR(
      ISNUMBER(SEARCH(""CDM CASH DEPOSIT"",$C31)),
      ISNUMBER(SEARCH(""CASH DEPOSIT"",$C31)),"&amp;"
      COUNTIFS('SUMMARY DATA'!$D:$D,$C31,'SUMMARY DATA'!$B:$B,""RWS"")&lt;&gt;1
    ),
    """",
    IFERROR(TEXTJOIN(CHAR(10),TRUE,FILTER('SUMMARY DATA'!I:I,'SUMMARY DATA'!$D:$D=$C31,'SUMMARY DATA'!$B:$B=""RWS"")),"""")
  )
)"),"")</f>
      </c>
      <c r="K31" s="2"/>
      <c r="L31" s="2"/>
      <c r="M31" s="2"/>
      <c r="N31" s="2"/>
      <c r="O31" s="2"/>
      <c r="P31" s="2"/>
      <c r="Q31" s="2"/>
      <c r="R31" s="2"/>
      <c r="S31" s="2"/>
      <c r="T31" s="2"/>
      <c r="U31" s="2"/>
      <c r="V31" s="2"/>
      <c r="W31" s="2"/>
      <c r="X31" s="2"/>
      <c r="Y31" s="2"/>
      <c r="Z31" s="2"/>
      <c r="AA31" s="2"/>
      <c r="AB31" s="2"/>
    </row>
    <row r="32" spans="1:28" customHeight="true">
      <c r="A32" s="2"/>
      <c r="B32" s="15">
        <v>45925</v>
      </c>
      <c r="C32" s="2" t="s">
        <v>61</v>
      </c>
      <c r="D32" s="3">
        <v>27.6</v>
      </c>
      <c r="E32" s="16" t="str">
        <f>IFERROR(__xludf.DUMMYFUNCTION("IFERROR(
  TEXTJOIN(CHAR(10),TRUE,FILTER('SUMMARY DATA'!E:E,'SUMMARY DATA'!$A:$A=$A32,'SUMMARY DATA'!$C:$C=$B32,'SUMMARY DATA'!$B:$B=""RWS"")),
  IF(
    OR(
      ISNUMBER(SEARCH(""CDM CASH DEPOSIT"",$C32)),
      ISNUMBER(SEARCH(""CASH DEPOSIT"",$C32)),"&amp;"
      COUNTIFS('SUMMARY DATA'!$D:$D,$C32,'SUMMARY DATA'!$B:$B,""RWS"")&lt;&gt;1
    ),
    """",
    IFERROR(TEXTJOIN(CHAR(10),TRUE,FILTER('SUMMARY DATA'!E:E,'SUMMARY DATA'!$D:$D=$C32,'SUMMARY DATA'!$B:$B=""RWS"")),"""")
  )
)"),"")</f>
      </c>
      <c r="F32" s="17" t="str">
        <f>IFERROR(__xludf.DUMMYFUNCTION("IFERROR(
  TEXTJOIN(CHAR(10),TRUE,FILTER('SUMMARY DATA'!F:F,'SUMMARY DATA'!$A:$A=$A32,'SUMMARY DATA'!$C:$C=$B32,'SUMMARY DATA'!$B:$B=""RWS"")),
  IF(
    OR(
      ISNUMBER(SEARCH(""CDM CASH DEPOSIT"",$C32)),
      ISNUMBER(SEARCH(""CASH DEPOSIT"",$C32)),"&amp;"
      COUNTIFS('SUMMARY DATA'!$D:$D,$C32,'SUMMARY DATA'!$B:$B,""RWS"")&lt;&gt;1
    ),
    """",
    IFERROR(TEXTJOIN(CHAR(10),TRUE,FILTER('SUMMARY DATA'!F:F,'SUMMARY DATA'!$D:$D=$C32,'SUMMARY DATA'!$B:$B=""RWS"")),"""")
  )
)"),"")</f>
      </c>
      <c r="G32" s="17" t="str">
        <f>IFERROR(__xludf.DUMMYFUNCTION("IFERROR(
  TEXTJOIN(CHAR(10),TRUE,FILTER('SUMMARY DATA'!G:G,'SUMMARY DATA'!$A:$A=$A32,'SUMMARY DATA'!$C:$C=$B32,'SUMMARY DATA'!$B:$B=""RWS"")),
  IF(
    OR(
      ISNUMBER(SEARCH(""CDM CASH DEPOSIT"",$C32)),
      ISNUMBER(SEARCH(""CASH DEPOSIT"",$C32)),"&amp;"
      COUNTIFS('SUMMARY DATA'!$D:$D,$C32,'SUMMARY DATA'!$B:$B,""RWS"")&lt;&gt;1
    ),
    """",
    IFERROR(TEXTJOIN(CHAR(10),TRUE,FILTER('SUMMARY DATA'!G:G,'SUMMARY DATA'!$D:$D=$C32,'SUMMARY DATA'!$B:$B=""RWS"")),"""")
  )
)"),"")</f>
      </c>
      <c r="H32" s="18" t="str">
        <f>IFERROR(__xludf.DUMMYFUNCTION("IFERROR(
  TEXTJOIN(CHAR(10),TRUE,FILTER('SUMMARY DATA'!H:H,'SUMMARY DATA'!$A:$A=$A32,'SUMMARY DATA'!$C:$C=$B32,'SUMMARY DATA'!$B:$B=""RWS"",'SUMMARY DATA'!$H:$H=$D32)),
  IF(
    OR(
      ISNUMBER(SEARCH(""CDM CASH DEPOSIT"",$C32)),
      ISNUMBER(SEARC"&amp;"H(""CASH DEPOSIT"",$C32))
    ),
    """",
    IFERROR(TEXTJOIN(CHAR(10),TRUE,FILTER('SUMMARY DATA'!H:H,'SUMMARY DATA'!$D:$D=$C32,'SUMMARY DATA'!$B:$B=""RWS"",'SUMMARY DATA'!$H:$H=$D32)),"""")
  )
)"),"")</f>
      </c>
      <c r="I32" s="18" t="str">
        <f>IFERROR(__xludf.DUMMYFUNCTION("IF(H32="""","""",
SUM(ARRAYFORMULA(VALUE(SPLIT(H32,CHAR(10)))))
)"),"")</f>
      </c>
      <c r="J32" s="17" t="str">
        <f>IFERROR(__xludf.DUMMYFUNCTION("IFERROR(
  TEXTJOIN(CHAR(10),TRUE,FILTER('SUMMARY DATA'!I:I,'SUMMARY DATA'!$A:$A=$A32,'SUMMARY DATA'!$C:$C=$B32,'SUMMARY DATA'!$B:$B=""RWS"")),
  IF(
    OR(
      ISNUMBER(SEARCH(""CDM CASH DEPOSIT"",$C32)),
      ISNUMBER(SEARCH(""CASH DEPOSIT"",$C32)),"&amp;"
      COUNTIFS('SUMMARY DATA'!$D:$D,$C32,'SUMMARY DATA'!$B:$B,""RWS"")&lt;&gt;1
    ),
    """",
    IFERROR(TEXTJOIN(CHAR(10),TRUE,FILTER('SUMMARY DATA'!I:I,'SUMMARY DATA'!$D:$D=$C32,'SUMMARY DATA'!$B:$B=""RWS"")),"""")
  )
)"),"")</f>
      </c>
      <c r="K32" s="2"/>
      <c r="L32" s="2"/>
      <c r="M32" s="2"/>
      <c r="N32" s="2"/>
      <c r="O32" s="2"/>
      <c r="P32" s="2"/>
      <c r="Q32" s="2"/>
      <c r="R32" s="2"/>
      <c r="S32" s="2"/>
      <c r="T32" s="2"/>
      <c r="U32" s="2"/>
      <c r="V32" s="2"/>
      <c r="W32" s="2"/>
      <c r="X32" s="2"/>
      <c r="Y32" s="2"/>
      <c r="Z32" s="2"/>
      <c r="AA32" s="2"/>
      <c r="AB32" s="2"/>
    </row>
    <row r="33" spans="1:28" customHeight="true">
      <c r="A33" s="2"/>
      <c r="B33" s="15">
        <v>45925</v>
      </c>
      <c r="C33" s="2" t="s">
        <v>62</v>
      </c>
      <c r="D33" s="3">
        <v>10</v>
      </c>
      <c r="E33" s="16" t="str">
        <f>IFERROR(__xludf.DUMMYFUNCTION("IFERROR(
  TEXTJOIN(CHAR(10),TRUE,FILTER('SUMMARY DATA'!E:E,'SUMMARY DATA'!$A:$A=$A33,'SUMMARY DATA'!$C:$C=$B33,'SUMMARY DATA'!$B:$B=""RWS"")),
  IF(
    OR(
      ISNUMBER(SEARCH(""CDM CASH DEPOSIT"",$C33)),
      ISNUMBER(SEARCH(""CASH DEPOSIT"",$C33)),"&amp;"
      COUNTIFS('SUMMARY DATA'!$D:$D,$C33,'SUMMARY DATA'!$B:$B,""RWS"")&lt;&gt;1
    ),
    """",
    IFERROR(TEXTJOIN(CHAR(10),TRUE,FILTER('SUMMARY DATA'!E:E,'SUMMARY DATA'!$D:$D=$C33,'SUMMARY DATA'!$B:$B=""RWS"")),"""")
  )
)"),"")</f>
      </c>
      <c r="F33" s="17" t="str">
        <f>IFERROR(__xludf.DUMMYFUNCTION("IFERROR(
  TEXTJOIN(CHAR(10),TRUE,FILTER('SUMMARY DATA'!F:F,'SUMMARY DATA'!$A:$A=$A33,'SUMMARY DATA'!$C:$C=$B33,'SUMMARY DATA'!$B:$B=""RWS"")),
  IF(
    OR(
      ISNUMBER(SEARCH(""CDM CASH DEPOSIT"",$C33)),
      ISNUMBER(SEARCH(""CASH DEPOSIT"",$C33)),"&amp;"
      COUNTIFS('SUMMARY DATA'!$D:$D,$C33,'SUMMARY DATA'!$B:$B,""RWS"")&lt;&gt;1
    ),
    """",
    IFERROR(TEXTJOIN(CHAR(10),TRUE,FILTER('SUMMARY DATA'!F:F,'SUMMARY DATA'!$D:$D=$C33,'SUMMARY DATA'!$B:$B=""RWS"")),"""")
  )
)"),"")</f>
      </c>
      <c r="G33" s="17" t="str">
        <f>IFERROR(__xludf.DUMMYFUNCTION("IFERROR(
  TEXTJOIN(CHAR(10),TRUE,FILTER('SUMMARY DATA'!G:G,'SUMMARY DATA'!$A:$A=$A33,'SUMMARY DATA'!$C:$C=$B33,'SUMMARY DATA'!$B:$B=""RWS"")),
  IF(
    OR(
      ISNUMBER(SEARCH(""CDM CASH DEPOSIT"",$C33)),
      ISNUMBER(SEARCH(""CASH DEPOSIT"",$C33)),"&amp;"
      COUNTIFS('SUMMARY DATA'!$D:$D,$C33,'SUMMARY DATA'!$B:$B,""RWS"")&lt;&gt;1
    ),
    """",
    IFERROR(TEXTJOIN(CHAR(10),TRUE,FILTER('SUMMARY DATA'!G:G,'SUMMARY DATA'!$D:$D=$C33,'SUMMARY DATA'!$B:$B=""RWS"")),"""")
  )
)"),"")</f>
      </c>
      <c r="H33" s="18" t="str">
        <f>IFERROR(__xludf.DUMMYFUNCTION("IFERROR(
  TEXTJOIN(CHAR(10),TRUE,FILTER('SUMMARY DATA'!H:H,'SUMMARY DATA'!$A:$A=$A33,'SUMMARY DATA'!$C:$C=$B33,'SUMMARY DATA'!$B:$B=""RWS"",'SUMMARY DATA'!$H:$H=$D33)),
  IF(
    OR(
      ISNUMBER(SEARCH(""CDM CASH DEPOSIT"",$C33)),
      ISNUMBER(SEARC"&amp;"H(""CASH DEPOSIT"",$C33))
    ),
    """",
    IFERROR(TEXTJOIN(CHAR(10),TRUE,FILTER('SUMMARY DATA'!H:H,'SUMMARY DATA'!$D:$D=$C33,'SUMMARY DATA'!$B:$B=""RWS"",'SUMMARY DATA'!$H:$H=$D33)),"""")
  )
)"),"")</f>
      </c>
      <c r="I33" s="18" t="str">
        <f>IFERROR(__xludf.DUMMYFUNCTION("IF(H33="""","""",
SUM(ARRAYFORMULA(VALUE(SPLIT(H33,CHAR(10)))))
)"),"")</f>
      </c>
      <c r="J33" s="17" t="str">
        <f>IFERROR(__xludf.DUMMYFUNCTION("IFERROR(
  TEXTJOIN(CHAR(10),TRUE,FILTER('SUMMARY DATA'!I:I,'SUMMARY DATA'!$A:$A=$A33,'SUMMARY DATA'!$C:$C=$B33,'SUMMARY DATA'!$B:$B=""RWS"")),
  IF(
    OR(
      ISNUMBER(SEARCH(""CDM CASH DEPOSIT"",$C33)),
      ISNUMBER(SEARCH(""CASH DEPOSIT"",$C33)),"&amp;"
      COUNTIFS('SUMMARY DATA'!$D:$D,$C33,'SUMMARY DATA'!$B:$B,""RWS"")&lt;&gt;1
    ),
    """",
    IFERROR(TEXTJOIN(CHAR(10),TRUE,FILTER('SUMMARY DATA'!I:I,'SUMMARY DATA'!$D:$D=$C33,'SUMMARY DATA'!$B:$B=""RWS"")),"""")
  )
)"),"")</f>
      </c>
      <c r="K33" s="2"/>
      <c r="L33" s="2"/>
      <c r="M33" s="2"/>
      <c r="N33" s="2"/>
      <c r="O33" s="2"/>
      <c r="P33" s="2"/>
      <c r="Q33" s="2"/>
      <c r="R33" s="2"/>
      <c r="S33" s="2"/>
      <c r="T33" s="2"/>
      <c r="U33" s="2"/>
      <c r="V33" s="2"/>
      <c r="W33" s="2"/>
      <c r="X33" s="2"/>
      <c r="Y33" s="2"/>
      <c r="Z33" s="2"/>
      <c r="AA33" s="2"/>
      <c r="AB33" s="2"/>
    </row>
    <row r="34" spans="1:28" customHeight="true">
      <c r="A34" s="2"/>
      <c r="B34" s="15">
        <v>45925</v>
      </c>
      <c r="C34" s="2" t="s">
        <v>63</v>
      </c>
      <c r="D34" s="3">
        <v>179.32</v>
      </c>
      <c r="E34" s="16" t="str">
        <f>IFERROR(__xludf.DUMMYFUNCTION("IFERROR(
  TEXTJOIN(CHAR(10),TRUE,FILTER('SUMMARY DATA'!E:E,'SUMMARY DATA'!$A:$A=$A34,'SUMMARY DATA'!$C:$C=$B34,'SUMMARY DATA'!$B:$B=""RWS"")),
  IF(
    OR(
      ISNUMBER(SEARCH(""CDM CASH DEPOSIT"",$C34)),
      ISNUMBER(SEARCH(""CASH DEPOSIT"",$C34)),"&amp;"
      COUNTIFS('SUMMARY DATA'!$D:$D,$C34,'SUMMARY DATA'!$B:$B,""RWS"")&lt;&gt;1
    ),
    """",
    IFERROR(TEXTJOIN(CHAR(10),TRUE,FILTER('SUMMARY DATA'!E:E,'SUMMARY DATA'!$D:$D=$C34,'SUMMARY DATA'!$B:$B=""RWS"")),"""")
  )
)"),"")</f>
      </c>
      <c r="F34" s="17" t="str">
        <f>IFERROR(__xludf.DUMMYFUNCTION("IFERROR(
  TEXTJOIN(CHAR(10),TRUE,FILTER('SUMMARY DATA'!F:F,'SUMMARY DATA'!$A:$A=$A34,'SUMMARY DATA'!$C:$C=$B34,'SUMMARY DATA'!$B:$B=""RWS"")),
  IF(
    OR(
      ISNUMBER(SEARCH(""CDM CASH DEPOSIT"",$C34)),
      ISNUMBER(SEARCH(""CASH DEPOSIT"",$C34)),"&amp;"
      COUNTIFS('SUMMARY DATA'!$D:$D,$C34,'SUMMARY DATA'!$B:$B,""RWS"")&lt;&gt;1
    ),
    """",
    IFERROR(TEXTJOIN(CHAR(10),TRUE,FILTER('SUMMARY DATA'!F:F,'SUMMARY DATA'!$D:$D=$C34,'SUMMARY DATA'!$B:$B=""RWS"")),"""")
  )
)"),"")</f>
      </c>
      <c r="G34" s="17" t="str">
        <f>IFERROR(__xludf.DUMMYFUNCTION("IFERROR(
  TEXTJOIN(CHAR(10),TRUE,FILTER('SUMMARY DATA'!G:G,'SUMMARY DATA'!$A:$A=$A34,'SUMMARY DATA'!$C:$C=$B34,'SUMMARY DATA'!$B:$B=""RWS"")),
  IF(
    OR(
      ISNUMBER(SEARCH(""CDM CASH DEPOSIT"",$C34)),
      ISNUMBER(SEARCH(""CASH DEPOSIT"",$C34)),"&amp;"
      COUNTIFS('SUMMARY DATA'!$D:$D,$C34,'SUMMARY DATA'!$B:$B,""RWS"")&lt;&gt;1
    ),
    """",
    IFERROR(TEXTJOIN(CHAR(10),TRUE,FILTER('SUMMARY DATA'!G:G,'SUMMARY DATA'!$D:$D=$C34,'SUMMARY DATA'!$B:$B=""RWS"")),"""")
  )
)"),"")</f>
      </c>
      <c r="H34" s="18" t="str">
        <f>IFERROR(__xludf.DUMMYFUNCTION("IFERROR(
  TEXTJOIN(CHAR(10),TRUE,FILTER('SUMMARY DATA'!H:H,'SUMMARY DATA'!$A:$A=$A34,'SUMMARY DATA'!$C:$C=$B34,'SUMMARY DATA'!$B:$B=""RWS"",'SUMMARY DATA'!$H:$H=$D34)),
  IF(
    OR(
      ISNUMBER(SEARCH(""CDM CASH DEPOSIT"",$C34)),
      ISNUMBER(SEARC"&amp;"H(""CASH DEPOSIT"",$C34))
    ),
    """",
    IFERROR(TEXTJOIN(CHAR(10),TRUE,FILTER('SUMMARY DATA'!H:H,'SUMMARY DATA'!$D:$D=$C34,'SUMMARY DATA'!$B:$B=""RWS"",'SUMMARY DATA'!$H:$H=$D34)),"""")
  )
)"),"")</f>
      </c>
      <c r="I34" s="18" t="str">
        <f>IFERROR(__xludf.DUMMYFUNCTION("IF(H34="""","""",
SUM(ARRAYFORMULA(VALUE(SPLIT(H34,CHAR(10)))))
)"),"")</f>
      </c>
      <c r="J34" s="17" t="str">
        <f>IFERROR(__xludf.DUMMYFUNCTION("IFERROR(
  TEXTJOIN(CHAR(10),TRUE,FILTER('SUMMARY DATA'!I:I,'SUMMARY DATA'!$A:$A=$A34,'SUMMARY DATA'!$C:$C=$B34,'SUMMARY DATA'!$B:$B=""RWS"")),
  IF(
    OR(
      ISNUMBER(SEARCH(""CDM CASH DEPOSIT"",$C34)),
      ISNUMBER(SEARCH(""CASH DEPOSIT"",$C34)),"&amp;"
      COUNTIFS('SUMMARY DATA'!$D:$D,$C34,'SUMMARY DATA'!$B:$B,""RWS"")&lt;&gt;1
    ),
    """",
    IFERROR(TEXTJOIN(CHAR(10),TRUE,FILTER('SUMMARY DATA'!I:I,'SUMMARY DATA'!$D:$D=$C34,'SUMMARY DATA'!$B:$B=""RWS"")),"""")
  )
)"),"")</f>
      </c>
      <c r="K34" s="2"/>
      <c r="L34" s="2"/>
      <c r="M34" s="2"/>
      <c r="N34" s="2"/>
      <c r="O34" s="2"/>
      <c r="P34" s="2"/>
      <c r="Q34" s="2"/>
      <c r="R34" s="2"/>
      <c r="S34" s="2"/>
      <c r="T34" s="2"/>
      <c r="U34" s="2"/>
      <c r="V34" s="2"/>
      <c r="W34" s="2"/>
      <c r="X34" s="2"/>
      <c r="Y34" s="2"/>
      <c r="Z34" s="2"/>
      <c r="AA34" s="2"/>
      <c r="AB34" s="2"/>
    </row>
    <row r="35" spans="1:28" customHeight="true">
      <c r="A35" s="2"/>
      <c r="B35" s="15">
        <v>45925</v>
      </c>
      <c r="C35" s="2" t="s">
        <v>48</v>
      </c>
      <c r="D35" s="3">
        <v>120</v>
      </c>
      <c r="E35" s="16" t="str">
        <f>IFERROR(__xludf.DUMMYFUNCTION("IFERROR(
  TEXTJOIN(CHAR(10),TRUE,FILTER('SUMMARY DATA'!E:E,'SUMMARY DATA'!$A:$A=$A35,'SUMMARY DATA'!$C:$C=$B35,'SUMMARY DATA'!$B:$B=""RWS"")),
  IF(
    OR(
      ISNUMBER(SEARCH(""CDM CASH DEPOSIT"",$C35)),
      ISNUMBER(SEARCH(""CASH DEPOSIT"",$C35)),"&amp;"
      COUNTIFS('SUMMARY DATA'!$D:$D,$C35,'SUMMARY DATA'!$B:$B,""RWS"")&lt;&gt;1
    ),
    """",
    IFERROR(TEXTJOIN(CHAR(10),TRUE,FILTER('SUMMARY DATA'!E:E,'SUMMARY DATA'!$D:$D=$C35,'SUMMARY DATA'!$B:$B=""RWS"")),"""")
  )
)"),"")</f>
      </c>
      <c r="F35" s="17" t="str">
        <f>IFERROR(__xludf.DUMMYFUNCTION("IFERROR(
  TEXTJOIN(CHAR(10),TRUE,FILTER('SUMMARY DATA'!F:F,'SUMMARY DATA'!$A:$A=$A35,'SUMMARY DATA'!$C:$C=$B35,'SUMMARY DATA'!$B:$B=""RWS"")),
  IF(
    OR(
      ISNUMBER(SEARCH(""CDM CASH DEPOSIT"",$C35)),
      ISNUMBER(SEARCH(""CASH DEPOSIT"",$C35)),"&amp;"
      COUNTIFS('SUMMARY DATA'!$D:$D,$C35,'SUMMARY DATA'!$B:$B,""RWS"")&lt;&gt;1
    ),
    """",
    IFERROR(TEXTJOIN(CHAR(10),TRUE,FILTER('SUMMARY DATA'!F:F,'SUMMARY DATA'!$D:$D=$C35,'SUMMARY DATA'!$B:$B=""RWS"")),"""")
  )
)"),"")</f>
      </c>
      <c r="G35" s="17" t="str">
        <f>IFERROR(__xludf.DUMMYFUNCTION("IFERROR(
  TEXTJOIN(CHAR(10),TRUE,FILTER('SUMMARY DATA'!G:G,'SUMMARY DATA'!$A:$A=$A35,'SUMMARY DATA'!$C:$C=$B35,'SUMMARY DATA'!$B:$B=""RWS"")),
  IF(
    OR(
      ISNUMBER(SEARCH(""CDM CASH DEPOSIT"",$C35)),
      ISNUMBER(SEARCH(""CASH DEPOSIT"",$C35)),"&amp;"
      COUNTIFS('SUMMARY DATA'!$D:$D,$C35,'SUMMARY DATA'!$B:$B,""RWS"")&lt;&gt;1
    ),
    """",
    IFERROR(TEXTJOIN(CHAR(10),TRUE,FILTER('SUMMARY DATA'!G:G,'SUMMARY DATA'!$D:$D=$C35,'SUMMARY DATA'!$B:$B=""RWS"")),"""")
  )
)"),"")</f>
      </c>
      <c r="H35" s="18" t="str">
        <f>IFERROR(__xludf.DUMMYFUNCTION("IFERROR(
  TEXTJOIN(CHAR(10),TRUE,FILTER('SUMMARY DATA'!H:H,'SUMMARY DATA'!$A:$A=$A35,'SUMMARY DATA'!$C:$C=$B35,'SUMMARY DATA'!$B:$B=""RWS"",'SUMMARY DATA'!$H:$H=$D35)),
  IF(
    OR(
      ISNUMBER(SEARCH(""CDM CASH DEPOSIT"",$C35)),
      ISNUMBER(SEARC"&amp;"H(""CASH DEPOSIT"",$C35))
    ),
    """",
    IFERROR(TEXTJOIN(CHAR(10),TRUE,FILTER('SUMMARY DATA'!H:H,'SUMMARY DATA'!$D:$D=$C35,'SUMMARY DATA'!$B:$B=""RWS"",'SUMMARY DATA'!$H:$H=$D35)),"""")
  )
)"),"")</f>
      </c>
      <c r="I35" s="18" t="str">
        <f>IFERROR(__xludf.DUMMYFUNCTION("IF(H35="""","""",
SUM(ARRAYFORMULA(VALUE(SPLIT(H35,CHAR(10)))))
)"),"")</f>
      </c>
      <c r="J35" s="17" t="str">
        <f>IFERROR(__xludf.DUMMYFUNCTION("IFERROR(
  TEXTJOIN(CHAR(10),TRUE,FILTER('SUMMARY DATA'!I:I,'SUMMARY DATA'!$A:$A=$A35,'SUMMARY DATA'!$C:$C=$B35,'SUMMARY DATA'!$B:$B=""RWS"")),
  IF(
    OR(
      ISNUMBER(SEARCH(""CDM CASH DEPOSIT"",$C35)),
      ISNUMBER(SEARCH(""CASH DEPOSIT"",$C35)),"&amp;"
      COUNTIFS('SUMMARY DATA'!$D:$D,$C35,'SUMMARY DATA'!$B:$B,""RWS"")&lt;&gt;1
    ),
    """",
    IFERROR(TEXTJOIN(CHAR(10),TRUE,FILTER('SUMMARY DATA'!I:I,'SUMMARY DATA'!$D:$D=$C35,'SUMMARY DATA'!$B:$B=""RWS"")),"""")
  )
)"),"")</f>
      </c>
      <c r="K35" s="2"/>
      <c r="L35" s="2"/>
      <c r="M35" s="2"/>
      <c r="N35" s="2"/>
      <c r="O35" s="2"/>
      <c r="P35" s="2"/>
      <c r="Q35" s="2"/>
      <c r="R35" s="2"/>
      <c r="S35" s="2"/>
      <c r="T35" s="2"/>
      <c r="U35" s="2"/>
      <c r="V35" s="2"/>
      <c r="W35" s="2"/>
      <c r="X35" s="2"/>
      <c r="Y35" s="2"/>
      <c r="Z35" s="2"/>
      <c r="AA35" s="2"/>
      <c r="AB35" s="2"/>
    </row>
    <row r="36" spans="1:28" customHeight="true">
      <c r="A36" s="2"/>
      <c r="B36" s="15">
        <v>45925</v>
      </c>
      <c r="C36" s="2" t="s">
        <v>64</v>
      </c>
      <c r="D36" s="3">
        <v>123.58</v>
      </c>
      <c r="E36" s="16" t="str">
        <f>IFERROR(__xludf.DUMMYFUNCTION("IFERROR(
  TEXTJOIN(CHAR(10),TRUE,FILTER('SUMMARY DATA'!E:E,'SUMMARY DATA'!$A:$A=$A36,'SUMMARY DATA'!$C:$C=$B36,'SUMMARY DATA'!$B:$B=""RWS"")),
  IF(
    OR(
      ISNUMBER(SEARCH(""CDM CASH DEPOSIT"",$C36)),
      ISNUMBER(SEARCH(""CASH DEPOSIT"",$C36)),"&amp;"
      COUNTIFS('SUMMARY DATA'!$D:$D,$C36,'SUMMARY DATA'!$B:$B,""RWS"")&lt;&gt;1
    ),
    """",
    IFERROR(TEXTJOIN(CHAR(10),TRUE,FILTER('SUMMARY DATA'!E:E,'SUMMARY DATA'!$D:$D=$C36,'SUMMARY DATA'!$B:$B=""RWS"")),"""")
  )
)"),"")</f>
      </c>
      <c r="F36" s="17" t="str">
        <f>IFERROR(__xludf.DUMMYFUNCTION("IFERROR(
  TEXTJOIN(CHAR(10),TRUE,FILTER('SUMMARY DATA'!F:F,'SUMMARY DATA'!$A:$A=$A36,'SUMMARY DATA'!$C:$C=$B36,'SUMMARY DATA'!$B:$B=""RWS"")),
  IF(
    OR(
      ISNUMBER(SEARCH(""CDM CASH DEPOSIT"",$C36)),
      ISNUMBER(SEARCH(""CASH DEPOSIT"",$C36)),"&amp;"
      COUNTIFS('SUMMARY DATA'!$D:$D,$C36,'SUMMARY DATA'!$B:$B,""RWS"")&lt;&gt;1
    ),
    """",
    IFERROR(TEXTJOIN(CHAR(10),TRUE,FILTER('SUMMARY DATA'!F:F,'SUMMARY DATA'!$D:$D=$C36,'SUMMARY DATA'!$B:$B=""RWS"")),"""")
  )
)"),"")</f>
      </c>
      <c r="G36" s="17" t="str">
        <f>IFERROR(__xludf.DUMMYFUNCTION("IFERROR(
  TEXTJOIN(CHAR(10),TRUE,FILTER('SUMMARY DATA'!G:G,'SUMMARY DATA'!$A:$A=$A36,'SUMMARY DATA'!$C:$C=$B36,'SUMMARY DATA'!$B:$B=""RWS"")),
  IF(
    OR(
      ISNUMBER(SEARCH(""CDM CASH DEPOSIT"",$C36)),
      ISNUMBER(SEARCH(""CASH DEPOSIT"",$C36)),"&amp;"
      COUNTIFS('SUMMARY DATA'!$D:$D,$C36,'SUMMARY DATA'!$B:$B,""RWS"")&lt;&gt;1
    ),
    """",
    IFERROR(TEXTJOIN(CHAR(10),TRUE,FILTER('SUMMARY DATA'!G:G,'SUMMARY DATA'!$D:$D=$C36,'SUMMARY DATA'!$B:$B=""RWS"")),"""")
  )
)"),"")</f>
      </c>
      <c r="H36" s="18" t="str">
        <f>IFERROR(__xludf.DUMMYFUNCTION("IFERROR(
  TEXTJOIN(CHAR(10),TRUE,FILTER('SUMMARY DATA'!H:H,'SUMMARY DATA'!$A:$A=$A36,'SUMMARY DATA'!$C:$C=$B36,'SUMMARY DATA'!$B:$B=""RWS"",'SUMMARY DATA'!$H:$H=$D36)),
  IF(
    OR(
      ISNUMBER(SEARCH(""CDM CASH DEPOSIT"",$C36)),
      ISNUMBER(SEARC"&amp;"H(""CASH DEPOSIT"",$C36))
    ),
    """",
    IFERROR(TEXTJOIN(CHAR(10),TRUE,FILTER('SUMMARY DATA'!H:H,'SUMMARY DATA'!$D:$D=$C36,'SUMMARY DATA'!$B:$B=""RWS"",'SUMMARY DATA'!$H:$H=$D36)),"""")
  )
)"),"")</f>
      </c>
      <c r="I36" s="18" t="str">
        <f>IFERROR(__xludf.DUMMYFUNCTION("IF(H36="""","""",
SUM(ARRAYFORMULA(VALUE(SPLIT(H36,CHAR(10)))))
)"),"")</f>
      </c>
      <c r="J36" s="17" t="str">
        <f>IFERROR(__xludf.DUMMYFUNCTION("IFERROR(
  TEXTJOIN(CHAR(10),TRUE,FILTER('SUMMARY DATA'!I:I,'SUMMARY DATA'!$A:$A=$A36,'SUMMARY DATA'!$C:$C=$B36,'SUMMARY DATA'!$B:$B=""RWS"")),
  IF(
    OR(
      ISNUMBER(SEARCH(""CDM CASH DEPOSIT"",$C36)),
      ISNUMBER(SEARCH(""CASH DEPOSIT"",$C36)),"&amp;"
      COUNTIFS('SUMMARY DATA'!$D:$D,$C36,'SUMMARY DATA'!$B:$B,""RWS"")&lt;&gt;1
    ),
    """",
    IFERROR(TEXTJOIN(CHAR(10),TRUE,FILTER('SUMMARY DATA'!I:I,'SUMMARY DATA'!$D:$D=$C36,'SUMMARY DATA'!$B:$B=""RWS"")),"""")
  )
)"),"")</f>
      </c>
      <c r="K36" s="2"/>
      <c r="L36" s="2"/>
      <c r="M36" s="2"/>
      <c r="N36" s="2"/>
      <c r="O36" s="2"/>
      <c r="P36" s="2"/>
      <c r="Q36" s="2"/>
      <c r="R36" s="2"/>
      <c r="S36" s="2"/>
      <c r="T36" s="2"/>
      <c r="U36" s="2"/>
      <c r="V36" s="2"/>
      <c r="W36" s="2"/>
      <c r="X36" s="2"/>
      <c r="Y36" s="2"/>
      <c r="Z36" s="2"/>
      <c r="AA36" s="2"/>
      <c r="AB36" s="2"/>
    </row>
    <row r="37" spans="1:28" customHeight="true">
      <c r="A37" s="2" t="s">
        <v>65</v>
      </c>
      <c r="B37" s="15">
        <v>45924</v>
      </c>
      <c r="C37" s="2" t="s">
        <v>48</v>
      </c>
      <c r="D37" s="3">
        <v>110</v>
      </c>
      <c r="E37" s="16" t="str">
        <f>IFERROR(__xludf.DUMMYFUNCTION("IFERROR(
  TEXTJOIN(CHAR(10),TRUE,FILTER('SUMMARY DATA'!E:E,'SUMMARY DATA'!$A:$A=$A37,'SUMMARY DATA'!$C:$C=$B37,'SUMMARY DATA'!$B:$B=""RWS"")),
  IF(
    OR(
      ISNUMBER(SEARCH(""CDM CASH DEPOSIT"",$C37)),
      ISNUMBER(SEARCH(""CASH DEPOSIT"",$C37)),"&amp;"
      COUNTIFS('SUMMARY DATA'!$D:$D,$C37,'SUMMARY DATA'!$B:$B,""RWS"")&lt;&gt;1
    ),
    """",
    IFERROR(TEXTJOIN(CHAR(10),TRUE,FILTER('SUMMARY DATA'!E:E,'SUMMARY DATA'!$D:$D=$C37,'SUMMARY DATA'!$B:$B=""RWS"")),"""")
  )
)"),"")</f>
      </c>
      <c r="F37" s="17" t="str">
        <f>IFERROR(__xludf.DUMMYFUNCTION("IFERROR(
  TEXTJOIN(CHAR(10),TRUE,FILTER('SUMMARY DATA'!F:F,'SUMMARY DATA'!$A:$A=$A37,'SUMMARY DATA'!$C:$C=$B37,'SUMMARY DATA'!$B:$B=""RWS"")),
  IF(
    OR(
      ISNUMBER(SEARCH(""CDM CASH DEPOSIT"",$C37)),
      ISNUMBER(SEARCH(""CASH DEPOSIT"",$C37)),"&amp;"
      COUNTIFS('SUMMARY DATA'!$D:$D,$C37,'SUMMARY DATA'!$B:$B,""RWS"")&lt;&gt;1
    ),
    """",
    IFERROR(TEXTJOIN(CHAR(10),TRUE,FILTER('SUMMARY DATA'!F:F,'SUMMARY DATA'!$D:$D=$C37,'SUMMARY DATA'!$B:$B=""RWS"")),"""")
  )
)"),"")</f>
      </c>
      <c r="G37" s="17" t="str">
        <f>IFERROR(__xludf.DUMMYFUNCTION("IFERROR(
  TEXTJOIN(CHAR(10),TRUE,FILTER('SUMMARY DATA'!G:G,'SUMMARY DATA'!$A:$A=$A37,'SUMMARY DATA'!$C:$C=$B37,'SUMMARY DATA'!$B:$B=""RWS"")),
  IF(
    OR(
      ISNUMBER(SEARCH(""CDM CASH DEPOSIT"",$C37)),
      ISNUMBER(SEARCH(""CASH DEPOSIT"",$C37)),"&amp;"
      COUNTIFS('SUMMARY DATA'!$D:$D,$C37,'SUMMARY DATA'!$B:$B,""RWS"")&lt;&gt;1
    ),
    """",
    IFERROR(TEXTJOIN(CHAR(10),TRUE,FILTER('SUMMARY DATA'!G:G,'SUMMARY DATA'!$D:$D=$C37,'SUMMARY DATA'!$B:$B=""RWS"")),"""")
  )
)"),"")</f>
      </c>
      <c r="H37" s="18" t="str">
        <f>IFERROR(__xludf.DUMMYFUNCTION("IFERROR(
  TEXTJOIN(CHAR(10),TRUE,FILTER('SUMMARY DATA'!H:H,'SUMMARY DATA'!$A:$A=$A37,'SUMMARY DATA'!$C:$C=$B37,'SUMMARY DATA'!$B:$B=""RWS"",'SUMMARY DATA'!$H:$H=$D37)),
  IF(
    OR(
      ISNUMBER(SEARCH(""CDM CASH DEPOSIT"",$C37)),
      ISNUMBER(SEARC"&amp;"H(""CASH DEPOSIT"",$C37))
    ),
    """",
    IFERROR(TEXTJOIN(CHAR(10),TRUE,FILTER('SUMMARY DATA'!H:H,'SUMMARY DATA'!$D:$D=$C37,'SUMMARY DATA'!$B:$B=""RWS"",'SUMMARY DATA'!$H:$H=$D37)),"""")
  )
)"),"")</f>
      </c>
      <c r="I37" s="18" t="str">
        <f>IFERROR(__xludf.DUMMYFUNCTION("IF(H37="""","""",
SUM(ARRAYFORMULA(VALUE(SPLIT(H37,CHAR(10)))))
)"),"")</f>
      </c>
      <c r="J37" s="17" t="str">
        <f>IFERROR(__xludf.DUMMYFUNCTION("IFERROR(
  TEXTJOIN(CHAR(10),TRUE,FILTER('SUMMARY DATA'!I:I,'SUMMARY DATA'!$A:$A=$A37,'SUMMARY DATA'!$C:$C=$B37,'SUMMARY DATA'!$B:$B=""RWS"")),
  IF(
    OR(
      ISNUMBER(SEARCH(""CDM CASH DEPOSIT"",$C37)),
      ISNUMBER(SEARCH(""CASH DEPOSIT"",$C37)),"&amp;"
      COUNTIFS('SUMMARY DATA'!$D:$D,$C37,'SUMMARY DATA'!$B:$B,""RWS"")&lt;&gt;1
    ),
    """",
    IFERROR(TEXTJOIN(CHAR(10),TRUE,FILTER('SUMMARY DATA'!I:I,'SUMMARY DATA'!$D:$D=$C37,'SUMMARY DATA'!$B:$B=""RWS"")),"""")
  )
)"),"")</f>
      </c>
      <c r="K37" s="2"/>
      <c r="L37" s="2"/>
      <c r="M37" s="2"/>
      <c r="N37" s="2"/>
      <c r="O37" s="2"/>
      <c r="P37" s="2"/>
      <c r="Q37" s="2"/>
      <c r="R37" s="2"/>
      <c r="S37" s="2"/>
      <c r="T37" s="2"/>
      <c r="U37" s="2"/>
      <c r="V37" s="2"/>
      <c r="W37" s="2"/>
      <c r="X37" s="2"/>
      <c r="Y37" s="2"/>
      <c r="Z37" s="2"/>
      <c r="AA37" s="2"/>
      <c r="AB37" s="2"/>
    </row>
    <row r="38" spans="1:28" customHeight="true">
      <c r="A38" s="2"/>
      <c r="B38" s="15">
        <v>45924</v>
      </c>
      <c r="C38" s="2" t="s">
        <v>66</v>
      </c>
      <c r="D38" s="3">
        <v>134.95</v>
      </c>
      <c r="E38" s="16" t="str">
        <f>IFERROR(__xludf.DUMMYFUNCTION("IFERROR(
  TEXTJOIN(CHAR(10),TRUE,FILTER('SUMMARY DATA'!E:E,'SUMMARY DATA'!$A:$A=$A38,'SUMMARY DATA'!$C:$C=$B38,'SUMMARY DATA'!$B:$B=""RWS"")),
  IF(
    OR(
      ISNUMBER(SEARCH(""CDM CASH DEPOSIT"",$C38)),
      ISNUMBER(SEARCH(""CASH DEPOSIT"",$C38)),"&amp;"
      COUNTIFS('SUMMARY DATA'!$D:$D,$C38,'SUMMARY DATA'!$B:$B,""RWS"")&lt;&gt;1
    ),
    """",
    IFERROR(TEXTJOIN(CHAR(10),TRUE,FILTER('SUMMARY DATA'!E:E,'SUMMARY DATA'!$D:$D=$C38,'SUMMARY DATA'!$B:$B=""RWS"")),"""")
  )
)"),"")</f>
      </c>
      <c r="F38" s="17" t="str">
        <f>IFERROR(__xludf.DUMMYFUNCTION("IFERROR(
  TEXTJOIN(CHAR(10),TRUE,FILTER('SUMMARY DATA'!F:F,'SUMMARY DATA'!$A:$A=$A38,'SUMMARY DATA'!$C:$C=$B38,'SUMMARY DATA'!$B:$B=""RWS"")),
  IF(
    OR(
      ISNUMBER(SEARCH(""CDM CASH DEPOSIT"",$C38)),
      ISNUMBER(SEARCH(""CASH DEPOSIT"",$C38)),"&amp;"
      COUNTIFS('SUMMARY DATA'!$D:$D,$C38,'SUMMARY DATA'!$B:$B,""RWS"")&lt;&gt;1
    ),
    """",
    IFERROR(TEXTJOIN(CHAR(10),TRUE,FILTER('SUMMARY DATA'!F:F,'SUMMARY DATA'!$D:$D=$C38,'SUMMARY DATA'!$B:$B=""RWS"")),"""")
  )
)"),"")</f>
      </c>
      <c r="G38" s="17" t="str">
        <f>IFERROR(__xludf.DUMMYFUNCTION("IFERROR(
  TEXTJOIN(CHAR(10),TRUE,FILTER('SUMMARY DATA'!G:G,'SUMMARY DATA'!$A:$A=$A38,'SUMMARY DATA'!$C:$C=$B38,'SUMMARY DATA'!$B:$B=""RWS"")),
  IF(
    OR(
      ISNUMBER(SEARCH(""CDM CASH DEPOSIT"",$C38)),
      ISNUMBER(SEARCH(""CASH DEPOSIT"",$C38)),"&amp;"
      COUNTIFS('SUMMARY DATA'!$D:$D,$C38,'SUMMARY DATA'!$B:$B,""RWS"")&lt;&gt;1
    ),
    """",
    IFERROR(TEXTJOIN(CHAR(10),TRUE,FILTER('SUMMARY DATA'!G:G,'SUMMARY DATA'!$D:$D=$C38,'SUMMARY DATA'!$B:$B=""RWS"")),"""")
  )
)"),"")</f>
      </c>
      <c r="H38" s="18" t="str">
        <f>IFERROR(__xludf.DUMMYFUNCTION("IFERROR(
  TEXTJOIN(CHAR(10),TRUE,FILTER('SUMMARY DATA'!H:H,'SUMMARY DATA'!$A:$A=$A38,'SUMMARY DATA'!$C:$C=$B38,'SUMMARY DATA'!$B:$B=""RWS"",'SUMMARY DATA'!$H:$H=$D38)),
  IF(
    OR(
      ISNUMBER(SEARCH(""CDM CASH DEPOSIT"",$C38)),
      ISNUMBER(SEARC"&amp;"H(""CASH DEPOSIT"",$C38))
    ),
    """",
    IFERROR(TEXTJOIN(CHAR(10),TRUE,FILTER('SUMMARY DATA'!H:H,'SUMMARY DATA'!$D:$D=$C38,'SUMMARY DATA'!$B:$B=""RWS"",'SUMMARY DATA'!$H:$H=$D38)),"""")
  )
)"),"")</f>
      </c>
      <c r="I38" s="18" t="str">
        <f>IFERROR(__xludf.DUMMYFUNCTION("IF(H38="""","""",
SUM(ARRAYFORMULA(VALUE(SPLIT(H38,CHAR(10)))))
)"),"")</f>
      </c>
      <c r="J38" s="17" t="str">
        <f>IFERROR(__xludf.DUMMYFUNCTION("IFERROR(
  TEXTJOIN(CHAR(10),TRUE,FILTER('SUMMARY DATA'!I:I,'SUMMARY DATA'!$A:$A=$A38,'SUMMARY DATA'!$C:$C=$B38,'SUMMARY DATA'!$B:$B=""RWS"")),
  IF(
    OR(
      ISNUMBER(SEARCH(""CDM CASH DEPOSIT"",$C38)),
      ISNUMBER(SEARCH(""CASH DEPOSIT"",$C38)),"&amp;"
      COUNTIFS('SUMMARY DATA'!$D:$D,$C38,'SUMMARY DATA'!$B:$B,""RWS"")&lt;&gt;1
    ),
    """",
    IFERROR(TEXTJOIN(CHAR(10),TRUE,FILTER('SUMMARY DATA'!I:I,'SUMMARY DATA'!$D:$D=$C38,'SUMMARY DATA'!$B:$B=""RWS"")),"""")
  )
)"),"")</f>
      </c>
      <c r="K38" s="2"/>
      <c r="L38" s="2"/>
      <c r="M38" s="2"/>
      <c r="N38" s="2"/>
      <c r="O38" s="2"/>
      <c r="P38" s="2"/>
      <c r="Q38" s="2"/>
      <c r="R38" s="2"/>
      <c r="S38" s="2"/>
      <c r="T38" s="2"/>
      <c r="U38" s="2"/>
      <c r="V38" s="2"/>
      <c r="W38" s="2"/>
      <c r="X38" s="2"/>
      <c r="Y38" s="2"/>
      <c r="Z38" s="2"/>
      <c r="AA38" s="2"/>
      <c r="AB38" s="2"/>
    </row>
    <row r="39" spans="1:28" customHeight="true">
      <c r="A39" s="2"/>
      <c r="B39" s="15">
        <v>45923</v>
      </c>
      <c r="C39" s="2" t="s">
        <v>67</v>
      </c>
      <c r="D39" s="3">
        <v>11.98</v>
      </c>
      <c r="E39" s="16" t="str">
        <f>IFERROR(__xludf.DUMMYFUNCTION("IFERROR(
  TEXTJOIN(CHAR(10),TRUE,FILTER('SUMMARY DATA'!E:E,'SUMMARY DATA'!$A:$A=$A39,'SUMMARY DATA'!$C:$C=$B39,'SUMMARY DATA'!$B:$B=""RWS"")),
  IF(
    OR(
      ISNUMBER(SEARCH(""CDM CASH DEPOSIT"",$C39)),
      ISNUMBER(SEARCH(""CASH DEPOSIT"",$C39)),"&amp;"
      COUNTIFS('SUMMARY DATA'!$D:$D,$C39,'SUMMARY DATA'!$B:$B,""RWS"")&lt;&gt;1
    ),
    """",
    IFERROR(TEXTJOIN(CHAR(10),TRUE,FILTER('SUMMARY DATA'!E:E,'SUMMARY DATA'!$D:$D=$C39,'SUMMARY DATA'!$B:$B=""RWS"")),"""")
  )
)"),"")</f>
      </c>
      <c r="F39" s="17" t="str">
        <f>IFERROR(__xludf.DUMMYFUNCTION("IFERROR(
  TEXTJOIN(CHAR(10),TRUE,FILTER('SUMMARY DATA'!F:F,'SUMMARY DATA'!$A:$A=$A39,'SUMMARY DATA'!$C:$C=$B39,'SUMMARY DATA'!$B:$B=""RWS"")),
  IF(
    OR(
      ISNUMBER(SEARCH(""CDM CASH DEPOSIT"",$C39)),
      ISNUMBER(SEARCH(""CASH DEPOSIT"",$C39)),"&amp;"
      COUNTIFS('SUMMARY DATA'!$D:$D,$C39,'SUMMARY DATA'!$B:$B,""RWS"")&lt;&gt;1
    ),
    """",
    IFERROR(TEXTJOIN(CHAR(10),TRUE,FILTER('SUMMARY DATA'!F:F,'SUMMARY DATA'!$D:$D=$C39,'SUMMARY DATA'!$B:$B=""RWS"")),"""")
  )
)"),"")</f>
      </c>
      <c r="G39" s="17" t="str">
        <f>IFERROR(__xludf.DUMMYFUNCTION("IFERROR(
  TEXTJOIN(CHAR(10),TRUE,FILTER('SUMMARY DATA'!G:G,'SUMMARY DATA'!$A:$A=$A39,'SUMMARY DATA'!$C:$C=$B39,'SUMMARY DATA'!$B:$B=""RWS"")),
  IF(
    OR(
      ISNUMBER(SEARCH(""CDM CASH DEPOSIT"",$C39)),
      ISNUMBER(SEARCH(""CASH DEPOSIT"",$C39)),"&amp;"
      COUNTIFS('SUMMARY DATA'!$D:$D,$C39,'SUMMARY DATA'!$B:$B,""RWS"")&lt;&gt;1
    ),
    """",
    IFERROR(TEXTJOIN(CHAR(10),TRUE,FILTER('SUMMARY DATA'!G:G,'SUMMARY DATA'!$D:$D=$C39,'SUMMARY DATA'!$B:$B=""RWS"")),"""")
  )
)"),"")</f>
      </c>
      <c r="H39" s="18" t="str">
        <f>IFERROR(__xludf.DUMMYFUNCTION("IFERROR(
  TEXTJOIN(CHAR(10),TRUE,FILTER('SUMMARY DATA'!H:H,'SUMMARY DATA'!$A:$A=$A39,'SUMMARY DATA'!$C:$C=$B39,'SUMMARY DATA'!$B:$B=""RWS"",'SUMMARY DATA'!$H:$H=$D39)),
  IF(
    OR(
      ISNUMBER(SEARCH(""CDM CASH DEPOSIT"",$C39)),
      ISNUMBER(SEARC"&amp;"H(""CASH DEPOSIT"",$C39))
    ),
    """",
    IFERROR(TEXTJOIN(CHAR(10),TRUE,FILTER('SUMMARY DATA'!H:H,'SUMMARY DATA'!$D:$D=$C39,'SUMMARY DATA'!$B:$B=""RWS"",'SUMMARY DATA'!$H:$H=$D39)),"""")
  )
)"),"")</f>
      </c>
      <c r="I39" s="18" t="str">
        <f>IFERROR(__xludf.DUMMYFUNCTION("IF(H39="""","""",
SUM(ARRAYFORMULA(VALUE(SPLIT(H39,CHAR(10)))))
)"),"")</f>
      </c>
      <c r="J39" s="17" t="str">
        <f>IFERROR(__xludf.DUMMYFUNCTION("IFERROR(
  TEXTJOIN(CHAR(10),TRUE,FILTER('SUMMARY DATA'!I:I,'SUMMARY DATA'!$A:$A=$A39,'SUMMARY DATA'!$C:$C=$B39,'SUMMARY DATA'!$B:$B=""RWS"")),
  IF(
    OR(
      ISNUMBER(SEARCH(""CDM CASH DEPOSIT"",$C39)),
      ISNUMBER(SEARCH(""CASH DEPOSIT"",$C39)),"&amp;"
      COUNTIFS('SUMMARY DATA'!$D:$D,$C39,'SUMMARY DATA'!$B:$B,""RWS"")&lt;&gt;1
    ),
    """",
    IFERROR(TEXTJOIN(CHAR(10),TRUE,FILTER('SUMMARY DATA'!I:I,'SUMMARY DATA'!$D:$D=$C39,'SUMMARY DATA'!$B:$B=""RWS"")),"""")
  )
)"),"")</f>
      </c>
      <c r="K39" s="2"/>
      <c r="L39" s="2"/>
      <c r="M39" s="2"/>
      <c r="N39" s="2"/>
      <c r="O39" s="2"/>
      <c r="P39" s="2"/>
      <c r="Q39" s="2"/>
      <c r="R39" s="2"/>
      <c r="S39" s="2"/>
      <c r="T39" s="2"/>
      <c r="U39" s="2"/>
      <c r="V39" s="2"/>
      <c r="W39" s="2"/>
      <c r="X39" s="2"/>
      <c r="Y39" s="2"/>
      <c r="Z39" s="2"/>
      <c r="AA39" s="2"/>
      <c r="AB39" s="2"/>
    </row>
    <row r="40" spans="1:28" customHeight="true">
      <c r="A40" s="2" t="s">
        <v>68</v>
      </c>
      <c r="B40" s="15">
        <v>45923</v>
      </c>
      <c r="C40" s="2" t="s">
        <v>69</v>
      </c>
      <c r="D40" s="3">
        <v>43.88</v>
      </c>
      <c r="E40" s="16" t="str">
        <f>IFERROR(__xludf.DUMMYFUNCTION("IFERROR(
  TEXTJOIN(CHAR(10),TRUE,FILTER('SUMMARY DATA'!E:E,'SUMMARY DATA'!$A:$A=$A40,'SUMMARY DATA'!$C:$C=$B40,'SUMMARY DATA'!$B:$B=""RWS"")),
  IF(
    OR(
      ISNUMBER(SEARCH(""CDM CASH DEPOSIT"",$C40)),
      ISNUMBER(SEARCH(""CASH DEPOSIT"",$C40)),"&amp;"
      COUNTIFS('SUMMARY DATA'!$D:$D,$C40,'SUMMARY DATA'!$B:$B,""RWS"")&lt;&gt;1
    ),
    """",
    IFERROR(TEXTJOIN(CHAR(10),TRUE,FILTER('SUMMARY DATA'!E:E,'SUMMARY DATA'!$D:$D=$C40,'SUMMARY DATA'!$B:$B=""RWS"")),"""")
  )
)"),"")</f>
      </c>
      <c r="F40" s="17" t="str">
        <f>IFERROR(__xludf.DUMMYFUNCTION("IFERROR(
  TEXTJOIN(CHAR(10),TRUE,FILTER('SUMMARY DATA'!F:F,'SUMMARY DATA'!$A:$A=$A40,'SUMMARY DATA'!$C:$C=$B40,'SUMMARY DATA'!$B:$B=""RWS"")),
  IF(
    OR(
      ISNUMBER(SEARCH(""CDM CASH DEPOSIT"",$C40)),
      ISNUMBER(SEARCH(""CASH DEPOSIT"",$C40)),"&amp;"
      COUNTIFS('SUMMARY DATA'!$D:$D,$C40,'SUMMARY DATA'!$B:$B,""RWS"")&lt;&gt;1
    ),
    """",
    IFERROR(TEXTJOIN(CHAR(10),TRUE,FILTER('SUMMARY DATA'!F:F,'SUMMARY DATA'!$D:$D=$C40,'SUMMARY DATA'!$B:$B=""RWS"")),"""")
  )
)"),"")</f>
      </c>
      <c r="G40" s="17" t="str">
        <f>IFERROR(__xludf.DUMMYFUNCTION("IFERROR(
  TEXTJOIN(CHAR(10),TRUE,FILTER('SUMMARY DATA'!G:G,'SUMMARY DATA'!$A:$A=$A40,'SUMMARY DATA'!$C:$C=$B40,'SUMMARY DATA'!$B:$B=""RWS"")),
  IF(
    OR(
      ISNUMBER(SEARCH(""CDM CASH DEPOSIT"",$C40)),
      ISNUMBER(SEARCH(""CASH DEPOSIT"",$C40)),"&amp;"
      COUNTIFS('SUMMARY DATA'!$D:$D,$C40,'SUMMARY DATA'!$B:$B,""RWS"")&lt;&gt;1
    ),
    """",
    IFERROR(TEXTJOIN(CHAR(10),TRUE,FILTER('SUMMARY DATA'!G:G,'SUMMARY DATA'!$D:$D=$C40,'SUMMARY DATA'!$B:$B=""RWS"")),"""")
  )
)"),"")</f>
      </c>
      <c r="H40" s="18" t="str">
        <f>IFERROR(__xludf.DUMMYFUNCTION("IFERROR(
  TEXTJOIN(CHAR(10),TRUE,FILTER('SUMMARY DATA'!H:H,'SUMMARY DATA'!$A:$A=$A40,'SUMMARY DATA'!$C:$C=$B40,'SUMMARY DATA'!$B:$B=""RWS"",'SUMMARY DATA'!$H:$H=$D40)),
  IF(
    OR(
      ISNUMBER(SEARCH(""CDM CASH DEPOSIT"",$C40)),
      ISNUMBER(SEARC"&amp;"H(""CASH DEPOSIT"",$C40))
    ),
    """",
    IFERROR(TEXTJOIN(CHAR(10),TRUE,FILTER('SUMMARY DATA'!H:H,'SUMMARY DATA'!$D:$D=$C40,'SUMMARY DATA'!$B:$B=""RWS"",'SUMMARY DATA'!$H:$H=$D40)),"""")
  )
)"),"")</f>
      </c>
      <c r="I40" s="18" t="str">
        <f>IFERROR(__xludf.DUMMYFUNCTION("IF(H40="""","""",
SUM(ARRAYFORMULA(VALUE(SPLIT(H40,CHAR(10)))))
)"),"")</f>
      </c>
      <c r="J40" s="17" t="str">
        <f>IFERROR(__xludf.DUMMYFUNCTION("IFERROR(
  TEXTJOIN(CHAR(10),TRUE,FILTER('SUMMARY DATA'!I:I,'SUMMARY DATA'!$A:$A=$A40,'SUMMARY DATA'!$C:$C=$B40,'SUMMARY DATA'!$B:$B=""RWS"")),
  IF(
    OR(
      ISNUMBER(SEARCH(""CDM CASH DEPOSIT"",$C40)),
      ISNUMBER(SEARCH(""CASH DEPOSIT"",$C40)),"&amp;"
      COUNTIFS('SUMMARY DATA'!$D:$D,$C40,'SUMMARY DATA'!$B:$B,""RWS"")&lt;&gt;1
    ),
    """",
    IFERROR(TEXTJOIN(CHAR(10),TRUE,FILTER('SUMMARY DATA'!I:I,'SUMMARY DATA'!$D:$D=$C40,'SUMMARY DATA'!$B:$B=""RWS"")),"""")
  )
)"),"")</f>
      </c>
      <c r="K40" s="2"/>
      <c r="L40" s="2"/>
      <c r="M40" s="2"/>
      <c r="N40" s="2"/>
      <c r="O40" s="2"/>
      <c r="P40" s="2"/>
      <c r="Q40" s="2"/>
      <c r="R40" s="2"/>
      <c r="S40" s="2"/>
      <c r="T40" s="2"/>
      <c r="U40" s="2"/>
      <c r="V40" s="2"/>
      <c r="W40" s="2"/>
      <c r="X40" s="2"/>
      <c r="Y40" s="2"/>
      <c r="Z40" s="2"/>
      <c r="AA40" s="2"/>
      <c r="AB40" s="2"/>
    </row>
    <row r="41" spans="1:28" customHeight="true">
      <c r="A41" s="2"/>
      <c r="B41" s="15">
        <v>45923</v>
      </c>
      <c r="C41" s="2" t="s">
        <v>70</v>
      </c>
      <c r="D41" s="3">
        <v>40</v>
      </c>
      <c r="E41" s="16" t="str">
        <f>IFERROR(__xludf.DUMMYFUNCTION("IFERROR(
  TEXTJOIN(CHAR(10),TRUE,FILTER('SUMMARY DATA'!E:E,'SUMMARY DATA'!$A:$A=$A41,'SUMMARY DATA'!$C:$C=$B41,'SUMMARY DATA'!$B:$B=""RWS"")),
  IF(
    OR(
      ISNUMBER(SEARCH(""CDM CASH DEPOSIT"",$C41)),
      ISNUMBER(SEARCH(""CASH DEPOSIT"",$C41)),"&amp;"
      COUNTIFS('SUMMARY DATA'!$D:$D,$C41,'SUMMARY DATA'!$B:$B,""RWS"")&lt;&gt;1
    ),
    """",
    IFERROR(TEXTJOIN(CHAR(10),TRUE,FILTER('SUMMARY DATA'!E:E,'SUMMARY DATA'!$D:$D=$C41,'SUMMARY DATA'!$B:$B=""RWS"")),"""")
  )
)"),"")</f>
      </c>
      <c r="F41" s="17" t="str">
        <f>IFERROR(__xludf.DUMMYFUNCTION("IFERROR(
  TEXTJOIN(CHAR(10),TRUE,FILTER('SUMMARY DATA'!F:F,'SUMMARY DATA'!$A:$A=$A41,'SUMMARY DATA'!$C:$C=$B41,'SUMMARY DATA'!$B:$B=""RWS"")),
  IF(
    OR(
      ISNUMBER(SEARCH(""CDM CASH DEPOSIT"",$C41)),
      ISNUMBER(SEARCH(""CASH DEPOSIT"",$C41)),"&amp;"
      COUNTIFS('SUMMARY DATA'!$D:$D,$C41,'SUMMARY DATA'!$B:$B,""RWS"")&lt;&gt;1
    ),
    """",
    IFERROR(TEXTJOIN(CHAR(10),TRUE,FILTER('SUMMARY DATA'!F:F,'SUMMARY DATA'!$D:$D=$C41,'SUMMARY DATA'!$B:$B=""RWS"")),"""")
  )
)"),"")</f>
      </c>
      <c r="G41" s="17" t="str">
        <f>IFERROR(__xludf.DUMMYFUNCTION("IFERROR(
  TEXTJOIN(CHAR(10),TRUE,FILTER('SUMMARY DATA'!G:G,'SUMMARY DATA'!$A:$A=$A41,'SUMMARY DATA'!$C:$C=$B41,'SUMMARY DATA'!$B:$B=""RWS"")),
  IF(
    OR(
      ISNUMBER(SEARCH(""CDM CASH DEPOSIT"",$C41)),
      ISNUMBER(SEARCH(""CASH DEPOSIT"",$C41)),"&amp;"
      COUNTIFS('SUMMARY DATA'!$D:$D,$C41,'SUMMARY DATA'!$B:$B,""RWS"")&lt;&gt;1
    ),
    """",
    IFERROR(TEXTJOIN(CHAR(10),TRUE,FILTER('SUMMARY DATA'!G:G,'SUMMARY DATA'!$D:$D=$C41,'SUMMARY DATA'!$B:$B=""RWS"")),"""")
  )
)"),"")</f>
      </c>
      <c r="H41" s="18" t="str">
        <f>IFERROR(__xludf.DUMMYFUNCTION("IFERROR(
  TEXTJOIN(CHAR(10),TRUE,FILTER('SUMMARY DATA'!H:H,'SUMMARY DATA'!$A:$A=$A41,'SUMMARY DATA'!$C:$C=$B41,'SUMMARY DATA'!$B:$B=""RWS"",'SUMMARY DATA'!$H:$H=$D41)),
  IF(
    OR(
      ISNUMBER(SEARCH(""CDM CASH DEPOSIT"",$C41)),
      ISNUMBER(SEARC"&amp;"H(""CASH DEPOSIT"",$C41))
    ),
    """",
    IFERROR(TEXTJOIN(CHAR(10),TRUE,FILTER('SUMMARY DATA'!H:H,'SUMMARY DATA'!$D:$D=$C41,'SUMMARY DATA'!$B:$B=""RWS"",'SUMMARY DATA'!$H:$H=$D41)),"""")
  )
)"),"")</f>
      </c>
      <c r="I41" s="18" t="str">
        <f>IFERROR(__xludf.DUMMYFUNCTION("IF(H41="""","""",
SUM(ARRAYFORMULA(VALUE(SPLIT(H41,CHAR(10)))))
)"),"")</f>
      </c>
      <c r="J41" s="17" t="str">
        <f>IFERROR(__xludf.DUMMYFUNCTION("IFERROR(
  TEXTJOIN(CHAR(10),TRUE,FILTER('SUMMARY DATA'!I:I,'SUMMARY DATA'!$A:$A=$A41,'SUMMARY DATA'!$C:$C=$B41,'SUMMARY DATA'!$B:$B=""RWS"")),
  IF(
    OR(
      ISNUMBER(SEARCH(""CDM CASH DEPOSIT"",$C41)),
      ISNUMBER(SEARCH(""CASH DEPOSIT"",$C41)),"&amp;"
      COUNTIFS('SUMMARY DATA'!$D:$D,$C41,'SUMMARY DATA'!$B:$B,""RWS"")&lt;&gt;1
    ),
    """",
    IFERROR(TEXTJOIN(CHAR(10),TRUE,FILTER('SUMMARY DATA'!I:I,'SUMMARY DATA'!$D:$D=$C41,'SUMMARY DATA'!$B:$B=""RWS"")),"""")
  )
)"),"")</f>
      </c>
      <c r="K41" s="2"/>
      <c r="L41" s="2"/>
      <c r="M41" s="2"/>
      <c r="N41" s="2"/>
      <c r="O41" s="2"/>
      <c r="P41" s="2"/>
      <c r="Q41" s="2"/>
      <c r="R41" s="2"/>
      <c r="S41" s="2"/>
      <c r="T41" s="2"/>
      <c r="U41" s="2"/>
      <c r="V41" s="2"/>
      <c r="W41" s="2"/>
      <c r="X41" s="2"/>
      <c r="Y41" s="2"/>
      <c r="Z41" s="2"/>
      <c r="AA41" s="2"/>
      <c r="AB41" s="2"/>
    </row>
    <row r="42" spans="1:28" customHeight="true">
      <c r="A42" s="2"/>
      <c r="B42" s="15">
        <v>45922</v>
      </c>
      <c r="C42" s="2" t="s">
        <v>71</v>
      </c>
      <c r="D42" s="3">
        <v>54.53</v>
      </c>
      <c r="E42" s="16" t="str">
        <f>IFERROR(__xludf.DUMMYFUNCTION("IFERROR(
  TEXTJOIN(CHAR(10),TRUE,FILTER('SUMMARY DATA'!E:E,'SUMMARY DATA'!$A:$A=$A42,'SUMMARY DATA'!$C:$C=$B42,'SUMMARY DATA'!$B:$B=""RWS"")),
  IF(
    OR(
      ISNUMBER(SEARCH(""CDM CASH DEPOSIT"",$C42)),
      ISNUMBER(SEARCH(""CASH DEPOSIT"",$C42)),"&amp;"
      COUNTIFS('SUMMARY DATA'!$D:$D,$C42,'SUMMARY DATA'!$B:$B,""RWS"")&lt;&gt;1
    ),
    """",
    IFERROR(TEXTJOIN(CHAR(10),TRUE,FILTER('SUMMARY DATA'!E:E,'SUMMARY DATA'!$D:$D=$C42,'SUMMARY DATA'!$B:$B=""RWS"")),"""")
  )
)"),"")</f>
      </c>
      <c r="F42" s="17" t="str">
        <f>IFERROR(__xludf.DUMMYFUNCTION("IFERROR(
  TEXTJOIN(CHAR(10),TRUE,FILTER('SUMMARY DATA'!F:F,'SUMMARY DATA'!$A:$A=$A42,'SUMMARY DATA'!$C:$C=$B42,'SUMMARY DATA'!$B:$B=""RWS"")),
  IF(
    OR(
      ISNUMBER(SEARCH(""CDM CASH DEPOSIT"",$C42)),
      ISNUMBER(SEARCH(""CASH DEPOSIT"",$C42)),"&amp;"
      COUNTIFS('SUMMARY DATA'!$D:$D,$C42,'SUMMARY DATA'!$B:$B,""RWS"")&lt;&gt;1
    ),
    """",
    IFERROR(TEXTJOIN(CHAR(10),TRUE,FILTER('SUMMARY DATA'!F:F,'SUMMARY DATA'!$D:$D=$C42,'SUMMARY DATA'!$B:$B=""RWS"")),"""")
  )
)"),"")</f>
      </c>
      <c r="G42" s="17" t="str">
        <f>IFERROR(__xludf.DUMMYFUNCTION("IFERROR(
  TEXTJOIN(CHAR(10),TRUE,FILTER('SUMMARY DATA'!G:G,'SUMMARY DATA'!$A:$A=$A42,'SUMMARY DATA'!$C:$C=$B42,'SUMMARY DATA'!$B:$B=""RWS"")),
  IF(
    OR(
      ISNUMBER(SEARCH(""CDM CASH DEPOSIT"",$C42)),
      ISNUMBER(SEARCH(""CASH DEPOSIT"",$C42)),"&amp;"
      COUNTIFS('SUMMARY DATA'!$D:$D,$C42,'SUMMARY DATA'!$B:$B,""RWS"")&lt;&gt;1
    ),
    """",
    IFERROR(TEXTJOIN(CHAR(10),TRUE,FILTER('SUMMARY DATA'!G:G,'SUMMARY DATA'!$D:$D=$C42,'SUMMARY DATA'!$B:$B=""RWS"")),"""")
  )
)"),"")</f>
      </c>
      <c r="H42" s="18" t="str">
        <f>IFERROR(__xludf.DUMMYFUNCTION("IFERROR(
  TEXTJOIN(CHAR(10),TRUE,FILTER('SUMMARY DATA'!H:H,'SUMMARY DATA'!$A:$A=$A42,'SUMMARY DATA'!$C:$C=$B42,'SUMMARY DATA'!$B:$B=""RWS"",'SUMMARY DATA'!$H:$H=$D42)),
  IF(
    OR(
      ISNUMBER(SEARCH(""CDM CASH DEPOSIT"",$C42)),
      ISNUMBER(SEARC"&amp;"H(""CASH DEPOSIT"",$C42))
    ),
    """",
    IFERROR(TEXTJOIN(CHAR(10),TRUE,FILTER('SUMMARY DATA'!H:H,'SUMMARY DATA'!$D:$D=$C42,'SUMMARY DATA'!$B:$B=""RWS"",'SUMMARY DATA'!$H:$H=$D42)),"""")
  )
)"),"")</f>
      </c>
      <c r="I42" s="18" t="str">
        <f>IFERROR(__xludf.DUMMYFUNCTION("IF(H42="""","""",
SUM(ARRAYFORMULA(VALUE(SPLIT(H42,CHAR(10)))))
)"),"")</f>
      </c>
      <c r="J42" s="17" t="str">
        <f>IFERROR(__xludf.DUMMYFUNCTION("IFERROR(
  TEXTJOIN(CHAR(10),TRUE,FILTER('SUMMARY DATA'!I:I,'SUMMARY DATA'!$A:$A=$A42,'SUMMARY DATA'!$C:$C=$B42,'SUMMARY DATA'!$B:$B=""RWS"")),
  IF(
    OR(
      ISNUMBER(SEARCH(""CDM CASH DEPOSIT"",$C42)),
      ISNUMBER(SEARCH(""CASH DEPOSIT"",$C42)),"&amp;"
      COUNTIFS('SUMMARY DATA'!$D:$D,$C42,'SUMMARY DATA'!$B:$B,""RWS"")&lt;&gt;1
    ),
    """",
    IFERROR(TEXTJOIN(CHAR(10),TRUE,FILTER('SUMMARY DATA'!I:I,'SUMMARY DATA'!$D:$D=$C42,'SUMMARY DATA'!$B:$B=""RWS"")),"""")
  )
)"),"")</f>
      </c>
      <c r="K42" s="2"/>
      <c r="L42" s="2"/>
      <c r="M42" s="2"/>
      <c r="N42" s="2"/>
      <c r="O42" s="2"/>
      <c r="P42" s="2"/>
      <c r="Q42" s="2"/>
      <c r="R42" s="2"/>
      <c r="S42" s="2"/>
      <c r="T42" s="2"/>
      <c r="U42" s="2"/>
      <c r="V42" s="2"/>
      <c r="W42" s="2"/>
      <c r="X42" s="2"/>
      <c r="Y42" s="2"/>
      <c r="Z42" s="2"/>
      <c r="AA42" s="2"/>
      <c r="AB42" s="2"/>
    </row>
    <row r="43" spans="1:28" customHeight="true">
      <c r="A43" s="2"/>
      <c r="B43" s="15">
        <v>45922</v>
      </c>
      <c r="C43" s="2" t="s">
        <v>72</v>
      </c>
      <c r="D43" s="3">
        <v>27.9</v>
      </c>
      <c r="E43" s="16" t="str">
        <f>IFERROR(__xludf.DUMMYFUNCTION("IFERROR(
  TEXTJOIN(CHAR(10),TRUE,FILTER('SUMMARY DATA'!E:E,'SUMMARY DATA'!$A:$A=$A43,'SUMMARY DATA'!$C:$C=$B43,'SUMMARY DATA'!$B:$B=""RWS"")),
  IF(
    OR(
      ISNUMBER(SEARCH(""CDM CASH DEPOSIT"",$C43)),
      ISNUMBER(SEARCH(""CASH DEPOSIT"",$C43)),"&amp;"
      COUNTIFS('SUMMARY DATA'!$D:$D,$C43,'SUMMARY DATA'!$B:$B,""RWS"")&lt;&gt;1
    ),
    """",
    IFERROR(TEXTJOIN(CHAR(10),TRUE,FILTER('SUMMARY DATA'!E:E,'SUMMARY DATA'!$D:$D=$C43,'SUMMARY DATA'!$B:$B=""RWS"")),"""")
  )
)"),"")</f>
      </c>
      <c r="F43" s="17" t="str">
        <f>IFERROR(__xludf.DUMMYFUNCTION("IFERROR(
  TEXTJOIN(CHAR(10),TRUE,FILTER('SUMMARY DATA'!F:F,'SUMMARY DATA'!$A:$A=$A43,'SUMMARY DATA'!$C:$C=$B43,'SUMMARY DATA'!$B:$B=""RWS"")),
  IF(
    OR(
      ISNUMBER(SEARCH(""CDM CASH DEPOSIT"",$C43)),
      ISNUMBER(SEARCH(""CASH DEPOSIT"",$C43)),"&amp;"
      COUNTIFS('SUMMARY DATA'!$D:$D,$C43,'SUMMARY DATA'!$B:$B,""RWS"")&lt;&gt;1
    ),
    """",
    IFERROR(TEXTJOIN(CHAR(10),TRUE,FILTER('SUMMARY DATA'!F:F,'SUMMARY DATA'!$D:$D=$C43,'SUMMARY DATA'!$B:$B=""RWS"")),"""")
  )
)"),"")</f>
      </c>
      <c r="G43" s="17" t="str">
        <f>IFERROR(__xludf.DUMMYFUNCTION("IFERROR(
  TEXTJOIN(CHAR(10),TRUE,FILTER('SUMMARY DATA'!G:G,'SUMMARY DATA'!$A:$A=$A43,'SUMMARY DATA'!$C:$C=$B43,'SUMMARY DATA'!$B:$B=""RWS"")),
  IF(
    OR(
      ISNUMBER(SEARCH(""CDM CASH DEPOSIT"",$C43)),
      ISNUMBER(SEARCH(""CASH DEPOSIT"",$C43)),"&amp;"
      COUNTIFS('SUMMARY DATA'!$D:$D,$C43,'SUMMARY DATA'!$B:$B,""RWS"")&lt;&gt;1
    ),
    """",
    IFERROR(TEXTJOIN(CHAR(10),TRUE,FILTER('SUMMARY DATA'!G:G,'SUMMARY DATA'!$D:$D=$C43,'SUMMARY DATA'!$B:$B=""RWS"")),"""")
  )
)"),"")</f>
      </c>
      <c r="H43" s="18" t="str">
        <f>IFERROR(__xludf.DUMMYFUNCTION("IFERROR(
  TEXTJOIN(CHAR(10),TRUE,FILTER('SUMMARY DATA'!H:H,'SUMMARY DATA'!$A:$A=$A43,'SUMMARY DATA'!$C:$C=$B43,'SUMMARY DATA'!$B:$B=""RWS"",'SUMMARY DATA'!$H:$H=$D43)),
  IF(
    OR(
      ISNUMBER(SEARCH(""CDM CASH DEPOSIT"",$C43)),
      ISNUMBER(SEARC"&amp;"H(""CASH DEPOSIT"",$C43))
    ),
    """",
    IFERROR(TEXTJOIN(CHAR(10),TRUE,FILTER('SUMMARY DATA'!H:H,'SUMMARY DATA'!$D:$D=$C43,'SUMMARY DATA'!$B:$B=""RWS"",'SUMMARY DATA'!$H:$H=$D43)),"""")
  )
)"),"")</f>
      </c>
      <c r="I43" s="18" t="str">
        <f>IFERROR(__xludf.DUMMYFUNCTION("IF(H43="""","""",
SUM(ARRAYFORMULA(VALUE(SPLIT(H43,CHAR(10)))))
)"),"")</f>
      </c>
      <c r="J43" s="17" t="str">
        <f>IFERROR(__xludf.DUMMYFUNCTION("IFERROR(
  TEXTJOIN(CHAR(10),TRUE,FILTER('SUMMARY DATA'!I:I,'SUMMARY DATA'!$A:$A=$A43,'SUMMARY DATA'!$C:$C=$B43,'SUMMARY DATA'!$B:$B=""RWS"")),
  IF(
    OR(
      ISNUMBER(SEARCH(""CDM CASH DEPOSIT"",$C43)),
      ISNUMBER(SEARCH(""CASH DEPOSIT"",$C43)),"&amp;"
      COUNTIFS('SUMMARY DATA'!$D:$D,$C43,'SUMMARY DATA'!$B:$B,""RWS"")&lt;&gt;1
    ),
    """",
    IFERROR(TEXTJOIN(CHAR(10),TRUE,FILTER('SUMMARY DATA'!I:I,'SUMMARY DATA'!$D:$D=$C43,'SUMMARY DATA'!$B:$B=""RWS"")),"""")
  )
)"),"")</f>
      </c>
      <c r="K43" s="2"/>
      <c r="L43" s="2"/>
      <c r="M43" s="2"/>
      <c r="N43" s="2"/>
      <c r="O43" s="2"/>
      <c r="P43" s="2"/>
      <c r="Q43" s="2"/>
      <c r="R43" s="2"/>
      <c r="S43" s="2"/>
      <c r="T43" s="2"/>
      <c r="U43" s="2"/>
      <c r="V43" s="2"/>
      <c r="W43" s="2"/>
      <c r="X43" s="2"/>
      <c r="Y43" s="2"/>
      <c r="Z43" s="2"/>
      <c r="AA43" s="2"/>
      <c r="AB43" s="2"/>
    </row>
    <row r="44" spans="1:28" customHeight="true">
      <c r="A44" s="2" t="s">
        <v>73</v>
      </c>
      <c r="B44" s="15">
        <v>45922</v>
      </c>
      <c r="C44" s="2" t="s">
        <v>74</v>
      </c>
      <c r="D44" s="3">
        <v>10</v>
      </c>
      <c r="E44" s="16" t="str">
        <f>IFERROR(__xludf.DUMMYFUNCTION("IFERROR(
  TEXTJOIN(CHAR(10),TRUE,FILTER('SUMMARY DATA'!E:E,'SUMMARY DATA'!$A:$A=$A44,'SUMMARY DATA'!$C:$C=$B44,'SUMMARY DATA'!$B:$B=""RWS"")),
  IF(
    OR(
      ISNUMBER(SEARCH(""CDM CASH DEPOSIT"",$C44)),
      ISNUMBER(SEARCH(""CASH DEPOSIT"",$C44)),"&amp;"
      COUNTIFS('SUMMARY DATA'!$D:$D,$C44,'SUMMARY DATA'!$B:$B,""RWS"")&lt;&gt;1
    ),
    """",
    IFERROR(TEXTJOIN(CHAR(10),TRUE,FILTER('SUMMARY DATA'!E:E,'SUMMARY DATA'!$D:$D=$C44,'SUMMARY DATA'!$B:$B=""RWS"")),"""")
  )
)"),"")</f>
      </c>
      <c r="F44" s="17" t="str">
        <f>IFERROR(__xludf.DUMMYFUNCTION("IFERROR(
  TEXTJOIN(CHAR(10),TRUE,FILTER('SUMMARY DATA'!F:F,'SUMMARY DATA'!$A:$A=$A44,'SUMMARY DATA'!$C:$C=$B44,'SUMMARY DATA'!$B:$B=""RWS"")),
  IF(
    OR(
      ISNUMBER(SEARCH(""CDM CASH DEPOSIT"",$C44)),
      ISNUMBER(SEARCH(""CASH DEPOSIT"",$C44)),"&amp;"
      COUNTIFS('SUMMARY DATA'!$D:$D,$C44,'SUMMARY DATA'!$B:$B,""RWS"")&lt;&gt;1
    ),
    """",
    IFERROR(TEXTJOIN(CHAR(10),TRUE,FILTER('SUMMARY DATA'!F:F,'SUMMARY DATA'!$D:$D=$C44,'SUMMARY DATA'!$B:$B=""RWS"")),"""")
  )
)"),"")</f>
      </c>
      <c r="G44" s="17" t="str">
        <f>IFERROR(__xludf.DUMMYFUNCTION("IFERROR(
  TEXTJOIN(CHAR(10),TRUE,FILTER('SUMMARY DATA'!G:G,'SUMMARY DATA'!$A:$A=$A44,'SUMMARY DATA'!$C:$C=$B44,'SUMMARY DATA'!$B:$B=""RWS"")),
  IF(
    OR(
      ISNUMBER(SEARCH(""CDM CASH DEPOSIT"",$C44)),
      ISNUMBER(SEARCH(""CASH DEPOSIT"",$C44)),"&amp;"
      COUNTIFS('SUMMARY DATA'!$D:$D,$C44,'SUMMARY DATA'!$B:$B,""RWS"")&lt;&gt;1
    ),
    """",
    IFERROR(TEXTJOIN(CHAR(10),TRUE,FILTER('SUMMARY DATA'!G:G,'SUMMARY DATA'!$D:$D=$C44,'SUMMARY DATA'!$B:$B=""RWS"")),"""")
  )
)"),"")</f>
      </c>
      <c r="H44" s="18" t="str">
        <f>IFERROR(__xludf.DUMMYFUNCTION("IFERROR(
  TEXTJOIN(CHAR(10),TRUE,FILTER('SUMMARY DATA'!H:H,'SUMMARY DATA'!$A:$A=$A44,'SUMMARY DATA'!$C:$C=$B44,'SUMMARY DATA'!$B:$B=""RWS"",'SUMMARY DATA'!$H:$H=$D44)),
  IF(
    OR(
      ISNUMBER(SEARCH(""CDM CASH DEPOSIT"",$C44)),
      ISNUMBER(SEARC"&amp;"H(""CASH DEPOSIT"",$C44))
    ),
    """",
    IFERROR(TEXTJOIN(CHAR(10),TRUE,FILTER('SUMMARY DATA'!H:H,'SUMMARY DATA'!$D:$D=$C44,'SUMMARY DATA'!$B:$B=""RWS"",'SUMMARY DATA'!$H:$H=$D44)),"""")
  )
)"),"")</f>
      </c>
      <c r="I44" s="18" t="str">
        <f>IFERROR(__xludf.DUMMYFUNCTION("IF(H44="""","""",
SUM(ARRAYFORMULA(VALUE(SPLIT(H44,CHAR(10)))))
)"),"")</f>
      </c>
      <c r="J44" s="17" t="str">
        <f>IFERROR(__xludf.DUMMYFUNCTION("IFERROR(
  TEXTJOIN(CHAR(10),TRUE,FILTER('SUMMARY DATA'!I:I,'SUMMARY DATA'!$A:$A=$A44,'SUMMARY DATA'!$C:$C=$B44,'SUMMARY DATA'!$B:$B=""RWS"")),
  IF(
    OR(
      ISNUMBER(SEARCH(""CDM CASH DEPOSIT"",$C44)),
      ISNUMBER(SEARCH(""CASH DEPOSIT"",$C44)),"&amp;"
      COUNTIFS('SUMMARY DATA'!$D:$D,$C44,'SUMMARY DATA'!$B:$B,""RWS"")&lt;&gt;1
    ),
    """",
    IFERROR(TEXTJOIN(CHAR(10),TRUE,FILTER('SUMMARY DATA'!I:I,'SUMMARY DATA'!$D:$D=$C44,'SUMMARY DATA'!$B:$B=""RWS"")),"""")
  )
)"),"")</f>
      </c>
      <c r="K44" s="2"/>
      <c r="L44" s="2"/>
      <c r="M44" s="2"/>
      <c r="N44" s="2"/>
      <c r="O44" s="2"/>
      <c r="P44" s="2"/>
      <c r="Q44" s="2"/>
      <c r="R44" s="2"/>
      <c r="S44" s="2"/>
      <c r="T44" s="2"/>
      <c r="U44" s="2"/>
      <c r="V44" s="2"/>
      <c r="W44" s="2"/>
      <c r="X44" s="2"/>
      <c r="Y44" s="2"/>
      <c r="Z44" s="2"/>
      <c r="AA44" s="2"/>
      <c r="AB44" s="2"/>
    </row>
    <row r="45" spans="1:28" customHeight="true">
      <c r="A45" s="2"/>
      <c r="B45" s="15">
        <v>45922</v>
      </c>
      <c r="C45" s="2" t="s">
        <v>75</v>
      </c>
      <c r="D45" s="3">
        <v>20.4</v>
      </c>
      <c r="E45" s="16" t="str">
        <f>IFERROR(__xludf.DUMMYFUNCTION("IFERROR(
  TEXTJOIN(CHAR(10),TRUE,FILTER('SUMMARY DATA'!E:E,'SUMMARY DATA'!$A:$A=$A45,'SUMMARY DATA'!$C:$C=$B45,'SUMMARY DATA'!$B:$B=""RWS"")),
  IF(
    OR(
      ISNUMBER(SEARCH(""CDM CASH DEPOSIT"",$C45)),
      ISNUMBER(SEARCH(""CASH DEPOSIT"",$C45)),"&amp;"
      COUNTIFS('SUMMARY DATA'!$D:$D,$C45,'SUMMARY DATA'!$B:$B,""RWS"")&lt;&gt;1
    ),
    """",
    IFERROR(TEXTJOIN(CHAR(10),TRUE,FILTER('SUMMARY DATA'!E:E,'SUMMARY DATA'!$D:$D=$C45,'SUMMARY DATA'!$B:$B=""RWS"")),"""")
  )
)"),"")</f>
      </c>
      <c r="F45" s="17" t="str">
        <f>IFERROR(__xludf.DUMMYFUNCTION("IFERROR(
  TEXTJOIN(CHAR(10),TRUE,FILTER('SUMMARY DATA'!F:F,'SUMMARY DATA'!$A:$A=$A45,'SUMMARY DATA'!$C:$C=$B45,'SUMMARY DATA'!$B:$B=""RWS"")),
  IF(
    OR(
      ISNUMBER(SEARCH(""CDM CASH DEPOSIT"",$C45)),
      ISNUMBER(SEARCH(""CASH DEPOSIT"",$C45)),"&amp;"
      COUNTIFS('SUMMARY DATA'!$D:$D,$C45,'SUMMARY DATA'!$B:$B,""RWS"")&lt;&gt;1
    ),
    """",
    IFERROR(TEXTJOIN(CHAR(10),TRUE,FILTER('SUMMARY DATA'!F:F,'SUMMARY DATA'!$D:$D=$C45,'SUMMARY DATA'!$B:$B=""RWS"")),"""")
  )
)"),"")</f>
      </c>
      <c r="G45" s="17" t="str">
        <f>IFERROR(__xludf.DUMMYFUNCTION("IFERROR(
  TEXTJOIN(CHAR(10),TRUE,FILTER('SUMMARY DATA'!G:G,'SUMMARY DATA'!$A:$A=$A45,'SUMMARY DATA'!$C:$C=$B45,'SUMMARY DATA'!$B:$B=""RWS"")),
  IF(
    OR(
      ISNUMBER(SEARCH(""CDM CASH DEPOSIT"",$C45)),
      ISNUMBER(SEARCH(""CASH DEPOSIT"",$C45)),"&amp;"
      COUNTIFS('SUMMARY DATA'!$D:$D,$C45,'SUMMARY DATA'!$B:$B,""RWS"")&lt;&gt;1
    ),
    """",
    IFERROR(TEXTJOIN(CHAR(10),TRUE,FILTER('SUMMARY DATA'!G:G,'SUMMARY DATA'!$D:$D=$C45,'SUMMARY DATA'!$B:$B=""RWS"")),"""")
  )
)"),"")</f>
      </c>
      <c r="H45" s="18" t="str">
        <f>IFERROR(__xludf.DUMMYFUNCTION("IFERROR(
  TEXTJOIN(CHAR(10),TRUE,FILTER('SUMMARY DATA'!H:H,'SUMMARY DATA'!$A:$A=$A45,'SUMMARY DATA'!$C:$C=$B45,'SUMMARY DATA'!$B:$B=""RWS"",'SUMMARY DATA'!$H:$H=$D45)),
  IF(
    OR(
      ISNUMBER(SEARCH(""CDM CASH DEPOSIT"",$C45)),
      ISNUMBER(SEARC"&amp;"H(""CASH DEPOSIT"",$C45))
    ),
    """",
    IFERROR(TEXTJOIN(CHAR(10),TRUE,FILTER('SUMMARY DATA'!H:H,'SUMMARY DATA'!$D:$D=$C45,'SUMMARY DATA'!$B:$B=""RWS"",'SUMMARY DATA'!$H:$H=$D45)),"""")
  )
)"),"")</f>
      </c>
      <c r="I45" s="18" t="str">
        <f>IFERROR(__xludf.DUMMYFUNCTION("IF(H45="""","""",
SUM(ARRAYFORMULA(VALUE(SPLIT(H45,CHAR(10)))))
)"),"")</f>
      </c>
      <c r="J45" s="17" t="str">
        <f>IFERROR(__xludf.DUMMYFUNCTION("IFERROR(
  TEXTJOIN(CHAR(10),TRUE,FILTER('SUMMARY DATA'!I:I,'SUMMARY DATA'!$A:$A=$A45,'SUMMARY DATA'!$C:$C=$B45,'SUMMARY DATA'!$B:$B=""RWS"")),
  IF(
    OR(
      ISNUMBER(SEARCH(""CDM CASH DEPOSIT"",$C45)),
      ISNUMBER(SEARCH(""CASH DEPOSIT"",$C45)),"&amp;"
      COUNTIFS('SUMMARY DATA'!$D:$D,$C45,'SUMMARY DATA'!$B:$B,""RWS"")&lt;&gt;1
    ),
    """",
    IFERROR(TEXTJOIN(CHAR(10),TRUE,FILTER('SUMMARY DATA'!I:I,'SUMMARY DATA'!$D:$D=$C45,'SUMMARY DATA'!$B:$B=""RWS"")),"""")
  )
)"),"")</f>
      </c>
      <c r="K45" s="2"/>
      <c r="L45" s="2"/>
      <c r="M45" s="2"/>
      <c r="N45" s="2"/>
      <c r="O45" s="2"/>
      <c r="P45" s="2"/>
      <c r="Q45" s="2"/>
      <c r="R45" s="2"/>
      <c r="S45" s="2"/>
      <c r="T45" s="2"/>
      <c r="U45" s="2"/>
      <c r="V45" s="2"/>
      <c r="W45" s="2"/>
      <c r="X45" s="2"/>
      <c r="Y45" s="2"/>
      <c r="Z45" s="2"/>
      <c r="AA45" s="2"/>
      <c r="AB45" s="2"/>
    </row>
    <row r="46" spans="1:28" customHeight="true">
      <c r="A46" s="2" t="s">
        <v>76</v>
      </c>
      <c r="B46" s="15">
        <v>45922</v>
      </c>
      <c r="C46" s="2" t="s">
        <v>77</v>
      </c>
      <c r="D46" s="3">
        <v>40.88</v>
      </c>
      <c r="E46" s="16" t="str">
        <f>IFERROR(__xludf.DUMMYFUNCTION("IFERROR(
  TEXTJOIN(CHAR(10),TRUE,FILTER('SUMMARY DATA'!E:E,'SUMMARY DATA'!$A:$A=$A46,'SUMMARY DATA'!$C:$C=$B46,'SUMMARY DATA'!$B:$B=""RWS"")),
  IF(
    OR(
      ISNUMBER(SEARCH(""CDM CASH DEPOSIT"",$C46)),
      ISNUMBER(SEARCH(""CASH DEPOSIT"",$C46)),"&amp;"
      COUNTIFS('SUMMARY DATA'!$D:$D,$C46,'SUMMARY DATA'!$B:$B,""RWS"")&lt;&gt;1
    ),
    """",
    IFERROR(TEXTJOIN(CHAR(10),TRUE,FILTER('SUMMARY DATA'!E:E,'SUMMARY DATA'!$D:$D=$C46,'SUMMARY DATA'!$B:$B=""RWS"")),"""")
  )
)"),"")</f>
      </c>
      <c r="F46" s="17" t="str">
        <f>IFERROR(__xludf.DUMMYFUNCTION("IFERROR(
  TEXTJOIN(CHAR(10),TRUE,FILTER('SUMMARY DATA'!F:F,'SUMMARY DATA'!$A:$A=$A46,'SUMMARY DATA'!$C:$C=$B46,'SUMMARY DATA'!$B:$B=""RWS"")),
  IF(
    OR(
      ISNUMBER(SEARCH(""CDM CASH DEPOSIT"",$C46)),
      ISNUMBER(SEARCH(""CASH DEPOSIT"",$C46)),"&amp;"
      COUNTIFS('SUMMARY DATA'!$D:$D,$C46,'SUMMARY DATA'!$B:$B,""RWS"")&lt;&gt;1
    ),
    """",
    IFERROR(TEXTJOIN(CHAR(10),TRUE,FILTER('SUMMARY DATA'!F:F,'SUMMARY DATA'!$D:$D=$C46,'SUMMARY DATA'!$B:$B=""RWS"")),"""")
  )
)"),"")</f>
      </c>
      <c r="G46" s="17" t="str">
        <f>IFERROR(__xludf.DUMMYFUNCTION("IFERROR(
  TEXTJOIN(CHAR(10),TRUE,FILTER('SUMMARY DATA'!G:G,'SUMMARY DATA'!$A:$A=$A46,'SUMMARY DATA'!$C:$C=$B46,'SUMMARY DATA'!$B:$B=""RWS"")),
  IF(
    OR(
      ISNUMBER(SEARCH(""CDM CASH DEPOSIT"",$C46)),
      ISNUMBER(SEARCH(""CASH DEPOSIT"",$C46)),"&amp;"
      COUNTIFS('SUMMARY DATA'!$D:$D,$C46,'SUMMARY DATA'!$B:$B,""RWS"")&lt;&gt;1
    ),
    """",
    IFERROR(TEXTJOIN(CHAR(10),TRUE,FILTER('SUMMARY DATA'!G:G,'SUMMARY DATA'!$D:$D=$C46,'SUMMARY DATA'!$B:$B=""RWS"")),"""")
  )
)"),"")</f>
      </c>
      <c r="H46" s="18" t="str">
        <f>IFERROR(__xludf.DUMMYFUNCTION("IFERROR(
  TEXTJOIN(CHAR(10),TRUE,FILTER('SUMMARY DATA'!H:H,'SUMMARY DATA'!$A:$A=$A46,'SUMMARY DATA'!$C:$C=$B46,'SUMMARY DATA'!$B:$B=""RWS"",'SUMMARY DATA'!$H:$H=$D46)),
  IF(
    OR(
      ISNUMBER(SEARCH(""CDM CASH DEPOSIT"",$C46)),
      ISNUMBER(SEARC"&amp;"H(""CASH DEPOSIT"",$C46))
    ),
    """",
    IFERROR(TEXTJOIN(CHAR(10),TRUE,FILTER('SUMMARY DATA'!H:H,'SUMMARY DATA'!$D:$D=$C46,'SUMMARY DATA'!$B:$B=""RWS"",'SUMMARY DATA'!$H:$H=$D46)),"""")
  )
)"),"")</f>
      </c>
      <c r="I46" s="18" t="str">
        <f>IFERROR(__xludf.DUMMYFUNCTION("IF(H46="""","""",
SUM(ARRAYFORMULA(VALUE(SPLIT(H46,CHAR(10)))))
)"),"")</f>
      </c>
      <c r="J46" s="17" t="str">
        <f>IFERROR(__xludf.DUMMYFUNCTION("IFERROR(
  TEXTJOIN(CHAR(10),TRUE,FILTER('SUMMARY DATA'!I:I,'SUMMARY DATA'!$A:$A=$A46,'SUMMARY DATA'!$C:$C=$B46,'SUMMARY DATA'!$B:$B=""RWS"")),
  IF(
    OR(
      ISNUMBER(SEARCH(""CDM CASH DEPOSIT"",$C46)),
      ISNUMBER(SEARCH(""CASH DEPOSIT"",$C46)),"&amp;"
      COUNTIFS('SUMMARY DATA'!$D:$D,$C46,'SUMMARY DATA'!$B:$B,""RWS"")&lt;&gt;1
    ),
    """",
    IFERROR(TEXTJOIN(CHAR(10),TRUE,FILTER('SUMMARY DATA'!I:I,'SUMMARY DATA'!$D:$D=$C46,'SUMMARY DATA'!$B:$B=""RWS"")),"""")
  )
)"),"")</f>
      </c>
      <c r="K46" s="2"/>
      <c r="L46" s="2"/>
      <c r="M46" s="2"/>
      <c r="N46" s="2"/>
      <c r="O46" s="2"/>
      <c r="P46" s="2"/>
      <c r="Q46" s="2"/>
      <c r="R46" s="2"/>
      <c r="S46" s="2"/>
      <c r="T46" s="2"/>
      <c r="U46" s="2"/>
      <c r="V46" s="2"/>
      <c r="W46" s="2"/>
      <c r="X46" s="2"/>
      <c r="Y46" s="2"/>
      <c r="Z46" s="2"/>
      <c r="AA46" s="2"/>
      <c r="AB46" s="2"/>
    </row>
    <row r="47" spans="1:28" customHeight="true">
      <c r="A47" s="2" t="s">
        <v>78</v>
      </c>
      <c r="B47" s="15">
        <v>45922</v>
      </c>
      <c r="C47" s="2" t="s">
        <v>79</v>
      </c>
      <c r="D47" s="3">
        <v>97</v>
      </c>
      <c r="E47" s="16" t="str">
        <f>IFERROR(__xludf.DUMMYFUNCTION("IFERROR(
  TEXTJOIN(CHAR(10),TRUE,FILTER('SUMMARY DATA'!E:E,'SUMMARY DATA'!$A:$A=$A47,'SUMMARY DATA'!$C:$C=$B47,'SUMMARY DATA'!$B:$B=""RWS"")),
  IF(
    OR(
      ISNUMBER(SEARCH(""CDM CASH DEPOSIT"",$C47)),
      ISNUMBER(SEARCH(""CASH DEPOSIT"",$C47)),"&amp;"
      COUNTIFS('SUMMARY DATA'!$D:$D,$C47,'SUMMARY DATA'!$B:$B,""RWS"")&lt;&gt;1
    ),
    """",
    IFERROR(TEXTJOIN(CHAR(10),TRUE,FILTER('SUMMARY DATA'!E:E,'SUMMARY DATA'!$D:$D=$C47,'SUMMARY DATA'!$B:$B=""RWS"")),"""")
  )
)"),"")</f>
      </c>
      <c r="F47" s="17" t="str">
        <f>IFERROR(__xludf.DUMMYFUNCTION("IFERROR(
  TEXTJOIN(CHAR(10),TRUE,FILTER('SUMMARY DATA'!F:F,'SUMMARY DATA'!$A:$A=$A47,'SUMMARY DATA'!$C:$C=$B47,'SUMMARY DATA'!$B:$B=""RWS"")),
  IF(
    OR(
      ISNUMBER(SEARCH(""CDM CASH DEPOSIT"",$C47)),
      ISNUMBER(SEARCH(""CASH DEPOSIT"",$C47)),"&amp;"
      COUNTIFS('SUMMARY DATA'!$D:$D,$C47,'SUMMARY DATA'!$B:$B,""RWS"")&lt;&gt;1
    ),
    """",
    IFERROR(TEXTJOIN(CHAR(10),TRUE,FILTER('SUMMARY DATA'!F:F,'SUMMARY DATA'!$D:$D=$C47,'SUMMARY DATA'!$B:$B=""RWS"")),"""")
  )
)"),"")</f>
      </c>
      <c r="G47" s="17" t="str">
        <f>IFERROR(__xludf.DUMMYFUNCTION("IFERROR(
  TEXTJOIN(CHAR(10),TRUE,FILTER('SUMMARY DATA'!G:G,'SUMMARY DATA'!$A:$A=$A47,'SUMMARY DATA'!$C:$C=$B47,'SUMMARY DATA'!$B:$B=""RWS"")),
  IF(
    OR(
      ISNUMBER(SEARCH(""CDM CASH DEPOSIT"",$C47)),
      ISNUMBER(SEARCH(""CASH DEPOSIT"",$C47)),"&amp;"
      COUNTIFS('SUMMARY DATA'!$D:$D,$C47,'SUMMARY DATA'!$B:$B,""RWS"")&lt;&gt;1
    ),
    """",
    IFERROR(TEXTJOIN(CHAR(10),TRUE,FILTER('SUMMARY DATA'!G:G,'SUMMARY DATA'!$D:$D=$C47,'SUMMARY DATA'!$B:$B=""RWS"")),"""")
  )
)"),"")</f>
      </c>
      <c r="H47" s="18" t="str">
        <f>IFERROR(__xludf.DUMMYFUNCTION("IFERROR(
  TEXTJOIN(CHAR(10),TRUE,FILTER('SUMMARY DATA'!H:H,'SUMMARY DATA'!$A:$A=$A47,'SUMMARY DATA'!$C:$C=$B47,'SUMMARY DATA'!$B:$B=""RWS"",'SUMMARY DATA'!$H:$H=$D47)),
  IF(
    OR(
      ISNUMBER(SEARCH(""CDM CASH DEPOSIT"",$C47)),
      ISNUMBER(SEARC"&amp;"H(""CASH DEPOSIT"",$C47))
    ),
    """",
    IFERROR(TEXTJOIN(CHAR(10),TRUE,FILTER('SUMMARY DATA'!H:H,'SUMMARY DATA'!$D:$D=$C47,'SUMMARY DATA'!$B:$B=""RWS"",'SUMMARY DATA'!$H:$H=$D47)),"""")
  )
)"),"")</f>
      </c>
      <c r="I47" s="18" t="str">
        <f>IFERROR(__xludf.DUMMYFUNCTION("IF(H47="""","""",
SUM(ARRAYFORMULA(VALUE(SPLIT(H47,CHAR(10)))))
)"),"")</f>
      </c>
      <c r="J47" s="17" t="str">
        <f>IFERROR(__xludf.DUMMYFUNCTION("IFERROR(
  TEXTJOIN(CHAR(10),TRUE,FILTER('SUMMARY DATA'!I:I,'SUMMARY DATA'!$A:$A=$A47,'SUMMARY DATA'!$C:$C=$B47,'SUMMARY DATA'!$B:$B=""RWS"")),
  IF(
    OR(
      ISNUMBER(SEARCH(""CDM CASH DEPOSIT"",$C47)),
      ISNUMBER(SEARCH(""CASH DEPOSIT"",$C47)),"&amp;"
      COUNTIFS('SUMMARY DATA'!$D:$D,$C47,'SUMMARY DATA'!$B:$B,""RWS"")&lt;&gt;1
    ),
    """",
    IFERROR(TEXTJOIN(CHAR(10),TRUE,FILTER('SUMMARY DATA'!I:I,'SUMMARY DATA'!$D:$D=$C47,'SUMMARY DATA'!$B:$B=""RWS"")),"""")
  )
)"),"")</f>
      </c>
      <c r="K47" s="2"/>
      <c r="L47" s="2"/>
      <c r="M47" s="2"/>
      <c r="N47" s="2"/>
      <c r="O47" s="2"/>
      <c r="P47" s="2"/>
      <c r="Q47" s="2"/>
      <c r="R47" s="2"/>
      <c r="S47" s="2"/>
      <c r="T47" s="2"/>
      <c r="U47" s="2"/>
      <c r="V47" s="2"/>
      <c r="W47" s="2"/>
      <c r="X47" s="2"/>
      <c r="Y47" s="2"/>
      <c r="Z47" s="2"/>
      <c r="AA47" s="2"/>
      <c r="AB47" s="2"/>
    </row>
    <row r="48" spans="1:28" customHeight="true">
      <c r="A48" s="2" t="s">
        <v>80</v>
      </c>
      <c r="B48" s="15">
        <v>45922</v>
      </c>
      <c r="C48" s="2" t="s">
        <v>81</v>
      </c>
      <c r="D48" s="3">
        <v>207.86</v>
      </c>
      <c r="E48" s="16" t="str">
        <f>IFERROR(__xludf.DUMMYFUNCTION("IFERROR(
  TEXTJOIN(CHAR(10),TRUE,FILTER('SUMMARY DATA'!E:E,'SUMMARY DATA'!$A:$A=$A48,'SUMMARY DATA'!$C:$C=$B48,'SUMMARY DATA'!$B:$B=""RWS"")),
  IF(
    OR(
      ISNUMBER(SEARCH(""CDM CASH DEPOSIT"",$C48)),
      ISNUMBER(SEARCH(""CASH DEPOSIT"",$C48)),"&amp;"
      COUNTIFS('SUMMARY DATA'!$D:$D,$C48,'SUMMARY DATA'!$B:$B,""RWS"")&lt;&gt;1
    ),
    """",
    IFERROR(TEXTJOIN(CHAR(10),TRUE,FILTER('SUMMARY DATA'!E:E,'SUMMARY DATA'!$D:$D=$C48,'SUMMARY DATA'!$B:$B=""RWS"")),"""")
  )
)"),"")</f>
      </c>
      <c r="F48" s="17" t="str">
        <f>IFERROR(__xludf.DUMMYFUNCTION("IFERROR(
  TEXTJOIN(CHAR(10),TRUE,FILTER('SUMMARY DATA'!F:F,'SUMMARY DATA'!$A:$A=$A48,'SUMMARY DATA'!$C:$C=$B48,'SUMMARY DATA'!$B:$B=""RWS"")),
  IF(
    OR(
      ISNUMBER(SEARCH(""CDM CASH DEPOSIT"",$C48)),
      ISNUMBER(SEARCH(""CASH DEPOSIT"",$C48)),"&amp;"
      COUNTIFS('SUMMARY DATA'!$D:$D,$C48,'SUMMARY DATA'!$B:$B,""RWS"")&lt;&gt;1
    ),
    """",
    IFERROR(TEXTJOIN(CHAR(10),TRUE,FILTER('SUMMARY DATA'!F:F,'SUMMARY DATA'!$D:$D=$C48,'SUMMARY DATA'!$B:$B=""RWS"")),"""")
  )
)"),"")</f>
      </c>
      <c r="G48" s="17" t="str">
        <f>IFERROR(__xludf.DUMMYFUNCTION("IFERROR(
  TEXTJOIN(CHAR(10),TRUE,FILTER('SUMMARY DATA'!G:G,'SUMMARY DATA'!$A:$A=$A48,'SUMMARY DATA'!$C:$C=$B48,'SUMMARY DATA'!$B:$B=""RWS"")),
  IF(
    OR(
      ISNUMBER(SEARCH(""CDM CASH DEPOSIT"",$C48)),
      ISNUMBER(SEARCH(""CASH DEPOSIT"",$C48)),"&amp;"
      COUNTIFS('SUMMARY DATA'!$D:$D,$C48,'SUMMARY DATA'!$B:$B,""RWS"")&lt;&gt;1
    ),
    """",
    IFERROR(TEXTJOIN(CHAR(10),TRUE,FILTER('SUMMARY DATA'!G:G,'SUMMARY DATA'!$D:$D=$C48,'SUMMARY DATA'!$B:$B=""RWS"")),"""")
  )
)"),"")</f>
      </c>
      <c r="H48" s="18" t="str">
        <f>IFERROR(__xludf.DUMMYFUNCTION("IFERROR(
  TEXTJOIN(CHAR(10),TRUE,FILTER('SUMMARY DATA'!H:H,'SUMMARY DATA'!$A:$A=$A48,'SUMMARY DATA'!$C:$C=$B48,'SUMMARY DATA'!$B:$B=""RWS"",'SUMMARY DATA'!$H:$H=$D48)),
  IF(
    OR(
      ISNUMBER(SEARCH(""CDM CASH DEPOSIT"",$C48)),
      ISNUMBER(SEARC"&amp;"H(""CASH DEPOSIT"",$C48))
    ),
    """",
    IFERROR(TEXTJOIN(CHAR(10),TRUE,FILTER('SUMMARY DATA'!H:H,'SUMMARY DATA'!$D:$D=$C48,'SUMMARY DATA'!$B:$B=""RWS"",'SUMMARY DATA'!$H:$H=$D48)),"""")
  )
)"),"")</f>
      </c>
      <c r="I48" s="18" t="str">
        <f>IFERROR(__xludf.DUMMYFUNCTION("IF(H48="""","""",
SUM(ARRAYFORMULA(VALUE(SPLIT(H48,CHAR(10)))))
)"),"")</f>
      </c>
      <c r="J48" s="17" t="str">
        <f>IFERROR(__xludf.DUMMYFUNCTION("IFERROR(
  TEXTJOIN(CHAR(10),TRUE,FILTER('SUMMARY DATA'!I:I,'SUMMARY DATA'!$A:$A=$A48,'SUMMARY DATA'!$C:$C=$B48,'SUMMARY DATA'!$B:$B=""RWS"")),
  IF(
    OR(
      ISNUMBER(SEARCH(""CDM CASH DEPOSIT"",$C48)),
      ISNUMBER(SEARCH(""CASH DEPOSIT"",$C48)),"&amp;"
      COUNTIFS('SUMMARY DATA'!$D:$D,$C48,'SUMMARY DATA'!$B:$B,""RWS"")&lt;&gt;1
    ),
    """",
    IFERROR(TEXTJOIN(CHAR(10),TRUE,FILTER('SUMMARY DATA'!I:I,'SUMMARY DATA'!$D:$D=$C48,'SUMMARY DATA'!$B:$B=""RWS"")),"""")
  )
)"),"")</f>
      </c>
      <c r="K48" s="2"/>
      <c r="L48" s="2"/>
      <c r="M48" s="2"/>
      <c r="N48" s="2"/>
      <c r="O48" s="2"/>
      <c r="P48" s="2"/>
      <c r="Q48" s="2"/>
      <c r="R48" s="2"/>
      <c r="S48" s="2"/>
      <c r="T48" s="2"/>
      <c r="U48" s="2"/>
      <c r="V48" s="2"/>
      <c r="W48" s="2"/>
      <c r="X48" s="2"/>
      <c r="Y48" s="2"/>
      <c r="Z48" s="2"/>
      <c r="AA48" s="2"/>
      <c r="AB48" s="2"/>
    </row>
    <row r="49" spans="1:28" customHeight="true">
      <c r="A49" s="2" t="s">
        <v>82</v>
      </c>
      <c r="B49" s="15">
        <v>45921</v>
      </c>
      <c r="C49" s="2" t="s">
        <v>83</v>
      </c>
      <c r="D49" s="3">
        <v>508.65</v>
      </c>
      <c r="E49" s="16" t="str">
        <f>IFERROR(__xludf.DUMMYFUNCTION("IFERROR(
  TEXTJOIN(CHAR(10),TRUE,FILTER('SUMMARY DATA'!E:E,'SUMMARY DATA'!$A:$A=$A49,'SUMMARY DATA'!$C:$C=$B49,'SUMMARY DATA'!$B:$B=""RWS"")),
  IF(
    OR(
      ISNUMBER(SEARCH(""CDM CASH DEPOSIT"",$C49)),
      ISNUMBER(SEARCH(""CASH DEPOSIT"",$C49)),"&amp;"
      COUNTIFS('SUMMARY DATA'!$D:$D,$C49,'SUMMARY DATA'!$B:$B,""RWS"")&lt;&gt;1
    ),
    """",
    IFERROR(TEXTJOIN(CHAR(10),TRUE,FILTER('SUMMARY DATA'!E:E,'SUMMARY DATA'!$D:$D=$C49,'SUMMARY DATA'!$B:$B=""RWS"")),"""")
  )
)"),"")</f>
      </c>
      <c r="F49" s="17" t="str">
        <f>IFERROR(__xludf.DUMMYFUNCTION("IFERROR(
  TEXTJOIN(CHAR(10),TRUE,FILTER('SUMMARY DATA'!F:F,'SUMMARY DATA'!$A:$A=$A49,'SUMMARY DATA'!$C:$C=$B49,'SUMMARY DATA'!$B:$B=""RWS"")),
  IF(
    OR(
      ISNUMBER(SEARCH(""CDM CASH DEPOSIT"",$C49)),
      ISNUMBER(SEARCH(""CASH DEPOSIT"",$C49)),"&amp;"
      COUNTIFS('SUMMARY DATA'!$D:$D,$C49,'SUMMARY DATA'!$B:$B,""RWS"")&lt;&gt;1
    ),
    """",
    IFERROR(TEXTJOIN(CHAR(10),TRUE,FILTER('SUMMARY DATA'!F:F,'SUMMARY DATA'!$D:$D=$C49,'SUMMARY DATA'!$B:$B=""RWS"")),"""")
  )
)"),"")</f>
      </c>
      <c r="G49" s="17" t="str">
        <f>IFERROR(__xludf.DUMMYFUNCTION("IFERROR(
  TEXTJOIN(CHAR(10),TRUE,FILTER('SUMMARY DATA'!G:G,'SUMMARY DATA'!$A:$A=$A49,'SUMMARY DATA'!$C:$C=$B49,'SUMMARY DATA'!$B:$B=""RWS"")),
  IF(
    OR(
      ISNUMBER(SEARCH(""CDM CASH DEPOSIT"",$C49)),
      ISNUMBER(SEARCH(""CASH DEPOSIT"",$C49)),"&amp;"
      COUNTIFS('SUMMARY DATA'!$D:$D,$C49,'SUMMARY DATA'!$B:$B,""RWS"")&lt;&gt;1
    ),
    """",
    IFERROR(TEXTJOIN(CHAR(10),TRUE,FILTER('SUMMARY DATA'!G:G,'SUMMARY DATA'!$D:$D=$C49,'SUMMARY DATA'!$B:$B=""RWS"")),"""")
  )
)"),"")</f>
      </c>
      <c r="H49" s="18" t="str">
        <f>IFERROR(__xludf.DUMMYFUNCTION("IFERROR(
  TEXTJOIN(CHAR(10),TRUE,FILTER('SUMMARY DATA'!H:H,'SUMMARY DATA'!$A:$A=$A49,'SUMMARY DATA'!$C:$C=$B49,'SUMMARY DATA'!$B:$B=""RWS"",'SUMMARY DATA'!$H:$H=$D49)),
  IF(
    OR(
      ISNUMBER(SEARCH(""CDM CASH DEPOSIT"",$C49)),
      ISNUMBER(SEARC"&amp;"H(""CASH DEPOSIT"",$C49))
    ),
    """",
    IFERROR(TEXTJOIN(CHAR(10),TRUE,FILTER('SUMMARY DATA'!H:H,'SUMMARY DATA'!$D:$D=$C49,'SUMMARY DATA'!$B:$B=""RWS"",'SUMMARY DATA'!$H:$H=$D49)),"""")
  )
)"),"")</f>
      </c>
      <c r="I49" s="18" t="str">
        <f>IFERROR(__xludf.DUMMYFUNCTION("IF(H49="""","""",
SUM(ARRAYFORMULA(VALUE(SPLIT(H49,CHAR(10)))))
)"),"")</f>
      </c>
      <c r="J49" s="17" t="str">
        <f>IFERROR(__xludf.DUMMYFUNCTION("IFERROR(
  TEXTJOIN(CHAR(10),TRUE,FILTER('SUMMARY DATA'!I:I,'SUMMARY DATA'!$A:$A=$A49,'SUMMARY DATA'!$C:$C=$B49,'SUMMARY DATA'!$B:$B=""RWS"")),
  IF(
    OR(
      ISNUMBER(SEARCH(""CDM CASH DEPOSIT"",$C49)),
      ISNUMBER(SEARCH(""CASH DEPOSIT"",$C49)),"&amp;"
      COUNTIFS('SUMMARY DATA'!$D:$D,$C49,'SUMMARY DATA'!$B:$B,""RWS"")&lt;&gt;1
    ),
    """",
    IFERROR(TEXTJOIN(CHAR(10),TRUE,FILTER('SUMMARY DATA'!I:I,'SUMMARY DATA'!$D:$D=$C49,'SUMMARY DATA'!$B:$B=""RWS"")),"""")
  )
)"),"")</f>
      </c>
      <c r="K49" s="2"/>
      <c r="L49" s="2"/>
      <c r="M49" s="2"/>
      <c r="N49" s="2"/>
      <c r="O49" s="2"/>
      <c r="P49" s="2"/>
      <c r="Q49" s="2"/>
      <c r="R49" s="2"/>
      <c r="S49" s="2"/>
      <c r="T49" s="2"/>
      <c r="U49" s="2"/>
      <c r="V49" s="2"/>
      <c r="W49" s="2"/>
      <c r="X49" s="2"/>
      <c r="Y49" s="2"/>
      <c r="Z49" s="2"/>
      <c r="AA49" s="2"/>
      <c r="AB49" s="2"/>
    </row>
    <row r="50" spans="1:28" customHeight="true">
      <c r="A50" s="2"/>
      <c r="B50" s="15">
        <v>45921</v>
      </c>
      <c r="C50" s="2" t="s">
        <v>84</v>
      </c>
      <c r="D50" s="3">
        <v>29.99</v>
      </c>
      <c r="E50" s="16" t="str">
        <f>IFERROR(__xludf.DUMMYFUNCTION("IFERROR(
  TEXTJOIN(CHAR(10),TRUE,FILTER('SUMMARY DATA'!E:E,'SUMMARY DATA'!$A:$A=$A50,'SUMMARY DATA'!$C:$C=$B50,'SUMMARY DATA'!$B:$B=""RWS"")),
  IF(
    OR(
      ISNUMBER(SEARCH(""CDM CASH DEPOSIT"",$C50)),
      ISNUMBER(SEARCH(""CASH DEPOSIT"",$C50)),"&amp;"
      COUNTIFS('SUMMARY DATA'!$D:$D,$C50,'SUMMARY DATA'!$B:$B,""RWS"")&lt;&gt;1
    ),
    """",
    IFERROR(TEXTJOIN(CHAR(10),TRUE,FILTER('SUMMARY DATA'!E:E,'SUMMARY DATA'!$D:$D=$C50,'SUMMARY DATA'!$B:$B=""RWS"")),"""")
  )
)"),"")</f>
      </c>
      <c r="F50" s="17" t="str">
        <f>IFERROR(__xludf.DUMMYFUNCTION("IFERROR(
  TEXTJOIN(CHAR(10),TRUE,FILTER('SUMMARY DATA'!F:F,'SUMMARY DATA'!$A:$A=$A50,'SUMMARY DATA'!$C:$C=$B50,'SUMMARY DATA'!$B:$B=""RWS"")),
  IF(
    OR(
      ISNUMBER(SEARCH(""CDM CASH DEPOSIT"",$C50)),
      ISNUMBER(SEARCH(""CASH DEPOSIT"",$C50)),"&amp;"
      COUNTIFS('SUMMARY DATA'!$D:$D,$C50,'SUMMARY DATA'!$B:$B,""RWS"")&lt;&gt;1
    ),
    """",
    IFERROR(TEXTJOIN(CHAR(10),TRUE,FILTER('SUMMARY DATA'!F:F,'SUMMARY DATA'!$D:$D=$C50,'SUMMARY DATA'!$B:$B=""RWS"")),"""")
  )
)"),"")</f>
      </c>
      <c r="G50" s="17" t="str">
        <f>IFERROR(__xludf.DUMMYFUNCTION("IFERROR(
  TEXTJOIN(CHAR(10),TRUE,FILTER('SUMMARY DATA'!G:G,'SUMMARY DATA'!$A:$A=$A50,'SUMMARY DATA'!$C:$C=$B50,'SUMMARY DATA'!$B:$B=""RWS"")),
  IF(
    OR(
      ISNUMBER(SEARCH(""CDM CASH DEPOSIT"",$C50)),
      ISNUMBER(SEARCH(""CASH DEPOSIT"",$C50)),"&amp;"
      COUNTIFS('SUMMARY DATA'!$D:$D,$C50,'SUMMARY DATA'!$B:$B,""RWS"")&lt;&gt;1
    ),
    """",
    IFERROR(TEXTJOIN(CHAR(10),TRUE,FILTER('SUMMARY DATA'!G:G,'SUMMARY DATA'!$D:$D=$C50,'SUMMARY DATA'!$B:$B=""RWS"")),"""")
  )
)"),"")</f>
      </c>
      <c r="H50" s="18" t="str">
        <f>IFERROR(__xludf.DUMMYFUNCTION("IFERROR(
  TEXTJOIN(CHAR(10),TRUE,FILTER('SUMMARY DATA'!H:H,'SUMMARY DATA'!$A:$A=$A50,'SUMMARY DATA'!$C:$C=$B50,'SUMMARY DATA'!$B:$B=""RWS"",'SUMMARY DATA'!$H:$H=$D50)),
  IF(
    OR(
      ISNUMBER(SEARCH(""CDM CASH DEPOSIT"",$C50)),
      ISNUMBER(SEARC"&amp;"H(""CASH DEPOSIT"",$C50))
    ),
    """",
    IFERROR(TEXTJOIN(CHAR(10),TRUE,FILTER('SUMMARY DATA'!H:H,'SUMMARY DATA'!$D:$D=$C50,'SUMMARY DATA'!$B:$B=""RWS"",'SUMMARY DATA'!$H:$H=$D50)),"""")
  )
)"),"")</f>
      </c>
      <c r="I50" s="18" t="str">
        <f>IFERROR(__xludf.DUMMYFUNCTION("IF(H50="""","""",
SUM(ARRAYFORMULA(VALUE(SPLIT(H50,CHAR(10)))))
)"),"")</f>
      </c>
      <c r="J50" s="17" t="str">
        <f>IFERROR(__xludf.DUMMYFUNCTION("IFERROR(
  TEXTJOIN(CHAR(10),TRUE,FILTER('SUMMARY DATA'!I:I,'SUMMARY DATA'!$A:$A=$A50,'SUMMARY DATA'!$C:$C=$B50,'SUMMARY DATA'!$B:$B=""RWS"")),
  IF(
    OR(
      ISNUMBER(SEARCH(""CDM CASH DEPOSIT"",$C50)),
      ISNUMBER(SEARCH(""CASH DEPOSIT"",$C50)),"&amp;"
      COUNTIFS('SUMMARY DATA'!$D:$D,$C50,'SUMMARY DATA'!$B:$B,""RWS"")&lt;&gt;1
    ),
    """",
    IFERROR(TEXTJOIN(CHAR(10),TRUE,FILTER('SUMMARY DATA'!I:I,'SUMMARY DATA'!$D:$D=$C50,'SUMMARY DATA'!$B:$B=""RWS"")),"""")
  )
)"),"")</f>
      </c>
      <c r="K50" s="2"/>
      <c r="L50" s="2"/>
      <c r="M50" s="2"/>
      <c r="N50" s="2"/>
      <c r="O50" s="2"/>
      <c r="P50" s="2"/>
      <c r="Q50" s="2"/>
      <c r="R50" s="2"/>
      <c r="S50" s="2"/>
      <c r="T50" s="2"/>
      <c r="U50" s="2"/>
      <c r="V50" s="2"/>
      <c r="W50" s="2"/>
      <c r="X50" s="2"/>
      <c r="Y50" s="2"/>
      <c r="Z50" s="2"/>
      <c r="AA50" s="2"/>
      <c r="AB50" s="2"/>
    </row>
    <row r="51" spans="1:28" customHeight="true">
      <c r="A51" s="2"/>
      <c r="B51" s="15">
        <v>45921</v>
      </c>
      <c r="C51" s="2" t="s">
        <v>85</v>
      </c>
      <c r="D51" s="3">
        <v>47.71</v>
      </c>
      <c r="E51" s="16" t="str">
        <f>IFERROR(__xludf.DUMMYFUNCTION("IFERROR(
  TEXTJOIN(CHAR(10),TRUE,FILTER('SUMMARY DATA'!E:E,'SUMMARY DATA'!$A:$A=$A51,'SUMMARY DATA'!$C:$C=$B51,'SUMMARY DATA'!$B:$B=""RWS"")),
  IF(
    OR(
      ISNUMBER(SEARCH(""CDM CASH DEPOSIT"",$C51)),
      ISNUMBER(SEARCH(""CASH DEPOSIT"",$C51)),"&amp;"
      COUNTIFS('SUMMARY DATA'!$D:$D,$C51,'SUMMARY DATA'!$B:$B,""RWS"")&lt;&gt;1
    ),
    """",
    IFERROR(TEXTJOIN(CHAR(10),TRUE,FILTER('SUMMARY DATA'!E:E,'SUMMARY DATA'!$D:$D=$C51,'SUMMARY DATA'!$B:$B=""RWS"")),"""")
  )
)"),"")</f>
      </c>
      <c r="F51" s="17" t="str">
        <f>IFERROR(__xludf.DUMMYFUNCTION("IFERROR(
  TEXTJOIN(CHAR(10),TRUE,FILTER('SUMMARY DATA'!F:F,'SUMMARY DATA'!$A:$A=$A51,'SUMMARY DATA'!$C:$C=$B51,'SUMMARY DATA'!$B:$B=""RWS"")),
  IF(
    OR(
      ISNUMBER(SEARCH(""CDM CASH DEPOSIT"",$C51)),
      ISNUMBER(SEARCH(""CASH DEPOSIT"",$C51)),"&amp;"
      COUNTIFS('SUMMARY DATA'!$D:$D,$C51,'SUMMARY DATA'!$B:$B,""RWS"")&lt;&gt;1
    ),
    """",
    IFERROR(TEXTJOIN(CHAR(10),TRUE,FILTER('SUMMARY DATA'!F:F,'SUMMARY DATA'!$D:$D=$C51,'SUMMARY DATA'!$B:$B=""RWS"")),"""")
  )
)"),"")</f>
      </c>
      <c r="G51" s="17" t="str">
        <f>IFERROR(__xludf.DUMMYFUNCTION("IFERROR(
  TEXTJOIN(CHAR(10),TRUE,FILTER('SUMMARY DATA'!G:G,'SUMMARY DATA'!$A:$A=$A51,'SUMMARY DATA'!$C:$C=$B51,'SUMMARY DATA'!$B:$B=""RWS"")),
  IF(
    OR(
      ISNUMBER(SEARCH(""CDM CASH DEPOSIT"",$C51)),
      ISNUMBER(SEARCH(""CASH DEPOSIT"",$C51)),"&amp;"
      COUNTIFS('SUMMARY DATA'!$D:$D,$C51,'SUMMARY DATA'!$B:$B,""RWS"")&lt;&gt;1
    ),
    """",
    IFERROR(TEXTJOIN(CHAR(10),TRUE,FILTER('SUMMARY DATA'!G:G,'SUMMARY DATA'!$D:$D=$C51,'SUMMARY DATA'!$B:$B=""RWS"")),"""")
  )
)"),"")</f>
      </c>
      <c r="H51" s="18" t="str">
        <f>IFERROR(__xludf.DUMMYFUNCTION("IFERROR(
  TEXTJOIN(CHAR(10),TRUE,FILTER('SUMMARY DATA'!H:H,'SUMMARY DATA'!$A:$A=$A51,'SUMMARY DATA'!$C:$C=$B51,'SUMMARY DATA'!$B:$B=""RWS"",'SUMMARY DATA'!$H:$H=$D51)),
  IF(
    OR(
      ISNUMBER(SEARCH(""CDM CASH DEPOSIT"",$C51)),
      ISNUMBER(SEARC"&amp;"H(""CASH DEPOSIT"",$C51))
    ),
    """",
    IFERROR(TEXTJOIN(CHAR(10),TRUE,FILTER('SUMMARY DATA'!H:H,'SUMMARY DATA'!$D:$D=$C51,'SUMMARY DATA'!$B:$B=""RWS"",'SUMMARY DATA'!$H:$H=$D51)),"""")
  )
)"),"")</f>
      </c>
      <c r="I51" s="18" t="str">
        <f>IFERROR(__xludf.DUMMYFUNCTION("IF(H51="""","""",
SUM(ARRAYFORMULA(VALUE(SPLIT(H51,CHAR(10)))))
)"),"")</f>
      </c>
      <c r="J51" s="17" t="str">
        <f>IFERROR(__xludf.DUMMYFUNCTION("IFERROR(
  TEXTJOIN(CHAR(10),TRUE,FILTER('SUMMARY DATA'!I:I,'SUMMARY DATA'!$A:$A=$A51,'SUMMARY DATA'!$C:$C=$B51,'SUMMARY DATA'!$B:$B=""RWS"")),
  IF(
    OR(
      ISNUMBER(SEARCH(""CDM CASH DEPOSIT"",$C51)),
      ISNUMBER(SEARCH(""CASH DEPOSIT"",$C51)),"&amp;"
      COUNTIFS('SUMMARY DATA'!$D:$D,$C51,'SUMMARY DATA'!$B:$B,""RWS"")&lt;&gt;1
    ),
    """",
    IFERROR(TEXTJOIN(CHAR(10),TRUE,FILTER('SUMMARY DATA'!I:I,'SUMMARY DATA'!$D:$D=$C51,'SUMMARY DATA'!$B:$B=""RWS"")),"""")
  )
)"),"")</f>
      </c>
      <c r="K51" s="2"/>
      <c r="L51" s="2"/>
      <c r="M51" s="2"/>
      <c r="N51" s="2"/>
      <c r="O51" s="2"/>
      <c r="P51" s="2"/>
      <c r="Q51" s="2"/>
      <c r="R51" s="2"/>
      <c r="S51" s="2"/>
      <c r="T51" s="2"/>
      <c r="U51" s="2"/>
      <c r="V51" s="2"/>
      <c r="W51" s="2"/>
      <c r="X51" s="2"/>
      <c r="Y51" s="2"/>
      <c r="Z51" s="2"/>
      <c r="AA51" s="2"/>
      <c r="AB51" s="2"/>
    </row>
    <row r="52" spans="1:28" customHeight="true">
      <c r="A52" s="2"/>
      <c r="B52" s="15">
        <v>45921</v>
      </c>
      <c r="C52" s="2" t="s">
        <v>86</v>
      </c>
      <c r="D52" s="3">
        <v>26</v>
      </c>
      <c r="E52" s="16" t="str">
        <f>IFERROR(__xludf.DUMMYFUNCTION("IFERROR(
  TEXTJOIN(CHAR(10),TRUE,FILTER('SUMMARY DATA'!E:E,'SUMMARY DATA'!$A:$A=$A52,'SUMMARY DATA'!$C:$C=$B52,'SUMMARY DATA'!$B:$B=""RWS"")),
  IF(
    OR(
      ISNUMBER(SEARCH(""CDM CASH DEPOSIT"",$C52)),
      ISNUMBER(SEARCH(""CASH DEPOSIT"",$C52)),"&amp;"
      COUNTIFS('SUMMARY DATA'!$D:$D,$C52,'SUMMARY DATA'!$B:$B,""RWS"")&lt;&gt;1
    ),
    """",
    IFERROR(TEXTJOIN(CHAR(10),TRUE,FILTER('SUMMARY DATA'!E:E,'SUMMARY DATA'!$D:$D=$C52,'SUMMARY DATA'!$B:$B=""RWS"")),"""")
  )
)"),"")</f>
      </c>
      <c r="F52" s="17" t="str">
        <f>IFERROR(__xludf.DUMMYFUNCTION("IFERROR(
  TEXTJOIN(CHAR(10),TRUE,FILTER('SUMMARY DATA'!F:F,'SUMMARY DATA'!$A:$A=$A52,'SUMMARY DATA'!$C:$C=$B52,'SUMMARY DATA'!$B:$B=""RWS"")),
  IF(
    OR(
      ISNUMBER(SEARCH(""CDM CASH DEPOSIT"",$C52)),
      ISNUMBER(SEARCH(""CASH DEPOSIT"",$C52)),"&amp;"
      COUNTIFS('SUMMARY DATA'!$D:$D,$C52,'SUMMARY DATA'!$B:$B,""RWS"")&lt;&gt;1
    ),
    """",
    IFERROR(TEXTJOIN(CHAR(10),TRUE,FILTER('SUMMARY DATA'!F:F,'SUMMARY DATA'!$D:$D=$C52,'SUMMARY DATA'!$B:$B=""RWS"")),"""")
  )
)"),"")</f>
      </c>
      <c r="G52" s="17" t="str">
        <f>IFERROR(__xludf.DUMMYFUNCTION("IFERROR(
  TEXTJOIN(CHAR(10),TRUE,FILTER('SUMMARY DATA'!G:G,'SUMMARY DATA'!$A:$A=$A52,'SUMMARY DATA'!$C:$C=$B52,'SUMMARY DATA'!$B:$B=""RWS"")),
  IF(
    OR(
      ISNUMBER(SEARCH(""CDM CASH DEPOSIT"",$C52)),
      ISNUMBER(SEARCH(""CASH DEPOSIT"",$C52)),"&amp;"
      COUNTIFS('SUMMARY DATA'!$D:$D,$C52,'SUMMARY DATA'!$B:$B,""RWS"")&lt;&gt;1
    ),
    """",
    IFERROR(TEXTJOIN(CHAR(10),TRUE,FILTER('SUMMARY DATA'!G:G,'SUMMARY DATA'!$D:$D=$C52,'SUMMARY DATA'!$B:$B=""RWS"")),"""")
  )
)"),"")</f>
      </c>
      <c r="H52" s="18" t="str">
        <f>IFERROR(__xludf.DUMMYFUNCTION("IFERROR(
  TEXTJOIN(CHAR(10),TRUE,FILTER('SUMMARY DATA'!H:H,'SUMMARY DATA'!$A:$A=$A52,'SUMMARY DATA'!$C:$C=$B52,'SUMMARY DATA'!$B:$B=""RWS"",'SUMMARY DATA'!$H:$H=$D52)),
  IF(
    OR(
      ISNUMBER(SEARCH(""CDM CASH DEPOSIT"",$C52)),
      ISNUMBER(SEARC"&amp;"H(""CASH DEPOSIT"",$C52))
    ),
    """",
    IFERROR(TEXTJOIN(CHAR(10),TRUE,FILTER('SUMMARY DATA'!H:H,'SUMMARY DATA'!$D:$D=$C52,'SUMMARY DATA'!$B:$B=""RWS"",'SUMMARY DATA'!$H:$H=$D52)),"""")
  )
)"),"")</f>
      </c>
      <c r="I52" s="18" t="str">
        <f>IFERROR(__xludf.DUMMYFUNCTION("IF(H52="""","""",
SUM(ARRAYFORMULA(VALUE(SPLIT(H52,CHAR(10)))))
)"),"")</f>
      </c>
      <c r="J52" s="17" t="str">
        <f>IFERROR(__xludf.DUMMYFUNCTION("IFERROR(
  TEXTJOIN(CHAR(10),TRUE,FILTER('SUMMARY DATA'!I:I,'SUMMARY DATA'!$A:$A=$A52,'SUMMARY DATA'!$C:$C=$B52,'SUMMARY DATA'!$B:$B=""RWS"")),
  IF(
    OR(
      ISNUMBER(SEARCH(""CDM CASH DEPOSIT"",$C52)),
      ISNUMBER(SEARCH(""CASH DEPOSIT"",$C52)),"&amp;"
      COUNTIFS('SUMMARY DATA'!$D:$D,$C52,'SUMMARY DATA'!$B:$B,""RWS"")&lt;&gt;1
    ),
    """",
    IFERROR(TEXTJOIN(CHAR(10),TRUE,FILTER('SUMMARY DATA'!I:I,'SUMMARY DATA'!$D:$D=$C52,'SUMMARY DATA'!$B:$B=""RWS"")),"""")
  )
)"),"")</f>
      </c>
      <c r="K52" s="2"/>
      <c r="L52" s="2"/>
      <c r="M52" s="2"/>
      <c r="N52" s="2"/>
      <c r="O52" s="2"/>
      <c r="P52" s="2"/>
      <c r="Q52" s="2"/>
      <c r="R52" s="2"/>
      <c r="S52" s="2"/>
      <c r="T52" s="2"/>
      <c r="U52" s="2"/>
      <c r="V52" s="2"/>
      <c r="W52" s="2"/>
      <c r="X52" s="2"/>
      <c r="Y52" s="2"/>
      <c r="Z52" s="2"/>
      <c r="AA52" s="2"/>
      <c r="AB52" s="2"/>
    </row>
    <row r="53" spans="1:28" customHeight="true">
      <c r="A53" s="2"/>
      <c r="B53" s="15">
        <v>45921</v>
      </c>
      <c r="C53" s="2" t="s">
        <v>48</v>
      </c>
      <c r="D53" s="3">
        <v>100</v>
      </c>
      <c r="E53" s="16" t="str">
        <f>IFERROR(__xludf.DUMMYFUNCTION("IFERROR(
  TEXTJOIN(CHAR(10),TRUE,FILTER('SUMMARY DATA'!E:E,'SUMMARY DATA'!$A:$A=$A53,'SUMMARY DATA'!$C:$C=$B53,'SUMMARY DATA'!$B:$B=""RWS"")),
  IF(
    OR(
      ISNUMBER(SEARCH(""CDM CASH DEPOSIT"",$C53)),
      ISNUMBER(SEARCH(""CASH DEPOSIT"",$C53)),"&amp;"
      COUNTIFS('SUMMARY DATA'!$D:$D,$C53,'SUMMARY DATA'!$B:$B,""RWS"")&lt;&gt;1
    ),
    """",
    IFERROR(TEXTJOIN(CHAR(10),TRUE,FILTER('SUMMARY DATA'!E:E,'SUMMARY DATA'!$D:$D=$C53,'SUMMARY DATA'!$B:$B=""RWS"")),"""")
  )
)"),"")</f>
      </c>
      <c r="F53" s="17" t="str">
        <f>IFERROR(__xludf.DUMMYFUNCTION("IFERROR(
  TEXTJOIN(CHAR(10),TRUE,FILTER('SUMMARY DATA'!F:F,'SUMMARY DATA'!$A:$A=$A53,'SUMMARY DATA'!$C:$C=$B53,'SUMMARY DATA'!$B:$B=""RWS"")),
  IF(
    OR(
      ISNUMBER(SEARCH(""CDM CASH DEPOSIT"",$C53)),
      ISNUMBER(SEARCH(""CASH DEPOSIT"",$C53)),"&amp;"
      COUNTIFS('SUMMARY DATA'!$D:$D,$C53,'SUMMARY DATA'!$B:$B,""RWS"")&lt;&gt;1
    ),
    """",
    IFERROR(TEXTJOIN(CHAR(10),TRUE,FILTER('SUMMARY DATA'!F:F,'SUMMARY DATA'!$D:$D=$C53,'SUMMARY DATA'!$B:$B=""RWS"")),"""")
  )
)"),"")</f>
      </c>
      <c r="G53" s="17" t="str">
        <f>IFERROR(__xludf.DUMMYFUNCTION("IFERROR(
  TEXTJOIN(CHAR(10),TRUE,FILTER('SUMMARY DATA'!G:G,'SUMMARY DATA'!$A:$A=$A53,'SUMMARY DATA'!$C:$C=$B53,'SUMMARY DATA'!$B:$B=""RWS"")),
  IF(
    OR(
      ISNUMBER(SEARCH(""CDM CASH DEPOSIT"",$C53)),
      ISNUMBER(SEARCH(""CASH DEPOSIT"",$C53)),"&amp;"
      COUNTIFS('SUMMARY DATA'!$D:$D,$C53,'SUMMARY DATA'!$B:$B,""RWS"")&lt;&gt;1
    ),
    """",
    IFERROR(TEXTJOIN(CHAR(10),TRUE,FILTER('SUMMARY DATA'!G:G,'SUMMARY DATA'!$D:$D=$C53,'SUMMARY DATA'!$B:$B=""RWS"")),"""")
  )
)"),"")</f>
      </c>
      <c r="H53" s="18" t="str">
        <f>IFERROR(__xludf.DUMMYFUNCTION("IFERROR(
  TEXTJOIN(CHAR(10),TRUE,FILTER('SUMMARY DATA'!H:H,'SUMMARY DATA'!$A:$A=$A53,'SUMMARY DATA'!$C:$C=$B53,'SUMMARY DATA'!$B:$B=""RWS"",'SUMMARY DATA'!$H:$H=$D53)),
  IF(
    OR(
      ISNUMBER(SEARCH(""CDM CASH DEPOSIT"",$C53)),
      ISNUMBER(SEARC"&amp;"H(""CASH DEPOSIT"",$C53))
    ),
    """",
    IFERROR(TEXTJOIN(CHAR(10),TRUE,FILTER('SUMMARY DATA'!H:H,'SUMMARY DATA'!$D:$D=$C53,'SUMMARY DATA'!$B:$B=""RWS"",'SUMMARY DATA'!$H:$H=$D53)),"""")
  )
)"),"")</f>
      </c>
      <c r="I53" s="18" t="str">
        <f>IFERROR(__xludf.DUMMYFUNCTION("IF(H53="""","""",
SUM(ARRAYFORMULA(VALUE(SPLIT(H53,CHAR(10)))))
)"),"")</f>
      </c>
      <c r="J53" s="17" t="str">
        <f>IFERROR(__xludf.DUMMYFUNCTION("IFERROR(
  TEXTJOIN(CHAR(10),TRUE,FILTER('SUMMARY DATA'!I:I,'SUMMARY DATA'!$A:$A=$A53,'SUMMARY DATA'!$C:$C=$B53,'SUMMARY DATA'!$B:$B=""RWS"")),
  IF(
    OR(
      ISNUMBER(SEARCH(""CDM CASH DEPOSIT"",$C53)),
      ISNUMBER(SEARCH(""CASH DEPOSIT"",$C53)),"&amp;"
      COUNTIFS('SUMMARY DATA'!$D:$D,$C53,'SUMMARY DATA'!$B:$B,""RWS"")&lt;&gt;1
    ),
    """",
    IFERROR(TEXTJOIN(CHAR(10),TRUE,FILTER('SUMMARY DATA'!I:I,'SUMMARY DATA'!$D:$D=$C53,'SUMMARY DATA'!$B:$B=""RWS"")),"""")
  )
)"),"")</f>
      </c>
      <c r="K53" s="2"/>
      <c r="L53" s="2"/>
      <c r="M53" s="2"/>
      <c r="N53" s="2"/>
      <c r="O53" s="2"/>
      <c r="P53" s="2"/>
      <c r="Q53" s="2"/>
      <c r="R53" s="2"/>
      <c r="S53" s="2"/>
      <c r="T53" s="2"/>
      <c r="U53" s="2"/>
      <c r="V53" s="2"/>
      <c r="W53" s="2"/>
      <c r="X53" s="2"/>
      <c r="Y53" s="2"/>
      <c r="Z53" s="2"/>
      <c r="AA53" s="2"/>
      <c r="AB53" s="2"/>
    </row>
    <row r="54" spans="1:28" customHeight="true">
      <c r="A54" s="2"/>
      <c r="B54" s="15">
        <v>45919</v>
      </c>
      <c r="C54" s="2" t="s">
        <v>87</v>
      </c>
      <c r="D54" s="3">
        <v>10.7</v>
      </c>
      <c r="E54" s="16" t="str">
        <f>IFERROR(__xludf.DUMMYFUNCTION("IFERROR(
  TEXTJOIN(CHAR(10),TRUE,FILTER('SUMMARY DATA'!E:E,'SUMMARY DATA'!$A:$A=$A54,'SUMMARY DATA'!$C:$C=$B54,'SUMMARY DATA'!$B:$B=""RWS"")),
  IF(
    OR(
      ISNUMBER(SEARCH(""CDM CASH DEPOSIT"",$C54)),
      ISNUMBER(SEARCH(""CASH DEPOSIT"",$C54)),"&amp;"
      COUNTIFS('SUMMARY DATA'!$D:$D,$C54,'SUMMARY DATA'!$B:$B,""RWS"")&lt;&gt;1
    ),
    """",
    IFERROR(TEXTJOIN(CHAR(10),TRUE,FILTER('SUMMARY DATA'!E:E,'SUMMARY DATA'!$D:$D=$C54,'SUMMARY DATA'!$B:$B=""RWS"")),"""")
  )
)"),"")</f>
      </c>
      <c r="F54" s="17" t="str">
        <f>IFERROR(__xludf.DUMMYFUNCTION("IFERROR(
  TEXTJOIN(CHAR(10),TRUE,FILTER('SUMMARY DATA'!F:F,'SUMMARY DATA'!$A:$A=$A54,'SUMMARY DATA'!$C:$C=$B54,'SUMMARY DATA'!$B:$B=""RWS"")),
  IF(
    OR(
      ISNUMBER(SEARCH(""CDM CASH DEPOSIT"",$C54)),
      ISNUMBER(SEARCH(""CASH DEPOSIT"",$C54)),"&amp;"
      COUNTIFS('SUMMARY DATA'!$D:$D,$C54,'SUMMARY DATA'!$B:$B,""RWS"")&lt;&gt;1
    ),
    """",
    IFERROR(TEXTJOIN(CHAR(10),TRUE,FILTER('SUMMARY DATA'!F:F,'SUMMARY DATA'!$D:$D=$C54,'SUMMARY DATA'!$B:$B=""RWS"")),"""")
  )
)"),"")</f>
      </c>
      <c r="G54" s="17" t="str">
        <f>IFERROR(__xludf.DUMMYFUNCTION("IFERROR(
  TEXTJOIN(CHAR(10),TRUE,FILTER('SUMMARY DATA'!G:G,'SUMMARY DATA'!$A:$A=$A54,'SUMMARY DATA'!$C:$C=$B54,'SUMMARY DATA'!$B:$B=""RWS"")),
  IF(
    OR(
      ISNUMBER(SEARCH(""CDM CASH DEPOSIT"",$C54)),
      ISNUMBER(SEARCH(""CASH DEPOSIT"",$C54)),"&amp;"
      COUNTIFS('SUMMARY DATA'!$D:$D,$C54,'SUMMARY DATA'!$B:$B,""RWS"")&lt;&gt;1
    ),
    """",
    IFERROR(TEXTJOIN(CHAR(10),TRUE,FILTER('SUMMARY DATA'!G:G,'SUMMARY DATA'!$D:$D=$C54,'SUMMARY DATA'!$B:$B=""RWS"")),"""")
  )
)"),"")</f>
      </c>
      <c r="H54" s="18" t="str">
        <f>IFERROR(__xludf.DUMMYFUNCTION("IFERROR(
  TEXTJOIN(CHAR(10),TRUE,FILTER('SUMMARY DATA'!H:H,'SUMMARY DATA'!$A:$A=$A54,'SUMMARY DATA'!$C:$C=$B54,'SUMMARY DATA'!$B:$B=""RWS"",'SUMMARY DATA'!$H:$H=$D54)),
  IF(
    OR(
      ISNUMBER(SEARCH(""CDM CASH DEPOSIT"",$C54)),
      ISNUMBER(SEARC"&amp;"H(""CASH DEPOSIT"",$C54))
    ),
    """",
    IFERROR(TEXTJOIN(CHAR(10),TRUE,FILTER('SUMMARY DATA'!H:H,'SUMMARY DATA'!$D:$D=$C54,'SUMMARY DATA'!$B:$B=""RWS"",'SUMMARY DATA'!$H:$H=$D54)),"""")
  )
)"),"")</f>
      </c>
      <c r="I54" s="18" t="str">
        <f>IFERROR(__xludf.DUMMYFUNCTION("IF(H54="""","""",
SUM(ARRAYFORMULA(VALUE(SPLIT(H54,CHAR(10)))))
)"),"")</f>
      </c>
      <c r="J54" s="17" t="str">
        <f>IFERROR(__xludf.DUMMYFUNCTION("IFERROR(
  TEXTJOIN(CHAR(10),TRUE,FILTER('SUMMARY DATA'!I:I,'SUMMARY DATA'!$A:$A=$A54,'SUMMARY DATA'!$C:$C=$B54,'SUMMARY DATA'!$B:$B=""RWS"")),
  IF(
    OR(
      ISNUMBER(SEARCH(""CDM CASH DEPOSIT"",$C54)),
      ISNUMBER(SEARCH(""CASH DEPOSIT"",$C54)),"&amp;"
      COUNTIFS('SUMMARY DATA'!$D:$D,$C54,'SUMMARY DATA'!$B:$B,""RWS"")&lt;&gt;1
    ),
    """",
    IFERROR(TEXTJOIN(CHAR(10),TRUE,FILTER('SUMMARY DATA'!I:I,'SUMMARY DATA'!$D:$D=$C54,'SUMMARY DATA'!$B:$B=""RWS"")),"""")
  )
)"),"")</f>
      </c>
      <c r="K54" s="2"/>
      <c r="L54" s="2"/>
      <c r="M54" s="2"/>
      <c r="N54" s="2"/>
      <c r="O54" s="2"/>
      <c r="P54" s="2"/>
      <c r="Q54" s="2"/>
      <c r="R54" s="2"/>
      <c r="S54" s="2"/>
      <c r="T54" s="2"/>
      <c r="U54" s="2"/>
      <c r="V54" s="2"/>
      <c r="W54" s="2"/>
      <c r="X54" s="2"/>
      <c r="Y54" s="2"/>
      <c r="Z54" s="2"/>
      <c r="AA54" s="2"/>
      <c r="AB54" s="2"/>
    </row>
    <row r="55" spans="1:28" customHeight="true">
      <c r="A55" s="2" t="s">
        <v>88</v>
      </c>
      <c r="B55" s="15">
        <v>45918</v>
      </c>
      <c r="C55" s="2" t="s">
        <v>89</v>
      </c>
      <c r="D55" s="3">
        <v>181.4</v>
      </c>
      <c r="E55" s="16" t="str">
        <f>IFERROR(__xludf.DUMMYFUNCTION("IFERROR(
  TEXTJOIN(CHAR(10),TRUE,FILTER('SUMMARY DATA'!E:E,'SUMMARY DATA'!$A:$A=$A55,'SUMMARY DATA'!$C:$C=$B55,'SUMMARY DATA'!$B:$B=""RWS"")),
  IF(
    OR(
      ISNUMBER(SEARCH(""CDM CASH DEPOSIT"",$C55)),
      ISNUMBER(SEARCH(""CASH DEPOSIT"",$C55)),"&amp;"
      COUNTIFS('SUMMARY DATA'!$D:$D,$C55,'SUMMARY DATA'!$B:$B,""RWS"")&lt;&gt;1
    ),
    """",
    IFERROR(TEXTJOIN(CHAR(10),TRUE,FILTER('SUMMARY DATA'!E:E,'SUMMARY DATA'!$D:$D=$C55,'SUMMARY DATA'!$B:$B=""RWS"")),"""")
  )
)"),"")</f>
      </c>
      <c r="F55" s="17" t="str">
        <f>IFERROR(__xludf.DUMMYFUNCTION("IFERROR(
  TEXTJOIN(CHAR(10),TRUE,FILTER('SUMMARY DATA'!F:F,'SUMMARY DATA'!$A:$A=$A55,'SUMMARY DATA'!$C:$C=$B55,'SUMMARY DATA'!$B:$B=""RWS"")),
  IF(
    OR(
      ISNUMBER(SEARCH(""CDM CASH DEPOSIT"",$C55)),
      ISNUMBER(SEARCH(""CASH DEPOSIT"",$C55)),"&amp;"
      COUNTIFS('SUMMARY DATA'!$D:$D,$C55,'SUMMARY DATA'!$B:$B,""RWS"")&lt;&gt;1
    ),
    """",
    IFERROR(TEXTJOIN(CHAR(10),TRUE,FILTER('SUMMARY DATA'!F:F,'SUMMARY DATA'!$D:$D=$C55,'SUMMARY DATA'!$B:$B=""RWS"")),"""")
  )
)"),"")</f>
      </c>
      <c r="G55" s="17" t="str">
        <f>IFERROR(__xludf.DUMMYFUNCTION("IFERROR(
  TEXTJOIN(CHAR(10),TRUE,FILTER('SUMMARY DATA'!G:G,'SUMMARY DATA'!$A:$A=$A55,'SUMMARY DATA'!$C:$C=$B55,'SUMMARY DATA'!$B:$B=""RWS"")),
  IF(
    OR(
      ISNUMBER(SEARCH(""CDM CASH DEPOSIT"",$C55)),
      ISNUMBER(SEARCH(""CASH DEPOSIT"",$C55)),"&amp;"
      COUNTIFS('SUMMARY DATA'!$D:$D,$C55,'SUMMARY DATA'!$B:$B,""RWS"")&lt;&gt;1
    ),
    """",
    IFERROR(TEXTJOIN(CHAR(10),TRUE,FILTER('SUMMARY DATA'!G:G,'SUMMARY DATA'!$D:$D=$C55,'SUMMARY DATA'!$B:$B=""RWS"")),"""")
  )
)"),"")</f>
      </c>
      <c r="H55" s="18" t="str">
        <f>IFERROR(__xludf.DUMMYFUNCTION("IFERROR(
  TEXTJOIN(CHAR(10),TRUE,FILTER('SUMMARY DATA'!H:H,'SUMMARY DATA'!$A:$A=$A55,'SUMMARY DATA'!$C:$C=$B55,'SUMMARY DATA'!$B:$B=""RWS"",'SUMMARY DATA'!$H:$H=$D55)),
  IF(
    OR(
      ISNUMBER(SEARCH(""CDM CASH DEPOSIT"",$C55)),
      ISNUMBER(SEARC"&amp;"H(""CASH DEPOSIT"",$C55))
    ),
    """",
    IFERROR(TEXTJOIN(CHAR(10),TRUE,FILTER('SUMMARY DATA'!H:H,'SUMMARY DATA'!$D:$D=$C55,'SUMMARY DATA'!$B:$B=""RWS"",'SUMMARY DATA'!$H:$H=$D55)),"""")
  )
)"),"")</f>
      </c>
      <c r="I55" s="18" t="str">
        <f>IFERROR(__xludf.DUMMYFUNCTION("IF(H55="""","""",
SUM(ARRAYFORMULA(VALUE(SPLIT(H55,CHAR(10)))))
)"),"")</f>
      </c>
      <c r="J55" s="17" t="str">
        <f>IFERROR(__xludf.DUMMYFUNCTION("IFERROR(
  TEXTJOIN(CHAR(10),TRUE,FILTER('SUMMARY DATA'!I:I,'SUMMARY DATA'!$A:$A=$A55,'SUMMARY DATA'!$C:$C=$B55,'SUMMARY DATA'!$B:$B=""RWS"")),
  IF(
    OR(
      ISNUMBER(SEARCH(""CDM CASH DEPOSIT"",$C55)),
      ISNUMBER(SEARCH(""CASH DEPOSIT"",$C55)),"&amp;"
      COUNTIFS('SUMMARY DATA'!$D:$D,$C55,'SUMMARY DATA'!$B:$B,""RWS"")&lt;&gt;1
    ),
    """",
    IFERROR(TEXTJOIN(CHAR(10),TRUE,FILTER('SUMMARY DATA'!I:I,'SUMMARY DATA'!$D:$D=$C55,'SUMMARY DATA'!$B:$B=""RWS"")),"""")
  )
)"),"")</f>
      </c>
      <c r="K55" s="2"/>
      <c r="L55" s="2"/>
      <c r="M55" s="2"/>
      <c r="N55" s="2"/>
      <c r="O55" s="2"/>
      <c r="P55" s="2"/>
      <c r="Q55" s="2"/>
      <c r="R55" s="2"/>
      <c r="S55" s="2"/>
      <c r="T55" s="2"/>
      <c r="U55" s="2"/>
      <c r="V55" s="2"/>
      <c r="W55" s="2"/>
      <c r="X55" s="2"/>
      <c r="Y55" s="2"/>
      <c r="Z55" s="2"/>
      <c r="AA55" s="2"/>
      <c r="AB55" s="2"/>
    </row>
    <row r="56" spans="1:28" customHeight="true">
      <c r="A56" s="2"/>
      <c r="B56" s="15">
        <v>45918</v>
      </c>
      <c r="C56" s="2" t="s">
        <v>90</v>
      </c>
      <c r="D56" s="3">
        <v>5</v>
      </c>
      <c r="E56" s="16" t="str">
        <f>IFERROR(__xludf.DUMMYFUNCTION("IFERROR(
  TEXTJOIN(CHAR(10),TRUE,FILTER('SUMMARY DATA'!E:E,'SUMMARY DATA'!$A:$A=$A56,'SUMMARY DATA'!$C:$C=$B56,'SUMMARY DATA'!$B:$B=""RWS"")),
  IF(
    OR(
      ISNUMBER(SEARCH(""CDM CASH DEPOSIT"",$C56)),
      ISNUMBER(SEARCH(""CASH DEPOSIT"",$C56)),"&amp;"
      COUNTIFS('SUMMARY DATA'!$D:$D,$C56,'SUMMARY DATA'!$B:$B,""RWS"")&lt;&gt;1
    ),
    """",
    IFERROR(TEXTJOIN(CHAR(10),TRUE,FILTER('SUMMARY DATA'!E:E,'SUMMARY DATA'!$D:$D=$C56,'SUMMARY DATA'!$B:$B=""RWS"")),"""")
  )
)"),"")</f>
      </c>
      <c r="F56" s="17" t="str">
        <f>IFERROR(__xludf.DUMMYFUNCTION("IFERROR(
  TEXTJOIN(CHAR(10),TRUE,FILTER('SUMMARY DATA'!F:F,'SUMMARY DATA'!$A:$A=$A56,'SUMMARY DATA'!$C:$C=$B56,'SUMMARY DATA'!$B:$B=""RWS"")),
  IF(
    OR(
      ISNUMBER(SEARCH(""CDM CASH DEPOSIT"",$C56)),
      ISNUMBER(SEARCH(""CASH DEPOSIT"",$C56)),"&amp;"
      COUNTIFS('SUMMARY DATA'!$D:$D,$C56,'SUMMARY DATA'!$B:$B,""RWS"")&lt;&gt;1
    ),
    """",
    IFERROR(TEXTJOIN(CHAR(10),TRUE,FILTER('SUMMARY DATA'!F:F,'SUMMARY DATA'!$D:$D=$C56,'SUMMARY DATA'!$B:$B=""RWS"")),"""")
  )
)"),"")</f>
      </c>
      <c r="G56" s="17" t="str">
        <f>IFERROR(__xludf.DUMMYFUNCTION("IFERROR(
  TEXTJOIN(CHAR(10),TRUE,FILTER('SUMMARY DATA'!G:G,'SUMMARY DATA'!$A:$A=$A56,'SUMMARY DATA'!$C:$C=$B56,'SUMMARY DATA'!$B:$B=""RWS"")),
  IF(
    OR(
      ISNUMBER(SEARCH(""CDM CASH DEPOSIT"",$C56)),
      ISNUMBER(SEARCH(""CASH DEPOSIT"",$C56)),"&amp;"
      COUNTIFS('SUMMARY DATA'!$D:$D,$C56,'SUMMARY DATA'!$B:$B,""RWS"")&lt;&gt;1
    ),
    """",
    IFERROR(TEXTJOIN(CHAR(10),TRUE,FILTER('SUMMARY DATA'!G:G,'SUMMARY DATA'!$D:$D=$C56,'SUMMARY DATA'!$B:$B=""RWS"")),"""")
  )
)"),"")</f>
      </c>
      <c r="H56" s="18" t="str">
        <f>IFERROR(__xludf.DUMMYFUNCTION("IFERROR(
  TEXTJOIN(CHAR(10),TRUE,FILTER('SUMMARY DATA'!H:H,'SUMMARY DATA'!$A:$A=$A56,'SUMMARY DATA'!$C:$C=$B56,'SUMMARY DATA'!$B:$B=""RWS"",'SUMMARY DATA'!$H:$H=$D56)),
  IF(
    OR(
      ISNUMBER(SEARCH(""CDM CASH DEPOSIT"",$C56)),
      ISNUMBER(SEARC"&amp;"H(""CASH DEPOSIT"",$C56))
    ),
    """",
    IFERROR(TEXTJOIN(CHAR(10),TRUE,FILTER('SUMMARY DATA'!H:H,'SUMMARY DATA'!$D:$D=$C56,'SUMMARY DATA'!$B:$B=""RWS"",'SUMMARY DATA'!$H:$H=$D56)),"""")
  )
)"),"")</f>
      </c>
      <c r="I56" s="18" t="str">
        <f>IFERROR(__xludf.DUMMYFUNCTION("IF(H56="""","""",
SUM(ARRAYFORMULA(VALUE(SPLIT(H56,CHAR(10)))))
)"),"")</f>
      </c>
      <c r="J56" s="17" t="str">
        <f>IFERROR(__xludf.DUMMYFUNCTION("IFERROR(
  TEXTJOIN(CHAR(10),TRUE,FILTER('SUMMARY DATA'!I:I,'SUMMARY DATA'!$A:$A=$A56,'SUMMARY DATA'!$C:$C=$B56,'SUMMARY DATA'!$B:$B=""RWS"")),
  IF(
    OR(
      ISNUMBER(SEARCH(""CDM CASH DEPOSIT"",$C56)),
      ISNUMBER(SEARCH(""CASH DEPOSIT"",$C56)),"&amp;"
      COUNTIFS('SUMMARY DATA'!$D:$D,$C56,'SUMMARY DATA'!$B:$B,""RWS"")&lt;&gt;1
    ),
    """",
    IFERROR(TEXTJOIN(CHAR(10),TRUE,FILTER('SUMMARY DATA'!I:I,'SUMMARY DATA'!$D:$D=$C56,'SUMMARY DATA'!$B:$B=""RWS"")),"""")
  )
)"),"")</f>
      </c>
      <c r="K56" s="2"/>
      <c r="L56" s="2"/>
      <c r="M56" s="2"/>
      <c r="N56" s="2"/>
      <c r="O56" s="2"/>
      <c r="P56" s="2"/>
      <c r="Q56" s="2"/>
      <c r="R56" s="2"/>
      <c r="S56" s="2"/>
      <c r="T56" s="2"/>
      <c r="U56" s="2"/>
      <c r="V56" s="2"/>
      <c r="W56" s="2"/>
      <c r="X56" s="2"/>
      <c r="Y56" s="2"/>
      <c r="Z56" s="2"/>
      <c r="AA56" s="2"/>
      <c r="AB56" s="2"/>
    </row>
    <row r="57" spans="1:28" customHeight="true">
      <c r="A57" s="2"/>
      <c r="B57" s="15">
        <v>45917</v>
      </c>
      <c r="C57" s="2" t="s">
        <v>91</v>
      </c>
      <c r="D57" s="3">
        <v>10</v>
      </c>
      <c r="E57" s="16" t="str">
        <f>IFERROR(__xludf.DUMMYFUNCTION("IFERROR(
  TEXTJOIN(CHAR(10),TRUE,FILTER('SUMMARY DATA'!E:E,'SUMMARY DATA'!$A:$A=$A57,'SUMMARY DATA'!$C:$C=$B57,'SUMMARY DATA'!$B:$B=""RWS"")),
  IF(
    OR(
      ISNUMBER(SEARCH(""CDM CASH DEPOSIT"",$C57)),
      ISNUMBER(SEARCH(""CASH DEPOSIT"",$C57)),"&amp;"
      COUNTIFS('SUMMARY DATA'!$D:$D,$C57,'SUMMARY DATA'!$B:$B,""RWS"")&lt;&gt;1
    ),
    """",
    IFERROR(TEXTJOIN(CHAR(10),TRUE,FILTER('SUMMARY DATA'!E:E,'SUMMARY DATA'!$D:$D=$C57,'SUMMARY DATA'!$B:$B=""RWS"")),"""")
  )
)"),"")</f>
      </c>
      <c r="F57" s="17" t="str">
        <f>IFERROR(__xludf.DUMMYFUNCTION("IFERROR(
  TEXTJOIN(CHAR(10),TRUE,FILTER('SUMMARY DATA'!F:F,'SUMMARY DATA'!$A:$A=$A57,'SUMMARY DATA'!$C:$C=$B57,'SUMMARY DATA'!$B:$B=""RWS"")),
  IF(
    OR(
      ISNUMBER(SEARCH(""CDM CASH DEPOSIT"",$C57)),
      ISNUMBER(SEARCH(""CASH DEPOSIT"",$C57)),"&amp;"
      COUNTIFS('SUMMARY DATA'!$D:$D,$C57,'SUMMARY DATA'!$B:$B,""RWS"")&lt;&gt;1
    ),
    """",
    IFERROR(TEXTJOIN(CHAR(10),TRUE,FILTER('SUMMARY DATA'!F:F,'SUMMARY DATA'!$D:$D=$C57,'SUMMARY DATA'!$B:$B=""RWS"")),"""")
  )
)"),"")</f>
      </c>
      <c r="G57" s="17" t="str">
        <f>IFERROR(__xludf.DUMMYFUNCTION("IFERROR(
  TEXTJOIN(CHAR(10),TRUE,FILTER('SUMMARY DATA'!G:G,'SUMMARY DATA'!$A:$A=$A57,'SUMMARY DATA'!$C:$C=$B57,'SUMMARY DATA'!$B:$B=""RWS"")),
  IF(
    OR(
      ISNUMBER(SEARCH(""CDM CASH DEPOSIT"",$C57)),
      ISNUMBER(SEARCH(""CASH DEPOSIT"",$C57)),"&amp;"
      COUNTIFS('SUMMARY DATA'!$D:$D,$C57,'SUMMARY DATA'!$B:$B,""RWS"")&lt;&gt;1
    ),
    """",
    IFERROR(TEXTJOIN(CHAR(10),TRUE,FILTER('SUMMARY DATA'!G:G,'SUMMARY DATA'!$D:$D=$C57,'SUMMARY DATA'!$B:$B=""RWS"")),"""")
  )
)"),"")</f>
      </c>
      <c r="H57" s="18" t="str">
        <f>IFERROR(__xludf.DUMMYFUNCTION("IFERROR(
  TEXTJOIN(CHAR(10),TRUE,FILTER('SUMMARY DATA'!H:H,'SUMMARY DATA'!$A:$A=$A57,'SUMMARY DATA'!$C:$C=$B57,'SUMMARY DATA'!$B:$B=""RWS"",'SUMMARY DATA'!$H:$H=$D57)),
  IF(
    OR(
      ISNUMBER(SEARCH(""CDM CASH DEPOSIT"",$C57)),
      ISNUMBER(SEARC"&amp;"H(""CASH DEPOSIT"",$C57))
    ),
    """",
    IFERROR(TEXTJOIN(CHAR(10),TRUE,FILTER('SUMMARY DATA'!H:H,'SUMMARY DATA'!$D:$D=$C57,'SUMMARY DATA'!$B:$B=""RWS"",'SUMMARY DATA'!$H:$H=$D57)),"""")
  )
)"),"")</f>
      </c>
      <c r="I57" s="18" t="str">
        <f>IFERROR(__xludf.DUMMYFUNCTION("IF(H57="""","""",
SUM(ARRAYFORMULA(VALUE(SPLIT(H57,CHAR(10)))))
)"),"")</f>
      </c>
      <c r="J57" s="17" t="str">
        <f>IFERROR(__xludf.DUMMYFUNCTION("IFERROR(
  TEXTJOIN(CHAR(10),TRUE,FILTER('SUMMARY DATA'!I:I,'SUMMARY DATA'!$A:$A=$A57,'SUMMARY DATA'!$C:$C=$B57,'SUMMARY DATA'!$B:$B=""RWS"")),
  IF(
    OR(
      ISNUMBER(SEARCH(""CDM CASH DEPOSIT"",$C57)),
      ISNUMBER(SEARCH(""CASH DEPOSIT"",$C57)),"&amp;"
      COUNTIFS('SUMMARY DATA'!$D:$D,$C57,'SUMMARY DATA'!$B:$B,""RWS"")&lt;&gt;1
    ),
    """",
    IFERROR(TEXTJOIN(CHAR(10),TRUE,FILTER('SUMMARY DATA'!I:I,'SUMMARY DATA'!$D:$D=$C57,'SUMMARY DATA'!$B:$B=""RWS"")),"""")
  )
)"),"")</f>
      </c>
      <c r="K57" s="2"/>
      <c r="L57" s="2"/>
      <c r="M57" s="2"/>
      <c r="N57" s="2"/>
      <c r="O57" s="2"/>
      <c r="P57" s="2"/>
      <c r="Q57" s="2"/>
      <c r="R57" s="2"/>
      <c r="S57" s="2"/>
      <c r="T57" s="2"/>
      <c r="U57" s="2"/>
      <c r="V57" s="2"/>
      <c r="W57" s="2"/>
      <c r="X57" s="2"/>
      <c r="Y57" s="2"/>
      <c r="Z57" s="2"/>
      <c r="AA57" s="2"/>
      <c r="AB57" s="2"/>
    </row>
    <row r="58" spans="1:28" customHeight="true">
      <c r="A58" s="19"/>
      <c r="B58" s="20">
        <v>45917</v>
      </c>
      <c r="C58" s="19" t="s">
        <v>92</v>
      </c>
      <c r="D58" s="21">
        <v>16.9</v>
      </c>
      <c r="E58" s="22" t="str">
        <f>IFERROR(__xludf.DUMMYFUNCTION("IFERROR(
  TEXTJOIN(CHAR(10),TRUE,FILTER('SUMMARY DATA'!E:E,'SUMMARY DATA'!$A:$A=$A58,'SUMMARY DATA'!$C:$C=$B58,'SUMMARY DATA'!$B:$B=""RWS"")),
  IF(
    OR(
      ISNUMBER(SEARCH(""CDM CASH DEPOSIT"",$C58)),
      ISNUMBER(SEARCH(""CASH DEPOSIT"",$C58)),"&amp;"
      COUNTIFS('SUMMARY DATA'!$D:$D,$C58,'SUMMARY DATA'!$B:$B,""RWS"")&lt;&gt;1
    ),
    """",
    IFERROR(TEXTJOIN(CHAR(10),TRUE,FILTER('SUMMARY DATA'!E:E,'SUMMARY DATA'!$D:$D=$C58,'SUMMARY DATA'!$B:$B=""RWS"")),"""")
  )
)"),"")</f>
      </c>
      <c r="F58" s="23" t="str">
        <f>IFERROR(__xludf.DUMMYFUNCTION("IFERROR(
  TEXTJOIN(CHAR(10),TRUE,FILTER('SUMMARY DATA'!F:F,'SUMMARY DATA'!$A:$A=$A58,'SUMMARY DATA'!$C:$C=$B58,'SUMMARY DATA'!$B:$B=""RWS"")),
  IF(
    OR(
      ISNUMBER(SEARCH(""CDM CASH DEPOSIT"",$C58)),
      ISNUMBER(SEARCH(""CASH DEPOSIT"",$C58)),"&amp;"
      COUNTIFS('SUMMARY DATA'!$D:$D,$C58,'SUMMARY DATA'!$B:$B,""RWS"")&lt;&gt;1
    ),
    """",
    IFERROR(TEXTJOIN(CHAR(10),TRUE,FILTER('SUMMARY DATA'!F:F,'SUMMARY DATA'!$D:$D=$C58,'SUMMARY DATA'!$B:$B=""RWS"")),"""")
  )
)"),"")</f>
      </c>
      <c r="G58" s="23" t="str">
        <f>IFERROR(__xludf.DUMMYFUNCTION("IFERROR(
  TEXTJOIN(CHAR(10),TRUE,FILTER('SUMMARY DATA'!G:G,'SUMMARY DATA'!$A:$A=$A58,'SUMMARY DATA'!$C:$C=$B58,'SUMMARY DATA'!$B:$B=""RWS"")),
  IF(
    OR(
      ISNUMBER(SEARCH(""CDM CASH DEPOSIT"",$C58)),
      ISNUMBER(SEARCH(""CASH DEPOSIT"",$C58)),"&amp;"
      COUNTIFS('SUMMARY DATA'!$D:$D,$C58,'SUMMARY DATA'!$B:$B,""RWS"")&lt;&gt;1
    ),
    """",
    IFERROR(TEXTJOIN(CHAR(10),TRUE,FILTER('SUMMARY DATA'!G:G,'SUMMARY DATA'!$D:$D=$C58,'SUMMARY DATA'!$B:$B=""RWS"")),"""")
  )
)"),"")</f>
      </c>
      <c r="H58" s="24" t="str">
        <f>IFERROR(__xludf.DUMMYFUNCTION("IFERROR(
  TEXTJOIN(CHAR(10),TRUE,FILTER('SUMMARY DATA'!H:H,'SUMMARY DATA'!$A:$A=$A58,'SUMMARY DATA'!$C:$C=$B58,'SUMMARY DATA'!$B:$B=""RWS"",'SUMMARY DATA'!$H:$H=$D58)),
  IF(
    OR(
      ISNUMBER(SEARCH(""CDM CASH DEPOSIT"",$C58)),
      ISNUMBER(SEARC"&amp;"H(""CASH DEPOSIT"",$C58))
    ),
    """",
    IFERROR(TEXTJOIN(CHAR(10),TRUE,FILTER('SUMMARY DATA'!H:H,'SUMMARY DATA'!$D:$D=$C58,'SUMMARY DATA'!$B:$B=""RWS"",'SUMMARY DATA'!$H:$H=$D58)),"""")
  )
)"),"")</f>
      </c>
      <c r="I58" s="18" t="str">
        <f>IFERROR(__xludf.DUMMYFUNCTION("IF(H58="""","""",
SUM(ARRAYFORMULA(VALUE(SPLIT(H58,CHAR(10)))))
)"),"")</f>
      </c>
      <c r="J58" s="17" t="str">
        <f>IFERROR(__xludf.DUMMYFUNCTION("IFERROR(
  TEXTJOIN(CHAR(10),TRUE,FILTER('SUMMARY DATA'!I:I,'SUMMARY DATA'!$A:$A=$A58,'SUMMARY DATA'!$C:$C=$B58,'SUMMARY DATA'!$B:$B=""RWS"")),
  IF(
    OR(
      ISNUMBER(SEARCH(""CDM CASH DEPOSIT"",$C58)),
      ISNUMBER(SEARCH(""CASH DEPOSIT"",$C58)),"&amp;"
      COUNTIFS('SUMMARY DATA'!$D:$D,$C58,'SUMMARY DATA'!$B:$B,""RWS"")&lt;&gt;1
    ),
    """",
    IFERROR(TEXTJOIN(CHAR(10),TRUE,FILTER('SUMMARY DATA'!I:I,'SUMMARY DATA'!$D:$D=$C58,'SUMMARY DATA'!$B:$B=""RWS"")),"""")
  )
)"),"")</f>
      </c>
      <c r="K58" s="2"/>
      <c r="L58" s="2"/>
      <c r="M58" s="2"/>
      <c r="N58" s="2"/>
      <c r="O58" s="2"/>
      <c r="P58" s="2"/>
      <c r="Q58" s="2"/>
      <c r="R58" s="2"/>
      <c r="S58" s="2"/>
      <c r="T58" s="2"/>
      <c r="U58" s="2"/>
      <c r="V58" s="2"/>
      <c r="W58" s="2"/>
      <c r="X58" s="2"/>
      <c r="Y58" s="2"/>
      <c r="Z58" s="2"/>
      <c r="AA58" s="2"/>
      <c r="AB58" s="2"/>
    </row>
    <row r="59" spans="1:28" customHeight="true">
      <c r="A59" s="25" t="s">
        <v>93</v>
      </c>
      <c r="B59" s="26">
        <v>45917</v>
      </c>
      <c r="C59" s="25" t="s">
        <v>94</v>
      </c>
      <c r="D59" s="27">
        <v>309</v>
      </c>
      <c r="E59" s="28" t="str">
        <f>IFERROR(__xludf.DUMMYFUNCTION("IFERROR(
  TEXTJOIN(CHAR(10),TRUE,FILTER('SUMMARY DATA'!E:E,'SUMMARY DATA'!$A:$A=$A59,'SUMMARY DATA'!$C:$C=$B59,'SUMMARY DATA'!$B:$B=""RWS"")),
  IF(
    OR(
      ISNUMBER(SEARCH(""CDM CASH DEPOSIT"",$C59)),
      ISNUMBER(SEARCH(""CASH DEPOSIT"",$C59)),"&amp;"
      COUNTIFS('SUMMARY DATA'!$D:$D,$C59,'SUMMARY DATA'!$B:$B,""RWS"")&lt;&gt;1
    ),
    """",
    IFERROR(TEXTJOIN(CHAR(10),TRUE,FILTER('SUMMARY DATA'!E:E,'SUMMARY DATA'!$D:$D=$C59,'SUMMARY DATA'!$B:$B=""RWS"")),"""")
  )
)"),"")</f>
      </c>
      <c r="F59" s="29" t="str">
        <f>IFERROR(__xludf.DUMMYFUNCTION("IFERROR(
  TEXTJOIN(CHAR(10),TRUE,FILTER('SUMMARY DATA'!F:F,'SUMMARY DATA'!$A:$A=$A59,'SUMMARY DATA'!$C:$C=$B59,'SUMMARY DATA'!$B:$B=""RWS"")),
  IF(
    OR(
      ISNUMBER(SEARCH(""CDM CASH DEPOSIT"",$C59)),
      ISNUMBER(SEARCH(""CASH DEPOSIT"",$C59)),"&amp;"
      COUNTIFS('SUMMARY DATA'!$D:$D,$C59,'SUMMARY DATA'!$B:$B,""RWS"")&lt;&gt;1
    ),
    """",
    IFERROR(TEXTJOIN(CHAR(10),TRUE,FILTER('SUMMARY DATA'!F:F,'SUMMARY DATA'!$D:$D=$C59,'SUMMARY DATA'!$B:$B=""RWS"")),"""")
  )
)"),"")</f>
      </c>
      <c r="G59" s="29" t="str">
        <f>IFERROR(__xludf.DUMMYFUNCTION("IFERROR(
  TEXTJOIN(CHAR(10),TRUE,FILTER('SUMMARY DATA'!G:G,'SUMMARY DATA'!$A:$A=$A59,'SUMMARY DATA'!$C:$C=$B59,'SUMMARY DATA'!$B:$B=""RWS"")),
  IF(
    OR(
      ISNUMBER(SEARCH(""CDM CASH DEPOSIT"",$C59)),
      ISNUMBER(SEARCH(""CASH DEPOSIT"",$C59)),"&amp;"
      COUNTIFS('SUMMARY DATA'!$D:$D,$C59,'SUMMARY DATA'!$B:$B,""RWS"")&lt;&gt;1
    ),
    """",
    IFERROR(TEXTJOIN(CHAR(10),TRUE,FILTER('SUMMARY DATA'!G:G,'SUMMARY DATA'!$D:$D=$C59,'SUMMARY DATA'!$B:$B=""RWS"")),"""")
  )
)"),"")</f>
      </c>
      <c r="H59" s="30" t="str">
        <f>IFERROR(__xludf.DUMMYFUNCTION("IFERROR(
  TEXTJOIN(CHAR(10),TRUE,FILTER('SUMMARY DATA'!H:H,'SUMMARY DATA'!$A:$A=$A59,'SUMMARY DATA'!$C:$C=$B59,'SUMMARY DATA'!$B:$B=""RWS"",'SUMMARY DATA'!$H:$H=$D59)),
  IF(
    OR(
      ISNUMBER(SEARCH(""CDM CASH DEPOSIT"",$C59)),
      ISNUMBER(SEARC"&amp;"H(""CASH DEPOSIT"",$C59))
    ),
    """",
    IFERROR(TEXTJOIN(CHAR(10),TRUE,FILTER('SUMMARY DATA'!H:H,'SUMMARY DATA'!$D:$D=$C59,'SUMMARY DATA'!$B:$B=""RWS"",'SUMMARY DATA'!$H:$H=$D59)),"""")
  )
)"),"")</f>
      </c>
      <c r="I59" s="18" t="str">
        <f>IFERROR(__xludf.DUMMYFUNCTION("IF(H59="""","""",
SUM(ARRAYFORMULA(VALUE(SPLIT(H59,CHAR(10)))))
)"),"")</f>
      </c>
      <c r="J59" s="17" t="str">
        <f>IFERROR(__xludf.DUMMYFUNCTION("IFERROR(
  TEXTJOIN(CHAR(10),TRUE,FILTER('SUMMARY DATA'!I:I,'SUMMARY DATA'!$A:$A=$A59,'SUMMARY DATA'!$C:$C=$B59,'SUMMARY DATA'!$B:$B=""RWS"")),
  IF(
    OR(
      ISNUMBER(SEARCH(""CDM CASH DEPOSIT"",$C59)),
      ISNUMBER(SEARCH(""CASH DEPOSIT"",$C59)),"&amp;"
      COUNTIFS('SUMMARY DATA'!$D:$D,$C59,'SUMMARY DATA'!$B:$B,""RWS"")&lt;&gt;1
    ),
    """",
    IFERROR(TEXTJOIN(CHAR(10),TRUE,FILTER('SUMMARY DATA'!I:I,'SUMMARY DATA'!$D:$D=$C59,'SUMMARY DATA'!$B:$B=""RWS"")),"""")
  )
)"),"")</f>
      </c>
      <c r="K59" s="2"/>
      <c r="L59" s="2"/>
      <c r="M59" s="2"/>
      <c r="N59" s="2"/>
      <c r="O59" s="2"/>
      <c r="P59" s="2"/>
      <c r="Q59" s="2"/>
      <c r="R59" s="2"/>
      <c r="S59" s="2"/>
      <c r="T59" s="2"/>
      <c r="U59" s="2"/>
      <c r="V59" s="2"/>
      <c r="W59" s="2"/>
      <c r="X59" s="2"/>
      <c r="Y59" s="2"/>
      <c r="Z59" s="2"/>
      <c r="AA59" s="2"/>
      <c r="AB59" s="2"/>
    </row>
    <row r="60" spans="1:28" customHeight="true">
      <c r="A60" s="2"/>
      <c r="B60" s="15">
        <v>45917</v>
      </c>
      <c r="C60" s="2" t="s">
        <v>95</v>
      </c>
      <c r="D60" s="3">
        <v>44.97</v>
      </c>
      <c r="E60" s="16" t="str">
        <f>IFERROR(__xludf.DUMMYFUNCTION("IFERROR(
  TEXTJOIN(CHAR(10),TRUE,FILTER('SUMMARY DATA'!E:E,'SUMMARY DATA'!$A:$A=$A60,'SUMMARY DATA'!$C:$C=$B60,'SUMMARY DATA'!$B:$B=""RWS"")),
  IF(
    OR(
      ISNUMBER(SEARCH(""CDM CASH DEPOSIT"",$C60)),
      ISNUMBER(SEARCH(""CASH DEPOSIT"",$C60)),"&amp;"
      COUNTIFS('SUMMARY DATA'!$D:$D,$C60,'SUMMARY DATA'!$B:$B,""RWS"")&lt;&gt;1
    ),
    """",
    IFERROR(TEXTJOIN(CHAR(10),TRUE,FILTER('SUMMARY DATA'!E:E,'SUMMARY DATA'!$D:$D=$C60,'SUMMARY DATA'!$B:$B=""RWS"")),"""")
  )
)"),"")</f>
      </c>
      <c r="F60" s="17" t="str">
        <f>IFERROR(__xludf.DUMMYFUNCTION("IFERROR(
  TEXTJOIN(CHAR(10),TRUE,FILTER('SUMMARY DATA'!F:F,'SUMMARY DATA'!$A:$A=$A60,'SUMMARY DATA'!$C:$C=$B60,'SUMMARY DATA'!$B:$B=""RWS"")),
  IF(
    OR(
      ISNUMBER(SEARCH(""CDM CASH DEPOSIT"",$C60)),
      ISNUMBER(SEARCH(""CASH DEPOSIT"",$C60)),"&amp;"
      COUNTIFS('SUMMARY DATA'!$D:$D,$C60,'SUMMARY DATA'!$B:$B,""RWS"")&lt;&gt;1
    ),
    """",
    IFERROR(TEXTJOIN(CHAR(10),TRUE,FILTER('SUMMARY DATA'!F:F,'SUMMARY DATA'!$D:$D=$C60,'SUMMARY DATA'!$B:$B=""RWS"")),"""")
  )
)"),"")</f>
      </c>
      <c r="G60" s="17" t="str">
        <f>IFERROR(__xludf.DUMMYFUNCTION("IFERROR(
  TEXTJOIN(CHAR(10),TRUE,FILTER('SUMMARY DATA'!G:G,'SUMMARY DATA'!$A:$A=$A60,'SUMMARY DATA'!$C:$C=$B60,'SUMMARY DATA'!$B:$B=""RWS"")),
  IF(
    OR(
      ISNUMBER(SEARCH(""CDM CASH DEPOSIT"",$C60)),
      ISNUMBER(SEARCH(""CASH DEPOSIT"",$C60)),"&amp;"
      COUNTIFS('SUMMARY DATA'!$D:$D,$C60,'SUMMARY DATA'!$B:$B,""RWS"")&lt;&gt;1
    ),
    """",
    IFERROR(TEXTJOIN(CHAR(10),TRUE,FILTER('SUMMARY DATA'!G:G,'SUMMARY DATA'!$D:$D=$C60,'SUMMARY DATA'!$B:$B=""RWS"")),"""")
  )
)"),"")</f>
      </c>
      <c r="H60" s="18" t="str">
        <f>IFERROR(__xludf.DUMMYFUNCTION("IFERROR(
  TEXTJOIN(CHAR(10),TRUE,FILTER('SUMMARY DATA'!H:H,'SUMMARY DATA'!$A:$A=$A60,'SUMMARY DATA'!$C:$C=$B60,'SUMMARY DATA'!$B:$B=""RWS"",'SUMMARY DATA'!$H:$H=$D60)),
  IF(
    OR(
      ISNUMBER(SEARCH(""CDM CASH DEPOSIT"",$C60)),
      ISNUMBER(SEARC"&amp;"H(""CASH DEPOSIT"",$C60))
    ),
    """",
    IFERROR(TEXTJOIN(CHAR(10),TRUE,FILTER('SUMMARY DATA'!H:H,'SUMMARY DATA'!$D:$D=$C60,'SUMMARY DATA'!$B:$B=""RWS"",'SUMMARY DATA'!$H:$H=$D60)),"""")
  )
)"),"")</f>
      </c>
      <c r="I60" s="18" t="str">
        <f>IFERROR(__xludf.DUMMYFUNCTION("IF(H60="""","""",
SUM(ARRAYFORMULA(VALUE(SPLIT(H60,CHAR(10)))))
)"),"")</f>
      </c>
      <c r="J60" s="17" t="str">
        <f>IFERROR(__xludf.DUMMYFUNCTION("IFERROR(
  TEXTJOIN(CHAR(10),TRUE,FILTER('SUMMARY DATA'!I:I,'SUMMARY DATA'!$A:$A=$A60,'SUMMARY DATA'!$C:$C=$B60,'SUMMARY DATA'!$B:$B=""RWS"")),
  IF(
    OR(
      ISNUMBER(SEARCH(""CDM CASH DEPOSIT"",$C60)),
      ISNUMBER(SEARCH(""CASH DEPOSIT"",$C60)),"&amp;"
      COUNTIFS('SUMMARY DATA'!$D:$D,$C60,'SUMMARY DATA'!$B:$B,""RWS"")&lt;&gt;1
    ),
    """",
    IFERROR(TEXTJOIN(CHAR(10),TRUE,FILTER('SUMMARY DATA'!I:I,'SUMMARY DATA'!$D:$D=$C60,'SUMMARY DATA'!$B:$B=""RWS"")),"""")
  )
)"),"")</f>
      </c>
      <c r="K60" s="2"/>
      <c r="L60" s="2"/>
      <c r="M60" s="2"/>
      <c r="N60" s="2"/>
      <c r="O60" s="2"/>
      <c r="P60" s="2"/>
      <c r="Q60" s="2"/>
      <c r="R60" s="2"/>
      <c r="S60" s="2"/>
      <c r="T60" s="2"/>
      <c r="U60" s="2"/>
      <c r="V60" s="2"/>
      <c r="W60" s="2"/>
      <c r="X60" s="2"/>
      <c r="Y60" s="2"/>
      <c r="Z60" s="2"/>
      <c r="AA60" s="2"/>
      <c r="AB60" s="2"/>
    </row>
    <row r="61" spans="1:28" customHeight="true">
      <c r="A61" s="2" t="s">
        <v>96</v>
      </c>
      <c r="B61" s="15">
        <v>45917</v>
      </c>
      <c r="C61" s="2" t="s">
        <v>97</v>
      </c>
      <c r="D61" s="3">
        <v>201.8</v>
      </c>
      <c r="E61" s="16" t="str">
        <f>IFERROR(__xludf.DUMMYFUNCTION("IFERROR(
  TEXTJOIN(CHAR(10),TRUE,FILTER('SUMMARY DATA'!E:E,'SUMMARY DATA'!$A:$A=$A61,'SUMMARY DATA'!$C:$C=$B61,'SUMMARY DATA'!$B:$B=""RWS"")),
  IF(
    OR(
      ISNUMBER(SEARCH(""CDM CASH DEPOSIT"",$C61)),
      ISNUMBER(SEARCH(""CASH DEPOSIT"",$C61)),"&amp;"
      COUNTIFS('SUMMARY DATA'!$D:$D,$C61,'SUMMARY DATA'!$B:$B,""RWS"")&lt;&gt;1
    ),
    """",
    IFERROR(TEXTJOIN(CHAR(10),TRUE,FILTER('SUMMARY DATA'!E:E,'SUMMARY DATA'!$D:$D=$C61,'SUMMARY DATA'!$B:$B=""RWS"")),"""")
  )
)"),"")</f>
      </c>
      <c r="F61" s="17" t="str">
        <f>IFERROR(__xludf.DUMMYFUNCTION("IFERROR(
  TEXTJOIN(CHAR(10),TRUE,FILTER('SUMMARY DATA'!F:F,'SUMMARY DATA'!$A:$A=$A61,'SUMMARY DATA'!$C:$C=$B61,'SUMMARY DATA'!$B:$B=""RWS"")),
  IF(
    OR(
      ISNUMBER(SEARCH(""CDM CASH DEPOSIT"",$C61)),
      ISNUMBER(SEARCH(""CASH DEPOSIT"",$C61)),"&amp;"
      COUNTIFS('SUMMARY DATA'!$D:$D,$C61,'SUMMARY DATA'!$B:$B,""RWS"")&lt;&gt;1
    ),
    """",
    IFERROR(TEXTJOIN(CHAR(10),TRUE,FILTER('SUMMARY DATA'!F:F,'SUMMARY DATA'!$D:$D=$C61,'SUMMARY DATA'!$B:$B=""RWS"")),"""")
  )
)"),"")</f>
      </c>
      <c r="G61" s="17" t="str">
        <f>IFERROR(__xludf.DUMMYFUNCTION("IFERROR(
  TEXTJOIN(CHAR(10),TRUE,FILTER('SUMMARY DATA'!G:G,'SUMMARY DATA'!$A:$A=$A61,'SUMMARY DATA'!$C:$C=$B61,'SUMMARY DATA'!$B:$B=""RWS"")),
  IF(
    OR(
      ISNUMBER(SEARCH(""CDM CASH DEPOSIT"",$C61)),
      ISNUMBER(SEARCH(""CASH DEPOSIT"",$C61)),"&amp;"
      COUNTIFS('SUMMARY DATA'!$D:$D,$C61,'SUMMARY DATA'!$B:$B,""RWS"")&lt;&gt;1
    ),
    """",
    IFERROR(TEXTJOIN(CHAR(10),TRUE,FILTER('SUMMARY DATA'!G:G,'SUMMARY DATA'!$D:$D=$C61,'SUMMARY DATA'!$B:$B=""RWS"")),"""")
  )
)"),"")</f>
      </c>
      <c r="H61" s="18" t="str">
        <f>IFERROR(__xludf.DUMMYFUNCTION("IFERROR(
  TEXTJOIN(CHAR(10),TRUE,FILTER('SUMMARY DATA'!H:H,'SUMMARY DATA'!$A:$A=$A61,'SUMMARY DATA'!$C:$C=$B61,'SUMMARY DATA'!$B:$B=""RWS"",'SUMMARY DATA'!$H:$H=$D61)),
  IF(
    OR(
      ISNUMBER(SEARCH(""CDM CASH DEPOSIT"",$C61)),
      ISNUMBER(SEARC"&amp;"H(""CASH DEPOSIT"",$C61))
    ),
    """",
    IFERROR(TEXTJOIN(CHAR(10),TRUE,FILTER('SUMMARY DATA'!H:H,'SUMMARY DATA'!$D:$D=$C61,'SUMMARY DATA'!$B:$B=""RWS"",'SUMMARY DATA'!$H:$H=$D61)),"""")
  )
)"),"")</f>
      </c>
      <c r="I61" s="18" t="str">
        <f>IFERROR(__xludf.DUMMYFUNCTION("IF(H61="""","""",
SUM(ARRAYFORMULA(VALUE(SPLIT(H61,CHAR(10)))))
)"),"")</f>
      </c>
      <c r="J61" s="17" t="str">
        <f>IFERROR(__xludf.DUMMYFUNCTION("IFERROR(
  TEXTJOIN(CHAR(10),TRUE,FILTER('SUMMARY DATA'!I:I,'SUMMARY DATA'!$A:$A=$A61,'SUMMARY DATA'!$C:$C=$B61,'SUMMARY DATA'!$B:$B=""RWS"")),
  IF(
    OR(
      ISNUMBER(SEARCH(""CDM CASH DEPOSIT"",$C61)),
      ISNUMBER(SEARCH(""CASH DEPOSIT"",$C61)),"&amp;"
      COUNTIFS('SUMMARY DATA'!$D:$D,$C61,'SUMMARY DATA'!$B:$B,""RWS"")&lt;&gt;1
    ),
    """",
    IFERROR(TEXTJOIN(CHAR(10),TRUE,FILTER('SUMMARY DATA'!I:I,'SUMMARY DATA'!$D:$D=$C61,'SUMMARY DATA'!$B:$B=""RWS"")),"""")
  )
)"),"")</f>
      </c>
      <c r="K61" s="2"/>
      <c r="L61" s="2"/>
      <c r="M61" s="2"/>
      <c r="N61" s="2"/>
      <c r="O61" s="2"/>
      <c r="P61" s="2"/>
      <c r="Q61" s="2"/>
      <c r="R61" s="2"/>
      <c r="S61" s="2"/>
      <c r="T61" s="2"/>
      <c r="U61" s="2"/>
      <c r="V61" s="2"/>
      <c r="W61" s="2"/>
      <c r="X61" s="2"/>
      <c r="Y61" s="2"/>
      <c r="Z61" s="2"/>
      <c r="AA61" s="2"/>
      <c r="AB61" s="2"/>
    </row>
    <row r="62" spans="1:28" customHeight="true">
      <c r="A62" s="2"/>
      <c r="B62" s="15">
        <v>45916</v>
      </c>
      <c r="C62" s="2" t="s">
        <v>98</v>
      </c>
      <c r="D62" s="3">
        <v>68.84</v>
      </c>
      <c r="E62" s="16" t="str">
        <f>IFERROR(__xludf.DUMMYFUNCTION("IFERROR(
  TEXTJOIN(CHAR(10),TRUE,FILTER('SUMMARY DATA'!E:E,'SUMMARY DATA'!$A:$A=$A62,'SUMMARY DATA'!$C:$C=$B62,'SUMMARY DATA'!$B:$B=""RWS"")),
  IF(
    OR(
      ISNUMBER(SEARCH(""CDM CASH DEPOSIT"",$C62)),
      ISNUMBER(SEARCH(""CASH DEPOSIT"",$C62)),"&amp;"
      COUNTIFS('SUMMARY DATA'!$D:$D,$C62,'SUMMARY DATA'!$B:$B,""RWS"")&lt;&gt;1
    ),
    """",
    IFERROR(TEXTJOIN(CHAR(10),TRUE,FILTER('SUMMARY DATA'!E:E,'SUMMARY DATA'!$D:$D=$C62,'SUMMARY DATA'!$B:$B=""RWS"")),"""")
  )
)"),"")</f>
      </c>
      <c r="F62" s="17" t="str">
        <f>IFERROR(__xludf.DUMMYFUNCTION("IFERROR(
  TEXTJOIN(CHAR(10),TRUE,FILTER('SUMMARY DATA'!F:F,'SUMMARY DATA'!$A:$A=$A62,'SUMMARY DATA'!$C:$C=$B62,'SUMMARY DATA'!$B:$B=""RWS"")),
  IF(
    OR(
      ISNUMBER(SEARCH(""CDM CASH DEPOSIT"",$C62)),
      ISNUMBER(SEARCH(""CASH DEPOSIT"",$C62)),"&amp;"
      COUNTIFS('SUMMARY DATA'!$D:$D,$C62,'SUMMARY DATA'!$B:$B,""RWS"")&lt;&gt;1
    ),
    """",
    IFERROR(TEXTJOIN(CHAR(10),TRUE,FILTER('SUMMARY DATA'!F:F,'SUMMARY DATA'!$D:$D=$C62,'SUMMARY DATA'!$B:$B=""RWS"")),"""")
  )
)"),"")</f>
      </c>
      <c r="G62" s="17" t="str">
        <f>IFERROR(__xludf.DUMMYFUNCTION("IFERROR(
  TEXTJOIN(CHAR(10),TRUE,FILTER('SUMMARY DATA'!G:G,'SUMMARY DATA'!$A:$A=$A62,'SUMMARY DATA'!$C:$C=$B62,'SUMMARY DATA'!$B:$B=""RWS"")),
  IF(
    OR(
      ISNUMBER(SEARCH(""CDM CASH DEPOSIT"",$C62)),
      ISNUMBER(SEARCH(""CASH DEPOSIT"",$C62)),"&amp;"
      COUNTIFS('SUMMARY DATA'!$D:$D,$C62,'SUMMARY DATA'!$B:$B,""RWS"")&lt;&gt;1
    ),
    """",
    IFERROR(TEXTJOIN(CHAR(10),TRUE,FILTER('SUMMARY DATA'!G:G,'SUMMARY DATA'!$D:$D=$C62,'SUMMARY DATA'!$B:$B=""RWS"")),"""")
  )
)"),"")</f>
      </c>
      <c r="H62" s="18" t="str">
        <f>IFERROR(__xludf.DUMMYFUNCTION("IFERROR(
  TEXTJOIN(CHAR(10),TRUE,FILTER('SUMMARY DATA'!H:H,'SUMMARY DATA'!$A:$A=$A62,'SUMMARY DATA'!$C:$C=$B62,'SUMMARY DATA'!$B:$B=""RWS"",'SUMMARY DATA'!$H:$H=$D62)),
  IF(
    OR(
      ISNUMBER(SEARCH(""CDM CASH DEPOSIT"",$C62)),
      ISNUMBER(SEARC"&amp;"H(""CASH DEPOSIT"",$C62))
    ),
    """",
    IFERROR(TEXTJOIN(CHAR(10),TRUE,FILTER('SUMMARY DATA'!H:H,'SUMMARY DATA'!$D:$D=$C62,'SUMMARY DATA'!$B:$B=""RWS"",'SUMMARY DATA'!$H:$H=$D62)),"""")
  )
)"),"")</f>
      </c>
      <c r="I62" s="18" t="str">
        <f>IFERROR(__xludf.DUMMYFUNCTION("IF(H62="""","""",
SUM(ARRAYFORMULA(VALUE(SPLIT(H62,CHAR(10)))))
)"),"")</f>
      </c>
      <c r="J62" s="17" t="str">
        <f>IFERROR(__xludf.DUMMYFUNCTION("IFERROR(
  TEXTJOIN(CHAR(10),TRUE,FILTER('SUMMARY DATA'!I:I,'SUMMARY DATA'!$A:$A=$A62,'SUMMARY DATA'!$C:$C=$B62,'SUMMARY DATA'!$B:$B=""RWS"")),
  IF(
    OR(
      ISNUMBER(SEARCH(""CDM CASH DEPOSIT"",$C62)),
      ISNUMBER(SEARCH(""CASH DEPOSIT"",$C62)),"&amp;"
      COUNTIFS('SUMMARY DATA'!$D:$D,$C62,'SUMMARY DATA'!$B:$B,""RWS"")&lt;&gt;1
    ),
    """",
    IFERROR(TEXTJOIN(CHAR(10),TRUE,FILTER('SUMMARY DATA'!I:I,'SUMMARY DATA'!$D:$D=$C62,'SUMMARY DATA'!$B:$B=""RWS"")),"""")
  )
)"),"")</f>
      </c>
      <c r="K62" s="2"/>
      <c r="L62" s="2"/>
      <c r="M62" s="2"/>
      <c r="N62" s="2"/>
      <c r="O62" s="2"/>
      <c r="P62" s="2"/>
      <c r="Q62" s="2"/>
      <c r="R62" s="2"/>
      <c r="S62" s="2"/>
      <c r="T62" s="2"/>
      <c r="U62" s="2"/>
      <c r="V62" s="2"/>
      <c r="W62" s="2"/>
      <c r="X62" s="2"/>
      <c r="Y62" s="2"/>
      <c r="Z62" s="2"/>
      <c r="AA62" s="2"/>
      <c r="AB62" s="2"/>
    </row>
    <row r="63" spans="1:28" customHeight="true">
      <c r="A63" s="2"/>
      <c r="B63" s="15">
        <v>45915</v>
      </c>
      <c r="C63" s="2" t="s">
        <v>99</v>
      </c>
      <c r="D63" s="3">
        <v>13.98</v>
      </c>
      <c r="E63" s="16" t="str">
        <f>IFERROR(__xludf.DUMMYFUNCTION("IFERROR(
  TEXTJOIN(CHAR(10),TRUE,FILTER('SUMMARY DATA'!E:E,'SUMMARY DATA'!$A:$A=$A63,'SUMMARY DATA'!$C:$C=$B63,'SUMMARY DATA'!$B:$B=""RWS"")),
  IF(
    OR(
      ISNUMBER(SEARCH(""CDM CASH DEPOSIT"",$C63)),
      ISNUMBER(SEARCH(""CASH DEPOSIT"",$C63)),"&amp;"
      COUNTIFS('SUMMARY DATA'!$D:$D,$C63,'SUMMARY DATA'!$B:$B,""RWS"")&lt;&gt;1
    ),
    """",
    IFERROR(TEXTJOIN(CHAR(10),TRUE,FILTER('SUMMARY DATA'!E:E,'SUMMARY DATA'!$D:$D=$C63,'SUMMARY DATA'!$B:$B=""RWS"")),"""")
  )
)"),"")</f>
      </c>
      <c r="F63" s="17" t="str">
        <f>IFERROR(__xludf.DUMMYFUNCTION("IFERROR(
  TEXTJOIN(CHAR(10),TRUE,FILTER('SUMMARY DATA'!F:F,'SUMMARY DATA'!$A:$A=$A63,'SUMMARY DATA'!$C:$C=$B63,'SUMMARY DATA'!$B:$B=""RWS"")),
  IF(
    OR(
      ISNUMBER(SEARCH(""CDM CASH DEPOSIT"",$C63)),
      ISNUMBER(SEARCH(""CASH DEPOSIT"",$C63)),"&amp;"
      COUNTIFS('SUMMARY DATA'!$D:$D,$C63,'SUMMARY DATA'!$B:$B,""RWS"")&lt;&gt;1
    ),
    """",
    IFERROR(TEXTJOIN(CHAR(10),TRUE,FILTER('SUMMARY DATA'!F:F,'SUMMARY DATA'!$D:$D=$C63,'SUMMARY DATA'!$B:$B=""RWS"")),"""")
  )
)"),"")</f>
      </c>
      <c r="G63" s="17" t="str">
        <f>IFERROR(__xludf.DUMMYFUNCTION("IFERROR(
  TEXTJOIN(CHAR(10),TRUE,FILTER('SUMMARY DATA'!G:G,'SUMMARY DATA'!$A:$A=$A63,'SUMMARY DATA'!$C:$C=$B63,'SUMMARY DATA'!$B:$B=""RWS"")),
  IF(
    OR(
      ISNUMBER(SEARCH(""CDM CASH DEPOSIT"",$C63)),
      ISNUMBER(SEARCH(""CASH DEPOSIT"",$C63)),"&amp;"
      COUNTIFS('SUMMARY DATA'!$D:$D,$C63,'SUMMARY DATA'!$B:$B,""RWS"")&lt;&gt;1
    ),
    """",
    IFERROR(TEXTJOIN(CHAR(10),TRUE,FILTER('SUMMARY DATA'!G:G,'SUMMARY DATA'!$D:$D=$C63,'SUMMARY DATA'!$B:$B=""RWS"")),"""")
  )
)"),"")</f>
      </c>
      <c r="H63" s="18" t="str">
        <f>IFERROR(__xludf.DUMMYFUNCTION("IFERROR(
  TEXTJOIN(CHAR(10),TRUE,FILTER('SUMMARY DATA'!H:H,'SUMMARY DATA'!$A:$A=$A63,'SUMMARY DATA'!$C:$C=$B63,'SUMMARY DATA'!$B:$B=""RWS"",'SUMMARY DATA'!$H:$H=$D63)),
  IF(
    OR(
      ISNUMBER(SEARCH(""CDM CASH DEPOSIT"",$C63)),
      ISNUMBER(SEARC"&amp;"H(""CASH DEPOSIT"",$C63))
    ),
    """",
    IFERROR(TEXTJOIN(CHAR(10),TRUE,FILTER('SUMMARY DATA'!H:H,'SUMMARY DATA'!$D:$D=$C63,'SUMMARY DATA'!$B:$B=""RWS"",'SUMMARY DATA'!$H:$H=$D63)),"""")
  )
)"),"")</f>
      </c>
      <c r="I63" s="18" t="str">
        <f>IFERROR(__xludf.DUMMYFUNCTION("IF(H63="""","""",
SUM(ARRAYFORMULA(VALUE(SPLIT(H63,CHAR(10)))))
)"),"")</f>
      </c>
      <c r="J63" s="17" t="str">
        <f>IFERROR(__xludf.DUMMYFUNCTION("IFERROR(
  TEXTJOIN(CHAR(10),TRUE,FILTER('SUMMARY DATA'!I:I,'SUMMARY DATA'!$A:$A=$A63,'SUMMARY DATA'!$C:$C=$B63,'SUMMARY DATA'!$B:$B=""RWS"")),
  IF(
    OR(
      ISNUMBER(SEARCH(""CDM CASH DEPOSIT"",$C63)),
      ISNUMBER(SEARCH(""CASH DEPOSIT"",$C63)),"&amp;"
      COUNTIFS('SUMMARY DATA'!$D:$D,$C63,'SUMMARY DATA'!$B:$B,""RWS"")&lt;&gt;1
    ),
    """",
    IFERROR(TEXTJOIN(CHAR(10),TRUE,FILTER('SUMMARY DATA'!I:I,'SUMMARY DATA'!$D:$D=$C63,'SUMMARY DATA'!$B:$B=""RWS"")),"""")
  )
)"),"")</f>
      </c>
      <c r="K63" s="2"/>
      <c r="L63" s="2"/>
      <c r="M63" s="2"/>
      <c r="N63" s="2"/>
      <c r="O63" s="2"/>
      <c r="P63" s="2"/>
      <c r="Q63" s="2"/>
      <c r="R63" s="2"/>
      <c r="S63" s="2"/>
      <c r="T63" s="2"/>
      <c r="U63" s="2"/>
      <c r="V63" s="2"/>
      <c r="W63" s="2"/>
      <c r="X63" s="2"/>
      <c r="Y63" s="2"/>
      <c r="Z63" s="2"/>
      <c r="AA63" s="2"/>
      <c r="AB63" s="2"/>
    </row>
    <row r="64" spans="1:28" customHeight="true">
      <c r="A64" s="2"/>
      <c r="B64" s="15">
        <v>45915</v>
      </c>
      <c r="C64" s="2" t="s">
        <v>100</v>
      </c>
      <c r="D64" s="3">
        <v>426.55</v>
      </c>
      <c r="E64" s="16" t="str">
        <f>IFERROR(__xludf.DUMMYFUNCTION("IFERROR(
  TEXTJOIN(CHAR(10),TRUE,FILTER('SUMMARY DATA'!E:E,'SUMMARY DATA'!$A:$A=$A64,'SUMMARY DATA'!$C:$C=$B64,'SUMMARY DATA'!$B:$B=""RWS"")),
  IF(
    OR(
      ISNUMBER(SEARCH(""CDM CASH DEPOSIT"",$C64)),
      ISNUMBER(SEARCH(""CASH DEPOSIT"",$C64)),"&amp;"
      COUNTIFS('SUMMARY DATA'!$D:$D,$C64,'SUMMARY DATA'!$B:$B,""RWS"")&lt;&gt;1
    ),
    """",
    IFERROR(TEXTJOIN(CHAR(10),TRUE,FILTER('SUMMARY DATA'!E:E,'SUMMARY DATA'!$D:$D=$C64,'SUMMARY DATA'!$B:$B=""RWS"")),"""")
  )
)"),"")</f>
      </c>
      <c r="F64" s="17" t="str">
        <f>IFERROR(__xludf.DUMMYFUNCTION("IFERROR(
  TEXTJOIN(CHAR(10),TRUE,FILTER('SUMMARY DATA'!F:F,'SUMMARY DATA'!$A:$A=$A64,'SUMMARY DATA'!$C:$C=$B64,'SUMMARY DATA'!$B:$B=""RWS"")),
  IF(
    OR(
      ISNUMBER(SEARCH(""CDM CASH DEPOSIT"",$C64)),
      ISNUMBER(SEARCH(""CASH DEPOSIT"",$C64)),"&amp;"
      COUNTIFS('SUMMARY DATA'!$D:$D,$C64,'SUMMARY DATA'!$B:$B,""RWS"")&lt;&gt;1
    ),
    """",
    IFERROR(TEXTJOIN(CHAR(10),TRUE,FILTER('SUMMARY DATA'!F:F,'SUMMARY DATA'!$D:$D=$C64,'SUMMARY DATA'!$B:$B=""RWS"")),"""")
  )
)"),"")</f>
      </c>
      <c r="G64" s="17" t="str">
        <f>IFERROR(__xludf.DUMMYFUNCTION("IFERROR(
  TEXTJOIN(CHAR(10),TRUE,FILTER('SUMMARY DATA'!G:G,'SUMMARY DATA'!$A:$A=$A64,'SUMMARY DATA'!$C:$C=$B64,'SUMMARY DATA'!$B:$B=""RWS"")),
  IF(
    OR(
      ISNUMBER(SEARCH(""CDM CASH DEPOSIT"",$C64)),
      ISNUMBER(SEARCH(""CASH DEPOSIT"",$C64)),"&amp;"
      COUNTIFS('SUMMARY DATA'!$D:$D,$C64,'SUMMARY DATA'!$B:$B,""RWS"")&lt;&gt;1
    ),
    """",
    IFERROR(TEXTJOIN(CHAR(10),TRUE,FILTER('SUMMARY DATA'!G:G,'SUMMARY DATA'!$D:$D=$C64,'SUMMARY DATA'!$B:$B=""RWS"")),"""")
  )
)"),"")</f>
      </c>
      <c r="H64" s="18" t="str">
        <f>IFERROR(__xludf.DUMMYFUNCTION("IFERROR(
  TEXTJOIN(CHAR(10),TRUE,FILTER('SUMMARY DATA'!H:H,'SUMMARY DATA'!$A:$A=$A64,'SUMMARY DATA'!$C:$C=$B64,'SUMMARY DATA'!$B:$B=""RWS"",'SUMMARY DATA'!$H:$H=$D64)),
  IF(
    OR(
      ISNUMBER(SEARCH(""CDM CASH DEPOSIT"",$C64)),
      ISNUMBER(SEARC"&amp;"H(""CASH DEPOSIT"",$C64))
    ),
    """",
    IFERROR(TEXTJOIN(CHAR(10),TRUE,FILTER('SUMMARY DATA'!H:H,'SUMMARY DATA'!$D:$D=$C64,'SUMMARY DATA'!$B:$B=""RWS"",'SUMMARY DATA'!$H:$H=$D64)),"""")
  )
)"),"")</f>
      </c>
      <c r="I64" s="18" t="str">
        <f>IFERROR(__xludf.DUMMYFUNCTION("IF(H64="""","""",
SUM(ARRAYFORMULA(VALUE(SPLIT(H64,CHAR(10)))))
)"),"")</f>
      </c>
      <c r="J64" s="17" t="str">
        <f>IFERROR(__xludf.DUMMYFUNCTION("IFERROR(
  TEXTJOIN(CHAR(10),TRUE,FILTER('SUMMARY DATA'!I:I,'SUMMARY DATA'!$A:$A=$A64,'SUMMARY DATA'!$C:$C=$B64,'SUMMARY DATA'!$B:$B=""RWS"")),
  IF(
    OR(
      ISNUMBER(SEARCH(""CDM CASH DEPOSIT"",$C64)),
      ISNUMBER(SEARCH(""CASH DEPOSIT"",$C64)),"&amp;"
      COUNTIFS('SUMMARY DATA'!$D:$D,$C64,'SUMMARY DATA'!$B:$B,""RWS"")&lt;&gt;1
    ),
    """",
    IFERROR(TEXTJOIN(CHAR(10),TRUE,FILTER('SUMMARY DATA'!I:I,'SUMMARY DATA'!$D:$D=$C64,'SUMMARY DATA'!$B:$B=""RWS"")),"""")
  )
)"),"")</f>
      </c>
      <c r="K64" s="2"/>
      <c r="L64" s="2"/>
      <c r="M64" s="2"/>
      <c r="N64" s="2"/>
      <c r="O64" s="2"/>
      <c r="P64" s="2"/>
      <c r="Q64" s="2"/>
      <c r="R64" s="2"/>
      <c r="S64" s="2"/>
      <c r="T64" s="2"/>
      <c r="U64" s="2"/>
      <c r="V64" s="2"/>
      <c r="W64" s="2"/>
      <c r="X64" s="2"/>
      <c r="Y64" s="2"/>
      <c r="Z64" s="2"/>
      <c r="AA64" s="2"/>
      <c r="AB64" s="2"/>
    </row>
    <row r="65" spans="1:28" customHeight="true">
      <c r="A65" s="2" t="s">
        <v>101</v>
      </c>
      <c r="B65" s="15">
        <v>45915</v>
      </c>
      <c r="C65" s="2" t="s">
        <v>102</v>
      </c>
      <c r="D65" s="3">
        <v>10</v>
      </c>
      <c r="E65" s="16" t="str">
        <f>IFERROR(__xludf.DUMMYFUNCTION("IFERROR(
  TEXTJOIN(CHAR(10),TRUE,FILTER('SUMMARY DATA'!E:E,'SUMMARY DATA'!$A:$A=$A65,'SUMMARY DATA'!$C:$C=$B65,'SUMMARY DATA'!$B:$B=""RWS"")),
  IF(
    OR(
      ISNUMBER(SEARCH(""CDM CASH DEPOSIT"",$C65)),
      ISNUMBER(SEARCH(""CASH DEPOSIT"",$C65)),"&amp;"
      COUNTIFS('SUMMARY DATA'!$D:$D,$C65,'SUMMARY DATA'!$B:$B,""RWS"")&lt;&gt;1
    ),
    """",
    IFERROR(TEXTJOIN(CHAR(10),TRUE,FILTER('SUMMARY DATA'!E:E,'SUMMARY DATA'!$D:$D=$C65,'SUMMARY DATA'!$B:$B=""RWS"")),"""")
  )
)"),"")</f>
      </c>
      <c r="F65" s="17" t="str">
        <f>IFERROR(__xludf.DUMMYFUNCTION("IFERROR(
  TEXTJOIN(CHAR(10),TRUE,FILTER('SUMMARY DATA'!F:F,'SUMMARY DATA'!$A:$A=$A65,'SUMMARY DATA'!$C:$C=$B65,'SUMMARY DATA'!$B:$B=""RWS"")),
  IF(
    OR(
      ISNUMBER(SEARCH(""CDM CASH DEPOSIT"",$C65)),
      ISNUMBER(SEARCH(""CASH DEPOSIT"",$C65)),"&amp;"
      COUNTIFS('SUMMARY DATA'!$D:$D,$C65,'SUMMARY DATA'!$B:$B,""RWS"")&lt;&gt;1
    ),
    """",
    IFERROR(TEXTJOIN(CHAR(10),TRUE,FILTER('SUMMARY DATA'!F:F,'SUMMARY DATA'!$D:$D=$C65,'SUMMARY DATA'!$B:$B=""RWS"")),"""")
  )
)"),"")</f>
      </c>
      <c r="G65" s="17" t="str">
        <f>IFERROR(__xludf.DUMMYFUNCTION("IFERROR(
  TEXTJOIN(CHAR(10),TRUE,FILTER('SUMMARY DATA'!G:G,'SUMMARY DATA'!$A:$A=$A65,'SUMMARY DATA'!$C:$C=$B65,'SUMMARY DATA'!$B:$B=""RWS"")),
  IF(
    OR(
      ISNUMBER(SEARCH(""CDM CASH DEPOSIT"",$C65)),
      ISNUMBER(SEARCH(""CASH DEPOSIT"",$C65)),"&amp;"
      COUNTIFS('SUMMARY DATA'!$D:$D,$C65,'SUMMARY DATA'!$B:$B,""RWS"")&lt;&gt;1
    ),
    """",
    IFERROR(TEXTJOIN(CHAR(10),TRUE,FILTER('SUMMARY DATA'!G:G,'SUMMARY DATA'!$D:$D=$C65,'SUMMARY DATA'!$B:$B=""RWS"")),"""")
  )
)"),"")</f>
      </c>
      <c r="H65" s="18" t="str">
        <f>IFERROR(__xludf.DUMMYFUNCTION("IFERROR(
  TEXTJOIN(CHAR(10),TRUE,FILTER('SUMMARY DATA'!H:H,'SUMMARY DATA'!$A:$A=$A65,'SUMMARY DATA'!$C:$C=$B65,'SUMMARY DATA'!$B:$B=""RWS"",'SUMMARY DATA'!$H:$H=$D65)),
  IF(
    OR(
      ISNUMBER(SEARCH(""CDM CASH DEPOSIT"",$C65)),
      ISNUMBER(SEARC"&amp;"H(""CASH DEPOSIT"",$C65))
    ),
    """",
    IFERROR(TEXTJOIN(CHAR(10),TRUE,FILTER('SUMMARY DATA'!H:H,'SUMMARY DATA'!$D:$D=$C65,'SUMMARY DATA'!$B:$B=""RWS"",'SUMMARY DATA'!$H:$H=$D65)),"""")
  )
)"),"")</f>
      </c>
      <c r="I65" s="18" t="str">
        <f>IFERROR(__xludf.DUMMYFUNCTION("IF(H65="""","""",
SUM(ARRAYFORMULA(VALUE(SPLIT(H65,CHAR(10)))))
)"),"")</f>
      </c>
      <c r="J65" s="17" t="str">
        <f>IFERROR(__xludf.DUMMYFUNCTION("IFERROR(
  TEXTJOIN(CHAR(10),TRUE,FILTER('SUMMARY DATA'!I:I,'SUMMARY DATA'!$A:$A=$A65,'SUMMARY DATA'!$C:$C=$B65,'SUMMARY DATA'!$B:$B=""RWS"")),
  IF(
    OR(
      ISNUMBER(SEARCH(""CDM CASH DEPOSIT"",$C65)),
      ISNUMBER(SEARCH(""CASH DEPOSIT"",$C65)),"&amp;"
      COUNTIFS('SUMMARY DATA'!$D:$D,$C65,'SUMMARY DATA'!$B:$B,""RWS"")&lt;&gt;1
    ),
    """",
    IFERROR(TEXTJOIN(CHAR(10),TRUE,FILTER('SUMMARY DATA'!I:I,'SUMMARY DATA'!$D:$D=$C65,'SUMMARY DATA'!$B:$B=""RWS"")),"""")
  )
)"),"")</f>
      </c>
      <c r="K65" s="2"/>
      <c r="L65" s="2"/>
      <c r="M65" s="2"/>
      <c r="N65" s="2"/>
      <c r="O65" s="2"/>
      <c r="P65" s="2"/>
      <c r="Q65" s="2"/>
      <c r="R65" s="2"/>
      <c r="S65" s="2"/>
      <c r="T65" s="2"/>
      <c r="U65" s="2"/>
      <c r="V65" s="2"/>
      <c r="W65" s="2"/>
      <c r="X65" s="2"/>
      <c r="Y65" s="2"/>
      <c r="Z65" s="2"/>
      <c r="AA65" s="2"/>
      <c r="AB65" s="2"/>
    </row>
    <row r="66" spans="1:28" customHeight="true">
      <c r="A66" s="2"/>
      <c r="B66" s="15">
        <v>45914</v>
      </c>
      <c r="C66" s="2" t="s">
        <v>103</v>
      </c>
      <c r="D66" s="3">
        <v>144</v>
      </c>
      <c r="E66" s="16" t="str">
        <f>IFERROR(__xludf.DUMMYFUNCTION("IFERROR(
  TEXTJOIN(CHAR(10),TRUE,FILTER('SUMMARY DATA'!E:E,'SUMMARY DATA'!$A:$A=$A66,'SUMMARY DATA'!$C:$C=$B66,'SUMMARY DATA'!$B:$B=""RWS"")),
  IF(
    OR(
      ISNUMBER(SEARCH(""CDM CASH DEPOSIT"",$C66)),
      ISNUMBER(SEARCH(""CASH DEPOSIT"",$C66)),"&amp;"
      COUNTIFS('SUMMARY DATA'!$D:$D,$C66,'SUMMARY DATA'!$B:$B,""RWS"")&lt;&gt;1
    ),
    """",
    IFERROR(TEXTJOIN(CHAR(10),TRUE,FILTER('SUMMARY DATA'!E:E,'SUMMARY DATA'!$D:$D=$C66,'SUMMARY DATA'!$B:$B=""RWS"")),"""")
  )
)"),"")</f>
      </c>
      <c r="F66" s="17" t="str">
        <f>IFERROR(__xludf.DUMMYFUNCTION("IFERROR(
  TEXTJOIN(CHAR(10),TRUE,FILTER('SUMMARY DATA'!F:F,'SUMMARY DATA'!$A:$A=$A66,'SUMMARY DATA'!$C:$C=$B66,'SUMMARY DATA'!$B:$B=""RWS"")),
  IF(
    OR(
      ISNUMBER(SEARCH(""CDM CASH DEPOSIT"",$C66)),
      ISNUMBER(SEARCH(""CASH DEPOSIT"",$C66)),"&amp;"
      COUNTIFS('SUMMARY DATA'!$D:$D,$C66,'SUMMARY DATA'!$B:$B,""RWS"")&lt;&gt;1
    ),
    """",
    IFERROR(TEXTJOIN(CHAR(10),TRUE,FILTER('SUMMARY DATA'!F:F,'SUMMARY DATA'!$D:$D=$C66,'SUMMARY DATA'!$B:$B=""RWS"")),"""")
  )
)"),"")</f>
      </c>
      <c r="G66" s="17" t="str">
        <f>IFERROR(__xludf.DUMMYFUNCTION("IFERROR(
  TEXTJOIN(CHAR(10),TRUE,FILTER('SUMMARY DATA'!G:G,'SUMMARY DATA'!$A:$A=$A66,'SUMMARY DATA'!$C:$C=$B66,'SUMMARY DATA'!$B:$B=""RWS"")),
  IF(
    OR(
      ISNUMBER(SEARCH(""CDM CASH DEPOSIT"",$C66)),
      ISNUMBER(SEARCH(""CASH DEPOSIT"",$C66)),"&amp;"
      COUNTIFS('SUMMARY DATA'!$D:$D,$C66,'SUMMARY DATA'!$B:$B,""RWS"")&lt;&gt;1
    ),
    """",
    IFERROR(TEXTJOIN(CHAR(10),TRUE,FILTER('SUMMARY DATA'!G:G,'SUMMARY DATA'!$D:$D=$C66,'SUMMARY DATA'!$B:$B=""RWS"")),"""")
  )
)"),"")</f>
      </c>
      <c r="H66" s="18" t="str">
        <f>IFERROR(__xludf.DUMMYFUNCTION("IFERROR(
  TEXTJOIN(CHAR(10),TRUE,FILTER('SUMMARY DATA'!H:H,'SUMMARY DATA'!$A:$A=$A66,'SUMMARY DATA'!$C:$C=$B66,'SUMMARY DATA'!$B:$B=""RWS"",'SUMMARY DATA'!$H:$H=$D66)),
  IF(
    OR(
      ISNUMBER(SEARCH(""CDM CASH DEPOSIT"",$C66)),
      ISNUMBER(SEARC"&amp;"H(""CASH DEPOSIT"",$C66))
    ),
    """",
    IFERROR(TEXTJOIN(CHAR(10),TRUE,FILTER('SUMMARY DATA'!H:H,'SUMMARY DATA'!$D:$D=$C66,'SUMMARY DATA'!$B:$B=""RWS"",'SUMMARY DATA'!$H:$H=$D66)),"""")
  )
)"),"")</f>
      </c>
      <c r="I66" s="18" t="str">
        <f>IFERROR(__xludf.DUMMYFUNCTION("IF(H66="""","""",
SUM(ARRAYFORMULA(VALUE(SPLIT(H66,CHAR(10)))))
)"),"")</f>
      </c>
      <c r="J66" s="17" t="str">
        <f>IFERROR(__xludf.DUMMYFUNCTION("IFERROR(
  TEXTJOIN(CHAR(10),TRUE,FILTER('SUMMARY DATA'!I:I,'SUMMARY DATA'!$A:$A=$A66,'SUMMARY DATA'!$C:$C=$B66,'SUMMARY DATA'!$B:$B=""RWS"")),
  IF(
    OR(
      ISNUMBER(SEARCH(""CDM CASH DEPOSIT"",$C66)),
      ISNUMBER(SEARCH(""CASH DEPOSIT"",$C66)),"&amp;"
      COUNTIFS('SUMMARY DATA'!$D:$D,$C66,'SUMMARY DATA'!$B:$B,""RWS"")&lt;&gt;1
    ),
    """",
    IFERROR(TEXTJOIN(CHAR(10),TRUE,FILTER('SUMMARY DATA'!I:I,'SUMMARY DATA'!$D:$D=$C66,'SUMMARY DATA'!$B:$B=""RWS"")),"""")
  )
)"),"")</f>
      </c>
      <c r="K66" s="2"/>
      <c r="L66" s="2"/>
      <c r="M66" s="2"/>
      <c r="N66" s="2"/>
      <c r="O66" s="2"/>
      <c r="P66" s="2"/>
      <c r="Q66" s="2"/>
      <c r="R66" s="2"/>
      <c r="S66" s="2"/>
      <c r="T66" s="2"/>
      <c r="U66" s="2"/>
      <c r="V66" s="2"/>
      <c r="W66" s="2"/>
      <c r="X66" s="2"/>
      <c r="Y66" s="2"/>
      <c r="Z66" s="2"/>
      <c r="AA66" s="2"/>
      <c r="AB66" s="2"/>
    </row>
    <row r="67" spans="1:28" customHeight="true">
      <c r="A67" s="2" t="s">
        <v>104</v>
      </c>
      <c r="B67" s="15">
        <v>45913</v>
      </c>
      <c r="C67" s="2" t="s">
        <v>105</v>
      </c>
      <c r="D67" s="3">
        <v>115.9</v>
      </c>
      <c r="E67" s="16" t="str">
        <f>IFERROR(__xludf.DUMMYFUNCTION("IFERROR(
  TEXTJOIN(CHAR(10),TRUE,FILTER('SUMMARY DATA'!E:E,'SUMMARY DATA'!$A:$A=$A67,'SUMMARY DATA'!$C:$C=$B67,'SUMMARY DATA'!$B:$B=""RWS"")),
  IF(
    OR(
      ISNUMBER(SEARCH(""CDM CASH DEPOSIT"",$C67)),
      ISNUMBER(SEARCH(""CASH DEPOSIT"",$C67)),"&amp;"
      COUNTIFS('SUMMARY DATA'!$D:$D,$C67,'SUMMARY DATA'!$B:$B,""RWS"")&lt;&gt;1
    ),
    """",
    IFERROR(TEXTJOIN(CHAR(10),TRUE,FILTER('SUMMARY DATA'!E:E,'SUMMARY DATA'!$D:$D=$C67,'SUMMARY DATA'!$B:$B=""RWS"")),"""")
  )
)"),"")</f>
      </c>
      <c r="F67" s="17" t="str">
        <f>IFERROR(__xludf.DUMMYFUNCTION("IFERROR(
  TEXTJOIN(CHAR(10),TRUE,FILTER('SUMMARY DATA'!F:F,'SUMMARY DATA'!$A:$A=$A67,'SUMMARY DATA'!$C:$C=$B67,'SUMMARY DATA'!$B:$B=""RWS"")),
  IF(
    OR(
      ISNUMBER(SEARCH(""CDM CASH DEPOSIT"",$C67)),
      ISNUMBER(SEARCH(""CASH DEPOSIT"",$C67)),"&amp;"
      COUNTIFS('SUMMARY DATA'!$D:$D,$C67,'SUMMARY DATA'!$B:$B,""RWS"")&lt;&gt;1
    ),
    """",
    IFERROR(TEXTJOIN(CHAR(10),TRUE,FILTER('SUMMARY DATA'!F:F,'SUMMARY DATA'!$D:$D=$C67,'SUMMARY DATA'!$B:$B=""RWS"")),"""")
  )
)"),"")</f>
      </c>
      <c r="G67" s="17" t="str">
        <f>IFERROR(__xludf.DUMMYFUNCTION("IFERROR(
  TEXTJOIN(CHAR(10),TRUE,FILTER('SUMMARY DATA'!G:G,'SUMMARY DATA'!$A:$A=$A67,'SUMMARY DATA'!$C:$C=$B67,'SUMMARY DATA'!$B:$B=""RWS"")),
  IF(
    OR(
      ISNUMBER(SEARCH(""CDM CASH DEPOSIT"",$C67)),
      ISNUMBER(SEARCH(""CASH DEPOSIT"",$C67)),"&amp;"
      COUNTIFS('SUMMARY DATA'!$D:$D,$C67,'SUMMARY DATA'!$B:$B,""RWS"")&lt;&gt;1
    ),
    """",
    IFERROR(TEXTJOIN(CHAR(10),TRUE,FILTER('SUMMARY DATA'!G:G,'SUMMARY DATA'!$D:$D=$C67,'SUMMARY DATA'!$B:$B=""RWS"")),"""")
  )
)"),"")</f>
      </c>
      <c r="H67" s="18" t="str">
        <f>IFERROR(__xludf.DUMMYFUNCTION("IFERROR(
  TEXTJOIN(CHAR(10),TRUE,FILTER('SUMMARY DATA'!H:H,'SUMMARY DATA'!$A:$A=$A67,'SUMMARY DATA'!$C:$C=$B67,'SUMMARY DATA'!$B:$B=""RWS"",'SUMMARY DATA'!$H:$H=$D67)),
  IF(
    OR(
      ISNUMBER(SEARCH(""CDM CASH DEPOSIT"",$C67)),
      ISNUMBER(SEARC"&amp;"H(""CASH DEPOSIT"",$C67))
    ),
    """",
    IFERROR(TEXTJOIN(CHAR(10),TRUE,FILTER('SUMMARY DATA'!H:H,'SUMMARY DATA'!$D:$D=$C67,'SUMMARY DATA'!$B:$B=""RWS"",'SUMMARY DATA'!$H:$H=$D67)),"""")
  )
)"),"")</f>
      </c>
      <c r="I67" s="18" t="str">
        <f>IFERROR(__xludf.DUMMYFUNCTION("IF(H67="""","""",
SUM(ARRAYFORMULA(VALUE(SPLIT(H67,CHAR(10)))))
)"),"")</f>
      </c>
      <c r="J67" s="17" t="str">
        <f>IFERROR(__xludf.DUMMYFUNCTION("IFERROR(
  TEXTJOIN(CHAR(10),TRUE,FILTER('SUMMARY DATA'!I:I,'SUMMARY DATA'!$A:$A=$A67,'SUMMARY DATA'!$C:$C=$B67,'SUMMARY DATA'!$B:$B=""RWS"")),
  IF(
    OR(
      ISNUMBER(SEARCH(""CDM CASH DEPOSIT"",$C67)),
      ISNUMBER(SEARCH(""CASH DEPOSIT"",$C67)),"&amp;"
      COUNTIFS('SUMMARY DATA'!$D:$D,$C67,'SUMMARY DATA'!$B:$B,""RWS"")&lt;&gt;1
    ),
    """",
    IFERROR(TEXTJOIN(CHAR(10),TRUE,FILTER('SUMMARY DATA'!I:I,'SUMMARY DATA'!$D:$D=$C67,'SUMMARY DATA'!$B:$B=""RWS"")),"""")
  )
)"),"")</f>
      </c>
      <c r="K67" s="2"/>
      <c r="L67" s="2"/>
      <c r="M67" s="2"/>
      <c r="N67" s="2"/>
      <c r="O67" s="2"/>
      <c r="P67" s="2"/>
      <c r="Q67" s="2"/>
      <c r="R67" s="2"/>
      <c r="S67" s="2"/>
      <c r="T67" s="2"/>
      <c r="U67" s="2"/>
      <c r="V67" s="2"/>
      <c r="W67" s="2"/>
      <c r="X67" s="2"/>
      <c r="Y67" s="2"/>
      <c r="Z67" s="2"/>
      <c r="AA67" s="2"/>
      <c r="AB67" s="2"/>
    </row>
    <row r="68" spans="1:28" customHeight="true">
      <c r="A68" s="2" t="s">
        <v>106</v>
      </c>
      <c r="B68" s="15">
        <v>45913</v>
      </c>
      <c r="C68" s="2" t="s">
        <v>48</v>
      </c>
      <c r="D68" s="3">
        <v>10</v>
      </c>
      <c r="E68" s="16" t="str">
        <f>IFERROR(__xludf.DUMMYFUNCTION("IFERROR(
  TEXTJOIN(CHAR(10),TRUE,FILTER('SUMMARY DATA'!E:E,'SUMMARY DATA'!$A:$A=$A68,'SUMMARY DATA'!$C:$C=$B68,'SUMMARY DATA'!$B:$B=""RWS"")),
  IF(
    OR(
      ISNUMBER(SEARCH(""CDM CASH DEPOSIT"",$C68)),
      ISNUMBER(SEARCH(""CASH DEPOSIT"",$C68)),"&amp;"
      COUNTIFS('SUMMARY DATA'!$D:$D,$C68,'SUMMARY DATA'!$B:$B,""RWS"")&lt;&gt;1
    ),
    """",
    IFERROR(TEXTJOIN(CHAR(10),TRUE,FILTER('SUMMARY DATA'!E:E,'SUMMARY DATA'!$D:$D=$C68,'SUMMARY DATA'!$B:$B=""RWS"")),"""")
  )
)"),"")</f>
      </c>
      <c r="F68" s="17" t="str">
        <f>IFERROR(__xludf.DUMMYFUNCTION("IFERROR(
  TEXTJOIN(CHAR(10),TRUE,FILTER('SUMMARY DATA'!F:F,'SUMMARY DATA'!$A:$A=$A68,'SUMMARY DATA'!$C:$C=$B68,'SUMMARY DATA'!$B:$B=""RWS"")),
  IF(
    OR(
      ISNUMBER(SEARCH(""CDM CASH DEPOSIT"",$C68)),
      ISNUMBER(SEARCH(""CASH DEPOSIT"",$C68)),"&amp;"
      COUNTIFS('SUMMARY DATA'!$D:$D,$C68,'SUMMARY DATA'!$B:$B,""RWS"")&lt;&gt;1
    ),
    """",
    IFERROR(TEXTJOIN(CHAR(10),TRUE,FILTER('SUMMARY DATA'!F:F,'SUMMARY DATA'!$D:$D=$C68,'SUMMARY DATA'!$B:$B=""RWS"")),"""")
  )
)"),"")</f>
      </c>
      <c r="G68" s="17" t="str">
        <f>IFERROR(__xludf.DUMMYFUNCTION("IFERROR(
  TEXTJOIN(CHAR(10),TRUE,FILTER('SUMMARY DATA'!G:G,'SUMMARY DATA'!$A:$A=$A68,'SUMMARY DATA'!$C:$C=$B68,'SUMMARY DATA'!$B:$B=""RWS"")),
  IF(
    OR(
      ISNUMBER(SEARCH(""CDM CASH DEPOSIT"",$C68)),
      ISNUMBER(SEARCH(""CASH DEPOSIT"",$C68)),"&amp;"
      COUNTIFS('SUMMARY DATA'!$D:$D,$C68,'SUMMARY DATA'!$B:$B,""RWS"")&lt;&gt;1
    ),
    """",
    IFERROR(TEXTJOIN(CHAR(10),TRUE,FILTER('SUMMARY DATA'!G:G,'SUMMARY DATA'!$D:$D=$C68,'SUMMARY DATA'!$B:$B=""RWS"")),"""")
  )
)"),"")</f>
      </c>
      <c r="H68" s="18" t="str">
        <f>IFERROR(__xludf.DUMMYFUNCTION("IFERROR(
  TEXTJOIN(CHAR(10),TRUE,FILTER('SUMMARY DATA'!H:H,'SUMMARY DATA'!$A:$A=$A68,'SUMMARY DATA'!$C:$C=$B68,'SUMMARY DATA'!$B:$B=""RWS"",'SUMMARY DATA'!$H:$H=$D68)),
  IF(
    OR(
      ISNUMBER(SEARCH(""CDM CASH DEPOSIT"",$C68)),
      ISNUMBER(SEARC"&amp;"H(""CASH DEPOSIT"",$C68))
    ),
    """",
    IFERROR(TEXTJOIN(CHAR(10),TRUE,FILTER('SUMMARY DATA'!H:H,'SUMMARY DATA'!$D:$D=$C68,'SUMMARY DATA'!$B:$B=""RWS"",'SUMMARY DATA'!$H:$H=$D68)),"""")
  )
)"),"")</f>
      </c>
      <c r="I68" s="18" t="str">
        <f>IFERROR(__xludf.DUMMYFUNCTION("IF(H68="""","""",
SUM(ARRAYFORMULA(VALUE(SPLIT(H68,CHAR(10)))))
)"),"")</f>
      </c>
      <c r="J68" s="17" t="str">
        <f>IFERROR(__xludf.DUMMYFUNCTION("IFERROR(
  TEXTJOIN(CHAR(10),TRUE,FILTER('SUMMARY DATA'!I:I,'SUMMARY DATA'!$A:$A=$A68,'SUMMARY DATA'!$C:$C=$B68,'SUMMARY DATA'!$B:$B=""RWS"")),
  IF(
    OR(
      ISNUMBER(SEARCH(""CDM CASH DEPOSIT"",$C68)),
      ISNUMBER(SEARCH(""CASH DEPOSIT"",$C68)),"&amp;"
      COUNTIFS('SUMMARY DATA'!$D:$D,$C68,'SUMMARY DATA'!$B:$B,""RWS"")&lt;&gt;1
    ),
    """",
    IFERROR(TEXTJOIN(CHAR(10),TRUE,FILTER('SUMMARY DATA'!I:I,'SUMMARY DATA'!$D:$D=$C68,'SUMMARY DATA'!$B:$B=""RWS"")),"""")
  )
)"),"")</f>
      </c>
      <c r="K68" s="2"/>
      <c r="L68" s="2"/>
      <c r="M68" s="2"/>
      <c r="N68" s="2"/>
      <c r="O68" s="2"/>
      <c r="P68" s="2"/>
      <c r="Q68" s="2"/>
      <c r="R68" s="2"/>
      <c r="S68" s="2"/>
      <c r="T68" s="2"/>
      <c r="U68" s="2"/>
      <c r="V68" s="2"/>
      <c r="W68" s="2"/>
      <c r="X68" s="2"/>
      <c r="Y68" s="2"/>
      <c r="Z68" s="2"/>
      <c r="AA68" s="2"/>
      <c r="AB68" s="2"/>
    </row>
    <row r="69" spans="1:28" customHeight="true">
      <c r="A69" s="2" t="s">
        <v>107</v>
      </c>
      <c r="B69" s="15">
        <v>45913</v>
      </c>
      <c r="C69" s="2" t="s">
        <v>48</v>
      </c>
      <c r="D69" s="3">
        <v>10</v>
      </c>
      <c r="E69" s="16" t="str">
        <f>IFERROR(__xludf.DUMMYFUNCTION("IFERROR(
  TEXTJOIN(CHAR(10),TRUE,FILTER('SUMMARY DATA'!E:E,'SUMMARY DATA'!$A:$A=$A69,'SUMMARY DATA'!$C:$C=$B69,'SUMMARY DATA'!$B:$B=""RWS"")),
  IF(
    OR(
      ISNUMBER(SEARCH(""CDM CASH DEPOSIT"",$C69)),
      ISNUMBER(SEARCH(""CASH DEPOSIT"",$C69)),"&amp;"
      COUNTIFS('SUMMARY DATA'!$D:$D,$C69,'SUMMARY DATA'!$B:$B,""RWS"")&lt;&gt;1
    ),
    """",
    IFERROR(TEXTJOIN(CHAR(10),TRUE,FILTER('SUMMARY DATA'!E:E,'SUMMARY DATA'!$D:$D=$C69,'SUMMARY DATA'!$B:$B=""RWS"")),"""")
  )
)"),"")</f>
      </c>
      <c r="F69" s="17" t="str">
        <f>IFERROR(__xludf.DUMMYFUNCTION("IFERROR(
  TEXTJOIN(CHAR(10),TRUE,FILTER('SUMMARY DATA'!F:F,'SUMMARY DATA'!$A:$A=$A69,'SUMMARY DATA'!$C:$C=$B69,'SUMMARY DATA'!$B:$B=""RWS"")),
  IF(
    OR(
      ISNUMBER(SEARCH(""CDM CASH DEPOSIT"",$C69)),
      ISNUMBER(SEARCH(""CASH DEPOSIT"",$C69)),"&amp;"
      COUNTIFS('SUMMARY DATA'!$D:$D,$C69,'SUMMARY DATA'!$B:$B,""RWS"")&lt;&gt;1
    ),
    """",
    IFERROR(TEXTJOIN(CHAR(10),TRUE,FILTER('SUMMARY DATA'!F:F,'SUMMARY DATA'!$D:$D=$C69,'SUMMARY DATA'!$B:$B=""RWS"")),"""")
  )
)"),"")</f>
      </c>
      <c r="G69" s="17" t="str">
        <f>IFERROR(__xludf.DUMMYFUNCTION("IFERROR(
  TEXTJOIN(CHAR(10),TRUE,FILTER('SUMMARY DATA'!G:G,'SUMMARY DATA'!$A:$A=$A69,'SUMMARY DATA'!$C:$C=$B69,'SUMMARY DATA'!$B:$B=""RWS"")),
  IF(
    OR(
      ISNUMBER(SEARCH(""CDM CASH DEPOSIT"",$C69)),
      ISNUMBER(SEARCH(""CASH DEPOSIT"",$C69)),"&amp;"
      COUNTIFS('SUMMARY DATA'!$D:$D,$C69,'SUMMARY DATA'!$B:$B,""RWS"")&lt;&gt;1
    ),
    """",
    IFERROR(TEXTJOIN(CHAR(10),TRUE,FILTER('SUMMARY DATA'!G:G,'SUMMARY DATA'!$D:$D=$C69,'SUMMARY DATA'!$B:$B=""RWS"")),"""")
  )
)"),"")</f>
      </c>
      <c r="H69" s="18" t="str">
        <f>IFERROR(__xludf.DUMMYFUNCTION("IFERROR(
  TEXTJOIN(CHAR(10),TRUE,FILTER('SUMMARY DATA'!H:H,'SUMMARY DATA'!$A:$A=$A69,'SUMMARY DATA'!$C:$C=$B69,'SUMMARY DATA'!$B:$B=""RWS"",'SUMMARY DATA'!$H:$H=$D69)),
  IF(
    OR(
      ISNUMBER(SEARCH(""CDM CASH DEPOSIT"",$C69)),
      ISNUMBER(SEARC"&amp;"H(""CASH DEPOSIT"",$C69))
    ),
    """",
    IFERROR(TEXTJOIN(CHAR(10),TRUE,FILTER('SUMMARY DATA'!H:H,'SUMMARY DATA'!$D:$D=$C69,'SUMMARY DATA'!$B:$B=""RWS"",'SUMMARY DATA'!$H:$H=$D69)),"""")
  )
)"),"")</f>
      </c>
      <c r="I69" s="18" t="str">
        <f>IFERROR(__xludf.DUMMYFUNCTION("IF(H69="""","""",
SUM(ARRAYFORMULA(VALUE(SPLIT(H69,CHAR(10)))))
)"),"")</f>
      </c>
      <c r="J69" s="17" t="str">
        <f>IFERROR(__xludf.DUMMYFUNCTION("IFERROR(
  TEXTJOIN(CHAR(10),TRUE,FILTER('SUMMARY DATA'!I:I,'SUMMARY DATA'!$A:$A=$A69,'SUMMARY DATA'!$C:$C=$B69,'SUMMARY DATA'!$B:$B=""RWS"")),
  IF(
    OR(
      ISNUMBER(SEARCH(""CDM CASH DEPOSIT"",$C69)),
      ISNUMBER(SEARCH(""CASH DEPOSIT"",$C69)),"&amp;"
      COUNTIFS('SUMMARY DATA'!$D:$D,$C69,'SUMMARY DATA'!$B:$B,""RWS"")&lt;&gt;1
    ),
    """",
    IFERROR(TEXTJOIN(CHAR(10),TRUE,FILTER('SUMMARY DATA'!I:I,'SUMMARY DATA'!$D:$D=$C69,'SUMMARY DATA'!$B:$B=""RWS"")),"""")
  )
)"),"")</f>
      </c>
      <c r="K69" s="2"/>
      <c r="L69" s="2"/>
      <c r="M69" s="2"/>
      <c r="N69" s="2"/>
      <c r="O69" s="2"/>
      <c r="P69" s="2"/>
      <c r="Q69" s="2"/>
      <c r="R69" s="2"/>
      <c r="S69" s="2"/>
      <c r="T69" s="2"/>
      <c r="U69" s="2"/>
      <c r="V69" s="2"/>
      <c r="W69" s="2"/>
      <c r="X69" s="2"/>
      <c r="Y69" s="2"/>
      <c r="Z69" s="2"/>
      <c r="AA69" s="2"/>
      <c r="AB69" s="2"/>
    </row>
    <row r="70" spans="1:28" customHeight="true">
      <c r="A70" s="2"/>
      <c r="B70" s="15">
        <v>45912</v>
      </c>
      <c r="C70" s="2" t="s">
        <v>108</v>
      </c>
      <c r="D70" s="3">
        <v>578</v>
      </c>
      <c r="E70" s="16" t="str">
        <f>IFERROR(__xludf.DUMMYFUNCTION("IFERROR(
  TEXTJOIN(CHAR(10),TRUE,FILTER('SUMMARY DATA'!E:E,'SUMMARY DATA'!$A:$A=$A70,'SUMMARY DATA'!$C:$C=$B70,'SUMMARY DATA'!$B:$B=""RWS"")),
  IF(
    OR(
      ISNUMBER(SEARCH(""CDM CASH DEPOSIT"",$C70)),
      ISNUMBER(SEARCH(""CASH DEPOSIT"",$C70)),"&amp;"
      COUNTIFS('SUMMARY DATA'!$D:$D,$C70,'SUMMARY DATA'!$B:$B,""RWS"")&lt;&gt;1
    ),
    """",
    IFERROR(TEXTJOIN(CHAR(10),TRUE,FILTER('SUMMARY DATA'!E:E,'SUMMARY DATA'!$D:$D=$C70,'SUMMARY DATA'!$B:$B=""RWS"")),"""")
  )
)"),"")</f>
      </c>
      <c r="F70" s="17" t="str">
        <f>IFERROR(__xludf.DUMMYFUNCTION("IFERROR(
  TEXTJOIN(CHAR(10),TRUE,FILTER('SUMMARY DATA'!F:F,'SUMMARY DATA'!$A:$A=$A70,'SUMMARY DATA'!$C:$C=$B70,'SUMMARY DATA'!$B:$B=""RWS"")),
  IF(
    OR(
      ISNUMBER(SEARCH(""CDM CASH DEPOSIT"",$C70)),
      ISNUMBER(SEARCH(""CASH DEPOSIT"",$C70)),"&amp;"
      COUNTIFS('SUMMARY DATA'!$D:$D,$C70,'SUMMARY DATA'!$B:$B,""RWS"")&lt;&gt;1
    ),
    """",
    IFERROR(TEXTJOIN(CHAR(10),TRUE,FILTER('SUMMARY DATA'!F:F,'SUMMARY DATA'!$D:$D=$C70,'SUMMARY DATA'!$B:$B=""RWS"")),"""")
  )
)"),"")</f>
      </c>
      <c r="G70" s="17" t="str">
        <f>IFERROR(__xludf.DUMMYFUNCTION("IFERROR(
  TEXTJOIN(CHAR(10),TRUE,FILTER('SUMMARY DATA'!G:G,'SUMMARY DATA'!$A:$A=$A70,'SUMMARY DATA'!$C:$C=$B70,'SUMMARY DATA'!$B:$B=""RWS"")),
  IF(
    OR(
      ISNUMBER(SEARCH(""CDM CASH DEPOSIT"",$C70)),
      ISNUMBER(SEARCH(""CASH DEPOSIT"",$C70)),"&amp;"
      COUNTIFS('SUMMARY DATA'!$D:$D,$C70,'SUMMARY DATA'!$B:$B,""RWS"")&lt;&gt;1
    ),
    """",
    IFERROR(TEXTJOIN(CHAR(10),TRUE,FILTER('SUMMARY DATA'!G:G,'SUMMARY DATA'!$D:$D=$C70,'SUMMARY DATA'!$B:$B=""RWS"")),"""")
  )
)"),"")</f>
      </c>
      <c r="H70" s="18" t="str">
        <f>IFERROR(__xludf.DUMMYFUNCTION("IFERROR(
  TEXTJOIN(CHAR(10),TRUE,FILTER('SUMMARY DATA'!H:H,'SUMMARY DATA'!$A:$A=$A70,'SUMMARY DATA'!$C:$C=$B70,'SUMMARY DATA'!$B:$B=""RWS"",'SUMMARY DATA'!$H:$H=$D70)),
  IF(
    OR(
      ISNUMBER(SEARCH(""CDM CASH DEPOSIT"",$C70)),
      ISNUMBER(SEARC"&amp;"H(""CASH DEPOSIT"",$C70))
    ),
    """",
    IFERROR(TEXTJOIN(CHAR(10),TRUE,FILTER('SUMMARY DATA'!H:H,'SUMMARY DATA'!$D:$D=$C70,'SUMMARY DATA'!$B:$B=""RWS"",'SUMMARY DATA'!$H:$H=$D70)),"""")
  )
)"),"")</f>
      </c>
      <c r="I70" s="18" t="str">
        <f>IFERROR(__xludf.DUMMYFUNCTION("IF(H70="""","""",
SUM(ARRAYFORMULA(VALUE(SPLIT(H70,CHAR(10)))))
)"),"")</f>
      </c>
      <c r="J70" s="17" t="str">
        <f>IFERROR(__xludf.DUMMYFUNCTION("IFERROR(
  TEXTJOIN(CHAR(10),TRUE,FILTER('SUMMARY DATA'!I:I,'SUMMARY DATA'!$A:$A=$A70,'SUMMARY DATA'!$C:$C=$B70,'SUMMARY DATA'!$B:$B=""RWS"")),
  IF(
    OR(
      ISNUMBER(SEARCH(""CDM CASH DEPOSIT"",$C70)),
      ISNUMBER(SEARCH(""CASH DEPOSIT"",$C70)),"&amp;"
      COUNTIFS('SUMMARY DATA'!$D:$D,$C70,'SUMMARY DATA'!$B:$B,""RWS"")&lt;&gt;1
    ),
    """",
    IFERROR(TEXTJOIN(CHAR(10),TRUE,FILTER('SUMMARY DATA'!I:I,'SUMMARY DATA'!$D:$D=$C70,'SUMMARY DATA'!$B:$B=""RWS"")),"""")
  )
)"),"")</f>
      </c>
      <c r="K70" s="2"/>
      <c r="L70" s="2"/>
      <c r="M70" s="2"/>
      <c r="N70" s="2"/>
      <c r="O70" s="2"/>
      <c r="P70" s="2"/>
      <c r="Q70" s="2"/>
      <c r="R70" s="2"/>
      <c r="S70" s="2"/>
      <c r="T70" s="2"/>
      <c r="U70" s="2"/>
      <c r="V70" s="2"/>
      <c r="W70" s="2"/>
      <c r="X70" s="2"/>
      <c r="Y70" s="2"/>
      <c r="Z70" s="2"/>
      <c r="AA70" s="2"/>
      <c r="AB70" s="2"/>
    </row>
    <row r="71" spans="1:28" customHeight="true">
      <c r="A71" s="2" t="s">
        <v>109</v>
      </c>
      <c r="B71" s="15">
        <v>45912</v>
      </c>
      <c r="C71" s="2" t="s">
        <v>110</v>
      </c>
      <c r="D71" s="3">
        <v>717</v>
      </c>
      <c r="E71" s="16" t="str">
        <f>IFERROR(__xludf.DUMMYFUNCTION("IFERROR(
  TEXTJOIN(CHAR(10),TRUE,FILTER('SUMMARY DATA'!E:E,'SUMMARY DATA'!$A:$A=$A71,'SUMMARY DATA'!$C:$C=$B71,'SUMMARY DATA'!$B:$B=""RWS"")),
  IF(
    OR(
      ISNUMBER(SEARCH(""CDM CASH DEPOSIT"",$C71)),
      ISNUMBER(SEARCH(""CASH DEPOSIT"",$C71)),"&amp;"
      COUNTIFS('SUMMARY DATA'!$D:$D,$C71,'SUMMARY DATA'!$B:$B,""RWS"")&lt;&gt;1
    ),
    """",
    IFERROR(TEXTJOIN(CHAR(10),TRUE,FILTER('SUMMARY DATA'!E:E,'SUMMARY DATA'!$D:$D=$C71,'SUMMARY DATA'!$B:$B=""RWS"")),"""")
  )
)"),"")</f>
      </c>
      <c r="F71" s="17" t="str">
        <f>IFERROR(__xludf.DUMMYFUNCTION("IFERROR(
  TEXTJOIN(CHAR(10),TRUE,FILTER('SUMMARY DATA'!F:F,'SUMMARY DATA'!$A:$A=$A71,'SUMMARY DATA'!$C:$C=$B71,'SUMMARY DATA'!$B:$B=""RWS"")),
  IF(
    OR(
      ISNUMBER(SEARCH(""CDM CASH DEPOSIT"",$C71)),
      ISNUMBER(SEARCH(""CASH DEPOSIT"",$C71)),"&amp;"
      COUNTIFS('SUMMARY DATA'!$D:$D,$C71,'SUMMARY DATA'!$B:$B,""RWS"")&lt;&gt;1
    ),
    """",
    IFERROR(TEXTJOIN(CHAR(10),TRUE,FILTER('SUMMARY DATA'!F:F,'SUMMARY DATA'!$D:$D=$C71,'SUMMARY DATA'!$B:$B=""RWS"")),"""")
  )
)"),"")</f>
      </c>
      <c r="G71" s="17" t="str">
        <f>IFERROR(__xludf.DUMMYFUNCTION("IFERROR(
  TEXTJOIN(CHAR(10),TRUE,FILTER('SUMMARY DATA'!G:G,'SUMMARY DATA'!$A:$A=$A71,'SUMMARY DATA'!$C:$C=$B71,'SUMMARY DATA'!$B:$B=""RWS"")),
  IF(
    OR(
      ISNUMBER(SEARCH(""CDM CASH DEPOSIT"",$C71)),
      ISNUMBER(SEARCH(""CASH DEPOSIT"",$C71)),"&amp;"
      COUNTIFS('SUMMARY DATA'!$D:$D,$C71,'SUMMARY DATA'!$B:$B,""RWS"")&lt;&gt;1
    ),
    """",
    IFERROR(TEXTJOIN(CHAR(10),TRUE,FILTER('SUMMARY DATA'!G:G,'SUMMARY DATA'!$D:$D=$C71,'SUMMARY DATA'!$B:$B=""RWS"")),"""")
  )
)"),"")</f>
      </c>
      <c r="H71" s="18" t="str">
        <f>IFERROR(__xludf.DUMMYFUNCTION("IFERROR(
  TEXTJOIN(CHAR(10),TRUE,FILTER('SUMMARY DATA'!H:H,'SUMMARY DATA'!$A:$A=$A71,'SUMMARY DATA'!$C:$C=$B71,'SUMMARY DATA'!$B:$B=""RWS"",'SUMMARY DATA'!$H:$H=$D71)),
  IF(
    OR(
      ISNUMBER(SEARCH(""CDM CASH DEPOSIT"",$C71)),
      ISNUMBER(SEARC"&amp;"H(""CASH DEPOSIT"",$C71))
    ),
    """",
    IFERROR(TEXTJOIN(CHAR(10),TRUE,FILTER('SUMMARY DATA'!H:H,'SUMMARY DATA'!$D:$D=$C71,'SUMMARY DATA'!$B:$B=""RWS"",'SUMMARY DATA'!$H:$H=$D71)),"""")
  )
)"),"")</f>
      </c>
      <c r="I71" s="18" t="str">
        <f>IFERROR(__xludf.DUMMYFUNCTION("IF(H71="""","""",
SUM(ARRAYFORMULA(VALUE(SPLIT(H71,CHAR(10)))))
)"),"")</f>
      </c>
      <c r="J71" s="17" t="str">
        <f>IFERROR(__xludf.DUMMYFUNCTION("IFERROR(
  TEXTJOIN(CHAR(10),TRUE,FILTER('SUMMARY DATA'!I:I,'SUMMARY DATA'!$A:$A=$A71,'SUMMARY DATA'!$C:$C=$B71,'SUMMARY DATA'!$B:$B=""RWS"")),
  IF(
    OR(
      ISNUMBER(SEARCH(""CDM CASH DEPOSIT"",$C71)),
      ISNUMBER(SEARCH(""CASH DEPOSIT"",$C71)),"&amp;"
      COUNTIFS('SUMMARY DATA'!$D:$D,$C71,'SUMMARY DATA'!$B:$B,""RWS"")&lt;&gt;1
    ),
    """",
    IFERROR(TEXTJOIN(CHAR(10),TRUE,FILTER('SUMMARY DATA'!I:I,'SUMMARY DATA'!$D:$D=$C71,'SUMMARY DATA'!$B:$B=""RWS"")),"""")
  )
)"),"")</f>
      </c>
      <c r="K71" s="2"/>
      <c r="L71" s="2"/>
      <c r="M71" s="2"/>
      <c r="N71" s="2"/>
      <c r="O71" s="2"/>
      <c r="P71" s="2"/>
      <c r="Q71" s="2"/>
      <c r="R71" s="2"/>
      <c r="S71" s="2"/>
      <c r="T71" s="2"/>
      <c r="U71" s="2"/>
      <c r="V71" s="2"/>
      <c r="W71" s="2"/>
      <c r="X71" s="2"/>
      <c r="Y71" s="2"/>
      <c r="Z71" s="2"/>
      <c r="AA71" s="2"/>
      <c r="AB71" s="2"/>
    </row>
    <row r="72" spans="1:28" customHeight="true">
      <c r="A72" s="2"/>
      <c r="B72" s="15">
        <v>45911</v>
      </c>
      <c r="C72" s="2" t="s">
        <v>111</v>
      </c>
      <c r="D72" s="3">
        <v>10</v>
      </c>
      <c r="E72" s="16" t="str">
        <f>IFERROR(__xludf.DUMMYFUNCTION("IFERROR(
  TEXTJOIN(CHAR(10),TRUE,FILTER('SUMMARY DATA'!E:E,'SUMMARY DATA'!$A:$A=$A72,'SUMMARY DATA'!$C:$C=$B72,'SUMMARY DATA'!$B:$B=""RWS"")),
  IF(
    OR(
      ISNUMBER(SEARCH(""CDM CASH DEPOSIT"",$C72)),
      ISNUMBER(SEARCH(""CASH DEPOSIT"",$C72)),"&amp;"
      COUNTIFS('SUMMARY DATA'!$D:$D,$C72,'SUMMARY DATA'!$B:$B,""RWS"")&lt;&gt;1
    ),
    """",
    IFERROR(TEXTJOIN(CHAR(10),TRUE,FILTER('SUMMARY DATA'!E:E,'SUMMARY DATA'!$D:$D=$C72,'SUMMARY DATA'!$B:$B=""RWS"")),"""")
  )
)"),"")</f>
      </c>
      <c r="F72" s="17" t="str">
        <f>IFERROR(__xludf.DUMMYFUNCTION("IFERROR(
  TEXTJOIN(CHAR(10),TRUE,FILTER('SUMMARY DATA'!F:F,'SUMMARY DATA'!$A:$A=$A72,'SUMMARY DATA'!$C:$C=$B72,'SUMMARY DATA'!$B:$B=""RWS"")),
  IF(
    OR(
      ISNUMBER(SEARCH(""CDM CASH DEPOSIT"",$C72)),
      ISNUMBER(SEARCH(""CASH DEPOSIT"",$C72)),"&amp;"
      COUNTIFS('SUMMARY DATA'!$D:$D,$C72,'SUMMARY DATA'!$B:$B,""RWS"")&lt;&gt;1
    ),
    """",
    IFERROR(TEXTJOIN(CHAR(10),TRUE,FILTER('SUMMARY DATA'!F:F,'SUMMARY DATA'!$D:$D=$C72,'SUMMARY DATA'!$B:$B=""RWS"")),"""")
  )
)"),"")</f>
      </c>
      <c r="G72" s="17" t="str">
        <f>IFERROR(__xludf.DUMMYFUNCTION("IFERROR(
  TEXTJOIN(CHAR(10),TRUE,FILTER('SUMMARY DATA'!G:G,'SUMMARY DATA'!$A:$A=$A72,'SUMMARY DATA'!$C:$C=$B72,'SUMMARY DATA'!$B:$B=""RWS"")),
  IF(
    OR(
      ISNUMBER(SEARCH(""CDM CASH DEPOSIT"",$C72)),
      ISNUMBER(SEARCH(""CASH DEPOSIT"",$C72)),"&amp;"
      COUNTIFS('SUMMARY DATA'!$D:$D,$C72,'SUMMARY DATA'!$B:$B,""RWS"")&lt;&gt;1
    ),
    """",
    IFERROR(TEXTJOIN(CHAR(10),TRUE,FILTER('SUMMARY DATA'!G:G,'SUMMARY DATA'!$D:$D=$C72,'SUMMARY DATA'!$B:$B=""RWS"")),"""")
  )
)"),"")</f>
      </c>
      <c r="H72" s="18" t="str">
        <f>IFERROR(__xludf.DUMMYFUNCTION("IFERROR(
  TEXTJOIN(CHAR(10),TRUE,FILTER('SUMMARY DATA'!H:H,'SUMMARY DATA'!$A:$A=$A72,'SUMMARY DATA'!$C:$C=$B72,'SUMMARY DATA'!$B:$B=""RWS"",'SUMMARY DATA'!$H:$H=$D72)),
  IF(
    OR(
      ISNUMBER(SEARCH(""CDM CASH DEPOSIT"",$C72)),
      ISNUMBER(SEARC"&amp;"H(""CASH DEPOSIT"",$C72))
    ),
    """",
    IFERROR(TEXTJOIN(CHAR(10),TRUE,FILTER('SUMMARY DATA'!H:H,'SUMMARY DATA'!$D:$D=$C72,'SUMMARY DATA'!$B:$B=""RWS"",'SUMMARY DATA'!$H:$H=$D72)),"""")
  )
)"),"")</f>
      </c>
      <c r="I72" s="18" t="str">
        <f>IFERROR(__xludf.DUMMYFUNCTION("IF(H72="""","""",
SUM(ARRAYFORMULA(VALUE(SPLIT(H72,CHAR(10)))))
)"),"")</f>
      </c>
      <c r="J72" s="17" t="str">
        <f>IFERROR(__xludf.DUMMYFUNCTION("IFERROR(
  TEXTJOIN(CHAR(10),TRUE,FILTER('SUMMARY DATA'!I:I,'SUMMARY DATA'!$A:$A=$A72,'SUMMARY DATA'!$C:$C=$B72,'SUMMARY DATA'!$B:$B=""RWS"")),
  IF(
    OR(
      ISNUMBER(SEARCH(""CDM CASH DEPOSIT"",$C72)),
      ISNUMBER(SEARCH(""CASH DEPOSIT"",$C72)),"&amp;"
      COUNTIFS('SUMMARY DATA'!$D:$D,$C72,'SUMMARY DATA'!$B:$B,""RWS"")&lt;&gt;1
    ),
    """",
    IFERROR(TEXTJOIN(CHAR(10),TRUE,FILTER('SUMMARY DATA'!I:I,'SUMMARY DATA'!$D:$D=$C72,'SUMMARY DATA'!$B:$B=""RWS"")),"""")
  )
)"),"")</f>
      </c>
      <c r="K72" s="2"/>
      <c r="L72" s="2"/>
      <c r="M72" s="2"/>
      <c r="N72" s="2"/>
      <c r="O72" s="2"/>
      <c r="P72" s="2"/>
      <c r="Q72" s="2"/>
      <c r="R72" s="2"/>
      <c r="S72" s="2"/>
      <c r="T72" s="2"/>
      <c r="U72" s="2"/>
      <c r="V72" s="2"/>
      <c r="W72" s="2"/>
      <c r="X72" s="2"/>
      <c r="Y72" s="2"/>
      <c r="Z72" s="2"/>
      <c r="AA72" s="2"/>
      <c r="AB72" s="2"/>
    </row>
    <row r="73" spans="1:28" customHeight="true">
      <c r="A73" s="2"/>
      <c r="B73" s="15">
        <v>45911</v>
      </c>
      <c r="C73" s="2" t="s">
        <v>112</v>
      </c>
      <c r="D73" s="3">
        <v>435.9</v>
      </c>
      <c r="E73" s="16" t="str">
        <f>IFERROR(__xludf.DUMMYFUNCTION("IFERROR(
  TEXTJOIN(CHAR(10),TRUE,FILTER('SUMMARY DATA'!E:E,'SUMMARY DATA'!$A:$A=$A73,'SUMMARY DATA'!$C:$C=$B73,'SUMMARY DATA'!$B:$B=""RWS"")),
  IF(
    OR(
      ISNUMBER(SEARCH(""CDM CASH DEPOSIT"",$C73)),
      ISNUMBER(SEARCH(""CASH DEPOSIT"",$C73)),"&amp;"
      COUNTIFS('SUMMARY DATA'!$D:$D,$C73,'SUMMARY DATA'!$B:$B,""RWS"")&lt;&gt;1
    ),
    """",
    IFERROR(TEXTJOIN(CHAR(10),TRUE,FILTER('SUMMARY DATA'!E:E,'SUMMARY DATA'!$D:$D=$C73,'SUMMARY DATA'!$B:$B=""RWS"")),"""")
  )
)"),"")</f>
      </c>
      <c r="F73" s="17" t="str">
        <f>IFERROR(__xludf.DUMMYFUNCTION("IFERROR(
  TEXTJOIN(CHAR(10),TRUE,FILTER('SUMMARY DATA'!F:F,'SUMMARY DATA'!$A:$A=$A73,'SUMMARY DATA'!$C:$C=$B73,'SUMMARY DATA'!$B:$B=""RWS"")),
  IF(
    OR(
      ISNUMBER(SEARCH(""CDM CASH DEPOSIT"",$C73)),
      ISNUMBER(SEARCH(""CASH DEPOSIT"",$C73)),"&amp;"
      COUNTIFS('SUMMARY DATA'!$D:$D,$C73,'SUMMARY DATA'!$B:$B,""RWS"")&lt;&gt;1
    ),
    """",
    IFERROR(TEXTJOIN(CHAR(10),TRUE,FILTER('SUMMARY DATA'!F:F,'SUMMARY DATA'!$D:$D=$C73,'SUMMARY DATA'!$B:$B=""RWS"")),"""")
  )
)"),"")</f>
      </c>
      <c r="G73" s="17" t="str">
        <f>IFERROR(__xludf.DUMMYFUNCTION("IFERROR(
  TEXTJOIN(CHAR(10),TRUE,FILTER('SUMMARY DATA'!G:G,'SUMMARY DATA'!$A:$A=$A73,'SUMMARY DATA'!$C:$C=$B73,'SUMMARY DATA'!$B:$B=""RWS"")),
  IF(
    OR(
      ISNUMBER(SEARCH(""CDM CASH DEPOSIT"",$C73)),
      ISNUMBER(SEARCH(""CASH DEPOSIT"",$C73)),"&amp;"
      COUNTIFS('SUMMARY DATA'!$D:$D,$C73,'SUMMARY DATA'!$B:$B,""RWS"")&lt;&gt;1
    ),
    """",
    IFERROR(TEXTJOIN(CHAR(10),TRUE,FILTER('SUMMARY DATA'!G:G,'SUMMARY DATA'!$D:$D=$C73,'SUMMARY DATA'!$B:$B=""RWS"")),"""")
  )
)"),"")</f>
      </c>
      <c r="H73" s="18" t="str">
        <f>IFERROR(__xludf.DUMMYFUNCTION("IFERROR(
  TEXTJOIN(CHAR(10),TRUE,FILTER('SUMMARY DATA'!H:H,'SUMMARY DATA'!$A:$A=$A73,'SUMMARY DATA'!$C:$C=$B73,'SUMMARY DATA'!$B:$B=""RWS"",'SUMMARY DATA'!$H:$H=$D73)),
  IF(
    OR(
      ISNUMBER(SEARCH(""CDM CASH DEPOSIT"",$C73)),
      ISNUMBER(SEARC"&amp;"H(""CASH DEPOSIT"",$C73))
    ),
    """",
    IFERROR(TEXTJOIN(CHAR(10),TRUE,FILTER('SUMMARY DATA'!H:H,'SUMMARY DATA'!$D:$D=$C73,'SUMMARY DATA'!$B:$B=""RWS"",'SUMMARY DATA'!$H:$H=$D73)),"""")
  )
)"),"")</f>
      </c>
      <c r="I73" s="18" t="str">
        <f>IFERROR(__xludf.DUMMYFUNCTION("IF(H73="""","""",
SUM(ARRAYFORMULA(VALUE(SPLIT(H73,CHAR(10)))))
)"),"")</f>
      </c>
      <c r="J73" s="17" t="str">
        <f>IFERROR(__xludf.DUMMYFUNCTION("IFERROR(
  TEXTJOIN(CHAR(10),TRUE,FILTER('SUMMARY DATA'!I:I,'SUMMARY DATA'!$A:$A=$A73,'SUMMARY DATA'!$C:$C=$B73,'SUMMARY DATA'!$B:$B=""RWS"")),
  IF(
    OR(
      ISNUMBER(SEARCH(""CDM CASH DEPOSIT"",$C73)),
      ISNUMBER(SEARCH(""CASH DEPOSIT"",$C73)),"&amp;"
      COUNTIFS('SUMMARY DATA'!$D:$D,$C73,'SUMMARY DATA'!$B:$B,""RWS"")&lt;&gt;1
    ),
    """",
    IFERROR(TEXTJOIN(CHAR(10),TRUE,FILTER('SUMMARY DATA'!I:I,'SUMMARY DATA'!$D:$D=$C73,'SUMMARY DATA'!$B:$B=""RWS"")),"""")
  )
)"),"")</f>
      </c>
      <c r="K73" s="2"/>
      <c r="L73" s="2"/>
      <c r="M73" s="2"/>
      <c r="N73" s="2"/>
      <c r="O73" s="2"/>
      <c r="P73" s="2"/>
      <c r="Q73" s="2"/>
      <c r="R73" s="2"/>
      <c r="S73" s="2"/>
      <c r="T73" s="2"/>
      <c r="U73" s="2"/>
      <c r="V73" s="2"/>
      <c r="W73" s="2"/>
      <c r="X73" s="2"/>
      <c r="Y73" s="2"/>
      <c r="Z73" s="2"/>
      <c r="AA73" s="2"/>
      <c r="AB73" s="2"/>
    </row>
    <row r="74" spans="1:28" customHeight="true">
      <c r="A74" s="2" t="s">
        <v>113</v>
      </c>
      <c r="B74" s="15">
        <v>45911</v>
      </c>
      <c r="C74" s="2" t="s">
        <v>114</v>
      </c>
      <c r="D74" s="3">
        <v>299</v>
      </c>
      <c r="E74" s="16" t="str">
        <f>IFERROR(__xludf.DUMMYFUNCTION("IFERROR(
  TEXTJOIN(CHAR(10),TRUE,FILTER('SUMMARY DATA'!E:E,'SUMMARY DATA'!$A:$A=$A74,'SUMMARY DATA'!$C:$C=$B74,'SUMMARY DATA'!$B:$B=""RWS"")),
  IF(
    OR(
      ISNUMBER(SEARCH(""CDM CASH DEPOSIT"",$C74)),
      ISNUMBER(SEARCH(""CASH DEPOSIT"",$C74)),"&amp;"
      COUNTIFS('SUMMARY DATA'!$D:$D,$C74,'SUMMARY DATA'!$B:$B,""RWS"")&lt;&gt;1
    ),
    """",
    IFERROR(TEXTJOIN(CHAR(10),TRUE,FILTER('SUMMARY DATA'!E:E,'SUMMARY DATA'!$D:$D=$C74,'SUMMARY DATA'!$B:$B=""RWS"")),"""")
  )
)"),"")</f>
      </c>
      <c r="F74" s="17" t="str">
        <f>IFERROR(__xludf.DUMMYFUNCTION("IFERROR(
  TEXTJOIN(CHAR(10),TRUE,FILTER('SUMMARY DATA'!F:F,'SUMMARY DATA'!$A:$A=$A74,'SUMMARY DATA'!$C:$C=$B74,'SUMMARY DATA'!$B:$B=""RWS"")),
  IF(
    OR(
      ISNUMBER(SEARCH(""CDM CASH DEPOSIT"",$C74)),
      ISNUMBER(SEARCH(""CASH DEPOSIT"",$C74)),"&amp;"
      COUNTIFS('SUMMARY DATA'!$D:$D,$C74,'SUMMARY DATA'!$B:$B,""RWS"")&lt;&gt;1
    ),
    """",
    IFERROR(TEXTJOIN(CHAR(10),TRUE,FILTER('SUMMARY DATA'!F:F,'SUMMARY DATA'!$D:$D=$C74,'SUMMARY DATA'!$B:$B=""RWS"")),"""")
  )
)"),"")</f>
      </c>
      <c r="G74" s="17" t="str">
        <f>IFERROR(__xludf.DUMMYFUNCTION("IFERROR(
  TEXTJOIN(CHAR(10),TRUE,FILTER('SUMMARY DATA'!G:G,'SUMMARY DATA'!$A:$A=$A74,'SUMMARY DATA'!$C:$C=$B74,'SUMMARY DATA'!$B:$B=""RWS"")),
  IF(
    OR(
      ISNUMBER(SEARCH(""CDM CASH DEPOSIT"",$C74)),
      ISNUMBER(SEARCH(""CASH DEPOSIT"",$C74)),"&amp;"
      COUNTIFS('SUMMARY DATA'!$D:$D,$C74,'SUMMARY DATA'!$B:$B,""RWS"")&lt;&gt;1
    ),
    """",
    IFERROR(TEXTJOIN(CHAR(10),TRUE,FILTER('SUMMARY DATA'!G:G,'SUMMARY DATA'!$D:$D=$C74,'SUMMARY DATA'!$B:$B=""RWS"")),"""")
  )
)"),"")</f>
      </c>
      <c r="H74" s="18" t="str">
        <f>IFERROR(__xludf.DUMMYFUNCTION("IFERROR(
  TEXTJOIN(CHAR(10),TRUE,FILTER('SUMMARY DATA'!H:H,'SUMMARY DATA'!$A:$A=$A74,'SUMMARY DATA'!$C:$C=$B74,'SUMMARY DATA'!$B:$B=""RWS"",'SUMMARY DATA'!$H:$H=$D74)),
  IF(
    OR(
      ISNUMBER(SEARCH(""CDM CASH DEPOSIT"",$C74)),
      ISNUMBER(SEARC"&amp;"H(""CASH DEPOSIT"",$C74))
    ),
    """",
    IFERROR(TEXTJOIN(CHAR(10),TRUE,FILTER('SUMMARY DATA'!H:H,'SUMMARY DATA'!$D:$D=$C74,'SUMMARY DATA'!$B:$B=""RWS"",'SUMMARY DATA'!$H:$H=$D74)),"""")
  )
)"),"")</f>
      </c>
      <c r="I74" s="18" t="str">
        <f>IFERROR(__xludf.DUMMYFUNCTION("IF(H74="""","""",
SUM(ARRAYFORMULA(VALUE(SPLIT(H74,CHAR(10)))))
)"),"")</f>
      </c>
      <c r="J74" s="17" t="str">
        <f>IFERROR(__xludf.DUMMYFUNCTION("IFERROR(
  TEXTJOIN(CHAR(10),TRUE,FILTER('SUMMARY DATA'!I:I,'SUMMARY DATA'!$A:$A=$A74,'SUMMARY DATA'!$C:$C=$B74,'SUMMARY DATA'!$B:$B=""RWS"")),
  IF(
    OR(
      ISNUMBER(SEARCH(""CDM CASH DEPOSIT"",$C74)),
      ISNUMBER(SEARCH(""CASH DEPOSIT"",$C74)),"&amp;"
      COUNTIFS('SUMMARY DATA'!$D:$D,$C74,'SUMMARY DATA'!$B:$B,""RWS"")&lt;&gt;1
    ),
    """",
    IFERROR(TEXTJOIN(CHAR(10),TRUE,FILTER('SUMMARY DATA'!I:I,'SUMMARY DATA'!$D:$D=$C74,'SUMMARY DATA'!$B:$B=""RWS"")),"""")
  )
)"),"")</f>
      </c>
      <c r="K74" s="2"/>
      <c r="L74" s="2"/>
      <c r="M74" s="2"/>
      <c r="N74" s="2"/>
      <c r="O74" s="2"/>
      <c r="P74" s="2"/>
      <c r="Q74" s="2"/>
      <c r="R74" s="2"/>
      <c r="S74" s="2"/>
      <c r="T74" s="2"/>
      <c r="U74" s="2"/>
      <c r="V74" s="2"/>
      <c r="W74" s="2"/>
      <c r="X74" s="2"/>
      <c r="Y74" s="2"/>
      <c r="Z74" s="2"/>
      <c r="AA74" s="2"/>
      <c r="AB74" s="2"/>
    </row>
    <row r="75" spans="1:28" customHeight="true">
      <c r="A75" s="2"/>
      <c r="B75" s="15">
        <v>45911</v>
      </c>
      <c r="C75" s="2" t="s">
        <v>115</v>
      </c>
      <c r="D75" s="3">
        <v>19.9</v>
      </c>
      <c r="E75" s="16" t="str">
        <f>IFERROR(__xludf.DUMMYFUNCTION("IFERROR(
  TEXTJOIN(CHAR(10),TRUE,FILTER('SUMMARY DATA'!E:E,'SUMMARY DATA'!$A:$A=$A75,'SUMMARY DATA'!$C:$C=$B75,'SUMMARY DATA'!$B:$B=""RWS"")),
  IF(
    OR(
      ISNUMBER(SEARCH(""CDM CASH DEPOSIT"",$C75)),
      ISNUMBER(SEARCH(""CASH DEPOSIT"",$C75)),"&amp;"
      COUNTIFS('SUMMARY DATA'!$D:$D,$C75,'SUMMARY DATA'!$B:$B,""RWS"")&lt;&gt;1
    ),
    """",
    IFERROR(TEXTJOIN(CHAR(10),TRUE,FILTER('SUMMARY DATA'!E:E,'SUMMARY DATA'!$D:$D=$C75,'SUMMARY DATA'!$B:$B=""RWS"")),"""")
  )
)"),"")</f>
      </c>
      <c r="F75" s="17" t="str">
        <f>IFERROR(__xludf.DUMMYFUNCTION("IFERROR(
  TEXTJOIN(CHAR(10),TRUE,FILTER('SUMMARY DATA'!F:F,'SUMMARY DATA'!$A:$A=$A75,'SUMMARY DATA'!$C:$C=$B75,'SUMMARY DATA'!$B:$B=""RWS"")),
  IF(
    OR(
      ISNUMBER(SEARCH(""CDM CASH DEPOSIT"",$C75)),
      ISNUMBER(SEARCH(""CASH DEPOSIT"",$C75)),"&amp;"
      COUNTIFS('SUMMARY DATA'!$D:$D,$C75,'SUMMARY DATA'!$B:$B,""RWS"")&lt;&gt;1
    ),
    """",
    IFERROR(TEXTJOIN(CHAR(10),TRUE,FILTER('SUMMARY DATA'!F:F,'SUMMARY DATA'!$D:$D=$C75,'SUMMARY DATA'!$B:$B=""RWS"")),"""")
  )
)"),"")</f>
      </c>
      <c r="G75" s="17" t="str">
        <f>IFERROR(__xludf.DUMMYFUNCTION("IFERROR(
  TEXTJOIN(CHAR(10),TRUE,FILTER('SUMMARY DATA'!G:G,'SUMMARY DATA'!$A:$A=$A75,'SUMMARY DATA'!$C:$C=$B75,'SUMMARY DATA'!$B:$B=""RWS"")),
  IF(
    OR(
      ISNUMBER(SEARCH(""CDM CASH DEPOSIT"",$C75)),
      ISNUMBER(SEARCH(""CASH DEPOSIT"",$C75)),"&amp;"
      COUNTIFS('SUMMARY DATA'!$D:$D,$C75,'SUMMARY DATA'!$B:$B,""RWS"")&lt;&gt;1
    ),
    """",
    IFERROR(TEXTJOIN(CHAR(10),TRUE,FILTER('SUMMARY DATA'!G:G,'SUMMARY DATA'!$D:$D=$C75,'SUMMARY DATA'!$B:$B=""RWS"")),"""")
  )
)"),"")</f>
      </c>
      <c r="H75" s="18" t="str">
        <f>IFERROR(__xludf.DUMMYFUNCTION("IFERROR(
  TEXTJOIN(CHAR(10),TRUE,FILTER('SUMMARY DATA'!H:H,'SUMMARY DATA'!$A:$A=$A75,'SUMMARY DATA'!$C:$C=$B75,'SUMMARY DATA'!$B:$B=""RWS"",'SUMMARY DATA'!$H:$H=$D75)),
  IF(
    OR(
      ISNUMBER(SEARCH(""CDM CASH DEPOSIT"",$C75)),
      ISNUMBER(SEARC"&amp;"H(""CASH DEPOSIT"",$C75))
    ),
    """",
    IFERROR(TEXTJOIN(CHAR(10),TRUE,FILTER('SUMMARY DATA'!H:H,'SUMMARY DATA'!$D:$D=$C75,'SUMMARY DATA'!$B:$B=""RWS"",'SUMMARY DATA'!$H:$H=$D75)),"""")
  )
)"),"")</f>
      </c>
      <c r="I75" s="18" t="str">
        <f>IFERROR(__xludf.DUMMYFUNCTION("IF(H75="""","""",
SUM(ARRAYFORMULA(VALUE(SPLIT(H75,CHAR(10)))))
)"),"")</f>
      </c>
      <c r="J75" s="17" t="str">
        <f>IFERROR(__xludf.DUMMYFUNCTION("IFERROR(
  TEXTJOIN(CHAR(10),TRUE,FILTER('SUMMARY DATA'!I:I,'SUMMARY DATA'!$A:$A=$A75,'SUMMARY DATA'!$C:$C=$B75,'SUMMARY DATA'!$B:$B=""RWS"")),
  IF(
    OR(
      ISNUMBER(SEARCH(""CDM CASH DEPOSIT"",$C75)),
      ISNUMBER(SEARCH(""CASH DEPOSIT"",$C75)),"&amp;"
      COUNTIFS('SUMMARY DATA'!$D:$D,$C75,'SUMMARY DATA'!$B:$B,""RWS"")&lt;&gt;1
    ),
    """",
    IFERROR(TEXTJOIN(CHAR(10),TRUE,FILTER('SUMMARY DATA'!I:I,'SUMMARY DATA'!$D:$D=$C75,'SUMMARY DATA'!$B:$B=""RWS"")),"""")
  )
)"),"")</f>
      </c>
      <c r="K75" s="2"/>
      <c r="L75" s="2"/>
      <c r="M75" s="2"/>
      <c r="N75" s="2"/>
      <c r="O75" s="2"/>
      <c r="P75" s="2"/>
      <c r="Q75" s="2"/>
      <c r="R75" s="2"/>
      <c r="S75" s="2"/>
      <c r="T75" s="2"/>
      <c r="U75" s="2"/>
      <c r="V75" s="2"/>
      <c r="W75" s="2"/>
      <c r="X75" s="2"/>
      <c r="Y75" s="2"/>
      <c r="Z75" s="2"/>
      <c r="AA75" s="2"/>
      <c r="AB75" s="2"/>
    </row>
    <row r="76" spans="1:28" customHeight="true">
      <c r="A76" s="2"/>
      <c r="B76" s="15">
        <v>45911</v>
      </c>
      <c r="C76" s="2" t="s">
        <v>112</v>
      </c>
      <c r="D76" s="3">
        <v>514</v>
      </c>
      <c r="E76" s="16" t="str">
        <f>IFERROR(__xludf.DUMMYFUNCTION("IFERROR(
  TEXTJOIN(CHAR(10),TRUE,FILTER('SUMMARY DATA'!E:E,'SUMMARY DATA'!$A:$A=$A76,'SUMMARY DATA'!$C:$C=$B76,'SUMMARY DATA'!$B:$B=""RWS"")),
  IF(
    OR(
      ISNUMBER(SEARCH(""CDM CASH DEPOSIT"",$C76)),
      ISNUMBER(SEARCH(""CASH DEPOSIT"",$C76)),"&amp;"
      COUNTIFS('SUMMARY DATA'!$D:$D,$C76,'SUMMARY DATA'!$B:$B,""RWS"")&lt;&gt;1
    ),
    """",
    IFERROR(TEXTJOIN(CHAR(10),TRUE,FILTER('SUMMARY DATA'!E:E,'SUMMARY DATA'!$D:$D=$C76,'SUMMARY DATA'!$B:$B=""RWS"")),"""")
  )
)"),"")</f>
      </c>
      <c r="F76" s="17" t="str">
        <f>IFERROR(__xludf.DUMMYFUNCTION("IFERROR(
  TEXTJOIN(CHAR(10),TRUE,FILTER('SUMMARY DATA'!F:F,'SUMMARY DATA'!$A:$A=$A76,'SUMMARY DATA'!$C:$C=$B76,'SUMMARY DATA'!$B:$B=""RWS"")),
  IF(
    OR(
      ISNUMBER(SEARCH(""CDM CASH DEPOSIT"",$C76)),
      ISNUMBER(SEARCH(""CASH DEPOSIT"",$C76)),"&amp;"
      COUNTIFS('SUMMARY DATA'!$D:$D,$C76,'SUMMARY DATA'!$B:$B,""RWS"")&lt;&gt;1
    ),
    """",
    IFERROR(TEXTJOIN(CHAR(10),TRUE,FILTER('SUMMARY DATA'!F:F,'SUMMARY DATA'!$D:$D=$C76,'SUMMARY DATA'!$B:$B=""RWS"")),"""")
  )
)"),"")</f>
      </c>
      <c r="G76" s="17" t="str">
        <f>IFERROR(__xludf.DUMMYFUNCTION("IFERROR(
  TEXTJOIN(CHAR(10),TRUE,FILTER('SUMMARY DATA'!G:G,'SUMMARY DATA'!$A:$A=$A76,'SUMMARY DATA'!$C:$C=$B76,'SUMMARY DATA'!$B:$B=""RWS"")),
  IF(
    OR(
      ISNUMBER(SEARCH(""CDM CASH DEPOSIT"",$C76)),
      ISNUMBER(SEARCH(""CASH DEPOSIT"",$C76)),"&amp;"
      COUNTIFS('SUMMARY DATA'!$D:$D,$C76,'SUMMARY DATA'!$B:$B,""RWS"")&lt;&gt;1
    ),
    """",
    IFERROR(TEXTJOIN(CHAR(10),TRUE,FILTER('SUMMARY DATA'!G:G,'SUMMARY DATA'!$D:$D=$C76,'SUMMARY DATA'!$B:$B=""RWS"")),"""")
  )
)"),"")</f>
      </c>
      <c r="H76" s="18" t="str">
        <f>IFERROR(__xludf.DUMMYFUNCTION("IFERROR(
  TEXTJOIN(CHAR(10),TRUE,FILTER('SUMMARY DATA'!H:H,'SUMMARY DATA'!$A:$A=$A76,'SUMMARY DATA'!$C:$C=$B76,'SUMMARY DATA'!$B:$B=""RWS"",'SUMMARY DATA'!$H:$H=$D76)),
  IF(
    OR(
      ISNUMBER(SEARCH(""CDM CASH DEPOSIT"",$C76)),
      ISNUMBER(SEARC"&amp;"H(""CASH DEPOSIT"",$C76))
    ),
    """",
    IFERROR(TEXTJOIN(CHAR(10),TRUE,FILTER('SUMMARY DATA'!H:H,'SUMMARY DATA'!$D:$D=$C76,'SUMMARY DATA'!$B:$B=""RWS"",'SUMMARY DATA'!$H:$H=$D76)),"""")
  )
)"),"")</f>
      </c>
      <c r="I76" s="18" t="str">
        <f>IFERROR(__xludf.DUMMYFUNCTION("IF(H76="""","""",
SUM(ARRAYFORMULA(VALUE(SPLIT(H76,CHAR(10)))))
)"),"")</f>
      </c>
      <c r="J76" s="17" t="str">
        <f>IFERROR(__xludf.DUMMYFUNCTION("IFERROR(
  TEXTJOIN(CHAR(10),TRUE,FILTER('SUMMARY DATA'!I:I,'SUMMARY DATA'!$A:$A=$A76,'SUMMARY DATA'!$C:$C=$B76,'SUMMARY DATA'!$B:$B=""RWS"")),
  IF(
    OR(
      ISNUMBER(SEARCH(""CDM CASH DEPOSIT"",$C76)),
      ISNUMBER(SEARCH(""CASH DEPOSIT"",$C76)),"&amp;"
      COUNTIFS('SUMMARY DATA'!$D:$D,$C76,'SUMMARY DATA'!$B:$B,""RWS"")&lt;&gt;1
    ),
    """",
    IFERROR(TEXTJOIN(CHAR(10),TRUE,FILTER('SUMMARY DATA'!I:I,'SUMMARY DATA'!$D:$D=$C76,'SUMMARY DATA'!$B:$B=""RWS"")),"""")
  )
)"),"")</f>
      </c>
      <c r="K76" s="2"/>
      <c r="L76" s="2"/>
      <c r="M76" s="2"/>
      <c r="N76" s="2"/>
      <c r="O76" s="2"/>
      <c r="P76" s="2"/>
      <c r="Q76" s="2"/>
      <c r="R76" s="2"/>
      <c r="S76" s="2"/>
      <c r="T76" s="2"/>
      <c r="U76" s="2"/>
      <c r="V76" s="2"/>
      <c r="W76" s="2"/>
      <c r="X76" s="2"/>
      <c r="Y76" s="2"/>
      <c r="Z76" s="2"/>
      <c r="AA76" s="2"/>
      <c r="AB76" s="2"/>
    </row>
    <row r="77" spans="1:28" customHeight="true">
      <c r="A77" s="2"/>
      <c r="B77" s="15">
        <v>45911</v>
      </c>
      <c r="C77" s="2" t="s">
        <v>116</v>
      </c>
      <c r="D77" s="3">
        <v>176.68</v>
      </c>
      <c r="E77" s="16" t="str">
        <f>IFERROR(__xludf.DUMMYFUNCTION("IFERROR(
  TEXTJOIN(CHAR(10),TRUE,FILTER('SUMMARY DATA'!E:E,'SUMMARY DATA'!$A:$A=$A77,'SUMMARY DATA'!$C:$C=$B77,'SUMMARY DATA'!$B:$B=""RWS"")),
  IF(
    OR(
      ISNUMBER(SEARCH(""CDM CASH DEPOSIT"",$C77)),
      ISNUMBER(SEARCH(""CASH DEPOSIT"",$C77)),"&amp;"
      COUNTIFS('SUMMARY DATA'!$D:$D,$C77,'SUMMARY DATA'!$B:$B,""RWS"")&lt;&gt;1
    ),
    """",
    IFERROR(TEXTJOIN(CHAR(10),TRUE,FILTER('SUMMARY DATA'!E:E,'SUMMARY DATA'!$D:$D=$C77,'SUMMARY DATA'!$B:$B=""RWS"")),"""")
  )
)"),"")</f>
      </c>
      <c r="F77" s="17" t="str">
        <f>IFERROR(__xludf.DUMMYFUNCTION("IFERROR(
  TEXTJOIN(CHAR(10),TRUE,FILTER('SUMMARY DATA'!F:F,'SUMMARY DATA'!$A:$A=$A77,'SUMMARY DATA'!$C:$C=$B77,'SUMMARY DATA'!$B:$B=""RWS"")),
  IF(
    OR(
      ISNUMBER(SEARCH(""CDM CASH DEPOSIT"",$C77)),
      ISNUMBER(SEARCH(""CASH DEPOSIT"",$C77)),"&amp;"
      COUNTIFS('SUMMARY DATA'!$D:$D,$C77,'SUMMARY DATA'!$B:$B,""RWS"")&lt;&gt;1
    ),
    """",
    IFERROR(TEXTJOIN(CHAR(10),TRUE,FILTER('SUMMARY DATA'!F:F,'SUMMARY DATA'!$D:$D=$C77,'SUMMARY DATA'!$B:$B=""RWS"")),"""")
  )
)"),"")</f>
      </c>
      <c r="G77" s="17" t="str">
        <f>IFERROR(__xludf.DUMMYFUNCTION("IFERROR(
  TEXTJOIN(CHAR(10),TRUE,FILTER('SUMMARY DATA'!G:G,'SUMMARY DATA'!$A:$A=$A77,'SUMMARY DATA'!$C:$C=$B77,'SUMMARY DATA'!$B:$B=""RWS"")),
  IF(
    OR(
      ISNUMBER(SEARCH(""CDM CASH DEPOSIT"",$C77)),
      ISNUMBER(SEARCH(""CASH DEPOSIT"",$C77)),"&amp;"
      COUNTIFS('SUMMARY DATA'!$D:$D,$C77,'SUMMARY DATA'!$B:$B,""RWS"")&lt;&gt;1
    ),
    """",
    IFERROR(TEXTJOIN(CHAR(10),TRUE,FILTER('SUMMARY DATA'!G:G,'SUMMARY DATA'!$D:$D=$C77,'SUMMARY DATA'!$B:$B=""RWS"")),"""")
  )
)"),"")</f>
      </c>
      <c r="H77" s="18" t="str">
        <f>IFERROR(__xludf.DUMMYFUNCTION("IFERROR(
  TEXTJOIN(CHAR(10),TRUE,FILTER('SUMMARY DATA'!H:H,'SUMMARY DATA'!$A:$A=$A77,'SUMMARY DATA'!$C:$C=$B77,'SUMMARY DATA'!$B:$B=""RWS"",'SUMMARY DATA'!$H:$H=$D77)),
  IF(
    OR(
      ISNUMBER(SEARCH(""CDM CASH DEPOSIT"",$C77)),
      ISNUMBER(SEARC"&amp;"H(""CASH DEPOSIT"",$C77))
    ),
    """",
    IFERROR(TEXTJOIN(CHAR(10),TRUE,FILTER('SUMMARY DATA'!H:H,'SUMMARY DATA'!$D:$D=$C77,'SUMMARY DATA'!$B:$B=""RWS"",'SUMMARY DATA'!$H:$H=$D77)),"""")
  )
)"),"")</f>
      </c>
      <c r="I77" s="18" t="str">
        <f>IFERROR(__xludf.DUMMYFUNCTION("IF(H77="""","""",
SUM(ARRAYFORMULA(VALUE(SPLIT(H77,CHAR(10)))))
)"),"")</f>
      </c>
      <c r="J77" s="17" t="str">
        <f>IFERROR(__xludf.DUMMYFUNCTION("IFERROR(
  TEXTJOIN(CHAR(10),TRUE,FILTER('SUMMARY DATA'!I:I,'SUMMARY DATA'!$A:$A=$A77,'SUMMARY DATA'!$C:$C=$B77,'SUMMARY DATA'!$B:$B=""RWS"")),
  IF(
    OR(
      ISNUMBER(SEARCH(""CDM CASH DEPOSIT"",$C77)),
      ISNUMBER(SEARCH(""CASH DEPOSIT"",$C77)),"&amp;"
      COUNTIFS('SUMMARY DATA'!$D:$D,$C77,'SUMMARY DATA'!$B:$B,""RWS"")&lt;&gt;1
    ),
    """",
    IFERROR(TEXTJOIN(CHAR(10),TRUE,FILTER('SUMMARY DATA'!I:I,'SUMMARY DATA'!$D:$D=$C77,'SUMMARY DATA'!$B:$B=""RWS"")),"""")
  )
)"),"")</f>
      </c>
      <c r="K77" s="2"/>
      <c r="L77" s="2"/>
      <c r="M77" s="2"/>
      <c r="N77" s="2"/>
      <c r="O77" s="2"/>
      <c r="P77" s="2"/>
      <c r="Q77" s="2"/>
      <c r="R77" s="2"/>
      <c r="S77" s="2"/>
      <c r="T77" s="2"/>
      <c r="U77" s="2"/>
      <c r="V77" s="2"/>
      <c r="W77" s="2"/>
      <c r="X77" s="2"/>
      <c r="Y77" s="2"/>
      <c r="Z77" s="2"/>
      <c r="AA77" s="2"/>
      <c r="AB77" s="2"/>
    </row>
    <row r="78" spans="1:28" customHeight="true">
      <c r="A78" s="2" t="s">
        <v>117</v>
      </c>
      <c r="B78" s="15">
        <v>45911</v>
      </c>
      <c r="C78" s="2" t="s">
        <v>118</v>
      </c>
      <c r="D78" s="3">
        <v>90</v>
      </c>
      <c r="E78" s="16" t="s">
        <v>2402</v>
      </c>
      <c r="F78" s="17" t="s">
        <v>2403</v>
      </c>
      <c r="G78" s="17" t="s">
        <v>2393</v>
      </c>
      <c r="H78" s="18">
        <v>90</v>
      </c>
      <c r="I78" s="18">
        <v>90</v>
      </c>
      <c r="J78" s="17" t="s">
        <v>2394</v>
      </c>
      <c r="K78" s="2" t="s">
        <v>2395</v>
      </c>
      <c r="L78" s="2"/>
      <c r="M78" s="2"/>
      <c r="N78" s="2"/>
      <c r="O78" s="2"/>
      <c r="P78" s="2"/>
      <c r="Q78" s="2"/>
      <c r="R78" s="2"/>
      <c r="S78" s="2"/>
      <c r="T78" s="2"/>
      <c r="U78" s="2"/>
      <c r="V78" s="2"/>
      <c r="W78" s="2"/>
      <c r="X78" s="2"/>
      <c r="Y78" s="2"/>
      <c r="Z78" s="2"/>
      <c r="AA78" s="2"/>
      <c r="AB78" s="2"/>
    </row>
    <row r="79" spans="1:28" customHeight="true">
      <c r="A79" s="2"/>
      <c r="B79" s="15">
        <v>45911</v>
      </c>
      <c r="C79" s="2" t="s">
        <v>119</v>
      </c>
      <c r="D79" s="3">
        <v>16.77</v>
      </c>
      <c r="E79" s="16" t="str">
        <f>IFERROR(__xludf.DUMMYFUNCTION("IFERROR(
  TEXTJOIN(CHAR(10),TRUE,FILTER('SUMMARY DATA'!E:E,'SUMMARY DATA'!$A:$A=$A79,'SUMMARY DATA'!$C:$C=$B79,'SUMMARY DATA'!$B:$B=""RWS"")),
  IF(
    OR(
      ISNUMBER(SEARCH(""CDM CASH DEPOSIT"",$C79)),
      ISNUMBER(SEARCH(""CASH DEPOSIT"",$C79)),"&amp;"
      COUNTIFS('SUMMARY DATA'!$D:$D,$C79,'SUMMARY DATA'!$B:$B,""RWS"")&lt;&gt;1
    ),
    """",
    IFERROR(TEXTJOIN(CHAR(10),TRUE,FILTER('SUMMARY DATA'!E:E,'SUMMARY DATA'!$D:$D=$C79,'SUMMARY DATA'!$B:$B=""RWS"")),"""")
  )
)"),"")</f>
      </c>
      <c r="F79" s="17" t="str">
        <f>IFERROR(__xludf.DUMMYFUNCTION("IFERROR(
  TEXTJOIN(CHAR(10),TRUE,FILTER('SUMMARY DATA'!F:F,'SUMMARY DATA'!$A:$A=$A79,'SUMMARY DATA'!$C:$C=$B79,'SUMMARY DATA'!$B:$B=""RWS"")),
  IF(
    OR(
      ISNUMBER(SEARCH(""CDM CASH DEPOSIT"",$C79)),
      ISNUMBER(SEARCH(""CASH DEPOSIT"",$C79)),"&amp;"
      COUNTIFS('SUMMARY DATA'!$D:$D,$C79,'SUMMARY DATA'!$B:$B,""RWS"")&lt;&gt;1
    ),
    """",
    IFERROR(TEXTJOIN(CHAR(10),TRUE,FILTER('SUMMARY DATA'!F:F,'SUMMARY DATA'!$D:$D=$C79,'SUMMARY DATA'!$B:$B=""RWS"")),"""")
  )
)"),"")</f>
      </c>
      <c r="G79" s="17" t="str">
        <f>IFERROR(__xludf.DUMMYFUNCTION("IFERROR(
  TEXTJOIN(CHAR(10),TRUE,FILTER('SUMMARY DATA'!G:G,'SUMMARY DATA'!$A:$A=$A79,'SUMMARY DATA'!$C:$C=$B79,'SUMMARY DATA'!$B:$B=""RWS"")),
  IF(
    OR(
      ISNUMBER(SEARCH(""CDM CASH DEPOSIT"",$C79)),
      ISNUMBER(SEARCH(""CASH DEPOSIT"",$C79)),"&amp;"
      COUNTIFS('SUMMARY DATA'!$D:$D,$C79,'SUMMARY DATA'!$B:$B,""RWS"")&lt;&gt;1
    ),
    """",
    IFERROR(TEXTJOIN(CHAR(10),TRUE,FILTER('SUMMARY DATA'!G:G,'SUMMARY DATA'!$D:$D=$C79,'SUMMARY DATA'!$B:$B=""RWS"")),"""")
  )
)"),"")</f>
      </c>
      <c r="H79" s="18" t="str">
        <f>IFERROR(__xludf.DUMMYFUNCTION("IFERROR(
  TEXTJOIN(CHAR(10),TRUE,FILTER('SUMMARY DATA'!H:H,'SUMMARY DATA'!$A:$A=$A79,'SUMMARY DATA'!$C:$C=$B79,'SUMMARY DATA'!$B:$B=""RWS"",'SUMMARY DATA'!$H:$H=$D79)),
  IF(
    OR(
      ISNUMBER(SEARCH(""CDM CASH DEPOSIT"",$C79)),
      ISNUMBER(SEARC"&amp;"H(""CASH DEPOSIT"",$C79))
    ),
    """",
    IFERROR(TEXTJOIN(CHAR(10),TRUE,FILTER('SUMMARY DATA'!H:H,'SUMMARY DATA'!$D:$D=$C79,'SUMMARY DATA'!$B:$B=""RWS"",'SUMMARY DATA'!$H:$H=$D79)),"""")
  )
)"),"")</f>
      </c>
      <c r="I79" s="18" t="str">
        <f>IFERROR(__xludf.DUMMYFUNCTION("IF(H79="""","""",
SUM(ARRAYFORMULA(VALUE(SPLIT(H79,CHAR(10)))))
)"),"")</f>
      </c>
      <c r="J79" s="17" t="str">
        <f>IFERROR(__xludf.DUMMYFUNCTION("IFERROR(
  TEXTJOIN(CHAR(10),TRUE,FILTER('SUMMARY DATA'!I:I,'SUMMARY DATA'!$A:$A=$A79,'SUMMARY DATA'!$C:$C=$B79,'SUMMARY DATA'!$B:$B=""RWS"")),
  IF(
    OR(
      ISNUMBER(SEARCH(""CDM CASH DEPOSIT"",$C79)),
      ISNUMBER(SEARCH(""CASH DEPOSIT"",$C79)),"&amp;"
      COUNTIFS('SUMMARY DATA'!$D:$D,$C79,'SUMMARY DATA'!$B:$B,""RWS"")&lt;&gt;1
    ),
    """",
    IFERROR(TEXTJOIN(CHAR(10),TRUE,FILTER('SUMMARY DATA'!I:I,'SUMMARY DATA'!$D:$D=$C79,'SUMMARY DATA'!$B:$B=""RWS"")),"""")
  )
)"),"")</f>
      </c>
      <c r="K79" s="2"/>
      <c r="L79" s="2"/>
      <c r="M79" s="2"/>
      <c r="N79" s="2"/>
      <c r="O79" s="2"/>
      <c r="P79" s="2"/>
      <c r="Q79" s="2"/>
      <c r="R79" s="2"/>
      <c r="S79" s="2"/>
      <c r="T79" s="2"/>
      <c r="U79" s="2"/>
      <c r="V79" s="2"/>
      <c r="W79" s="2"/>
      <c r="X79" s="2"/>
      <c r="Y79" s="2"/>
      <c r="Z79" s="2"/>
      <c r="AA79" s="2"/>
      <c r="AB79" s="2"/>
    </row>
    <row r="80" spans="1:28" customHeight="true">
      <c r="A80" s="2" t="s">
        <v>120</v>
      </c>
      <c r="B80" s="15">
        <v>45910</v>
      </c>
      <c r="C80" s="2" t="s">
        <v>121</v>
      </c>
      <c r="D80" s="3">
        <v>362</v>
      </c>
      <c r="E80" s="16" t="str">
        <f>IFERROR(__xludf.DUMMYFUNCTION("IFERROR(
  TEXTJOIN(CHAR(10),TRUE,FILTER('SUMMARY DATA'!E:E,'SUMMARY DATA'!$A:$A=$A80,'SUMMARY DATA'!$C:$C=$B80,'SUMMARY DATA'!$B:$B=""RWS"")),
  IF(
    OR(
      ISNUMBER(SEARCH(""CDM CASH DEPOSIT"",$C80)),
      ISNUMBER(SEARCH(""CASH DEPOSIT"",$C80)),"&amp;"
      COUNTIFS('SUMMARY DATA'!$D:$D,$C80,'SUMMARY DATA'!$B:$B,""RWS"")&lt;&gt;1
    ),
    """",
    IFERROR(TEXTJOIN(CHAR(10),TRUE,FILTER('SUMMARY DATA'!E:E,'SUMMARY DATA'!$D:$D=$C80,'SUMMARY DATA'!$B:$B=""RWS"")),"""")
  )
)"),"")</f>
      </c>
      <c r="F80" s="17" t="str">
        <f>IFERROR(__xludf.DUMMYFUNCTION("IFERROR(
  TEXTJOIN(CHAR(10),TRUE,FILTER('SUMMARY DATA'!F:F,'SUMMARY DATA'!$A:$A=$A80,'SUMMARY DATA'!$C:$C=$B80,'SUMMARY DATA'!$B:$B=""RWS"")),
  IF(
    OR(
      ISNUMBER(SEARCH(""CDM CASH DEPOSIT"",$C80)),
      ISNUMBER(SEARCH(""CASH DEPOSIT"",$C80)),"&amp;"
      COUNTIFS('SUMMARY DATA'!$D:$D,$C80,'SUMMARY DATA'!$B:$B,""RWS"")&lt;&gt;1
    ),
    """",
    IFERROR(TEXTJOIN(CHAR(10),TRUE,FILTER('SUMMARY DATA'!F:F,'SUMMARY DATA'!$D:$D=$C80,'SUMMARY DATA'!$B:$B=""RWS"")),"""")
  )
)"),"")</f>
      </c>
      <c r="G80" s="17" t="str">
        <f>IFERROR(__xludf.DUMMYFUNCTION("IFERROR(
  TEXTJOIN(CHAR(10),TRUE,FILTER('SUMMARY DATA'!G:G,'SUMMARY DATA'!$A:$A=$A80,'SUMMARY DATA'!$C:$C=$B80,'SUMMARY DATA'!$B:$B=""RWS"")),
  IF(
    OR(
      ISNUMBER(SEARCH(""CDM CASH DEPOSIT"",$C80)),
      ISNUMBER(SEARCH(""CASH DEPOSIT"",$C80)),"&amp;"
      COUNTIFS('SUMMARY DATA'!$D:$D,$C80,'SUMMARY DATA'!$B:$B,""RWS"")&lt;&gt;1
    ),
    """",
    IFERROR(TEXTJOIN(CHAR(10),TRUE,FILTER('SUMMARY DATA'!G:G,'SUMMARY DATA'!$D:$D=$C80,'SUMMARY DATA'!$B:$B=""RWS"")),"""")
  )
)"),"")</f>
      </c>
      <c r="H80" s="18" t="str">
        <f>IFERROR(__xludf.DUMMYFUNCTION("IFERROR(
  TEXTJOIN(CHAR(10),TRUE,FILTER('SUMMARY DATA'!H:H,'SUMMARY DATA'!$A:$A=$A80,'SUMMARY DATA'!$C:$C=$B80,'SUMMARY DATA'!$B:$B=""RWS"",'SUMMARY DATA'!$H:$H=$D80)),
  IF(
    OR(
      ISNUMBER(SEARCH(""CDM CASH DEPOSIT"",$C80)),
      ISNUMBER(SEARC"&amp;"H(""CASH DEPOSIT"",$C80))
    ),
    """",
    IFERROR(TEXTJOIN(CHAR(10),TRUE,FILTER('SUMMARY DATA'!H:H,'SUMMARY DATA'!$D:$D=$C80,'SUMMARY DATA'!$B:$B=""RWS"",'SUMMARY DATA'!$H:$H=$D80)),"""")
  )
)"),"")</f>
      </c>
      <c r="I80" s="18" t="str">
        <f>IFERROR(__xludf.DUMMYFUNCTION("IF(H80="""","""",
SUM(ARRAYFORMULA(VALUE(SPLIT(H80,CHAR(10)))))
)"),"")</f>
      </c>
      <c r="J80" s="17" t="str">
        <f>IFERROR(__xludf.DUMMYFUNCTION("IFERROR(
  TEXTJOIN(CHAR(10),TRUE,FILTER('SUMMARY DATA'!I:I,'SUMMARY DATA'!$A:$A=$A80,'SUMMARY DATA'!$C:$C=$B80,'SUMMARY DATA'!$B:$B=""RWS"")),
  IF(
    OR(
      ISNUMBER(SEARCH(""CDM CASH DEPOSIT"",$C80)),
      ISNUMBER(SEARCH(""CASH DEPOSIT"",$C80)),"&amp;"
      COUNTIFS('SUMMARY DATA'!$D:$D,$C80,'SUMMARY DATA'!$B:$B,""RWS"")&lt;&gt;1
    ),
    """",
    IFERROR(TEXTJOIN(CHAR(10),TRUE,FILTER('SUMMARY DATA'!I:I,'SUMMARY DATA'!$D:$D=$C80,'SUMMARY DATA'!$B:$B=""RWS"")),"""")
  )
)"),"")</f>
      </c>
      <c r="K80" s="2"/>
      <c r="L80" s="2"/>
      <c r="M80" s="2"/>
      <c r="N80" s="2"/>
      <c r="O80" s="2"/>
      <c r="P80" s="2"/>
      <c r="Q80" s="2"/>
      <c r="R80" s="2"/>
      <c r="S80" s="2"/>
      <c r="T80" s="2"/>
      <c r="U80" s="2"/>
      <c r="V80" s="2"/>
      <c r="W80" s="2"/>
      <c r="X80" s="2"/>
      <c r="Y80" s="2"/>
      <c r="Z80" s="2"/>
      <c r="AA80" s="2"/>
      <c r="AB80" s="2"/>
    </row>
    <row r="81" spans="1:28" customHeight="true">
      <c r="A81" s="2"/>
      <c r="B81" s="15">
        <v>45910</v>
      </c>
      <c r="C81" s="2" t="s">
        <v>122</v>
      </c>
      <c r="D81" s="3">
        <v>9.8</v>
      </c>
      <c r="E81" s="16" t="str">
        <f>IFERROR(__xludf.DUMMYFUNCTION("IFERROR(
  TEXTJOIN(CHAR(10),TRUE,FILTER('SUMMARY DATA'!E:E,'SUMMARY DATA'!$A:$A=$A81,'SUMMARY DATA'!$C:$C=$B81,'SUMMARY DATA'!$B:$B=""RWS"")),
  IF(
    OR(
      ISNUMBER(SEARCH(""CDM CASH DEPOSIT"",$C81)),
      ISNUMBER(SEARCH(""CASH DEPOSIT"",$C81)),"&amp;"
      COUNTIFS('SUMMARY DATA'!$D:$D,$C81,'SUMMARY DATA'!$B:$B,""RWS"")&lt;&gt;1
    ),
    """",
    IFERROR(TEXTJOIN(CHAR(10),TRUE,FILTER('SUMMARY DATA'!E:E,'SUMMARY DATA'!$D:$D=$C81,'SUMMARY DATA'!$B:$B=""RWS"")),"""")
  )
)"),"")</f>
      </c>
      <c r="F81" s="17" t="str">
        <f>IFERROR(__xludf.DUMMYFUNCTION("IFERROR(
  TEXTJOIN(CHAR(10),TRUE,FILTER('SUMMARY DATA'!F:F,'SUMMARY DATA'!$A:$A=$A81,'SUMMARY DATA'!$C:$C=$B81,'SUMMARY DATA'!$B:$B=""RWS"")),
  IF(
    OR(
      ISNUMBER(SEARCH(""CDM CASH DEPOSIT"",$C81)),
      ISNUMBER(SEARCH(""CASH DEPOSIT"",$C81)),"&amp;"
      COUNTIFS('SUMMARY DATA'!$D:$D,$C81,'SUMMARY DATA'!$B:$B,""RWS"")&lt;&gt;1
    ),
    """",
    IFERROR(TEXTJOIN(CHAR(10),TRUE,FILTER('SUMMARY DATA'!F:F,'SUMMARY DATA'!$D:$D=$C81,'SUMMARY DATA'!$B:$B=""RWS"")),"""")
  )
)"),"")</f>
      </c>
      <c r="G81" s="17" t="str">
        <f>IFERROR(__xludf.DUMMYFUNCTION("IFERROR(
  TEXTJOIN(CHAR(10),TRUE,FILTER('SUMMARY DATA'!G:G,'SUMMARY DATA'!$A:$A=$A81,'SUMMARY DATA'!$C:$C=$B81,'SUMMARY DATA'!$B:$B=""RWS"")),
  IF(
    OR(
      ISNUMBER(SEARCH(""CDM CASH DEPOSIT"",$C81)),
      ISNUMBER(SEARCH(""CASH DEPOSIT"",$C81)),"&amp;"
      COUNTIFS('SUMMARY DATA'!$D:$D,$C81,'SUMMARY DATA'!$B:$B,""RWS"")&lt;&gt;1
    ),
    """",
    IFERROR(TEXTJOIN(CHAR(10),TRUE,FILTER('SUMMARY DATA'!G:G,'SUMMARY DATA'!$D:$D=$C81,'SUMMARY DATA'!$B:$B=""RWS"")),"""")
  )
)"),"")</f>
      </c>
      <c r="H81" s="18" t="str">
        <f>IFERROR(__xludf.DUMMYFUNCTION("IFERROR(
  TEXTJOIN(CHAR(10),TRUE,FILTER('SUMMARY DATA'!H:H,'SUMMARY DATA'!$A:$A=$A81,'SUMMARY DATA'!$C:$C=$B81,'SUMMARY DATA'!$B:$B=""RWS"",'SUMMARY DATA'!$H:$H=$D81)),
  IF(
    OR(
      ISNUMBER(SEARCH(""CDM CASH DEPOSIT"",$C81)),
      ISNUMBER(SEARC"&amp;"H(""CASH DEPOSIT"",$C81))
    ),
    """",
    IFERROR(TEXTJOIN(CHAR(10),TRUE,FILTER('SUMMARY DATA'!H:H,'SUMMARY DATA'!$D:$D=$C81,'SUMMARY DATA'!$B:$B=""RWS"",'SUMMARY DATA'!$H:$H=$D81)),"""")
  )
)"),"")</f>
      </c>
      <c r="I81" s="18" t="str">
        <f>IFERROR(__xludf.DUMMYFUNCTION("IF(H81="""","""",
SUM(ARRAYFORMULA(VALUE(SPLIT(H81,CHAR(10)))))
)"),"")</f>
      </c>
      <c r="J81" s="17" t="str">
        <f>IFERROR(__xludf.DUMMYFUNCTION("IFERROR(
  TEXTJOIN(CHAR(10),TRUE,FILTER('SUMMARY DATA'!I:I,'SUMMARY DATA'!$A:$A=$A81,'SUMMARY DATA'!$C:$C=$B81,'SUMMARY DATA'!$B:$B=""RWS"")),
  IF(
    OR(
      ISNUMBER(SEARCH(""CDM CASH DEPOSIT"",$C81)),
      ISNUMBER(SEARCH(""CASH DEPOSIT"",$C81)),"&amp;"
      COUNTIFS('SUMMARY DATA'!$D:$D,$C81,'SUMMARY DATA'!$B:$B,""RWS"")&lt;&gt;1
    ),
    """",
    IFERROR(TEXTJOIN(CHAR(10),TRUE,FILTER('SUMMARY DATA'!I:I,'SUMMARY DATA'!$D:$D=$C81,'SUMMARY DATA'!$B:$B=""RWS"")),"""")
  )
)"),"")</f>
      </c>
      <c r="K81" s="2"/>
      <c r="L81" s="2"/>
      <c r="M81" s="2"/>
      <c r="N81" s="2"/>
      <c r="O81" s="2"/>
      <c r="P81" s="2"/>
      <c r="Q81" s="2"/>
      <c r="R81" s="2"/>
      <c r="S81" s="2"/>
      <c r="T81" s="2"/>
      <c r="U81" s="2"/>
      <c r="V81" s="2"/>
      <c r="W81" s="2"/>
      <c r="X81" s="2"/>
      <c r="Y81" s="2"/>
      <c r="Z81" s="2"/>
      <c r="AA81" s="2"/>
      <c r="AB81" s="2"/>
    </row>
    <row r="82" spans="1:28" customHeight="true">
      <c r="A82" s="2" t="s">
        <v>123</v>
      </c>
      <c r="B82" s="15">
        <v>45910</v>
      </c>
      <c r="C82" s="2" t="s">
        <v>124</v>
      </c>
      <c r="D82" s="3">
        <v>59.9</v>
      </c>
      <c r="E82" s="16" t="str">
        <f>IFERROR(__xludf.DUMMYFUNCTION("IFERROR(
  TEXTJOIN(CHAR(10),TRUE,FILTER('SUMMARY DATA'!E:E,'SUMMARY DATA'!$A:$A=$A82,'SUMMARY DATA'!$C:$C=$B82,'SUMMARY DATA'!$B:$B=""RWS"")),
  IF(
    OR(
      ISNUMBER(SEARCH(""CDM CASH DEPOSIT"",$C82)),
      ISNUMBER(SEARCH(""CASH DEPOSIT"",$C82)),"&amp;"
      COUNTIFS('SUMMARY DATA'!$D:$D,$C82,'SUMMARY DATA'!$B:$B,""RWS"")&lt;&gt;1
    ),
    """",
    IFERROR(TEXTJOIN(CHAR(10),TRUE,FILTER('SUMMARY DATA'!E:E,'SUMMARY DATA'!$D:$D=$C82,'SUMMARY DATA'!$B:$B=""RWS"")),"""")
  )
)"),"")</f>
      </c>
      <c r="F82" s="17" t="str">
        <f>IFERROR(__xludf.DUMMYFUNCTION("IFERROR(
  TEXTJOIN(CHAR(10),TRUE,FILTER('SUMMARY DATA'!F:F,'SUMMARY DATA'!$A:$A=$A82,'SUMMARY DATA'!$C:$C=$B82,'SUMMARY DATA'!$B:$B=""RWS"")),
  IF(
    OR(
      ISNUMBER(SEARCH(""CDM CASH DEPOSIT"",$C82)),
      ISNUMBER(SEARCH(""CASH DEPOSIT"",$C82)),"&amp;"
      COUNTIFS('SUMMARY DATA'!$D:$D,$C82,'SUMMARY DATA'!$B:$B,""RWS"")&lt;&gt;1
    ),
    """",
    IFERROR(TEXTJOIN(CHAR(10),TRUE,FILTER('SUMMARY DATA'!F:F,'SUMMARY DATA'!$D:$D=$C82,'SUMMARY DATA'!$B:$B=""RWS"")),"""")
  )
)"),"")</f>
      </c>
      <c r="G82" s="17" t="str">
        <f>IFERROR(__xludf.DUMMYFUNCTION("IFERROR(
  TEXTJOIN(CHAR(10),TRUE,FILTER('SUMMARY DATA'!G:G,'SUMMARY DATA'!$A:$A=$A82,'SUMMARY DATA'!$C:$C=$B82,'SUMMARY DATA'!$B:$B=""RWS"")),
  IF(
    OR(
      ISNUMBER(SEARCH(""CDM CASH DEPOSIT"",$C82)),
      ISNUMBER(SEARCH(""CASH DEPOSIT"",$C82)),"&amp;"
      COUNTIFS('SUMMARY DATA'!$D:$D,$C82,'SUMMARY DATA'!$B:$B,""RWS"")&lt;&gt;1
    ),
    """",
    IFERROR(TEXTJOIN(CHAR(10),TRUE,FILTER('SUMMARY DATA'!G:G,'SUMMARY DATA'!$D:$D=$C82,'SUMMARY DATA'!$B:$B=""RWS"")),"""")
  )
)"),"")</f>
      </c>
      <c r="H82" s="18" t="str">
        <f>IFERROR(__xludf.DUMMYFUNCTION("IFERROR(
  TEXTJOIN(CHAR(10),TRUE,FILTER('SUMMARY DATA'!H:H,'SUMMARY DATA'!$A:$A=$A82,'SUMMARY DATA'!$C:$C=$B82,'SUMMARY DATA'!$B:$B=""RWS"",'SUMMARY DATA'!$H:$H=$D82)),
  IF(
    OR(
      ISNUMBER(SEARCH(""CDM CASH DEPOSIT"",$C82)),
      ISNUMBER(SEARC"&amp;"H(""CASH DEPOSIT"",$C82))
    ),
    """",
    IFERROR(TEXTJOIN(CHAR(10),TRUE,FILTER('SUMMARY DATA'!H:H,'SUMMARY DATA'!$D:$D=$C82,'SUMMARY DATA'!$B:$B=""RWS"",'SUMMARY DATA'!$H:$H=$D82)),"""")
  )
)"),"")</f>
      </c>
      <c r="I82" s="18" t="str">
        <f>IFERROR(__xludf.DUMMYFUNCTION("IF(H82="""","""",
SUM(ARRAYFORMULA(VALUE(SPLIT(H82,CHAR(10)))))
)"),"")</f>
      </c>
      <c r="J82" s="17" t="str">
        <f>IFERROR(__xludf.DUMMYFUNCTION("IFERROR(
  TEXTJOIN(CHAR(10),TRUE,FILTER('SUMMARY DATA'!I:I,'SUMMARY DATA'!$A:$A=$A82,'SUMMARY DATA'!$C:$C=$B82,'SUMMARY DATA'!$B:$B=""RWS"")),
  IF(
    OR(
      ISNUMBER(SEARCH(""CDM CASH DEPOSIT"",$C82)),
      ISNUMBER(SEARCH(""CASH DEPOSIT"",$C82)),"&amp;"
      COUNTIFS('SUMMARY DATA'!$D:$D,$C82,'SUMMARY DATA'!$B:$B,""RWS"")&lt;&gt;1
    ),
    """",
    IFERROR(TEXTJOIN(CHAR(10),TRUE,FILTER('SUMMARY DATA'!I:I,'SUMMARY DATA'!$D:$D=$C82,'SUMMARY DATA'!$B:$B=""RWS"")),"""")
  )
)"),"")</f>
      </c>
      <c r="K82" s="2"/>
      <c r="L82" s="2"/>
      <c r="M82" s="2"/>
      <c r="N82" s="2"/>
      <c r="O82" s="2"/>
      <c r="P82" s="2"/>
      <c r="Q82" s="2"/>
      <c r="R82" s="2"/>
      <c r="S82" s="2"/>
      <c r="T82" s="2"/>
      <c r="U82" s="2"/>
      <c r="V82" s="2"/>
      <c r="W82" s="2"/>
      <c r="X82" s="2"/>
      <c r="Y82" s="2"/>
      <c r="Z82" s="2"/>
      <c r="AA82" s="2"/>
      <c r="AB82" s="2"/>
    </row>
    <row r="83" spans="1:28" customHeight="true">
      <c r="A83" s="2" t="s">
        <v>125</v>
      </c>
      <c r="B83" s="15">
        <v>45910</v>
      </c>
      <c r="C83" s="2" t="s">
        <v>126</v>
      </c>
      <c r="D83" s="3">
        <v>77.76</v>
      </c>
      <c r="E83" s="16" t="str">
        <f>IFERROR(__xludf.DUMMYFUNCTION("IFERROR(
  TEXTJOIN(CHAR(10),TRUE,FILTER('SUMMARY DATA'!E:E,'SUMMARY DATA'!$A:$A=$A83,'SUMMARY DATA'!$C:$C=$B83,'SUMMARY DATA'!$B:$B=""RWS"")),
  IF(
    OR(
      ISNUMBER(SEARCH(""CDM CASH DEPOSIT"",$C83)),
      ISNUMBER(SEARCH(""CASH DEPOSIT"",$C83)),"&amp;"
      COUNTIFS('SUMMARY DATA'!$D:$D,$C83,'SUMMARY DATA'!$B:$B,""RWS"")&lt;&gt;1
    ),
    """",
    IFERROR(TEXTJOIN(CHAR(10),TRUE,FILTER('SUMMARY DATA'!E:E,'SUMMARY DATA'!$D:$D=$C83,'SUMMARY DATA'!$B:$B=""RWS"")),"""")
  )
)"),"")</f>
      </c>
      <c r="F83" s="17" t="str">
        <f>IFERROR(__xludf.DUMMYFUNCTION("IFERROR(
  TEXTJOIN(CHAR(10),TRUE,FILTER('SUMMARY DATA'!F:F,'SUMMARY DATA'!$A:$A=$A83,'SUMMARY DATA'!$C:$C=$B83,'SUMMARY DATA'!$B:$B=""RWS"")),
  IF(
    OR(
      ISNUMBER(SEARCH(""CDM CASH DEPOSIT"",$C83)),
      ISNUMBER(SEARCH(""CASH DEPOSIT"",$C83)),"&amp;"
      COUNTIFS('SUMMARY DATA'!$D:$D,$C83,'SUMMARY DATA'!$B:$B,""RWS"")&lt;&gt;1
    ),
    """",
    IFERROR(TEXTJOIN(CHAR(10),TRUE,FILTER('SUMMARY DATA'!F:F,'SUMMARY DATA'!$D:$D=$C83,'SUMMARY DATA'!$B:$B=""RWS"")),"""")
  )
)"),"")</f>
      </c>
      <c r="G83" s="17" t="str">
        <f>IFERROR(__xludf.DUMMYFUNCTION("IFERROR(
  TEXTJOIN(CHAR(10),TRUE,FILTER('SUMMARY DATA'!G:G,'SUMMARY DATA'!$A:$A=$A83,'SUMMARY DATA'!$C:$C=$B83,'SUMMARY DATA'!$B:$B=""RWS"")),
  IF(
    OR(
      ISNUMBER(SEARCH(""CDM CASH DEPOSIT"",$C83)),
      ISNUMBER(SEARCH(""CASH DEPOSIT"",$C83)),"&amp;"
      COUNTIFS('SUMMARY DATA'!$D:$D,$C83,'SUMMARY DATA'!$B:$B,""RWS"")&lt;&gt;1
    ),
    """",
    IFERROR(TEXTJOIN(CHAR(10),TRUE,FILTER('SUMMARY DATA'!G:G,'SUMMARY DATA'!$D:$D=$C83,'SUMMARY DATA'!$B:$B=""RWS"")),"""")
  )
)"),"")</f>
      </c>
      <c r="H83" s="18" t="str">
        <f>IFERROR(__xludf.DUMMYFUNCTION("IFERROR(
  TEXTJOIN(CHAR(10),TRUE,FILTER('SUMMARY DATA'!H:H,'SUMMARY DATA'!$A:$A=$A83,'SUMMARY DATA'!$C:$C=$B83,'SUMMARY DATA'!$B:$B=""RWS"",'SUMMARY DATA'!$H:$H=$D83)),
  IF(
    OR(
      ISNUMBER(SEARCH(""CDM CASH DEPOSIT"",$C83)),
      ISNUMBER(SEARC"&amp;"H(""CASH DEPOSIT"",$C83))
    ),
    """",
    IFERROR(TEXTJOIN(CHAR(10),TRUE,FILTER('SUMMARY DATA'!H:H,'SUMMARY DATA'!$D:$D=$C83,'SUMMARY DATA'!$B:$B=""RWS"",'SUMMARY DATA'!$H:$H=$D83)),"""")
  )
)"),"")</f>
      </c>
      <c r="I83" s="18" t="str">
        <f>IFERROR(__xludf.DUMMYFUNCTION("IF(H83="""","""",
SUM(ARRAYFORMULA(VALUE(SPLIT(H83,CHAR(10)))))
)"),"")</f>
      </c>
      <c r="J83" s="17" t="str">
        <f>IFERROR(__xludf.DUMMYFUNCTION("IFERROR(
  TEXTJOIN(CHAR(10),TRUE,FILTER('SUMMARY DATA'!I:I,'SUMMARY DATA'!$A:$A=$A83,'SUMMARY DATA'!$C:$C=$B83,'SUMMARY DATA'!$B:$B=""RWS"")),
  IF(
    OR(
      ISNUMBER(SEARCH(""CDM CASH DEPOSIT"",$C83)),
      ISNUMBER(SEARCH(""CASH DEPOSIT"",$C83)),"&amp;"
      COUNTIFS('SUMMARY DATA'!$D:$D,$C83,'SUMMARY DATA'!$B:$B,""RWS"")&lt;&gt;1
    ),
    """",
    IFERROR(TEXTJOIN(CHAR(10),TRUE,FILTER('SUMMARY DATA'!I:I,'SUMMARY DATA'!$D:$D=$C83,'SUMMARY DATA'!$B:$B=""RWS"")),"""")
  )
)"),"")</f>
      </c>
      <c r="K83" s="2"/>
      <c r="L83" s="2"/>
      <c r="M83" s="2"/>
      <c r="N83" s="2"/>
      <c r="O83" s="2"/>
      <c r="P83" s="2"/>
      <c r="Q83" s="2"/>
      <c r="R83" s="2"/>
      <c r="S83" s="2"/>
      <c r="T83" s="2"/>
      <c r="U83" s="2"/>
      <c r="V83" s="2"/>
      <c r="W83" s="2"/>
      <c r="X83" s="2"/>
      <c r="Y83" s="2"/>
      <c r="Z83" s="2"/>
      <c r="AA83" s="2"/>
      <c r="AB83" s="2"/>
    </row>
    <row r="84" spans="1:28" customHeight="true">
      <c r="A84" s="2" t="s">
        <v>127</v>
      </c>
      <c r="B84" s="15">
        <v>45910</v>
      </c>
      <c r="C84" s="2" t="s">
        <v>128</v>
      </c>
      <c r="D84" s="3">
        <v>175.76</v>
      </c>
      <c r="E84" s="16" t="str">
        <f>IFERROR(__xludf.DUMMYFUNCTION("IFERROR(
  TEXTJOIN(CHAR(10),TRUE,FILTER('SUMMARY DATA'!E:E,'SUMMARY DATA'!$A:$A=$A84,'SUMMARY DATA'!$C:$C=$B84,'SUMMARY DATA'!$B:$B=""RWS"")),
  IF(
    OR(
      ISNUMBER(SEARCH(""CDM CASH DEPOSIT"",$C84)),
      ISNUMBER(SEARCH(""CASH DEPOSIT"",$C84)),"&amp;"
      COUNTIFS('SUMMARY DATA'!$D:$D,$C84,'SUMMARY DATA'!$B:$B,""RWS"")&lt;&gt;1
    ),
    """",
    IFERROR(TEXTJOIN(CHAR(10),TRUE,FILTER('SUMMARY DATA'!E:E,'SUMMARY DATA'!$D:$D=$C84,'SUMMARY DATA'!$B:$B=""RWS"")),"""")
  )
)"),"")</f>
      </c>
      <c r="F84" s="17" t="str">
        <f>IFERROR(__xludf.DUMMYFUNCTION("IFERROR(
  TEXTJOIN(CHAR(10),TRUE,FILTER('SUMMARY DATA'!F:F,'SUMMARY DATA'!$A:$A=$A84,'SUMMARY DATA'!$C:$C=$B84,'SUMMARY DATA'!$B:$B=""RWS"")),
  IF(
    OR(
      ISNUMBER(SEARCH(""CDM CASH DEPOSIT"",$C84)),
      ISNUMBER(SEARCH(""CASH DEPOSIT"",$C84)),"&amp;"
      COUNTIFS('SUMMARY DATA'!$D:$D,$C84,'SUMMARY DATA'!$B:$B,""RWS"")&lt;&gt;1
    ),
    """",
    IFERROR(TEXTJOIN(CHAR(10),TRUE,FILTER('SUMMARY DATA'!F:F,'SUMMARY DATA'!$D:$D=$C84,'SUMMARY DATA'!$B:$B=""RWS"")),"""")
  )
)"),"")</f>
      </c>
      <c r="G84" s="17" t="str">
        <f>IFERROR(__xludf.DUMMYFUNCTION("IFERROR(
  TEXTJOIN(CHAR(10),TRUE,FILTER('SUMMARY DATA'!G:G,'SUMMARY DATA'!$A:$A=$A84,'SUMMARY DATA'!$C:$C=$B84,'SUMMARY DATA'!$B:$B=""RWS"")),
  IF(
    OR(
      ISNUMBER(SEARCH(""CDM CASH DEPOSIT"",$C84)),
      ISNUMBER(SEARCH(""CASH DEPOSIT"",$C84)),"&amp;"
      COUNTIFS('SUMMARY DATA'!$D:$D,$C84,'SUMMARY DATA'!$B:$B,""RWS"")&lt;&gt;1
    ),
    """",
    IFERROR(TEXTJOIN(CHAR(10),TRUE,FILTER('SUMMARY DATA'!G:G,'SUMMARY DATA'!$D:$D=$C84,'SUMMARY DATA'!$B:$B=""RWS"")),"""")
  )
)"),"")</f>
      </c>
      <c r="H84" s="18" t="str">
        <f>IFERROR(__xludf.DUMMYFUNCTION("IFERROR(
  TEXTJOIN(CHAR(10),TRUE,FILTER('SUMMARY DATA'!H:H,'SUMMARY DATA'!$A:$A=$A84,'SUMMARY DATA'!$C:$C=$B84,'SUMMARY DATA'!$B:$B=""RWS"",'SUMMARY DATA'!$H:$H=$D84)),
  IF(
    OR(
      ISNUMBER(SEARCH(""CDM CASH DEPOSIT"",$C84)),
      ISNUMBER(SEARC"&amp;"H(""CASH DEPOSIT"",$C84))
    ),
    """",
    IFERROR(TEXTJOIN(CHAR(10),TRUE,FILTER('SUMMARY DATA'!H:H,'SUMMARY DATA'!$D:$D=$C84,'SUMMARY DATA'!$B:$B=""RWS"",'SUMMARY DATA'!$H:$H=$D84)),"""")
  )
)"),"")</f>
      </c>
      <c r="I84" s="18" t="str">
        <f>IFERROR(__xludf.DUMMYFUNCTION("IF(H84="""","""",
SUM(ARRAYFORMULA(VALUE(SPLIT(H84,CHAR(10)))))
)"),"")</f>
      </c>
      <c r="J84" s="17" t="str">
        <f>IFERROR(__xludf.DUMMYFUNCTION("IFERROR(
  TEXTJOIN(CHAR(10),TRUE,FILTER('SUMMARY DATA'!I:I,'SUMMARY DATA'!$A:$A=$A84,'SUMMARY DATA'!$C:$C=$B84,'SUMMARY DATA'!$B:$B=""RWS"")),
  IF(
    OR(
      ISNUMBER(SEARCH(""CDM CASH DEPOSIT"",$C84)),
      ISNUMBER(SEARCH(""CASH DEPOSIT"",$C84)),"&amp;"
      COUNTIFS('SUMMARY DATA'!$D:$D,$C84,'SUMMARY DATA'!$B:$B,""RWS"")&lt;&gt;1
    ),
    """",
    IFERROR(TEXTJOIN(CHAR(10),TRUE,FILTER('SUMMARY DATA'!I:I,'SUMMARY DATA'!$D:$D=$C84,'SUMMARY DATA'!$B:$B=""RWS"")),"""")
  )
)"),"")</f>
      </c>
      <c r="K84" s="2"/>
      <c r="L84" s="2"/>
      <c r="M84" s="2"/>
      <c r="N84" s="2"/>
      <c r="O84" s="2"/>
      <c r="P84" s="2"/>
      <c r="Q84" s="2"/>
      <c r="R84" s="2"/>
      <c r="S84" s="2"/>
      <c r="T84" s="2"/>
      <c r="U84" s="2"/>
      <c r="V84" s="2"/>
      <c r="W84" s="2"/>
      <c r="X84" s="2"/>
      <c r="Y84" s="2"/>
      <c r="Z84" s="2"/>
      <c r="AA84" s="2"/>
      <c r="AB84" s="2"/>
    </row>
    <row r="85" spans="1:28" customHeight="true">
      <c r="A85" s="2"/>
      <c r="B85" s="15">
        <v>45909</v>
      </c>
      <c r="C85" s="2" t="s">
        <v>129</v>
      </c>
      <c r="D85" s="3">
        <v>99</v>
      </c>
      <c r="E85" s="16" t="str">
        <f>IFERROR(__xludf.DUMMYFUNCTION("IFERROR(
  TEXTJOIN(CHAR(10),TRUE,FILTER('SUMMARY DATA'!E:E,'SUMMARY DATA'!$A:$A=$A85,'SUMMARY DATA'!$C:$C=$B85,'SUMMARY DATA'!$B:$B=""RWS"")),
  IF(
    OR(
      ISNUMBER(SEARCH(""CDM CASH DEPOSIT"",$C85)),
      ISNUMBER(SEARCH(""CASH DEPOSIT"",$C85)),"&amp;"
      COUNTIFS('SUMMARY DATA'!$D:$D,$C85,'SUMMARY DATA'!$B:$B,""RWS"")&lt;&gt;1
    ),
    """",
    IFERROR(TEXTJOIN(CHAR(10),TRUE,FILTER('SUMMARY DATA'!E:E,'SUMMARY DATA'!$D:$D=$C85,'SUMMARY DATA'!$B:$B=""RWS"")),"""")
  )
)"),"")</f>
      </c>
      <c r="F85" s="17" t="str">
        <f>IFERROR(__xludf.DUMMYFUNCTION("IFERROR(
  TEXTJOIN(CHAR(10),TRUE,FILTER('SUMMARY DATA'!F:F,'SUMMARY DATA'!$A:$A=$A85,'SUMMARY DATA'!$C:$C=$B85,'SUMMARY DATA'!$B:$B=""RWS"")),
  IF(
    OR(
      ISNUMBER(SEARCH(""CDM CASH DEPOSIT"",$C85)),
      ISNUMBER(SEARCH(""CASH DEPOSIT"",$C85)),"&amp;"
      COUNTIFS('SUMMARY DATA'!$D:$D,$C85,'SUMMARY DATA'!$B:$B,""RWS"")&lt;&gt;1
    ),
    """",
    IFERROR(TEXTJOIN(CHAR(10),TRUE,FILTER('SUMMARY DATA'!F:F,'SUMMARY DATA'!$D:$D=$C85,'SUMMARY DATA'!$B:$B=""RWS"")),"""")
  )
)"),"")</f>
      </c>
      <c r="G85" s="17" t="str">
        <f>IFERROR(__xludf.DUMMYFUNCTION("IFERROR(
  TEXTJOIN(CHAR(10),TRUE,FILTER('SUMMARY DATA'!G:G,'SUMMARY DATA'!$A:$A=$A85,'SUMMARY DATA'!$C:$C=$B85,'SUMMARY DATA'!$B:$B=""RWS"")),
  IF(
    OR(
      ISNUMBER(SEARCH(""CDM CASH DEPOSIT"",$C85)),
      ISNUMBER(SEARCH(""CASH DEPOSIT"",$C85)),"&amp;"
      COUNTIFS('SUMMARY DATA'!$D:$D,$C85,'SUMMARY DATA'!$B:$B,""RWS"")&lt;&gt;1
    ),
    """",
    IFERROR(TEXTJOIN(CHAR(10),TRUE,FILTER('SUMMARY DATA'!G:G,'SUMMARY DATA'!$D:$D=$C85,'SUMMARY DATA'!$B:$B=""RWS"")),"""")
  )
)"),"")</f>
      </c>
      <c r="H85" s="18" t="str">
        <f>IFERROR(__xludf.DUMMYFUNCTION("IFERROR(
  TEXTJOIN(CHAR(10),TRUE,FILTER('SUMMARY DATA'!H:H,'SUMMARY DATA'!$A:$A=$A85,'SUMMARY DATA'!$C:$C=$B85,'SUMMARY DATA'!$B:$B=""RWS"",'SUMMARY DATA'!$H:$H=$D85)),
  IF(
    OR(
      ISNUMBER(SEARCH(""CDM CASH DEPOSIT"",$C85)),
      ISNUMBER(SEARC"&amp;"H(""CASH DEPOSIT"",$C85))
    ),
    """",
    IFERROR(TEXTJOIN(CHAR(10),TRUE,FILTER('SUMMARY DATA'!H:H,'SUMMARY DATA'!$D:$D=$C85,'SUMMARY DATA'!$B:$B=""RWS"",'SUMMARY DATA'!$H:$H=$D85)),"""")
  )
)"),"")</f>
      </c>
      <c r="I85" s="18" t="str">
        <f>IFERROR(__xludf.DUMMYFUNCTION("IF(H85="""","""",
SUM(ARRAYFORMULA(VALUE(SPLIT(H85,CHAR(10)))))
)"),"")</f>
      </c>
      <c r="J85" s="17" t="str">
        <f>IFERROR(__xludf.DUMMYFUNCTION("IFERROR(
  TEXTJOIN(CHAR(10),TRUE,FILTER('SUMMARY DATA'!I:I,'SUMMARY DATA'!$A:$A=$A85,'SUMMARY DATA'!$C:$C=$B85,'SUMMARY DATA'!$B:$B=""RWS"")),
  IF(
    OR(
      ISNUMBER(SEARCH(""CDM CASH DEPOSIT"",$C85)),
      ISNUMBER(SEARCH(""CASH DEPOSIT"",$C85)),"&amp;"
      COUNTIFS('SUMMARY DATA'!$D:$D,$C85,'SUMMARY DATA'!$B:$B,""RWS"")&lt;&gt;1
    ),
    """",
    IFERROR(TEXTJOIN(CHAR(10),TRUE,FILTER('SUMMARY DATA'!I:I,'SUMMARY DATA'!$D:$D=$C85,'SUMMARY DATA'!$B:$B=""RWS"")),"""")
  )
)"),"")</f>
      </c>
      <c r="K85" s="2"/>
      <c r="L85" s="2"/>
      <c r="M85" s="2"/>
      <c r="N85" s="2"/>
      <c r="O85" s="2"/>
      <c r="P85" s="2"/>
      <c r="Q85" s="2"/>
      <c r="R85" s="2"/>
      <c r="S85" s="2"/>
      <c r="T85" s="2"/>
      <c r="U85" s="2"/>
      <c r="V85" s="2"/>
      <c r="W85" s="2"/>
      <c r="X85" s="2"/>
      <c r="Y85" s="2"/>
      <c r="Z85" s="2"/>
      <c r="AA85" s="2"/>
      <c r="AB85" s="2"/>
    </row>
    <row r="86" spans="1:28" customHeight="true">
      <c r="A86" s="2" t="s">
        <v>130</v>
      </c>
      <c r="B86" s="15">
        <v>45909</v>
      </c>
      <c r="C86" s="2" t="s">
        <v>131</v>
      </c>
      <c r="D86" s="3">
        <v>565.74</v>
      </c>
      <c r="E86" s="16" t="s">
        <v>2404</v>
      </c>
      <c r="F86" s="17" t="s">
        <v>2405</v>
      </c>
      <c r="G86" s="17" t="s">
        <v>2393</v>
      </c>
      <c r="H86" s="18">
        <v>565.74</v>
      </c>
      <c r="I86" s="18">
        <v>565.74</v>
      </c>
      <c r="J86" s="17" t="s">
        <v>2394</v>
      </c>
      <c r="K86" s="2" t="s">
        <v>2395</v>
      </c>
      <c r="L86" s="2"/>
      <c r="M86" s="2"/>
      <c r="N86" s="2"/>
      <c r="O86" s="2"/>
      <c r="P86" s="2"/>
      <c r="Q86" s="2"/>
      <c r="R86" s="2"/>
      <c r="S86" s="2"/>
      <c r="T86" s="2"/>
      <c r="U86" s="2"/>
      <c r="V86" s="2"/>
      <c r="W86" s="2"/>
      <c r="X86" s="2"/>
      <c r="Y86" s="2"/>
      <c r="Z86" s="2"/>
      <c r="AA86" s="2"/>
      <c r="AB86" s="2"/>
    </row>
    <row r="87" spans="1:28" customHeight="true">
      <c r="A87" s="2"/>
      <c r="B87" s="15">
        <v>45909</v>
      </c>
      <c r="C87" s="2" t="s">
        <v>132</v>
      </c>
      <c r="D87" s="3">
        <v>109</v>
      </c>
      <c r="E87" s="16" t="str">
        <f>IFERROR(__xludf.DUMMYFUNCTION("IFERROR(
  TEXTJOIN(CHAR(10),TRUE,FILTER('SUMMARY DATA'!E:E,'SUMMARY DATA'!$A:$A=$A87,'SUMMARY DATA'!$C:$C=$B87,'SUMMARY DATA'!$B:$B=""RWS"")),
  IF(
    OR(
      ISNUMBER(SEARCH(""CDM CASH DEPOSIT"",$C87)),
      ISNUMBER(SEARCH(""CASH DEPOSIT"",$C87)),"&amp;"
      COUNTIFS('SUMMARY DATA'!$D:$D,$C87,'SUMMARY DATA'!$B:$B,""RWS"")&lt;&gt;1
    ),
    """",
    IFERROR(TEXTJOIN(CHAR(10),TRUE,FILTER('SUMMARY DATA'!E:E,'SUMMARY DATA'!$D:$D=$C87,'SUMMARY DATA'!$B:$B=""RWS"")),"""")
  )
)"),"")</f>
      </c>
      <c r="F87" s="17" t="str">
        <f>IFERROR(__xludf.DUMMYFUNCTION("IFERROR(
  TEXTJOIN(CHAR(10),TRUE,FILTER('SUMMARY DATA'!F:F,'SUMMARY DATA'!$A:$A=$A87,'SUMMARY DATA'!$C:$C=$B87,'SUMMARY DATA'!$B:$B=""RWS"")),
  IF(
    OR(
      ISNUMBER(SEARCH(""CDM CASH DEPOSIT"",$C87)),
      ISNUMBER(SEARCH(""CASH DEPOSIT"",$C87)),"&amp;"
      COUNTIFS('SUMMARY DATA'!$D:$D,$C87,'SUMMARY DATA'!$B:$B,""RWS"")&lt;&gt;1
    ),
    """",
    IFERROR(TEXTJOIN(CHAR(10),TRUE,FILTER('SUMMARY DATA'!F:F,'SUMMARY DATA'!$D:$D=$C87,'SUMMARY DATA'!$B:$B=""RWS"")),"""")
  )
)"),"")</f>
      </c>
      <c r="G87" s="17" t="str">
        <f>IFERROR(__xludf.DUMMYFUNCTION("IFERROR(
  TEXTJOIN(CHAR(10),TRUE,FILTER('SUMMARY DATA'!G:G,'SUMMARY DATA'!$A:$A=$A87,'SUMMARY DATA'!$C:$C=$B87,'SUMMARY DATA'!$B:$B=""RWS"")),
  IF(
    OR(
      ISNUMBER(SEARCH(""CDM CASH DEPOSIT"",$C87)),
      ISNUMBER(SEARCH(""CASH DEPOSIT"",$C87)),"&amp;"
      COUNTIFS('SUMMARY DATA'!$D:$D,$C87,'SUMMARY DATA'!$B:$B,""RWS"")&lt;&gt;1
    ),
    """",
    IFERROR(TEXTJOIN(CHAR(10),TRUE,FILTER('SUMMARY DATA'!G:G,'SUMMARY DATA'!$D:$D=$C87,'SUMMARY DATA'!$B:$B=""RWS"")),"""")
  )
)"),"")</f>
      </c>
      <c r="H87" s="18" t="str">
        <f>IFERROR(__xludf.DUMMYFUNCTION("IFERROR(
  TEXTJOIN(CHAR(10),TRUE,FILTER('SUMMARY DATA'!H:H,'SUMMARY DATA'!$A:$A=$A87,'SUMMARY DATA'!$C:$C=$B87,'SUMMARY DATA'!$B:$B=""RWS"",'SUMMARY DATA'!$H:$H=$D87)),
  IF(
    OR(
      ISNUMBER(SEARCH(""CDM CASH DEPOSIT"",$C87)),
      ISNUMBER(SEARC"&amp;"H(""CASH DEPOSIT"",$C87))
    ),
    """",
    IFERROR(TEXTJOIN(CHAR(10),TRUE,FILTER('SUMMARY DATA'!H:H,'SUMMARY DATA'!$D:$D=$C87,'SUMMARY DATA'!$B:$B=""RWS"",'SUMMARY DATA'!$H:$H=$D87)),"""")
  )
)"),"")</f>
      </c>
      <c r="I87" s="18" t="str">
        <f>IFERROR(__xludf.DUMMYFUNCTION("IF(H87="""","""",
SUM(ARRAYFORMULA(VALUE(SPLIT(H87,CHAR(10)))))
)"),"")</f>
      </c>
      <c r="J87" s="17" t="str">
        <f>IFERROR(__xludf.DUMMYFUNCTION("IFERROR(
  TEXTJOIN(CHAR(10),TRUE,FILTER('SUMMARY DATA'!I:I,'SUMMARY DATA'!$A:$A=$A87,'SUMMARY DATA'!$C:$C=$B87,'SUMMARY DATA'!$B:$B=""RWS"")),
  IF(
    OR(
      ISNUMBER(SEARCH(""CDM CASH DEPOSIT"",$C87)),
      ISNUMBER(SEARCH(""CASH DEPOSIT"",$C87)),"&amp;"
      COUNTIFS('SUMMARY DATA'!$D:$D,$C87,'SUMMARY DATA'!$B:$B,""RWS"")&lt;&gt;1
    ),
    """",
    IFERROR(TEXTJOIN(CHAR(10),TRUE,FILTER('SUMMARY DATA'!I:I,'SUMMARY DATA'!$D:$D=$C87,'SUMMARY DATA'!$B:$B=""RWS"")),"""")
  )
)"),"")</f>
      </c>
      <c r="K87" s="2"/>
      <c r="L87" s="2"/>
      <c r="M87" s="2"/>
      <c r="N87" s="2"/>
      <c r="O87" s="2"/>
      <c r="P87" s="2"/>
      <c r="Q87" s="2"/>
      <c r="R87" s="2"/>
      <c r="S87" s="2"/>
      <c r="T87" s="2"/>
      <c r="U87" s="2"/>
      <c r="V87" s="2"/>
      <c r="W87" s="2"/>
      <c r="X87" s="2"/>
      <c r="Y87" s="2"/>
      <c r="Z87" s="2"/>
      <c r="AA87" s="2"/>
      <c r="AB87" s="2"/>
    </row>
    <row r="88" spans="1:28" customHeight="true">
      <c r="A88" s="2"/>
      <c r="B88" s="15">
        <v>45909</v>
      </c>
      <c r="C88" s="2" t="s">
        <v>133</v>
      </c>
      <c r="D88" s="3">
        <v>6.99</v>
      </c>
      <c r="E88" s="16" t="str">
        <f>IFERROR(__xludf.DUMMYFUNCTION("IFERROR(
  TEXTJOIN(CHAR(10),TRUE,FILTER('SUMMARY DATA'!E:E,'SUMMARY DATA'!$A:$A=$A88,'SUMMARY DATA'!$C:$C=$B88,'SUMMARY DATA'!$B:$B=""RWS"")),
  IF(
    OR(
      ISNUMBER(SEARCH(""CDM CASH DEPOSIT"",$C88)),
      ISNUMBER(SEARCH(""CASH DEPOSIT"",$C88)),"&amp;"
      COUNTIFS('SUMMARY DATA'!$D:$D,$C88,'SUMMARY DATA'!$B:$B,""RWS"")&lt;&gt;1
    ),
    """",
    IFERROR(TEXTJOIN(CHAR(10),TRUE,FILTER('SUMMARY DATA'!E:E,'SUMMARY DATA'!$D:$D=$C88,'SUMMARY DATA'!$B:$B=""RWS"")),"""")
  )
)"),"")</f>
      </c>
      <c r="F88" s="17" t="str">
        <f>IFERROR(__xludf.DUMMYFUNCTION("IFERROR(
  TEXTJOIN(CHAR(10),TRUE,FILTER('SUMMARY DATA'!F:F,'SUMMARY DATA'!$A:$A=$A88,'SUMMARY DATA'!$C:$C=$B88,'SUMMARY DATA'!$B:$B=""RWS"")),
  IF(
    OR(
      ISNUMBER(SEARCH(""CDM CASH DEPOSIT"",$C88)),
      ISNUMBER(SEARCH(""CASH DEPOSIT"",$C88)),"&amp;"
      COUNTIFS('SUMMARY DATA'!$D:$D,$C88,'SUMMARY DATA'!$B:$B,""RWS"")&lt;&gt;1
    ),
    """",
    IFERROR(TEXTJOIN(CHAR(10),TRUE,FILTER('SUMMARY DATA'!F:F,'SUMMARY DATA'!$D:$D=$C88,'SUMMARY DATA'!$B:$B=""RWS"")),"""")
  )
)"),"")</f>
      </c>
      <c r="G88" s="17" t="str">
        <f>IFERROR(__xludf.DUMMYFUNCTION("IFERROR(
  TEXTJOIN(CHAR(10),TRUE,FILTER('SUMMARY DATA'!G:G,'SUMMARY DATA'!$A:$A=$A88,'SUMMARY DATA'!$C:$C=$B88,'SUMMARY DATA'!$B:$B=""RWS"")),
  IF(
    OR(
      ISNUMBER(SEARCH(""CDM CASH DEPOSIT"",$C88)),
      ISNUMBER(SEARCH(""CASH DEPOSIT"",$C88)),"&amp;"
      COUNTIFS('SUMMARY DATA'!$D:$D,$C88,'SUMMARY DATA'!$B:$B,""RWS"")&lt;&gt;1
    ),
    """",
    IFERROR(TEXTJOIN(CHAR(10),TRUE,FILTER('SUMMARY DATA'!G:G,'SUMMARY DATA'!$D:$D=$C88,'SUMMARY DATA'!$B:$B=""RWS"")),"""")
  )
)"),"")</f>
      </c>
      <c r="H88" s="18" t="str">
        <f>IFERROR(__xludf.DUMMYFUNCTION("IFERROR(
  TEXTJOIN(CHAR(10),TRUE,FILTER('SUMMARY DATA'!H:H,'SUMMARY DATA'!$A:$A=$A88,'SUMMARY DATA'!$C:$C=$B88,'SUMMARY DATA'!$B:$B=""RWS"",'SUMMARY DATA'!$H:$H=$D88)),
  IF(
    OR(
      ISNUMBER(SEARCH(""CDM CASH DEPOSIT"",$C88)),
      ISNUMBER(SEARC"&amp;"H(""CASH DEPOSIT"",$C88))
    ),
    """",
    IFERROR(TEXTJOIN(CHAR(10),TRUE,FILTER('SUMMARY DATA'!H:H,'SUMMARY DATA'!$D:$D=$C88,'SUMMARY DATA'!$B:$B=""RWS"",'SUMMARY DATA'!$H:$H=$D88)),"""")
  )
)"),"")</f>
      </c>
      <c r="I88" s="18" t="str">
        <f>IFERROR(__xludf.DUMMYFUNCTION("IF(H88="""","""",
SUM(ARRAYFORMULA(VALUE(SPLIT(H88,CHAR(10)))))
)"),"")</f>
      </c>
      <c r="J88" s="17" t="str">
        <f>IFERROR(__xludf.DUMMYFUNCTION("IFERROR(
  TEXTJOIN(CHAR(10),TRUE,FILTER('SUMMARY DATA'!I:I,'SUMMARY DATA'!$A:$A=$A88,'SUMMARY DATA'!$C:$C=$B88,'SUMMARY DATA'!$B:$B=""RWS"")),
  IF(
    OR(
      ISNUMBER(SEARCH(""CDM CASH DEPOSIT"",$C88)),
      ISNUMBER(SEARCH(""CASH DEPOSIT"",$C88)),"&amp;"
      COUNTIFS('SUMMARY DATA'!$D:$D,$C88,'SUMMARY DATA'!$B:$B,""RWS"")&lt;&gt;1
    ),
    """",
    IFERROR(TEXTJOIN(CHAR(10),TRUE,FILTER('SUMMARY DATA'!I:I,'SUMMARY DATA'!$D:$D=$C88,'SUMMARY DATA'!$B:$B=""RWS"")),"""")
  )
)"),"")</f>
      </c>
      <c r="K88" s="2"/>
      <c r="L88" s="2"/>
      <c r="M88" s="2"/>
      <c r="N88" s="2"/>
      <c r="O88" s="2"/>
      <c r="P88" s="2"/>
      <c r="Q88" s="2"/>
      <c r="R88" s="2"/>
      <c r="S88" s="2"/>
      <c r="T88" s="2"/>
      <c r="U88" s="2"/>
      <c r="V88" s="2"/>
      <c r="W88" s="2"/>
      <c r="X88" s="2"/>
      <c r="Y88" s="2"/>
      <c r="Z88" s="2"/>
      <c r="AA88" s="2"/>
      <c r="AB88" s="2"/>
    </row>
    <row r="89" spans="1:28" customHeight="true">
      <c r="A89" s="2"/>
      <c r="B89" s="15">
        <v>45908</v>
      </c>
      <c r="C89" s="2" t="s">
        <v>134</v>
      </c>
      <c r="D89" s="3">
        <v>49.9</v>
      </c>
      <c r="E89" s="16" t="str">
        <f>IFERROR(__xludf.DUMMYFUNCTION("IFERROR(
  TEXTJOIN(CHAR(10),TRUE,FILTER('SUMMARY DATA'!E:E,'SUMMARY DATA'!$A:$A=$A89,'SUMMARY DATA'!$C:$C=$B89,'SUMMARY DATA'!$B:$B=""RWS"")),
  IF(
    OR(
      ISNUMBER(SEARCH(""CDM CASH DEPOSIT"",$C89)),
      ISNUMBER(SEARCH(""CASH DEPOSIT"",$C89)),"&amp;"
      COUNTIFS('SUMMARY DATA'!$D:$D,$C89,'SUMMARY DATA'!$B:$B,""RWS"")&lt;&gt;1
    ),
    """",
    IFERROR(TEXTJOIN(CHAR(10),TRUE,FILTER('SUMMARY DATA'!E:E,'SUMMARY DATA'!$D:$D=$C89,'SUMMARY DATA'!$B:$B=""RWS"")),"""")
  )
)"),"")</f>
      </c>
      <c r="F89" s="17" t="str">
        <f>IFERROR(__xludf.DUMMYFUNCTION("IFERROR(
  TEXTJOIN(CHAR(10),TRUE,FILTER('SUMMARY DATA'!F:F,'SUMMARY DATA'!$A:$A=$A89,'SUMMARY DATA'!$C:$C=$B89,'SUMMARY DATA'!$B:$B=""RWS"")),
  IF(
    OR(
      ISNUMBER(SEARCH(""CDM CASH DEPOSIT"",$C89)),
      ISNUMBER(SEARCH(""CASH DEPOSIT"",$C89)),"&amp;"
      COUNTIFS('SUMMARY DATA'!$D:$D,$C89,'SUMMARY DATA'!$B:$B,""RWS"")&lt;&gt;1
    ),
    """",
    IFERROR(TEXTJOIN(CHAR(10),TRUE,FILTER('SUMMARY DATA'!F:F,'SUMMARY DATA'!$D:$D=$C89,'SUMMARY DATA'!$B:$B=""RWS"")),"""")
  )
)"),"")</f>
      </c>
      <c r="G89" s="17" t="str">
        <f>IFERROR(__xludf.DUMMYFUNCTION("IFERROR(
  TEXTJOIN(CHAR(10),TRUE,FILTER('SUMMARY DATA'!G:G,'SUMMARY DATA'!$A:$A=$A89,'SUMMARY DATA'!$C:$C=$B89,'SUMMARY DATA'!$B:$B=""RWS"")),
  IF(
    OR(
      ISNUMBER(SEARCH(""CDM CASH DEPOSIT"",$C89)),
      ISNUMBER(SEARCH(""CASH DEPOSIT"",$C89)),"&amp;"
      COUNTIFS('SUMMARY DATA'!$D:$D,$C89,'SUMMARY DATA'!$B:$B,""RWS"")&lt;&gt;1
    ),
    """",
    IFERROR(TEXTJOIN(CHAR(10),TRUE,FILTER('SUMMARY DATA'!G:G,'SUMMARY DATA'!$D:$D=$C89,'SUMMARY DATA'!$B:$B=""RWS"")),"""")
  )
)"),"")</f>
      </c>
      <c r="H89" s="18" t="str">
        <f>IFERROR(__xludf.DUMMYFUNCTION("IFERROR(
  TEXTJOIN(CHAR(10),TRUE,FILTER('SUMMARY DATA'!H:H,'SUMMARY DATA'!$A:$A=$A89,'SUMMARY DATA'!$C:$C=$B89,'SUMMARY DATA'!$B:$B=""RWS"",'SUMMARY DATA'!$H:$H=$D89)),
  IF(
    OR(
      ISNUMBER(SEARCH(""CDM CASH DEPOSIT"",$C89)),
      ISNUMBER(SEARC"&amp;"H(""CASH DEPOSIT"",$C89))
    ),
    """",
    IFERROR(TEXTJOIN(CHAR(10),TRUE,FILTER('SUMMARY DATA'!H:H,'SUMMARY DATA'!$D:$D=$C89,'SUMMARY DATA'!$B:$B=""RWS"",'SUMMARY DATA'!$H:$H=$D89)),"""")
  )
)"),"")</f>
      </c>
      <c r="I89" s="18" t="str">
        <f>IFERROR(__xludf.DUMMYFUNCTION("IF(H89="""","""",
SUM(ARRAYFORMULA(VALUE(SPLIT(H89,CHAR(10)))))
)"),"")</f>
      </c>
      <c r="J89" s="17" t="str">
        <f>IFERROR(__xludf.DUMMYFUNCTION("IFERROR(
  TEXTJOIN(CHAR(10),TRUE,FILTER('SUMMARY DATA'!I:I,'SUMMARY DATA'!$A:$A=$A89,'SUMMARY DATA'!$C:$C=$B89,'SUMMARY DATA'!$B:$B=""RWS"")),
  IF(
    OR(
      ISNUMBER(SEARCH(""CDM CASH DEPOSIT"",$C89)),
      ISNUMBER(SEARCH(""CASH DEPOSIT"",$C89)),"&amp;"
      COUNTIFS('SUMMARY DATA'!$D:$D,$C89,'SUMMARY DATA'!$B:$B,""RWS"")&lt;&gt;1
    ),
    """",
    IFERROR(TEXTJOIN(CHAR(10),TRUE,FILTER('SUMMARY DATA'!I:I,'SUMMARY DATA'!$D:$D=$C89,'SUMMARY DATA'!$B:$B=""RWS"")),"""")
  )
)"),"")</f>
      </c>
      <c r="K89" s="2"/>
      <c r="L89" s="2"/>
      <c r="M89" s="2"/>
      <c r="N89" s="2"/>
      <c r="O89" s="2"/>
      <c r="P89" s="2"/>
      <c r="Q89" s="2"/>
      <c r="R89" s="2"/>
      <c r="S89" s="2"/>
      <c r="T89" s="2"/>
      <c r="U89" s="2"/>
      <c r="V89" s="2"/>
      <c r="W89" s="2"/>
      <c r="X89" s="2"/>
      <c r="Y89" s="2"/>
      <c r="Z89" s="2"/>
      <c r="AA89" s="2"/>
      <c r="AB89" s="2"/>
    </row>
    <row r="90" spans="1:28" customHeight="true">
      <c r="A90" s="2" t="s">
        <v>135</v>
      </c>
      <c r="B90" s="15">
        <v>45908</v>
      </c>
      <c r="C90" s="2" t="s">
        <v>136</v>
      </c>
      <c r="D90" s="3">
        <v>492</v>
      </c>
      <c r="E90" s="16" t="str">
        <f>IFERROR(__xludf.DUMMYFUNCTION("IFERROR(
  TEXTJOIN(CHAR(10),TRUE,FILTER('SUMMARY DATA'!E:E,'SUMMARY DATA'!$A:$A=$A90,'SUMMARY DATA'!$C:$C=$B90,'SUMMARY DATA'!$B:$B=""RWS"")),
  IF(
    OR(
      ISNUMBER(SEARCH(""CDM CASH DEPOSIT"",$C90)),
      ISNUMBER(SEARCH(""CASH DEPOSIT"",$C90)),"&amp;"
      COUNTIFS('SUMMARY DATA'!$D:$D,$C90,'SUMMARY DATA'!$B:$B,""RWS"")&lt;&gt;1
    ),
    """",
    IFERROR(TEXTJOIN(CHAR(10),TRUE,FILTER('SUMMARY DATA'!E:E,'SUMMARY DATA'!$D:$D=$C90,'SUMMARY DATA'!$B:$B=""RWS"")),"""")
  )
)"),"")</f>
      </c>
      <c r="F90" s="17" t="str">
        <f>IFERROR(__xludf.DUMMYFUNCTION("IFERROR(
  TEXTJOIN(CHAR(10),TRUE,FILTER('SUMMARY DATA'!F:F,'SUMMARY DATA'!$A:$A=$A90,'SUMMARY DATA'!$C:$C=$B90,'SUMMARY DATA'!$B:$B=""RWS"")),
  IF(
    OR(
      ISNUMBER(SEARCH(""CDM CASH DEPOSIT"",$C90)),
      ISNUMBER(SEARCH(""CASH DEPOSIT"",$C90)),"&amp;"
      COUNTIFS('SUMMARY DATA'!$D:$D,$C90,'SUMMARY DATA'!$B:$B,""RWS"")&lt;&gt;1
    ),
    """",
    IFERROR(TEXTJOIN(CHAR(10),TRUE,FILTER('SUMMARY DATA'!F:F,'SUMMARY DATA'!$D:$D=$C90,'SUMMARY DATA'!$B:$B=""RWS"")),"""")
  )
)"),"")</f>
      </c>
      <c r="G90" s="17" t="str">
        <f>IFERROR(__xludf.DUMMYFUNCTION("IFERROR(
  TEXTJOIN(CHAR(10),TRUE,FILTER('SUMMARY DATA'!G:G,'SUMMARY DATA'!$A:$A=$A90,'SUMMARY DATA'!$C:$C=$B90,'SUMMARY DATA'!$B:$B=""RWS"")),
  IF(
    OR(
      ISNUMBER(SEARCH(""CDM CASH DEPOSIT"",$C90)),
      ISNUMBER(SEARCH(""CASH DEPOSIT"",$C90)),"&amp;"
      COUNTIFS('SUMMARY DATA'!$D:$D,$C90,'SUMMARY DATA'!$B:$B,""RWS"")&lt;&gt;1
    ),
    """",
    IFERROR(TEXTJOIN(CHAR(10),TRUE,FILTER('SUMMARY DATA'!G:G,'SUMMARY DATA'!$D:$D=$C90,'SUMMARY DATA'!$B:$B=""RWS"")),"""")
  )
)"),"")</f>
      </c>
      <c r="H90" s="18" t="str">
        <f>IFERROR(__xludf.DUMMYFUNCTION("IFERROR(
  TEXTJOIN(CHAR(10),TRUE,FILTER('SUMMARY DATA'!H:H,'SUMMARY DATA'!$A:$A=$A90,'SUMMARY DATA'!$C:$C=$B90,'SUMMARY DATA'!$B:$B=""RWS"",'SUMMARY DATA'!$H:$H=$D90)),
  IF(
    OR(
      ISNUMBER(SEARCH(""CDM CASH DEPOSIT"",$C90)),
      ISNUMBER(SEARC"&amp;"H(""CASH DEPOSIT"",$C90))
    ),
    """",
    IFERROR(TEXTJOIN(CHAR(10),TRUE,FILTER('SUMMARY DATA'!H:H,'SUMMARY DATA'!$D:$D=$C90,'SUMMARY DATA'!$B:$B=""RWS"",'SUMMARY DATA'!$H:$H=$D90)),"""")
  )
)"),"")</f>
      </c>
      <c r="I90" s="18" t="str">
        <f>IFERROR(__xludf.DUMMYFUNCTION("IF(H90="""","""",
SUM(ARRAYFORMULA(VALUE(SPLIT(H90,CHAR(10)))))
)"),"")</f>
      </c>
      <c r="J90" s="17" t="str">
        <f>IFERROR(__xludf.DUMMYFUNCTION("IFERROR(
  TEXTJOIN(CHAR(10),TRUE,FILTER('SUMMARY DATA'!I:I,'SUMMARY DATA'!$A:$A=$A90,'SUMMARY DATA'!$C:$C=$B90,'SUMMARY DATA'!$B:$B=""RWS"")),
  IF(
    OR(
      ISNUMBER(SEARCH(""CDM CASH DEPOSIT"",$C90)),
      ISNUMBER(SEARCH(""CASH DEPOSIT"",$C90)),"&amp;"
      COUNTIFS('SUMMARY DATA'!$D:$D,$C90,'SUMMARY DATA'!$B:$B,""RWS"")&lt;&gt;1
    ),
    """",
    IFERROR(TEXTJOIN(CHAR(10),TRUE,FILTER('SUMMARY DATA'!I:I,'SUMMARY DATA'!$D:$D=$C90,'SUMMARY DATA'!$B:$B=""RWS"")),"""")
  )
)"),"")</f>
      </c>
      <c r="K90" s="2"/>
      <c r="L90" s="2"/>
      <c r="M90" s="2"/>
      <c r="N90" s="2"/>
      <c r="O90" s="2"/>
      <c r="P90" s="2"/>
      <c r="Q90" s="2"/>
      <c r="R90" s="2"/>
      <c r="S90" s="2"/>
      <c r="T90" s="2"/>
      <c r="U90" s="2"/>
      <c r="V90" s="2"/>
      <c r="W90" s="2"/>
      <c r="X90" s="2"/>
      <c r="Y90" s="2"/>
      <c r="Z90" s="2"/>
      <c r="AA90" s="2"/>
      <c r="AB90" s="2"/>
    </row>
    <row r="91" spans="1:28" customHeight="true">
      <c r="A91" s="2"/>
      <c r="B91" s="15">
        <v>45907</v>
      </c>
      <c r="C91" s="2" t="s">
        <v>137</v>
      </c>
      <c r="D91" s="3">
        <v>63.32</v>
      </c>
      <c r="E91" s="16" t="str">
        <f>IFERROR(__xludf.DUMMYFUNCTION("IFERROR(
  TEXTJOIN(CHAR(10),TRUE,FILTER('SUMMARY DATA'!E:E,'SUMMARY DATA'!$A:$A=$A91,'SUMMARY DATA'!$C:$C=$B91,'SUMMARY DATA'!$B:$B=""RWS"")),
  IF(
    OR(
      ISNUMBER(SEARCH(""CDM CASH DEPOSIT"",$C91)),
      ISNUMBER(SEARCH(""CASH DEPOSIT"",$C91)),"&amp;"
      COUNTIFS('SUMMARY DATA'!$D:$D,$C91,'SUMMARY DATA'!$B:$B,""RWS"")&lt;&gt;1
    ),
    """",
    IFERROR(TEXTJOIN(CHAR(10),TRUE,FILTER('SUMMARY DATA'!E:E,'SUMMARY DATA'!$D:$D=$C91,'SUMMARY DATA'!$B:$B=""RWS"")),"""")
  )
)"),"")</f>
      </c>
      <c r="F91" s="17" t="str">
        <f>IFERROR(__xludf.DUMMYFUNCTION("IFERROR(
  TEXTJOIN(CHAR(10),TRUE,FILTER('SUMMARY DATA'!F:F,'SUMMARY DATA'!$A:$A=$A91,'SUMMARY DATA'!$C:$C=$B91,'SUMMARY DATA'!$B:$B=""RWS"")),
  IF(
    OR(
      ISNUMBER(SEARCH(""CDM CASH DEPOSIT"",$C91)),
      ISNUMBER(SEARCH(""CASH DEPOSIT"",$C91)),"&amp;"
      COUNTIFS('SUMMARY DATA'!$D:$D,$C91,'SUMMARY DATA'!$B:$B,""RWS"")&lt;&gt;1
    ),
    """",
    IFERROR(TEXTJOIN(CHAR(10),TRUE,FILTER('SUMMARY DATA'!F:F,'SUMMARY DATA'!$D:$D=$C91,'SUMMARY DATA'!$B:$B=""RWS"")),"""")
  )
)"),"")</f>
      </c>
      <c r="G91" s="17" t="str">
        <f>IFERROR(__xludf.DUMMYFUNCTION("IFERROR(
  TEXTJOIN(CHAR(10),TRUE,FILTER('SUMMARY DATA'!G:G,'SUMMARY DATA'!$A:$A=$A91,'SUMMARY DATA'!$C:$C=$B91,'SUMMARY DATA'!$B:$B=""RWS"")),
  IF(
    OR(
      ISNUMBER(SEARCH(""CDM CASH DEPOSIT"",$C91)),
      ISNUMBER(SEARCH(""CASH DEPOSIT"",$C91)),"&amp;"
      COUNTIFS('SUMMARY DATA'!$D:$D,$C91,'SUMMARY DATA'!$B:$B,""RWS"")&lt;&gt;1
    ),
    """",
    IFERROR(TEXTJOIN(CHAR(10),TRUE,FILTER('SUMMARY DATA'!G:G,'SUMMARY DATA'!$D:$D=$C91,'SUMMARY DATA'!$B:$B=""RWS"")),"""")
  )
)"),"")</f>
      </c>
      <c r="H91" s="18" t="str">
        <f>IFERROR(__xludf.DUMMYFUNCTION("IFERROR(
  TEXTJOIN(CHAR(10),TRUE,FILTER('SUMMARY DATA'!H:H,'SUMMARY DATA'!$A:$A=$A91,'SUMMARY DATA'!$C:$C=$B91,'SUMMARY DATA'!$B:$B=""RWS"",'SUMMARY DATA'!$H:$H=$D91)),
  IF(
    OR(
      ISNUMBER(SEARCH(""CDM CASH DEPOSIT"",$C91)),
      ISNUMBER(SEARC"&amp;"H(""CASH DEPOSIT"",$C91))
    ),
    """",
    IFERROR(TEXTJOIN(CHAR(10),TRUE,FILTER('SUMMARY DATA'!H:H,'SUMMARY DATA'!$D:$D=$C91,'SUMMARY DATA'!$B:$B=""RWS"",'SUMMARY DATA'!$H:$H=$D91)),"""")
  )
)"),"")</f>
      </c>
      <c r="I91" s="18" t="str">
        <f>IFERROR(__xludf.DUMMYFUNCTION("IF(H91="""","""",
SUM(ARRAYFORMULA(VALUE(SPLIT(H91,CHAR(10)))))
)"),"")</f>
      </c>
      <c r="J91" s="17" t="str">
        <f>IFERROR(__xludf.DUMMYFUNCTION("IFERROR(
  TEXTJOIN(CHAR(10),TRUE,FILTER('SUMMARY DATA'!I:I,'SUMMARY DATA'!$A:$A=$A91,'SUMMARY DATA'!$C:$C=$B91,'SUMMARY DATA'!$B:$B=""RWS"")),
  IF(
    OR(
      ISNUMBER(SEARCH(""CDM CASH DEPOSIT"",$C91)),
      ISNUMBER(SEARCH(""CASH DEPOSIT"",$C91)),"&amp;"
      COUNTIFS('SUMMARY DATA'!$D:$D,$C91,'SUMMARY DATA'!$B:$B,""RWS"")&lt;&gt;1
    ),
    """",
    IFERROR(TEXTJOIN(CHAR(10),TRUE,FILTER('SUMMARY DATA'!I:I,'SUMMARY DATA'!$D:$D=$C91,'SUMMARY DATA'!$B:$B=""RWS"")),"""")
  )
)"),"")</f>
      </c>
      <c r="K91" s="2"/>
      <c r="L91" s="2"/>
      <c r="M91" s="2"/>
      <c r="N91" s="2"/>
      <c r="O91" s="2"/>
      <c r="P91" s="2"/>
      <c r="Q91" s="2"/>
      <c r="R91" s="2"/>
      <c r="S91" s="2"/>
      <c r="T91" s="2"/>
      <c r="U91" s="2"/>
      <c r="V91" s="2"/>
      <c r="W91" s="2"/>
      <c r="X91" s="2"/>
      <c r="Y91" s="2"/>
      <c r="Z91" s="2"/>
      <c r="AA91" s="2"/>
      <c r="AB91" s="2"/>
    </row>
    <row r="92" spans="1:28" customHeight="true">
      <c r="A92" s="2"/>
      <c r="B92" s="15">
        <v>45907</v>
      </c>
      <c r="C92" s="2" t="s">
        <v>138</v>
      </c>
      <c r="D92" s="3">
        <v>69.61</v>
      </c>
      <c r="E92" s="16" t="str">
        <f>IFERROR(__xludf.DUMMYFUNCTION("IFERROR(
  TEXTJOIN(CHAR(10),TRUE,FILTER('SUMMARY DATA'!E:E,'SUMMARY DATA'!$A:$A=$A92,'SUMMARY DATA'!$C:$C=$B92,'SUMMARY DATA'!$B:$B=""RWS"")),
  IF(
    OR(
      ISNUMBER(SEARCH(""CDM CASH DEPOSIT"",$C92)),
      ISNUMBER(SEARCH(""CASH DEPOSIT"",$C92)),"&amp;"
      COUNTIFS('SUMMARY DATA'!$D:$D,$C92,'SUMMARY DATA'!$B:$B,""RWS"")&lt;&gt;1
    ),
    """",
    IFERROR(TEXTJOIN(CHAR(10),TRUE,FILTER('SUMMARY DATA'!E:E,'SUMMARY DATA'!$D:$D=$C92,'SUMMARY DATA'!$B:$B=""RWS"")),"""")
  )
)"),"")</f>
      </c>
      <c r="F92" s="17" t="str">
        <f>IFERROR(__xludf.DUMMYFUNCTION("IFERROR(
  TEXTJOIN(CHAR(10),TRUE,FILTER('SUMMARY DATA'!F:F,'SUMMARY DATA'!$A:$A=$A92,'SUMMARY DATA'!$C:$C=$B92,'SUMMARY DATA'!$B:$B=""RWS"")),
  IF(
    OR(
      ISNUMBER(SEARCH(""CDM CASH DEPOSIT"",$C92)),
      ISNUMBER(SEARCH(""CASH DEPOSIT"",$C92)),"&amp;"
      COUNTIFS('SUMMARY DATA'!$D:$D,$C92,'SUMMARY DATA'!$B:$B,""RWS"")&lt;&gt;1
    ),
    """",
    IFERROR(TEXTJOIN(CHAR(10),TRUE,FILTER('SUMMARY DATA'!F:F,'SUMMARY DATA'!$D:$D=$C92,'SUMMARY DATA'!$B:$B=""RWS"")),"""")
  )
)"),"")</f>
      </c>
      <c r="G92" s="17" t="str">
        <f>IFERROR(__xludf.DUMMYFUNCTION("IFERROR(
  TEXTJOIN(CHAR(10),TRUE,FILTER('SUMMARY DATA'!G:G,'SUMMARY DATA'!$A:$A=$A92,'SUMMARY DATA'!$C:$C=$B92,'SUMMARY DATA'!$B:$B=""RWS"")),
  IF(
    OR(
      ISNUMBER(SEARCH(""CDM CASH DEPOSIT"",$C92)),
      ISNUMBER(SEARCH(""CASH DEPOSIT"",$C92)),"&amp;"
      COUNTIFS('SUMMARY DATA'!$D:$D,$C92,'SUMMARY DATA'!$B:$B,""RWS"")&lt;&gt;1
    ),
    """",
    IFERROR(TEXTJOIN(CHAR(10),TRUE,FILTER('SUMMARY DATA'!G:G,'SUMMARY DATA'!$D:$D=$C92,'SUMMARY DATA'!$B:$B=""RWS"")),"""")
  )
)"),"")</f>
      </c>
      <c r="H92" s="18" t="str">
        <f>IFERROR(__xludf.DUMMYFUNCTION("IFERROR(
  TEXTJOIN(CHAR(10),TRUE,FILTER('SUMMARY DATA'!H:H,'SUMMARY DATA'!$A:$A=$A92,'SUMMARY DATA'!$C:$C=$B92,'SUMMARY DATA'!$B:$B=""RWS"",'SUMMARY DATA'!$H:$H=$D92)),
  IF(
    OR(
      ISNUMBER(SEARCH(""CDM CASH DEPOSIT"",$C92)),
      ISNUMBER(SEARC"&amp;"H(""CASH DEPOSIT"",$C92))
    ),
    """",
    IFERROR(TEXTJOIN(CHAR(10),TRUE,FILTER('SUMMARY DATA'!H:H,'SUMMARY DATA'!$D:$D=$C92,'SUMMARY DATA'!$B:$B=""RWS"",'SUMMARY DATA'!$H:$H=$D92)),"""")
  )
)"),"")</f>
      </c>
      <c r="I92" s="18" t="str">
        <f>IFERROR(__xludf.DUMMYFUNCTION("IF(H92="""","""",
SUM(ARRAYFORMULA(VALUE(SPLIT(H92,CHAR(10)))))
)"),"")</f>
      </c>
      <c r="J92" s="17" t="str">
        <f>IFERROR(__xludf.DUMMYFUNCTION("IFERROR(
  TEXTJOIN(CHAR(10),TRUE,FILTER('SUMMARY DATA'!I:I,'SUMMARY DATA'!$A:$A=$A92,'SUMMARY DATA'!$C:$C=$B92,'SUMMARY DATA'!$B:$B=""RWS"")),
  IF(
    OR(
      ISNUMBER(SEARCH(""CDM CASH DEPOSIT"",$C92)),
      ISNUMBER(SEARCH(""CASH DEPOSIT"",$C92)),"&amp;"
      COUNTIFS('SUMMARY DATA'!$D:$D,$C92,'SUMMARY DATA'!$B:$B,""RWS"")&lt;&gt;1
    ),
    """",
    IFERROR(TEXTJOIN(CHAR(10),TRUE,FILTER('SUMMARY DATA'!I:I,'SUMMARY DATA'!$D:$D=$C92,'SUMMARY DATA'!$B:$B=""RWS"")),"""")
  )
)"),"")</f>
      </c>
      <c r="K92" s="2"/>
      <c r="L92" s="2"/>
      <c r="M92" s="2"/>
      <c r="N92" s="2"/>
      <c r="O92" s="2"/>
      <c r="P92" s="2"/>
      <c r="Q92" s="2"/>
      <c r="R92" s="2"/>
      <c r="S92" s="2"/>
      <c r="T92" s="2"/>
      <c r="U92" s="2"/>
      <c r="V92" s="2"/>
      <c r="W92" s="2"/>
      <c r="X92" s="2"/>
      <c r="Y92" s="2"/>
      <c r="Z92" s="2"/>
      <c r="AA92" s="2"/>
      <c r="AB92" s="2"/>
    </row>
    <row r="93" spans="1:28" customHeight="true">
      <c r="A93" s="2"/>
      <c r="B93" s="15">
        <v>45907</v>
      </c>
      <c r="C93" s="2" t="s">
        <v>139</v>
      </c>
      <c r="D93" s="3">
        <v>3000</v>
      </c>
      <c r="E93" s="16" t="str">
        <f>IFERROR(__xludf.DUMMYFUNCTION("IFERROR(
  TEXTJOIN(CHAR(10),TRUE,FILTER('SUMMARY DATA'!E:E,'SUMMARY DATA'!$A:$A=$A93,'SUMMARY DATA'!$C:$C=$B93,'SUMMARY DATA'!$B:$B=""RWS"")),
  IF(
    OR(
      ISNUMBER(SEARCH(""CDM CASH DEPOSIT"",$C93)),
      ISNUMBER(SEARCH(""CASH DEPOSIT"",$C93)),"&amp;"
      COUNTIFS('SUMMARY DATA'!$D:$D,$C93,'SUMMARY DATA'!$B:$B,""RWS"")&lt;&gt;1
    ),
    """",
    IFERROR(TEXTJOIN(CHAR(10),TRUE,FILTER('SUMMARY DATA'!E:E,'SUMMARY DATA'!$D:$D=$C93,'SUMMARY DATA'!$B:$B=""RWS"")),"""")
  )
)"),"")</f>
      </c>
      <c r="F93" s="17" t="str">
        <f>IFERROR(__xludf.DUMMYFUNCTION("IFERROR(
  TEXTJOIN(CHAR(10),TRUE,FILTER('SUMMARY DATA'!F:F,'SUMMARY DATA'!$A:$A=$A93,'SUMMARY DATA'!$C:$C=$B93,'SUMMARY DATA'!$B:$B=""RWS"")),
  IF(
    OR(
      ISNUMBER(SEARCH(""CDM CASH DEPOSIT"",$C93)),
      ISNUMBER(SEARCH(""CASH DEPOSIT"",$C93)),"&amp;"
      COUNTIFS('SUMMARY DATA'!$D:$D,$C93,'SUMMARY DATA'!$B:$B,""RWS"")&lt;&gt;1
    ),
    """",
    IFERROR(TEXTJOIN(CHAR(10),TRUE,FILTER('SUMMARY DATA'!F:F,'SUMMARY DATA'!$D:$D=$C93,'SUMMARY DATA'!$B:$B=""RWS"")),"""")
  )
)"),"")</f>
      </c>
      <c r="G93" s="17" t="str">
        <f>IFERROR(__xludf.DUMMYFUNCTION("IFERROR(
  TEXTJOIN(CHAR(10),TRUE,FILTER('SUMMARY DATA'!G:G,'SUMMARY DATA'!$A:$A=$A93,'SUMMARY DATA'!$C:$C=$B93,'SUMMARY DATA'!$B:$B=""RWS"")),
  IF(
    OR(
      ISNUMBER(SEARCH(""CDM CASH DEPOSIT"",$C93)),
      ISNUMBER(SEARCH(""CASH DEPOSIT"",$C93)),"&amp;"
      COUNTIFS('SUMMARY DATA'!$D:$D,$C93,'SUMMARY DATA'!$B:$B,""RWS"")&lt;&gt;1
    ),
    """",
    IFERROR(TEXTJOIN(CHAR(10),TRUE,FILTER('SUMMARY DATA'!G:G,'SUMMARY DATA'!$D:$D=$C93,'SUMMARY DATA'!$B:$B=""RWS"")),"""")
  )
)"),"")</f>
      </c>
      <c r="H93" s="18" t="str">
        <f>IFERROR(__xludf.DUMMYFUNCTION("IFERROR(
  TEXTJOIN(CHAR(10),TRUE,FILTER('SUMMARY DATA'!H:H,'SUMMARY DATA'!$A:$A=$A93,'SUMMARY DATA'!$C:$C=$B93,'SUMMARY DATA'!$B:$B=""RWS"",'SUMMARY DATA'!$H:$H=$D93)),
  IF(
    OR(
      ISNUMBER(SEARCH(""CDM CASH DEPOSIT"",$C93)),
      ISNUMBER(SEARC"&amp;"H(""CASH DEPOSIT"",$C93))
    ),
    """",
    IFERROR(TEXTJOIN(CHAR(10),TRUE,FILTER('SUMMARY DATA'!H:H,'SUMMARY DATA'!$D:$D=$C93,'SUMMARY DATA'!$B:$B=""RWS"",'SUMMARY DATA'!$H:$H=$D93)),"""")
  )
)"),"")</f>
      </c>
      <c r="I93" s="18" t="str">
        <f>IFERROR(__xludf.DUMMYFUNCTION("IF(H93="""","""",
SUM(ARRAYFORMULA(VALUE(SPLIT(H93,CHAR(10)))))
)"),"")</f>
      </c>
      <c r="J93" s="17" t="str">
        <f>IFERROR(__xludf.DUMMYFUNCTION("IFERROR(
  TEXTJOIN(CHAR(10),TRUE,FILTER('SUMMARY DATA'!I:I,'SUMMARY DATA'!$A:$A=$A93,'SUMMARY DATA'!$C:$C=$B93,'SUMMARY DATA'!$B:$B=""RWS"")),
  IF(
    OR(
      ISNUMBER(SEARCH(""CDM CASH DEPOSIT"",$C93)),
      ISNUMBER(SEARCH(""CASH DEPOSIT"",$C93)),"&amp;"
      COUNTIFS('SUMMARY DATA'!$D:$D,$C93,'SUMMARY DATA'!$B:$B,""RWS"")&lt;&gt;1
    ),
    """",
    IFERROR(TEXTJOIN(CHAR(10),TRUE,FILTER('SUMMARY DATA'!I:I,'SUMMARY DATA'!$D:$D=$C93,'SUMMARY DATA'!$B:$B=""RWS"")),"""")
  )
)"),"")</f>
      </c>
      <c r="K93" s="2"/>
      <c r="L93" s="2"/>
      <c r="M93" s="2"/>
      <c r="N93" s="2"/>
      <c r="O93" s="2"/>
      <c r="P93" s="2"/>
      <c r="Q93" s="2"/>
      <c r="R93" s="2"/>
      <c r="S93" s="2"/>
      <c r="T93" s="2"/>
      <c r="U93" s="2"/>
      <c r="V93" s="2"/>
      <c r="W93" s="2"/>
      <c r="X93" s="2"/>
      <c r="Y93" s="2"/>
      <c r="Z93" s="2"/>
      <c r="AA93" s="2"/>
      <c r="AB93" s="2"/>
    </row>
    <row r="94" spans="1:28" customHeight="true">
      <c r="A94" s="2"/>
      <c r="B94" s="15">
        <v>45907</v>
      </c>
      <c r="C94" s="2" t="s">
        <v>140</v>
      </c>
      <c r="D94" s="3">
        <v>99</v>
      </c>
      <c r="E94" s="16" t="str">
        <f>IFERROR(__xludf.DUMMYFUNCTION("IFERROR(
  TEXTJOIN(CHAR(10),TRUE,FILTER('SUMMARY DATA'!E:E,'SUMMARY DATA'!$A:$A=$A94,'SUMMARY DATA'!$C:$C=$B94,'SUMMARY DATA'!$B:$B=""RWS"")),
  IF(
    OR(
      ISNUMBER(SEARCH(""CDM CASH DEPOSIT"",$C94)),
      ISNUMBER(SEARCH(""CASH DEPOSIT"",$C94)),"&amp;"
      COUNTIFS('SUMMARY DATA'!$D:$D,$C94,'SUMMARY DATA'!$B:$B,""RWS"")&lt;&gt;1
    ),
    """",
    IFERROR(TEXTJOIN(CHAR(10),TRUE,FILTER('SUMMARY DATA'!E:E,'SUMMARY DATA'!$D:$D=$C94,'SUMMARY DATA'!$B:$B=""RWS"")),"""")
  )
)"),"")</f>
      </c>
      <c r="F94" s="17" t="str">
        <f>IFERROR(__xludf.DUMMYFUNCTION("IFERROR(
  TEXTJOIN(CHAR(10),TRUE,FILTER('SUMMARY DATA'!F:F,'SUMMARY DATA'!$A:$A=$A94,'SUMMARY DATA'!$C:$C=$B94,'SUMMARY DATA'!$B:$B=""RWS"")),
  IF(
    OR(
      ISNUMBER(SEARCH(""CDM CASH DEPOSIT"",$C94)),
      ISNUMBER(SEARCH(""CASH DEPOSIT"",$C94)),"&amp;"
      COUNTIFS('SUMMARY DATA'!$D:$D,$C94,'SUMMARY DATA'!$B:$B,""RWS"")&lt;&gt;1
    ),
    """",
    IFERROR(TEXTJOIN(CHAR(10),TRUE,FILTER('SUMMARY DATA'!F:F,'SUMMARY DATA'!$D:$D=$C94,'SUMMARY DATA'!$B:$B=""RWS"")),"""")
  )
)"),"")</f>
      </c>
      <c r="G94" s="17" t="str">
        <f>IFERROR(__xludf.DUMMYFUNCTION("IFERROR(
  TEXTJOIN(CHAR(10),TRUE,FILTER('SUMMARY DATA'!G:G,'SUMMARY DATA'!$A:$A=$A94,'SUMMARY DATA'!$C:$C=$B94,'SUMMARY DATA'!$B:$B=""RWS"")),
  IF(
    OR(
      ISNUMBER(SEARCH(""CDM CASH DEPOSIT"",$C94)),
      ISNUMBER(SEARCH(""CASH DEPOSIT"",$C94)),"&amp;"
      COUNTIFS('SUMMARY DATA'!$D:$D,$C94,'SUMMARY DATA'!$B:$B,""RWS"")&lt;&gt;1
    ),
    """",
    IFERROR(TEXTJOIN(CHAR(10),TRUE,FILTER('SUMMARY DATA'!G:G,'SUMMARY DATA'!$D:$D=$C94,'SUMMARY DATA'!$B:$B=""RWS"")),"""")
  )
)"),"")</f>
      </c>
      <c r="H94" s="18" t="str">
        <f>IFERROR(__xludf.DUMMYFUNCTION("IFERROR(
  TEXTJOIN(CHAR(10),TRUE,FILTER('SUMMARY DATA'!H:H,'SUMMARY DATA'!$A:$A=$A94,'SUMMARY DATA'!$C:$C=$B94,'SUMMARY DATA'!$B:$B=""RWS"",'SUMMARY DATA'!$H:$H=$D94)),
  IF(
    OR(
      ISNUMBER(SEARCH(""CDM CASH DEPOSIT"",$C94)),
      ISNUMBER(SEARC"&amp;"H(""CASH DEPOSIT"",$C94))
    ),
    """",
    IFERROR(TEXTJOIN(CHAR(10),TRUE,FILTER('SUMMARY DATA'!H:H,'SUMMARY DATA'!$D:$D=$C94,'SUMMARY DATA'!$B:$B=""RWS"",'SUMMARY DATA'!$H:$H=$D94)),"""")
  )
)"),"")</f>
      </c>
      <c r="I94" s="18" t="str">
        <f>IFERROR(__xludf.DUMMYFUNCTION("IF(H94="""","""",
SUM(ARRAYFORMULA(VALUE(SPLIT(H94,CHAR(10)))))
)"),"")</f>
      </c>
      <c r="J94" s="17" t="str">
        <f>IFERROR(__xludf.DUMMYFUNCTION("IFERROR(
  TEXTJOIN(CHAR(10),TRUE,FILTER('SUMMARY DATA'!I:I,'SUMMARY DATA'!$A:$A=$A94,'SUMMARY DATA'!$C:$C=$B94,'SUMMARY DATA'!$B:$B=""RWS"")),
  IF(
    OR(
      ISNUMBER(SEARCH(""CDM CASH DEPOSIT"",$C94)),
      ISNUMBER(SEARCH(""CASH DEPOSIT"",$C94)),"&amp;"
      COUNTIFS('SUMMARY DATA'!$D:$D,$C94,'SUMMARY DATA'!$B:$B,""RWS"")&lt;&gt;1
    ),
    """",
    IFERROR(TEXTJOIN(CHAR(10),TRUE,FILTER('SUMMARY DATA'!I:I,'SUMMARY DATA'!$D:$D=$C94,'SUMMARY DATA'!$B:$B=""RWS"")),"""")
  )
)"),"")</f>
      </c>
      <c r="K94" s="2"/>
      <c r="L94" s="2"/>
      <c r="M94" s="2"/>
      <c r="N94" s="2"/>
      <c r="O94" s="2"/>
      <c r="P94" s="2"/>
      <c r="Q94" s="2"/>
      <c r="R94" s="2"/>
      <c r="S94" s="2"/>
      <c r="T94" s="2"/>
      <c r="U94" s="2"/>
      <c r="V94" s="2"/>
      <c r="W94" s="2"/>
      <c r="X94" s="2"/>
      <c r="Y94" s="2"/>
      <c r="Z94" s="2"/>
      <c r="AA94" s="2"/>
      <c r="AB94" s="2"/>
    </row>
    <row r="95" spans="1:28" customHeight="true">
      <c r="A95" s="2"/>
      <c r="B95" s="15">
        <v>45906</v>
      </c>
      <c r="C95" s="2" t="s">
        <v>141</v>
      </c>
      <c r="D95" s="3">
        <v>500</v>
      </c>
      <c r="E95" s="16" t="str">
        <f>IFERROR(__xludf.DUMMYFUNCTION("IFERROR(
  TEXTJOIN(CHAR(10),TRUE,FILTER('SUMMARY DATA'!E:E,'SUMMARY DATA'!$A:$A=$A95,'SUMMARY DATA'!$C:$C=$B95,'SUMMARY DATA'!$B:$B=""RWS"")),
  IF(
    OR(
      ISNUMBER(SEARCH(""CDM CASH DEPOSIT"",$C95)),
      ISNUMBER(SEARCH(""CASH DEPOSIT"",$C95)),"&amp;"
      COUNTIFS('SUMMARY DATA'!$D:$D,$C95,'SUMMARY DATA'!$B:$B,""RWS"")&lt;&gt;1
    ),
    """",
    IFERROR(TEXTJOIN(CHAR(10),TRUE,FILTER('SUMMARY DATA'!E:E,'SUMMARY DATA'!$D:$D=$C95,'SUMMARY DATA'!$B:$B=""RWS"")),"""")
  )
)"),"")</f>
      </c>
      <c r="F95" s="17" t="str">
        <f>IFERROR(__xludf.DUMMYFUNCTION("IFERROR(
  TEXTJOIN(CHAR(10),TRUE,FILTER('SUMMARY DATA'!F:F,'SUMMARY DATA'!$A:$A=$A95,'SUMMARY DATA'!$C:$C=$B95,'SUMMARY DATA'!$B:$B=""RWS"")),
  IF(
    OR(
      ISNUMBER(SEARCH(""CDM CASH DEPOSIT"",$C95)),
      ISNUMBER(SEARCH(""CASH DEPOSIT"",$C95)),"&amp;"
      COUNTIFS('SUMMARY DATA'!$D:$D,$C95,'SUMMARY DATA'!$B:$B,""RWS"")&lt;&gt;1
    ),
    """",
    IFERROR(TEXTJOIN(CHAR(10),TRUE,FILTER('SUMMARY DATA'!F:F,'SUMMARY DATA'!$D:$D=$C95,'SUMMARY DATA'!$B:$B=""RWS"")),"""")
  )
)"),"")</f>
      </c>
      <c r="G95" s="17" t="str">
        <f>IFERROR(__xludf.DUMMYFUNCTION("IFERROR(
  TEXTJOIN(CHAR(10),TRUE,FILTER('SUMMARY DATA'!G:G,'SUMMARY DATA'!$A:$A=$A95,'SUMMARY DATA'!$C:$C=$B95,'SUMMARY DATA'!$B:$B=""RWS"")),
  IF(
    OR(
      ISNUMBER(SEARCH(""CDM CASH DEPOSIT"",$C95)),
      ISNUMBER(SEARCH(""CASH DEPOSIT"",$C95)),"&amp;"
      COUNTIFS('SUMMARY DATA'!$D:$D,$C95,'SUMMARY DATA'!$B:$B,""RWS"")&lt;&gt;1
    ),
    """",
    IFERROR(TEXTJOIN(CHAR(10),TRUE,FILTER('SUMMARY DATA'!G:G,'SUMMARY DATA'!$D:$D=$C95,'SUMMARY DATA'!$B:$B=""RWS"")),"""")
  )
)"),"")</f>
      </c>
      <c r="H95" s="18" t="str">
        <f>IFERROR(__xludf.DUMMYFUNCTION("IFERROR(
  TEXTJOIN(CHAR(10),TRUE,FILTER('SUMMARY DATA'!H:H,'SUMMARY DATA'!$A:$A=$A95,'SUMMARY DATA'!$C:$C=$B95,'SUMMARY DATA'!$B:$B=""RWS"",'SUMMARY DATA'!$H:$H=$D95)),
  IF(
    OR(
      ISNUMBER(SEARCH(""CDM CASH DEPOSIT"",$C95)),
      ISNUMBER(SEARC"&amp;"H(""CASH DEPOSIT"",$C95))
    ),
    """",
    IFERROR(TEXTJOIN(CHAR(10),TRUE,FILTER('SUMMARY DATA'!H:H,'SUMMARY DATA'!$D:$D=$C95,'SUMMARY DATA'!$B:$B=""RWS"",'SUMMARY DATA'!$H:$H=$D95)),"""")
  )
)"),"")</f>
      </c>
      <c r="I95" s="18" t="str">
        <f>IFERROR(__xludf.DUMMYFUNCTION("IF(H95="""","""",
SUM(ARRAYFORMULA(VALUE(SPLIT(H95,CHAR(10)))))
)"),"")</f>
      </c>
      <c r="J95" s="17" t="str">
        <f>IFERROR(__xludf.DUMMYFUNCTION("IFERROR(
  TEXTJOIN(CHAR(10),TRUE,FILTER('SUMMARY DATA'!I:I,'SUMMARY DATA'!$A:$A=$A95,'SUMMARY DATA'!$C:$C=$B95,'SUMMARY DATA'!$B:$B=""RWS"")),
  IF(
    OR(
      ISNUMBER(SEARCH(""CDM CASH DEPOSIT"",$C95)),
      ISNUMBER(SEARCH(""CASH DEPOSIT"",$C95)),"&amp;"
      COUNTIFS('SUMMARY DATA'!$D:$D,$C95,'SUMMARY DATA'!$B:$B,""RWS"")&lt;&gt;1
    ),
    """",
    IFERROR(TEXTJOIN(CHAR(10),TRUE,FILTER('SUMMARY DATA'!I:I,'SUMMARY DATA'!$D:$D=$C95,'SUMMARY DATA'!$B:$B=""RWS"")),"""")
  )
)"),"")</f>
      </c>
      <c r="K95" s="2"/>
      <c r="L95" s="2"/>
      <c r="M95" s="2"/>
      <c r="N95" s="2"/>
      <c r="O95" s="2"/>
      <c r="P95" s="2"/>
      <c r="Q95" s="2"/>
      <c r="R95" s="2"/>
      <c r="S95" s="2"/>
      <c r="T95" s="2"/>
      <c r="U95" s="2"/>
      <c r="V95" s="2"/>
      <c r="W95" s="2"/>
      <c r="X95" s="2"/>
      <c r="Y95" s="2"/>
      <c r="Z95" s="2"/>
      <c r="AA95" s="2"/>
      <c r="AB95" s="2"/>
    </row>
    <row r="96" spans="1:28" customHeight="true">
      <c r="A96" s="2" t="s">
        <v>142</v>
      </c>
      <c r="B96" s="15">
        <v>45906</v>
      </c>
      <c r="C96" s="2" t="s">
        <v>143</v>
      </c>
      <c r="D96" s="3">
        <v>10</v>
      </c>
      <c r="E96" s="16" t="str">
        <f>IFERROR(__xludf.DUMMYFUNCTION("IFERROR(
  TEXTJOIN(CHAR(10),TRUE,FILTER('SUMMARY DATA'!E:E,'SUMMARY DATA'!$A:$A=$A96,'SUMMARY DATA'!$C:$C=$B96,'SUMMARY DATA'!$B:$B=""RWS"")),
  IF(
    OR(
      ISNUMBER(SEARCH(""CDM CASH DEPOSIT"",$C96)),
      ISNUMBER(SEARCH(""CASH DEPOSIT"",$C96)),"&amp;"
      COUNTIFS('SUMMARY DATA'!$D:$D,$C96,'SUMMARY DATA'!$B:$B,""RWS"")&lt;&gt;1
    ),
    """",
    IFERROR(TEXTJOIN(CHAR(10),TRUE,FILTER('SUMMARY DATA'!E:E,'SUMMARY DATA'!$D:$D=$C96,'SUMMARY DATA'!$B:$B=""RWS"")),"""")
  )
)"),"")</f>
      </c>
      <c r="F96" s="17" t="str">
        <f>IFERROR(__xludf.DUMMYFUNCTION("IFERROR(
  TEXTJOIN(CHAR(10),TRUE,FILTER('SUMMARY DATA'!F:F,'SUMMARY DATA'!$A:$A=$A96,'SUMMARY DATA'!$C:$C=$B96,'SUMMARY DATA'!$B:$B=""RWS"")),
  IF(
    OR(
      ISNUMBER(SEARCH(""CDM CASH DEPOSIT"",$C96)),
      ISNUMBER(SEARCH(""CASH DEPOSIT"",$C96)),"&amp;"
      COUNTIFS('SUMMARY DATA'!$D:$D,$C96,'SUMMARY DATA'!$B:$B,""RWS"")&lt;&gt;1
    ),
    """",
    IFERROR(TEXTJOIN(CHAR(10),TRUE,FILTER('SUMMARY DATA'!F:F,'SUMMARY DATA'!$D:$D=$C96,'SUMMARY DATA'!$B:$B=""RWS"")),"""")
  )
)"),"")</f>
      </c>
      <c r="G96" s="17" t="str">
        <f>IFERROR(__xludf.DUMMYFUNCTION("IFERROR(
  TEXTJOIN(CHAR(10),TRUE,FILTER('SUMMARY DATA'!G:G,'SUMMARY DATA'!$A:$A=$A96,'SUMMARY DATA'!$C:$C=$B96,'SUMMARY DATA'!$B:$B=""RWS"")),
  IF(
    OR(
      ISNUMBER(SEARCH(""CDM CASH DEPOSIT"",$C96)),
      ISNUMBER(SEARCH(""CASH DEPOSIT"",$C96)),"&amp;"
      COUNTIFS('SUMMARY DATA'!$D:$D,$C96,'SUMMARY DATA'!$B:$B,""RWS"")&lt;&gt;1
    ),
    """",
    IFERROR(TEXTJOIN(CHAR(10),TRUE,FILTER('SUMMARY DATA'!G:G,'SUMMARY DATA'!$D:$D=$C96,'SUMMARY DATA'!$B:$B=""RWS"")),"""")
  )
)"),"")</f>
      </c>
      <c r="H96" s="18" t="str">
        <f>IFERROR(__xludf.DUMMYFUNCTION("IFERROR(
  TEXTJOIN(CHAR(10),TRUE,FILTER('SUMMARY DATA'!H:H,'SUMMARY DATA'!$A:$A=$A96,'SUMMARY DATA'!$C:$C=$B96,'SUMMARY DATA'!$B:$B=""RWS"",'SUMMARY DATA'!$H:$H=$D96)),
  IF(
    OR(
      ISNUMBER(SEARCH(""CDM CASH DEPOSIT"",$C96)),
      ISNUMBER(SEARC"&amp;"H(""CASH DEPOSIT"",$C96))
    ),
    """",
    IFERROR(TEXTJOIN(CHAR(10),TRUE,FILTER('SUMMARY DATA'!H:H,'SUMMARY DATA'!$D:$D=$C96,'SUMMARY DATA'!$B:$B=""RWS"",'SUMMARY DATA'!$H:$H=$D96)),"""")
  )
)"),"")</f>
      </c>
      <c r="I96" s="18" t="str">
        <f>IFERROR(__xludf.DUMMYFUNCTION("IF(H96="""","""",
SUM(ARRAYFORMULA(VALUE(SPLIT(H96,CHAR(10)))))
)"),"")</f>
      </c>
      <c r="J96" s="17" t="str">
        <f>IFERROR(__xludf.DUMMYFUNCTION("IFERROR(
  TEXTJOIN(CHAR(10),TRUE,FILTER('SUMMARY DATA'!I:I,'SUMMARY DATA'!$A:$A=$A96,'SUMMARY DATA'!$C:$C=$B96,'SUMMARY DATA'!$B:$B=""RWS"")),
  IF(
    OR(
      ISNUMBER(SEARCH(""CDM CASH DEPOSIT"",$C96)),
      ISNUMBER(SEARCH(""CASH DEPOSIT"",$C96)),"&amp;"
      COUNTIFS('SUMMARY DATA'!$D:$D,$C96,'SUMMARY DATA'!$B:$B,""RWS"")&lt;&gt;1
    ),
    """",
    IFERROR(TEXTJOIN(CHAR(10),TRUE,FILTER('SUMMARY DATA'!I:I,'SUMMARY DATA'!$D:$D=$C96,'SUMMARY DATA'!$B:$B=""RWS"")),"""")
  )
)"),"")</f>
      </c>
      <c r="K96" s="2"/>
      <c r="L96" s="2"/>
      <c r="M96" s="2"/>
      <c r="N96" s="2"/>
      <c r="O96" s="2"/>
      <c r="P96" s="2"/>
      <c r="Q96" s="2"/>
      <c r="R96" s="2"/>
      <c r="S96" s="2"/>
      <c r="T96" s="2"/>
      <c r="U96" s="2"/>
      <c r="V96" s="2"/>
      <c r="W96" s="2"/>
      <c r="X96" s="2"/>
      <c r="Y96" s="2"/>
      <c r="Z96" s="2"/>
      <c r="AA96" s="2"/>
      <c r="AB96" s="2"/>
    </row>
    <row r="97" spans="1:28" customHeight="true">
      <c r="A97" s="2" t="s">
        <v>144</v>
      </c>
      <c r="B97" s="15">
        <v>45906</v>
      </c>
      <c r="C97" s="2" t="s">
        <v>145</v>
      </c>
      <c r="D97" s="3">
        <v>10</v>
      </c>
      <c r="E97" s="16" t="str">
        <f>IFERROR(__xludf.DUMMYFUNCTION("IFERROR(
  TEXTJOIN(CHAR(10),TRUE,FILTER('SUMMARY DATA'!E:E,'SUMMARY DATA'!$A:$A=$A97,'SUMMARY DATA'!$C:$C=$B97,'SUMMARY DATA'!$B:$B=""RWS"")),
  IF(
    OR(
      ISNUMBER(SEARCH(""CDM CASH DEPOSIT"",$C97)),
      ISNUMBER(SEARCH(""CASH DEPOSIT"",$C97)),"&amp;"
      COUNTIFS('SUMMARY DATA'!$D:$D,$C97,'SUMMARY DATA'!$B:$B,""RWS"")&lt;&gt;1
    ),
    """",
    IFERROR(TEXTJOIN(CHAR(10),TRUE,FILTER('SUMMARY DATA'!E:E,'SUMMARY DATA'!$D:$D=$C97,'SUMMARY DATA'!$B:$B=""RWS"")),"""")
  )
)"),"")</f>
      </c>
      <c r="F97" s="17" t="str">
        <f>IFERROR(__xludf.DUMMYFUNCTION("IFERROR(
  TEXTJOIN(CHAR(10),TRUE,FILTER('SUMMARY DATA'!F:F,'SUMMARY DATA'!$A:$A=$A97,'SUMMARY DATA'!$C:$C=$B97,'SUMMARY DATA'!$B:$B=""RWS"")),
  IF(
    OR(
      ISNUMBER(SEARCH(""CDM CASH DEPOSIT"",$C97)),
      ISNUMBER(SEARCH(""CASH DEPOSIT"",$C97)),"&amp;"
      COUNTIFS('SUMMARY DATA'!$D:$D,$C97,'SUMMARY DATA'!$B:$B,""RWS"")&lt;&gt;1
    ),
    """",
    IFERROR(TEXTJOIN(CHAR(10),TRUE,FILTER('SUMMARY DATA'!F:F,'SUMMARY DATA'!$D:$D=$C97,'SUMMARY DATA'!$B:$B=""RWS"")),"""")
  )
)"),"")</f>
      </c>
      <c r="G97" s="17" t="str">
        <f>IFERROR(__xludf.DUMMYFUNCTION("IFERROR(
  TEXTJOIN(CHAR(10),TRUE,FILTER('SUMMARY DATA'!G:G,'SUMMARY DATA'!$A:$A=$A97,'SUMMARY DATA'!$C:$C=$B97,'SUMMARY DATA'!$B:$B=""RWS"")),
  IF(
    OR(
      ISNUMBER(SEARCH(""CDM CASH DEPOSIT"",$C97)),
      ISNUMBER(SEARCH(""CASH DEPOSIT"",$C97)),"&amp;"
      COUNTIFS('SUMMARY DATA'!$D:$D,$C97,'SUMMARY DATA'!$B:$B,""RWS"")&lt;&gt;1
    ),
    """",
    IFERROR(TEXTJOIN(CHAR(10),TRUE,FILTER('SUMMARY DATA'!G:G,'SUMMARY DATA'!$D:$D=$C97,'SUMMARY DATA'!$B:$B=""RWS"")),"""")
  )
)"),"")</f>
      </c>
      <c r="H97" s="18" t="str">
        <f>IFERROR(__xludf.DUMMYFUNCTION("IFERROR(
  TEXTJOIN(CHAR(10),TRUE,FILTER('SUMMARY DATA'!H:H,'SUMMARY DATA'!$A:$A=$A97,'SUMMARY DATA'!$C:$C=$B97,'SUMMARY DATA'!$B:$B=""RWS"",'SUMMARY DATA'!$H:$H=$D97)),
  IF(
    OR(
      ISNUMBER(SEARCH(""CDM CASH DEPOSIT"",$C97)),
      ISNUMBER(SEARC"&amp;"H(""CASH DEPOSIT"",$C97))
    ),
    """",
    IFERROR(TEXTJOIN(CHAR(10),TRUE,FILTER('SUMMARY DATA'!H:H,'SUMMARY DATA'!$D:$D=$C97,'SUMMARY DATA'!$B:$B=""RWS"",'SUMMARY DATA'!$H:$H=$D97)),"""")
  )
)"),"")</f>
      </c>
      <c r="I97" s="18" t="str">
        <f>IFERROR(__xludf.DUMMYFUNCTION("IF(H97="""","""",
SUM(ARRAYFORMULA(VALUE(SPLIT(H97,CHAR(10)))))
)"),"")</f>
      </c>
      <c r="J97" s="17" t="str">
        <f>IFERROR(__xludf.DUMMYFUNCTION("IFERROR(
  TEXTJOIN(CHAR(10),TRUE,FILTER('SUMMARY DATA'!I:I,'SUMMARY DATA'!$A:$A=$A97,'SUMMARY DATA'!$C:$C=$B97,'SUMMARY DATA'!$B:$B=""RWS"")),
  IF(
    OR(
      ISNUMBER(SEARCH(""CDM CASH DEPOSIT"",$C97)),
      ISNUMBER(SEARCH(""CASH DEPOSIT"",$C97)),"&amp;"
      COUNTIFS('SUMMARY DATA'!$D:$D,$C97,'SUMMARY DATA'!$B:$B,""RWS"")&lt;&gt;1
    ),
    """",
    IFERROR(TEXTJOIN(CHAR(10),TRUE,FILTER('SUMMARY DATA'!I:I,'SUMMARY DATA'!$D:$D=$C97,'SUMMARY DATA'!$B:$B=""RWS"")),"""")
  )
)"),"")</f>
      </c>
      <c r="K97" s="2"/>
      <c r="L97" s="2"/>
      <c r="M97" s="2"/>
      <c r="N97" s="2"/>
      <c r="O97" s="2"/>
      <c r="P97" s="2"/>
      <c r="Q97" s="2"/>
      <c r="R97" s="2"/>
      <c r="S97" s="2"/>
      <c r="T97" s="2"/>
      <c r="U97" s="2"/>
      <c r="V97" s="2"/>
      <c r="W97" s="2"/>
      <c r="X97" s="2"/>
      <c r="Y97" s="2"/>
      <c r="Z97" s="2"/>
      <c r="AA97" s="2"/>
      <c r="AB97" s="2"/>
    </row>
    <row r="98" spans="1:28" customHeight="true">
      <c r="A98" s="2"/>
      <c r="B98" s="15">
        <v>45905</v>
      </c>
      <c r="C98" s="2" t="s">
        <v>146</v>
      </c>
      <c r="D98" s="3">
        <v>208</v>
      </c>
      <c r="E98" s="16" t="str">
        <f>IFERROR(__xludf.DUMMYFUNCTION("IFERROR(
  TEXTJOIN(CHAR(10),TRUE,FILTER('SUMMARY DATA'!E:E,'SUMMARY DATA'!$A:$A=$A98,'SUMMARY DATA'!$C:$C=$B98,'SUMMARY DATA'!$B:$B=""RWS"")),
  IF(
    OR(
      ISNUMBER(SEARCH(""CDM CASH DEPOSIT"",$C98)),
      ISNUMBER(SEARCH(""CASH DEPOSIT"",$C98)),"&amp;"
      COUNTIFS('SUMMARY DATA'!$D:$D,$C98,'SUMMARY DATA'!$B:$B,""RWS"")&lt;&gt;1
    ),
    """",
    IFERROR(TEXTJOIN(CHAR(10),TRUE,FILTER('SUMMARY DATA'!E:E,'SUMMARY DATA'!$D:$D=$C98,'SUMMARY DATA'!$B:$B=""RWS"")),"""")
  )
)"),"")</f>
      </c>
      <c r="F98" s="17" t="str">
        <f>IFERROR(__xludf.DUMMYFUNCTION("IFERROR(
  TEXTJOIN(CHAR(10),TRUE,FILTER('SUMMARY DATA'!F:F,'SUMMARY DATA'!$A:$A=$A98,'SUMMARY DATA'!$C:$C=$B98,'SUMMARY DATA'!$B:$B=""RWS"")),
  IF(
    OR(
      ISNUMBER(SEARCH(""CDM CASH DEPOSIT"",$C98)),
      ISNUMBER(SEARCH(""CASH DEPOSIT"",$C98)),"&amp;"
      COUNTIFS('SUMMARY DATA'!$D:$D,$C98,'SUMMARY DATA'!$B:$B,""RWS"")&lt;&gt;1
    ),
    """",
    IFERROR(TEXTJOIN(CHAR(10),TRUE,FILTER('SUMMARY DATA'!F:F,'SUMMARY DATA'!$D:$D=$C98,'SUMMARY DATA'!$B:$B=""RWS"")),"""")
  )
)"),"")</f>
      </c>
      <c r="G98" s="17" t="str">
        <f>IFERROR(__xludf.DUMMYFUNCTION("IFERROR(
  TEXTJOIN(CHAR(10),TRUE,FILTER('SUMMARY DATA'!G:G,'SUMMARY DATA'!$A:$A=$A98,'SUMMARY DATA'!$C:$C=$B98,'SUMMARY DATA'!$B:$B=""RWS"")),
  IF(
    OR(
      ISNUMBER(SEARCH(""CDM CASH DEPOSIT"",$C98)),
      ISNUMBER(SEARCH(""CASH DEPOSIT"",$C98)),"&amp;"
      COUNTIFS('SUMMARY DATA'!$D:$D,$C98,'SUMMARY DATA'!$B:$B,""RWS"")&lt;&gt;1
    ),
    """",
    IFERROR(TEXTJOIN(CHAR(10),TRUE,FILTER('SUMMARY DATA'!G:G,'SUMMARY DATA'!$D:$D=$C98,'SUMMARY DATA'!$B:$B=""RWS"")),"""")
  )
)"),"")</f>
      </c>
      <c r="H98" s="18" t="str">
        <f>IFERROR(__xludf.DUMMYFUNCTION("IFERROR(
  TEXTJOIN(CHAR(10),TRUE,FILTER('SUMMARY DATA'!H:H,'SUMMARY DATA'!$A:$A=$A98,'SUMMARY DATA'!$C:$C=$B98,'SUMMARY DATA'!$B:$B=""RWS"",'SUMMARY DATA'!$H:$H=$D98)),
  IF(
    OR(
      ISNUMBER(SEARCH(""CDM CASH DEPOSIT"",$C98)),
      ISNUMBER(SEARC"&amp;"H(""CASH DEPOSIT"",$C98))
    ),
    """",
    IFERROR(TEXTJOIN(CHAR(10),TRUE,FILTER('SUMMARY DATA'!H:H,'SUMMARY DATA'!$D:$D=$C98,'SUMMARY DATA'!$B:$B=""RWS"",'SUMMARY DATA'!$H:$H=$D98)),"""")
  )
)"),"")</f>
      </c>
      <c r="I98" s="18" t="str">
        <f>IFERROR(__xludf.DUMMYFUNCTION("IF(H98="""","""",
SUM(ARRAYFORMULA(VALUE(SPLIT(H98,CHAR(10)))))
)"),"")</f>
      </c>
      <c r="J98" s="17" t="str">
        <f>IFERROR(__xludf.DUMMYFUNCTION("IFERROR(
  TEXTJOIN(CHAR(10),TRUE,FILTER('SUMMARY DATA'!I:I,'SUMMARY DATA'!$A:$A=$A98,'SUMMARY DATA'!$C:$C=$B98,'SUMMARY DATA'!$B:$B=""RWS"")),
  IF(
    OR(
      ISNUMBER(SEARCH(""CDM CASH DEPOSIT"",$C98)),
      ISNUMBER(SEARCH(""CASH DEPOSIT"",$C98)),"&amp;"
      COUNTIFS('SUMMARY DATA'!$D:$D,$C98,'SUMMARY DATA'!$B:$B,""RWS"")&lt;&gt;1
    ),
    """",
    IFERROR(TEXTJOIN(CHAR(10),TRUE,FILTER('SUMMARY DATA'!I:I,'SUMMARY DATA'!$D:$D=$C98,'SUMMARY DATA'!$B:$B=""RWS"")),"""")
  )
)"),"")</f>
      </c>
      <c r="K98" s="2"/>
      <c r="L98" s="2"/>
      <c r="M98" s="2"/>
      <c r="N98" s="2"/>
      <c r="O98" s="2"/>
      <c r="P98" s="2"/>
      <c r="Q98" s="2"/>
      <c r="R98" s="2"/>
      <c r="S98" s="2"/>
      <c r="T98" s="2"/>
      <c r="U98" s="2"/>
      <c r="V98" s="2"/>
      <c r="W98" s="2"/>
      <c r="X98" s="2"/>
      <c r="Y98" s="2"/>
      <c r="Z98" s="2"/>
      <c r="AA98" s="2"/>
      <c r="AB98" s="2"/>
    </row>
    <row r="99" spans="1:28" customHeight="true">
      <c r="A99" s="2"/>
      <c r="B99" s="15">
        <v>45905</v>
      </c>
      <c r="C99" s="2" t="s">
        <v>147</v>
      </c>
      <c r="D99" s="3">
        <v>260.17</v>
      </c>
      <c r="E99" s="16" t="str">
        <f>IFERROR(__xludf.DUMMYFUNCTION("IFERROR(
  TEXTJOIN(CHAR(10),TRUE,FILTER('SUMMARY DATA'!E:E,'SUMMARY DATA'!$A:$A=$A99,'SUMMARY DATA'!$C:$C=$B99,'SUMMARY DATA'!$B:$B=""RWS"")),
  IF(
    OR(
      ISNUMBER(SEARCH(""CDM CASH DEPOSIT"",$C99)),
      ISNUMBER(SEARCH(""CASH DEPOSIT"",$C99)),"&amp;"
      COUNTIFS('SUMMARY DATA'!$D:$D,$C99,'SUMMARY DATA'!$B:$B,""RWS"")&lt;&gt;1
    ),
    """",
    IFERROR(TEXTJOIN(CHAR(10),TRUE,FILTER('SUMMARY DATA'!E:E,'SUMMARY DATA'!$D:$D=$C99,'SUMMARY DATA'!$B:$B=""RWS"")),"""")
  )
)"),"")</f>
      </c>
      <c r="F99" s="17" t="str">
        <f>IFERROR(__xludf.DUMMYFUNCTION("IFERROR(
  TEXTJOIN(CHAR(10),TRUE,FILTER('SUMMARY DATA'!F:F,'SUMMARY DATA'!$A:$A=$A99,'SUMMARY DATA'!$C:$C=$B99,'SUMMARY DATA'!$B:$B=""RWS"")),
  IF(
    OR(
      ISNUMBER(SEARCH(""CDM CASH DEPOSIT"",$C99)),
      ISNUMBER(SEARCH(""CASH DEPOSIT"",$C99)),"&amp;"
      COUNTIFS('SUMMARY DATA'!$D:$D,$C99,'SUMMARY DATA'!$B:$B,""RWS"")&lt;&gt;1
    ),
    """",
    IFERROR(TEXTJOIN(CHAR(10),TRUE,FILTER('SUMMARY DATA'!F:F,'SUMMARY DATA'!$D:$D=$C99,'SUMMARY DATA'!$B:$B=""RWS"")),"""")
  )
)"),"")</f>
      </c>
      <c r="G99" s="17" t="str">
        <f>IFERROR(__xludf.DUMMYFUNCTION("IFERROR(
  TEXTJOIN(CHAR(10),TRUE,FILTER('SUMMARY DATA'!G:G,'SUMMARY DATA'!$A:$A=$A99,'SUMMARY DATA'!$C:$C=$B99,'SUMMARY DATA'!$B:$B=""RWS"")),
  IF(
    OR(
      ISNUMBER(SEARCH(""CDM CASH DEPOSIT"",$C99)),
      ISNUMBER(SEARCH(""CASH DEPOSIT"",$C99)),"&amp;"
      COUNTIFS('SUMMARY DATA'!$D:$D,$C99,'SUMMARY DATA'!$B:$B,""RWS"")&lt;&gt;1
    ),
    """",
    IFERROR(TEXTJOIN(CHAR(10),TRUE,FILTER('SUMMARY DATA'!G:G,'SUMMARY DATA'!$D:$D=$C99,'SUMMARY DATA'!$B:$B=""RWS"")),"""")
  )
)"),"")</f>
      </c>
      <c r="H99" s="18" t="str">
        <f>IFERROR(__xludf.DUMMYFUNCTION("IFERROR(
  TEXTJOIN(CHAR(10),TRUE,FILTER('SUMMARY DATA'!H:H,'SUMMARY DATA'!$A:$A=$A99,'SUMMARY DATA'!$C:$C=$B99,'SUMMARY DATA'!$B:$B=""RWS"",'SUMMARY DATA'!$H:$H=$D99)),
  IF(
    OR(
      ISNUMBER(SEARCH(""CDM CASH DEPOSIT"",$C99)),
      ISNUMBER(SEARC"&amp;"H(""CASH DEPOSIT"",$C99))
    ),
    """",
    IFERROR(TEXTJOIN(CHAR(10),TRUE,FILTER('SUMMARY DATA'!H:H,'SUMMARY DATA'!$D:$D=$C99,'SUMMARY DATA'!$B:$B=""RWS"",'SUMMARY DATA'!$H:$H=$D99)),"""")
  )
)"),"")</f>
      </c>
      <c r="I99" s="18" t="str">
        <f>IFERROR(__xludf.DUMMYFUNCTION("IF(H99="""","""",
SUM(ARRAYFORMULA(VALUE(SPLIT(H99,CHAR(10)))))
)"),"")</f>
      </c>
      <c r="J99" s="17" t="str">
        <f>IFERROR(__xludf.DUMMYFUNCTION("IFERROR(
  TEXTJOIN(CHAR(10),TRUE,FILTER('SUMMARY DATA'!I:I,'SUMMARY DATA'!$A:$A=$A99,'SUMMARY DATA'!$C:$C=$B99,'SUMMARY DATA'!$B:$B=""RWS"")),
  IF(
    OR(
      ISNUMBER(SEARCH(""CDM CASH DEPOSIT"",$C99)),
      ISNUMBER(SEARCH(""CASH DEPOSIT"",$C99)),"&amp;"
      COUNTIFS('SUMMARY DATA'!$D:$D,$C99,'SUMMARY DATA'!$B:$B,""RWS"")&lt;&gt;1
    ),
    """",
    IFERROR(TEXTJOIN(CHAR(10),TRUE,FILTER('SUMMARY DATA'!I:I,'SUMMARY DATA'!$D:$D=$C99,'SUMMARY DATA'!$B:$B=""RWS"")),"""")
  )
)"),"")</f>
      </c>
      <c r="K99" s="2"/>
      <c r="L99" s="2"/>
      <c r="M99" s="2"/>
      <c r="N99" s="2"/>
      <c r="O99" s="2"/>
      <c r="P99" s="2"/>
      <c r="Q99" s="2"/>
      <c r="R99" s="2"/>
      <c r="S99" s="2"/>
      <c r="T99" s="2"/>
      <c r="U99" s="2"/>
      <c r="V99" s="2"/>
      <c r="W99" s="2"/>
      <c r="X99" s="2"/>
      <c r="Y99" s="2"/>
      <c r="Z99" s="2"/>
      <c r="AA99" s="2"/>
      <c r="AB99" s="2"/>
    </row>
    <row r="100" spans="1:28" customHeight="true">
      <c r="A100" s="2"/>
      <c r="B100" s="15">
        <v>45905</v>
      </c>
      <c r="C100" s="2" t="s">
        <v>148</v>
      </c>
      <c r="D100" s="3">
        <v>127.01</v>
      </c>
      <c r="E100" s="16" t="str">
        <f>IFERROR(__xludf.DUMMYFUNCTION("IFERROR(
  TEXTJOIN(CHAR(10),TRUE,FILTER('SUMMARY DATA'!E:E,'SUMMARY DATA'!$A:$A=$A100,'SUMMARY DATA'!$C:$C=$B100,'SUMMARY DATA'!$B:$B=""RWS"")),
  IF(
    OR(
      ISNUMBER(SEARCH(""CDM CASH DEPOSIT"",$C100)),
      ISNUMBER(SEARCH(""CASH DEPOSIT"",$C10"&amp;"0)),
      COUNTIFS('SUMMARY DATA'!$D:$D,$C100,'SUMMARY DATA'!$B:$B,""RWS"")&lt;&gt;1
    ),
    """",
    IFERROR(TEXTJOIN(CHAR(10),TRUE,FILTER('SUMMARY DATA'!E:E,'SUMMARY DATA'!$D:$D=$C100,'SUMMARY DATA'!$B:$B=""RWS"")),"""")
  )
)"),"")</f>
      </c>
      <c r="F100" s="17" t="str">
        <f>IFERROR(__xludf.DUMMYFUNCTION("IFERROR(
  TEXTJOIN(CHAR(10),TRUE,FILTER('SUMMARY DATA'!F:F,'SUMMARY DATA'!$A:$A=$A100,'SUMMARY DATA'!$C:$C=$B100,'SUMMARY DATA'!$B:$B=""RWS"")),
  IF(
    OR(
      ISNUMBER(SEARCH(""CDM CASH DEPOSIT"",$C100)),
      ISNUMBER(SEARCH(""CASH DEPOSIT"",$C10"&amp;"0)),
      COUNTIFS('SUMMARY DATA'!$D:$D,$C100,'SUMMARY DATA'!$B:$B,""RWS"")&lt;&gt;1
    ),
    """",
    IFERROR(TEXTJOIN(CHAR(10),TRUE,FILTER('SUMMARY DATA'!F:F,'SUMMARY DATA'!$D:$D=$C100,'SUMMARY DATA'!$B:$B=""RWS"")),"""")
  )
)"),"")</f>
      </c>
      <c r="G100" s="17" t="str">
        <f>IFERROR(__xludf.DUMMYFUNCTION("IFERROR(
  TEXTJOIN(CHAR(10),TRUE,FILTER('SUMMARY DATA'!G:G,'SUMMARY DATA'!$A:$A=$A100,'SUMMARY DATA'!$C:$C=$B100,'SUMMARY DATA'!$B:$B=""RWS"")),
  IF(
    OR(
      ISNUMBER(SEARCH(""CDM CASH DEPOSIT"",$C100)),
      ISNUMBER(SEARCH(""CASH DEPOSIT"",$C10"&amp;"0)),
      COUNTIFS('SUMMARY DATA'!$D:$D,$C100,'SUMMARY DATA'!$B:$B,""RWS"")&lt;&gt;1
    ),
    """",
    IFERROR(TEXTJOIN(CHAR(10),TRUE,FILTER('SUMMARY DATA'!G:G,'SUMMARY DATA'!$D:$D=$C100,'SUMMARY DATA'!$B:$B=""RWS"")),"""")
  )
)"),"")</f>
      </c>
      <c r="H100" s="18" t="str">
        <f>IFERROR(__xludf.DUMMYFUNCTION("IFERROR(
  TEXTJOIN(CHAR(10),TRUE,FILTER('SUMMARY DATA'!H:H,'SUMMARY DATA'!$A:$A=$A100,'SUMMARY DATA'!$C:$C=$B100,'SUMMARY DATA'!$B:$B=""RWS"",'SUMMARY DATA'!$H:$H=$D100)),
  IF(
    OR(
      ISNUMBER(SEARCH(""CDM CASH DEPOSIT"",$C100)),
      ISNUMBER(S"&amp;"EARCH(""CASH DEPOSIT"",$C100))
    ),
    """",
    IFERROR(TEXTJOIN(CHAR(10),TRUE,FILTER('SUMMARY DATA'!H:H,'SUMMARY DATA'!$D:$D=$C100,'SUMMARY DATA'!$B:$B=""RWS"",'SUMMARY DATA'!$H:$H=$D100)),"""")
  )
)"),"")</f>
      </c>
      <c r="I100" s="18" t="str">
        <f>IFERROR(__xludf.DUMMYFUNCTION("IF(H100="""","""",
SUM(ARRAYFORMULA(VALUE(SPLIT(H100,CHAR(10)))))
)"),"")</f>
      </c>
      <c r="J100" s="17" t="str">
        <f>IFERROR(__xludf.DUMMYFUNCTION("IFERROR(
  TEXTJOIN(CHAR(10),TRUE,FILTER('SUMMARY DATA'!I:I,'SUMMARY DATA'!$A:$A=$A100,'SUMMARY DATA'!$C:$C=$B100,'SUMMARY DATA'!$B:$B=""RWS"")),
  IF(
    OR(
      ISNUMBER(SEARCH(""CDM CASH DEPOSIT"",$C100)),
      ISNUMBER(SEARCH(""CASH DEPOSIT"",$C10"&amp;"0)),
      COUNTIFS('SUMMARY DATA'!$D:$D,$C100,'SUMMARY DATA'!$B:$B,""RWS"")&lt;&gt;1
    ),
    """",
    IFERROR(TEXTJOIN(CHAR(10),TRUE,FILTER('SUMMARY DATA'!I:I,'SUMMARY DATA'!$D:$D=$C100,'SUMMARY DATA'!$B:$B=""RWS"")),"""")
  )
)"),"")</f>
      </c>
      <c r="K100" s="2"/>
      <c r="L100" s="2"/>
      <c r="M100" s="2"/>
      <c r="N100" s="2"/>
      <c r="O100" s="2"/>
      <c r="P100" s="2"/>
      <c r="Q100" s="2"/>
      <c r="R100" s="2"/>
      <c r="S100" s="2"/>
      <c r="T100" s="2"/>
      <c r="U100" s="2"/>
      <c r="V100" s="2"/>
      <c r="W100" s="2"/>
      <c r="X100" s="2"/>
      <c r="Y100" s="2"/>
      <c r="Z100" s="2"/>
      <c r="AA100" s="2"/>
      <c r="AB100" s="2"/>
    </row>
    <row r="101" spans="1:28" customHeight="true">
      <c r="A101" s="2"/>
      <c r="B101" s="15">
        <v>45905</v>
      </c>
      <c r="C101" s="2" t="s">
        <v>149</v>
      </c>
      <c r="D101" s="3">
        <v>129.97</v>
      </c>
      <c r="E101" s="16" t="str">
        <f>IFERROR(__xludf.DUMMYFUNCTION("IFERROR(
  TEXTJOIN(CHAR(10),TRUE,FILTER('SUMMARY DATA'!E:E,'SUMMARY DATA'!$A:$A=$A101,'SUMMARY DATA'!$C:$C=$B101,'SUMMARY DATA'!$B:$B=""RWS"")),
  IF(
    OR(
      ISNUMBER(SEARCH(""CDM CASH DEPOSIT"",$C101)),
      ISNUMBER(SEARCH(""CASH DEPOSIT"",$C10"&amp;"1)),
      COUNTIFS('SUMMARY DATA'!$D:$D,$C101,'SUMMARY DATA'!$B:$B,""RWS"")&lt;&gt;1
    ),
    """",
    IFERROR(TEXTJOIN(CHAR(10),TRUE,FILTER('SUMMARY DATA'!E:E,'SUMMARY DATA'!$D:$D=$C101,'SUMMARY DATA'!$B:$B=""RWS"")),"""")
  )
)"),"")</f>
      </c>
      <c r="F101" s="17" t="str">
        <f>IFERROR(__xludf.DUMMYFUNCTION("IFERROR(
  TEXTJOIN(CHAR(10),TRUE,FILTER('SUMMARY DATA'!F:F,'SUMMARY DATA'!$A:$A=$A101,'SUMMARY DATA'!$C:$C=$B101,'SUMMARY DATA'!$B:$B=""RWS"")),
  IF(
    OR(
      ISNUMBER(SEARCH(""CDM CASH DEPOSIT"",$C101)),
      ISNUMBER(SEARCH(""CASH DEPOSIT"",$C10"&amp;"1)),
      COUNTIFS('SUMMARY DATA'!$D:$D,$C101,'SUMMARY DATA'!$B:$B,""RWS"")&lt;&gt;1
    ),
    """",
    IFERROR(TEXTJOIN(CHAR(10),TRUE,FILTER('SUMMARY DATA'!F:F,'SUMMARY DATA'!$D:$D=$C101,'SUMMARY DATA'!$B:$B=""RWS"")),"""")
  )
)"),"")</f>
      </c>
      <c r="G101" s="17" t="str">
        <f>IFERROR(__xludf.DUMMYFUNCTION("IFERROR(
  TEXTJOIN(CHAR(10),TRUE,FILTER('SUMMARY DATA'!G:G,'SUMMARY DATA'!$A:$A=$A101,'SUMMARY DATA'!$C:$C=$B101,'SUMMARY DATA'!$B:$B=""RWS"")),
  IF(
    OR(
      ISNUMBER(SEARCH(""CDM CASH DEPOSIT"",$C101)),
      ISNUMBER(SEARCH(""CASH DEPOSIT"",$C10"&amp;"1)),
      COUNTIFS('SUMMARY DATA'!$D:$D,$C101,'SUMMARY DATA'!$B:$B,""RWS"")&lt;&gt;1
    ),
    """",
    IFERROR(TEXTJOIN(CHAR(10),TRUE,FILTER('SUMMARY DATA'!G:G,'SUMMARY DATA'!$D:$D=$C101,'SUMMARY DATA'!$B:$B=""RWS"")),"""")
  )
)"),"")</f>
      </c>
      <c r="H101" s="18" t="str">
        <f>IFERROR(__xludf.DUMMYFUNCTION("IFERROR(
  TEXTJOIN(CHAR(10),TRUE,FILTER('SUMMARY DATA'!H:H,'SUMMARY DATA'!$A:$A=$A101,'SUMMARY DATA'!$C:$C=$B101,'SUMMARY DATA'!$B:$B=""RWS"",'SUMMARY DATA'!$H:$H=$D101)),
  IF(
    OR(
      ISNUMBER(SEARCH(""CDM CASH DEPOSIT"",$C101)),
      ISNUMBER(S"&amp;"EARCH(""CASH DEPOSIT"",$C101))
    ),
    """",
    IFERROR(TEXTJOIN(CHAR(10),TRUE,FILTER('SUMMARY DATA'!H:H,'SUMMARY DATA'!$D:$D=$C101,'SUMMARY DATA'!$B:$B=""RWS"",'SUMMARY DATA'!$H:$H=$D101)),"""")
  )
)"),"")</f>
      </c>
      <c r="I101" s="18" t="str">
        <f>IFERROR(__xludf.DUMMYFUNCTION("IF(H101="""","""",
SUM(ARRAYFORMULA(VALUE(SPLIT(H101,CHAR(10)))))
)"),"")</f>
      </c>
      <c r="J101" s="17" t="str">
        <f>IFERROR(__xludf.DUMMYFUNCTION("IFERROR(
  TEXTJOIN(CHAR(10),TRUE,FILTER('SUMMARY DATA'!I:I,'SUMMARY DATA'!$A:$A=$A101,'SUMMARY DATA'!$C:$C=$B101,'SUMMARY DATA'!$B:$B=""RWS"")),
  IF(
    OR(
      ISNUMBER(SEARCH(""CDM CASH DEPOSIT"",$C101)),
      ISNUMBER(SEARCH(""CASH DEPOSIT"",$C10"&amp;"1)),
      COUNTIFS('SUMMARY DATA'!$D:$D,$C101,'SUMMARY DATA'!$B:$B,""RWS"")&lt;&gt;1
    ),
    """",
    IFERROR(TEXTJOIN(CHAR(10),TRUE,FILTER('SUMMARY DATA'!I:I,'SUMMARY DATA'!$D:$D=$C101,'SUMMARY DATA'!$B:$B=""RWS"")),"""")
  )
)"),"")</f>
      </c>
      <c r="K101" s="2"/>
      <c r="L101" s="2"/>
      <c r="M101" s="2"/>
      <c r="N101" s="2"/>
      <c r="O101" s="2"/>
      <c r="P101" s="2"/>
      <c r="Q101" s="2"/>
      <c r="R101" s="2"/>
      <c r="S101" s="2"/>
      <c r="T101" s="2"/>
      <c r="U101" s="2"/>
      <c r="V101" s="2"/>
      <c r="W101" s="2"/>
      <c r="X101" s="2"/>
      <c r="Y101" s="2"/>
      <c r="Z101" s="2"/>
      <c r="AA101" s="2"/>
      <c r="AB101" s="2"/>
    </row>
    <row r="102" spans="1:28" customHeight="true">
      <c r="A102" s="2" t="s">
        <v>150</v>
      </c>
      <c r="B102" s="15">
        <v>45905</v>
      </c>
      <c r="C102" s="2" t="s">
        <v>151</v>
      </c>
      <c r="D102" s="3">
        <v>787</v>
      </c>
      <c r="E102" s="16" t="str">
        <f>IFERROR(__xludf.DUMMYFUNCTION("IFERROR(
  TEXTJOIN(CHAR(10),TRUE,FILTER('SUMMARY DATA'!E:E,'SUMMARY DATA'!$A:$A=$A102,'SUMMARY DATA'!$C:$C=$B102,'SUMMARY DATA'!$B:$B=""RWS"")),
  IF(
    OR(
      ISNUMBER(SEARCH(""CDM CASH DEPOSIT"",$C102)),
      ISNUMBER(SEARCH(""CASH DEPOSIT"",$C10"&amp;"2)),
      COUNTIFS('SUMMARY DATA'!$D:$D,$C102,'SUMMARY DATA'!$B:$B,""RWS"")&lt;&gt;1
    ),
    """",
    IFERROR(TEXTJOIN(CHAR(10),TRUE,FILTER('SUMMARY DATA'!E:E,'SUMMARY DATA'!$D:$D=$C102,'SUMMARY DATA'!$B:$B=""RWS"")),"""")
  )
)"),"")</f>
      </c>
      <c r="F102" s="17" t="str">
        <f>IFERROR(__xludf.DUMMYFUNCTION("IFERROR(
  TEXTJOIN(CHAR(10),TRUE,FILTER('SUMMARY DATA'!F:F,'SUMMARY DATA'!$A:$A=$A102,'SUMMARY DATA'!$C:$C=$B102,'SUMMARY DATA'!$B:$B=""RWS"")),
  IF(
    OR(
      ISNUMBER(SEARCH(""CDM CASH DEPOSIT"",$C102)),
      ISNUMBER(SEARCH(""CASH DEPOSIT"",$C10"&amp;"2)),
      COUNTIFS('SUMMARY DATA'!$D:$D,$C102,'SUMMARY DATA'!$B:$B,""RWS"")&lt;&gt;1
    ),
    """",
    IFERROR(TEXTJOIN(CHAR(10),TRUE,FILTER('SUMMARY DATA'!F:F,'SUMMARY DATA'!$D:$D=$C102,'SUMMARY DATA'!$B:$B=""RWS"")),"""")
  )
)"),"")</f>
      </c>
      <c r="G102" s="17" t="str">
        <f>IFERROR(__xludf.DUMMYFUNCTION("IFERROR(
  TEXTJOIN(CHAR(10),TRUE,FILTER('SUMMARY DATA'!G:G,'SUMMARY DATA'!$A:$A=$A102,'SUMMARY DATA'!$C:$C=$B102,'SUMMARY DATA'!$B:$B=""RWS"")),
  IF(
    OR(
      ISNUMBER(SEARCH(""CDM CASH DEPOSIT"",$C102)),
      ISNUMBER(SEARCH(""CASH DEPOSIT"",$C10"&amp;"2)),
      COUNTIFS('SUMMARY DATA'!$D:$D,$C102,'SUMMARY DATA'!$B:$B,""RWS"")&lt;&gt;1
    ),
    """",
    IFERROR(TEXTJOIN(CHAR(10),TRUE,FILTER('SUMMARY DATA'!G:G,'SUMMARY DATA'!$D:$D=$C102,'SUMMARY DATA'!$B:$B=""RWS"")),"""")
  )
)"),"")</f>
      </c>
      <c r="H102" s="18" t="str">
        <f>IFERROR(__xludf.DUMMYFUNCTION("IFERROR(
  TEXTJOIN(CHAR(10),TRUE,FILTER('SUMMARY DATA'!H:H,'SUMMARY DATA'!$A:$A=$A102,'SUMMARY DATA'!$C:$C=$B102,'SUMMARY DATA'!$B:$B=""RWS"",'SUMMARY DATA'!$H:$H=$D102)),
  IF(
    OR(
      ISNUMBER(SEARCH(""CDM CASH DEPOSIT"",$C102)),
      ISNUMBER(S"&amp;"EARCH(""CASH DEPOSIT"",$C102))
    ),
    """",
    IFERROR(TEXTJOIN(CHAR(10),TRUE,FILTER('SUMMARY DATA'!H:H,'SUMMARY DATA'!$D:$D=$C102,'SUMMARY DATA'!$B:$B=""RWS"",'SUMMARY DATA'!$H:$H=$D102)),"""")
  )
)"),"")</f>
      </c>
      <c r="I102" s="18" t="str">
        <f>IFERROR(__xludf.DUMMYFUNCTION("IF(H102="""","""",
SUM(ARRAYFORMULA(VALUE(SPLIT(H102,CHAR(10)))))
)"),"")</f>
      </c>
      <c r="J102" s="17" t="str">
        <f>IFERROR(__xludf.DUMMYFUNCTION("IFERROR(
  TEXTJOIN(CHAR(10),TRUE,FILTER('SUMMARY DATA'!I:I,'SUMMARY DATA'!$A:$A=$A102,'SUMMARY DATA'!$C:$C=$B102,'SUMMARY DATA'!$B:$B=""RWS"")),
  IF(
    OR(
      ISNUMBER(SEARCH(""CDM CASH DEPOSIT"",$C102)),
      ISNUMBER(SEARCH(""CASH DEPOSIT"",$C10"&amp;"2)),
      COUNTIFS('SUMMARY DATA'!$D:$D,$C102,'SUMMARY DATA'!$B:$B,""RWS"")&lt;&gt;1
    ),
    """",
    IFERROR(TEXTJOIN(CHAR(10),TRUE,FILTER('SUMMARY DATA'!I:I,'SUMMARY DATA'!$D:$D=$C102,'SUMMARY DATA'!$B:$B=""RWS"")),"""")
  )
)"),"")</f>
      </c>
      <c r="K102" s="2"/>
      <c r="L102" s="2"/>
      <c r="M102" s="2"/>
      <c r="N102" s="2"/>
      <c r="O102" s="2"/>
      <c r="P102" s="2"/>
      <c r="Q102" s="2"/>
      <c r="R102" s="2"/>
      <c r="S102" s="2"/>
      <c r="T102" s="2"/>
      <c r="U102" s="2"/>
      <c r="V102" s="2"/>
      <c r="W102" s="2"/>
      <c r="X102" s="2"/>
      <c r="Y102" s="2"/>
      <c r="Z102" s="2"/>
      <c r="AA102" s="2"/>
      <c r="AB102" s="2"/>
    </row>
    <row r="103" spans="1:28" customHeight="true">
      <c r="A103" s="2"/>
      <c r="B103" s="15">
        <v>45905</v>
      </c>
      <c r="C103" s="2" t="s">
        <v>152</v>
      </c>
      <c r="D103" s="3">
        <v>16</v>
      </c>
      <c r="E103" s="16" t="str">
        <f>IFERROR(__xludf.DUMMYFUNCTION("IFERROR(
  TEXTJOIN(CHAR(10),TRUE,FILTER('SUMMARY DATA'!E:E,'SUMMARY DATA'!$A:$A=$A103,'SUMMARY DATA'!$C:$C=$B103,'SUMMARY DATA'!$B:$B=""RWS"")),
  IF(
    OR(
      ISNUMBER(SEARCH(""CDM CASH DEPOSIT"",$C103)),
      ISNUMBER(SEARCH(""CASH DEPOSIT"",$C10"&amp;"3)),
      COUNTIFS('SUMMARY DATA'!$D:$D,$C103,'SUMMARY DATA'!$B:$B,""RWS"")&lt;&gt;1
    ),
    """",
    IFERROR(TEXTJOIN(CHAR(10),TRUE,FILTER('SUMMARY DATA'!E:E,'SUMMARY DATA'!$D:$D=$C103,'SUMMARY DATA'!$B:$B=""RWS"")),"""")
  )
)"),"")</f>
      </c>
      <c r="F103" s="17" t="str">
        <f>IFERROR(__xludf.DUMMYFUNCTION("IFERROR(
  TEXTJOIN(CHAR(10),TRUE,FILTER('SUMMARY DATA'!F:F,'SUMMARY DATA'!$A:$A=$A103,'SUMMARY DATA'!$C:$C=$B103,'SUMMARY DATA'!$B:$B=""RWS"")),
  IF(
    OR(
      ISNUMBER(SEARCH(""CDM CASH DEPOSIT"",$C103)),
      ISNUMBER(SEARCH(""CASH DEPOSIT"",$C10"&amp;"3)),
      COUNTIFS('SUMMARY DATA'!$D:$D,$C103,'SUMMARY DATA'!$B:$B,""RWS"")&lt;&gt;1
    ),
    """",
    IFERROR(TEXTJOIN(CHAR(10),TRUE,FILTER('SUMMARY DATA'!F:F,'SUMMARY DATA'!$D:$D=$C103,'SUMMARY DATA'!$B:$B=""RWS"")),"""")
  )
)"),"")</f>
      </c>
      <c r="G103" s="17" t="str">
        <f>IFERROR(__xludf.DUMMYFUNCTION("IFERROR(
  TEXTJOIN(CHAR(10),TRUE,FILTER('SUMMARY DATA'!G:G,'SUMMARY DATA'!$A:$A=$A103,'SUMMARY DATA'!$C:$C=$B103,'SUMMARY DATA'!$B:$B=""RWS"")),
  IF(
    OR(
      ISNUMBER(SEARCH(""CDM CASH DEPOSIT"",$C103)),
      ISNUMBER(SEARCH(""CASH DEPOSIT"",$C10"&amp;"3)),
      COUNTIFS('SUMMARY DATA'!$D:$D,$C103,'SUMMARY DATA'!$B:$B,""RWS"")&lt;&gt;1
    ),
    """",
    IFERROR(TEXTJOIN(CHAR(10),TRUE,FILTER('SUMMARY DATA'!G:G,'SUMMARY DATA'!$D:$D=$C103,'SUMMARY DATA'!$B:$B=""RWS"")),"""")
  )
)"),"")</f>
      </c>
      <c r="H103" s="18" t="str">
        <f>IFERROR(__xludf.DUMMYFUNCTION("IFERROR(
  TEXTJOIN(CHAR(10),TRUE,FILTER('SUMMARY DATA'!H:H,'SUMMARY DATA'!$A:$A=$A103,'SUMMARY DATA'!$C:$C=$B103,'SUMMARY DATA'!$B:$B=""RWS"",'SUMMARY DATA'!$H:$H=$D103)),
  IF(
    OR(
      ISNUMBER(SEARCH(""CDM CASH DEPOSIT"",$C103)),
      ISNUMBER(S"&amp;"EARCH(""CASH DEPOSIT"",$C103))
    ),
    """",
    IFERROR(TEXTJOIN(CHAR(10),TRUE,FILTER('SUMMARY DATA'!H:H,'SUMMARY DATA'!$D:$D=$C103,'SUMMARY DATA'!$B:$B=""RWS"",'SUMMARY DATA'!$H:$H=$D103)),"""")
  )
)"),"")</f>
      </c>
      <c r="I103" s="18" t="str">
        <f>IFERROR(__xludf.DUMMYFUNCTION("IF(H103="""","""",
SUM(ARRAYFORMULA(VALUE(SPLIT(H103,CHAR(10)))))
)"),"")</f>
      </c>
      <c r="J103" s="17" t="str">
        <f>IFERROR(__xludf.DUMMYFUNCTION("IFERROR(
  TEXTJOIN(CHAR(10),TRUE,FILTER('SUMMARY DATA'!I:I,'SUMMARY DATA'!$A:$A=$A103,'SUMMARY DATA'!$C:$C=$B103,'SUMMARY DATA'!$B:$B=""RWS"")),
  IF(
    OR(
      ISNUMBER(SEARCH(""CDM CASH DEPOSIT"",$C103)),
      ISNUMBER(SEARCH(""CASH DEPOSIT"",$C10"&amp;"3)),
      COUNTIFS('SUMMARY DATA'!$D:$D,$C103,'SUMMARY DATA'!$B:$B,""RWS"")&lt;&gt;1
    ),
    """",
    IFERROR(TEXTJOIN(CHAR(10),TRUE,FILTER('SUMMARY DATA'!I:I,'SUMMARY DATA'!$D:$D=$C103,'SUMMARY DATA'!$B:$B=""RWS"")),"""")
  )
)"),"")</f>
      </c>
      <c r="K103" s="2"/>
      <c r="L103" s="2"/>
      <c r="M103" s="2"/>
      <c r="N103" s="2"/>
      <c r="O103" s="2"/>
      <c r="P103" s="2"/>
      <c r="Q103" s="2"/>
      <c r="R103" s="2"/>
      <c r="S103" s="2"/>
      <c r="T103" s="2"/>
      <c r="U103" s="2"/>
      <c r="V103" s="2"/>
      <c r="W103" s="2"/>
      <c r="X103" s="2"/>
      <c r="Y103" s="2"/>
      <c r="Z103" s="2"/>
      <c r="AA103" s="2"/>
      <c r="AB103" s="2"/>
    </row>
    <row r="104" spans="1:28" customHeight="true">
      <c r="A104" s="2"/>
      <c r="B104" s="15">
        <v>45904</v>
      </c>
      <c r="C104" s="2" t="s">
        <v>153</v>
      </c>
      <c r="D104" s="3">
        <v>40.97</v>
      </c>
      <c r="E104" s="16" t="str">
        <f>IFERROR(__xludf.DUMMYFUNCTION("IFERROR(
  TEXTJOIN(CHAR(10),TRUE,FILTER('SUMMARY DATA'!E:E,'SUMMARY DATA'!$A:$A=$A104,'SUMMARY DATA'!$C:$C=$B104,'SUMMARY DATA'!$B:$B=""RWS"")),
  IF(
    OR(
      ISNUMBER(SEARCH(""CDM CASH DEPOSIT"",$C104)),
      ISNUMBER(SEARCH(""CASH DEPOSIT"",$C10"&amp;"4)),
      COUNTIFS('SUMMARY DATA'!$D:$D,$C104,'SUMMARY DATA'!$B:$B,""RWS"")&lt;&gt;1
    ),
    """",
    IFERROR(TEXTJOIN(CHAR(10),TRUE,FILTER('SUMMARY DATA'!E:E,'SUMMARY DATA'!$D:$D=$C104,'SUMMARY DATA'!$B:$B=""RWS"")),"""")
  )
)"),"")</f>
      </c>
      <c r="F104" s="17" t="str">
        <f>IFERROR(__xludf.DUMMYFUNCTION("IFERROR(
  TEXTJOIN(CHAR(10),TRUE,FILTER('SUMMARY DATA'!F:F,'SUMMARY DATA'!$A:$A=$A104,'SUMMARY DATA'!$C:$C=$B104,'SUMMARY DATA'!$B:$B=""RWS"")),
  IF(
    OR(
      ISNUMBER(SEARCH(""CDM CASH DEPOSIT"",$C104)),
      ISNUMBER(SEARCH(""CASH DEPOSIT"",$C10"&amp;"4)),
      COUNTIFS('SUMMARY DATA'!$D:$D,$C104,'SUMMARY DATA'!$B:$B,""RWS"")&lt;&gt;1
    ),
    """",
    IFERROR(TEXTJOIN(CHAR(10),TRUE,FILTER('SUMMARY DATA'!F:F,'SUMMARY DATA'!$D:$D=$C104,'SUMMARY DATA'!$B:$B=""RWS"")),"""")
  )
)"),"")</f>
      </c>
      <c r="G104" s="17" t="str">
        <f>IFERROR(__xludf.DUMMYFUNCTION("IFERROR(
  TEXTJOIN(CHAR(10),TRUE,FILTER('SUMMARY DATA'!G:G,'SUMMARY DATA'!$A:$A=$A104,'SUMMARY DATA'!$C:$C=$B104,'SUMMARY DATA'!$B:$B=""RWS"")),
  IF(
    OR(
      ISNUMBER(SEARCH(""CDM CASH DEPOSIT"",$C104)),
      ISNUMBER(SEARCH(""CASH DEPOSIT"",$C10"&amp;"4)),
      COUNTIFS('SUMMARY DATA'!$D:$D,$C104,'SUMMARY DATA'!$B:$B,""RWS"")&lt;&gt;1
    ),
    """",
    IFERROR(TEXTJOIN(CHAR(10),TRUE,FILTER('SUMMARY DATA'!G:G,'SUMMARY DATA'!$D:$D=$C104,'SUMMARY DATA'!$B:$B=""RWS"")),"""")
  )
)"),"")</f>
      </c>
      <c r="H104" s="18" t="str">
        <f>IFERROR(__xludf.DUMMYFUNCTION("IFERROR(
  TEXTJOIN(CHAR(10),TRUE,FILTER('SUMMARY DATA'!H:H,'SUMMARY DATA'!$A:$A=$A104,'SUMMARY DATA'!$C:$C=$B104,'SUMMARY DATA'!$B:$B=""RWS"",'SUMMARY DATA'!$H:$H=$D104)),
  IF(
    OR(
      ISNUMBER(SEARCH(""CDM CASH DEPOSIT"",$C104)),
      ISNUMBER(S"&amp;"EARCH(""CASH DEPOSIT"",$C104))
    ),
    """",
    IFERROR(TEXTJOIN(CHAR(10),TRUE,FILTER('SUMMARY DATA'!H:H,'SUMMARY DATA'!$D:$D=$C104,'SUMMARY DATA'!$B:$B=""RWS"",'SUMMARY DATA'!$H:$H=$D104)),"""")
  )
)"),"")</f>
      </c>
      <c r="I104" s="18" t="str">
        <f>IFERROR(__xludf.DUMMYFUNCTION("IF(H104="""","""",
SUM(ARRAYFORMULA(VALUE(SPLIT(H104,CHAR(10)))))
)"),"")</f>
      </c>
      <c r="J104" s="17" t="str">
        <f>IFERROR(__xludf.DUMMYFUNCTION("IFERROR(
  TEXTJOIN(CHAR(10),TRUE,FILTER('SUMMARY DATA'!I:I,'SUMMARY DATA'!$A:$A=$A104,'SUMMARY DATA'!$C:$C=$B104,'SUMMARY DATA'!$B:$B=""RWS"")),
  IF(
    OR(
      ISNUMBER(SEARCH(""CDM CASH DEPOSIT"",$C104)),
      ISNUMBER(SEARCH(""CASH DEPOSIT"",$C10"&amp;"4)),
      COUNTIFS('SUMMARY DATA'!$D:$D,$C104,'SUMMARY DATA'!$B:$B,""RWS"")&lt;&gt;1
    ),
    """",
    IFERROR(TEXTJOIN(CHAR(10),TRUE,FILTER('SUMMARY DATA'!I:I,'SUMMARY DATA'!$D:$D=$C104,'SUMMARY DATA'!$B:$B=""RWS"")),"""")
  )
)"),"")</f>
      </c>
      <c r="K104" s="2"/>
      <c r="L104" s="2"/>
      <c r="M104" s="2"/>
      <c r="N104" s="2"/>
      <c r="O104" s="2"/>
      <c r="P104" s="2"/>
      <c r="Q104" s="2"/>
      <c r="R104" s="2"/>
      <c r="S104" s="2"/>
      <c r="T104" s="2"/>
      <c r="U104" s="2"/>
      <c r="V104" s="2"/>
      <c r="W104" s="2"/>
      <c r="X104" s="2"/>
      <c r="Y104" s="2"/>
      <c r="Z104" s="2"/>
      <c r="AA104" s="2"/>
      <c r="AB104" s="2"/>
    </row>
    <row r="105" spans="1:28" customHeight="true">
      <c r="A105" s="2"/>
      <c r="B105" s="15">
        <v>45903</v>
      </c>
      <c r="C105" s="2" t="s">
        <v>154</v>
      </c>
      <c r="D105" s="3">
        <v>836.7</v>
      </c>
      <c r="E105" s="16" t="str">
        <f>IFERROR(__xludf.DUMMYFUNCTION("IFERROR(
  TEXTJOIN(CHAR(10),TRUE,FILTER('SUMMARY DATA'!E:E,'SUMMARY DATA'!$A:$A=$A105,'SUMMARY DATA'!$C:$C=$B105,'SUMMARY DATA'!$B:$B=""RWS"")),
  IF(
    OR(
      ISNUMBER(SEARCH(""CDM CASH DEPOSIT"",$C105)),
      ISNUMBER(SEARCH(""CASH DEPOSIT"",$C10"&amp;"5)),
      COUNTIFS('SUMMARY DATA'!$D:$D,$C105,'SUMMARY DATA'!$B:$B,""RWS"")&lt;&gt;1
    ),
    """",
    IFERROR(TEXTJOIN(CHAR(10),TRUE,FILTER('SUMMARY DATA'!E:E,'SUMMARY DATA'!$D:$D=$C105,'SUMMARY DATA'!$B:$B=""RWS"")),"""")
  )
)"),"")</f>
      </c>
      <c r="F105" s="17" t="str">
        <f>IFERROR(__xludf.DUMMYFUNCTION("IFERROR(
  TEXTJOIN(CHAR(10),TRUE,FILTER('SUMMARY DATA'!F:F,'SUMMARY DATA'!$A:$A=$A105,'SUMMARY DATA'!$C:$C=$B105,'SUMMARY DATA'!$B:$B=""RWS"")),
  IF(
    OR(
      ISNUMBER(SEARCH(""CDM CASH DEPOSIT"",$C105)),
      ISNUMBER(SEARCH(""CASH DEPOSIT"",$C10"&amp;"5)),
      COUNTIFS('SUMMARY DATA'!$D:$D,$C105,'SUMMARY DATA'!$B:$B,""RWS"")&lt;&gt;1
    ),
    """",
    IFERROR(TEXTJOIN(CHAR(10),TRUE,FILTER('SUMMARY DATA'!F:F,'SUMMARY DATA'!$D:$D=$C105,'SUMMARY DATA'!$B:$B=""RWS"")),"""")
  )
)"),"")</f>
      </c>
      <c r="G105" s="17" t="str">
        <f>IFERROR(__xludf.DUMMYFUNCTION("IFERROR(
  TEXTJOIN(CHAR(10),TRUE,FILTER('SUMMARY DATA'!G:G,'SUMMARY DATA'!$A:$A=$A105,'SUMMARY DATA'!$C:$C=$B105,'SUMMARY DATA'!$B:$B=""RWS"")),
  IF(
    OR(
      ISNUMBER(SEARCH(""CDM CASH DEPOSIT"",$C105)),
      ISNUMBER(SEARCH(""CASH DEPOSIT"",$C10"&amp;"5)),
      COUNTIFS('SUMMARY DATA'!$D:$D,$C105,'SUMMARY DATA'!$B:$B,""RWS"")&lt;&gt;1
    ),
    """",
    IFERROR(TEXTJOIN(CHAR(10),TRUE,FILTER('SUMMARY DATA'!G:G,'SUMMARY DATA'!$D:$D=$C105,'SUMMARY DATA'!$B:$B=""RWS"")),"""")
  )
)"),"")</f>
      </c>
      <c r="H105" s="18" t="str">
        <f>IFERROR(__xludf.DUMMYFUNCTION("IFERROR(
  TEXTJOIN(CHAR(10),TRUE,FILTER('SUMMARY DATA'!H:H,'SUMMARY DATA'!$A:$A=$A105,'SUMMARY DATA'!$C:$C=$B105,'SUMMARY DATA'!$B:$B=""RWS"",'SUMMARY DATA'!$H:$H=$D105)),
  IF(
    OR(
      ISNUMBER(SEARCH(""CDM CASH DEPOSIT"",$C105)),
      ISNUMBER(S"&amp;"EARCH(""CASH DEPOSIT"",$C105))
    ),
    """",
    IFERROR(TEXTJOIN(CHAR(10),TRUE,FILTER('SUMMARY DATA'!H:H,'SUMMARY DATA'!$D:$D=$C105,'SUMMARY DATA'!$B:$B=""RWS"",'SUMMARY DATA'!$H:$H=$D105)),"""")
  )
)"),"")</f>
      </c>
      <c r="I105" s="18" t="str">
        <f>IFERROR(__xludf.DUMMYFUNCTION("IF(H105="""","""",
SUM(ARRAYFORMULA(VALUE(SPLIT(H105,CHAR(10)))))
)"),"")</f>
      </c>
      <c r="J105" s="17" t="str">
        <f>IFERROR(__xludf.DUMMYFUNCTION("IFERROR(
  TEXTJOIN(CHAR(10),TRUE,FILTER('SUMMARY DATA'!I:I,'SUMMARY DATA'!$A:$A=$A105,'SUMMARY DATA'!$C:$C=$B105,'SUMMARY DATA'!$B:$B=""RWS"")),
  IF(
    OR(
      ISNUMBER(SEARCH(""CDM CASH DEPOSIT"",$C105)),
      ISNUMBER(SEARCH(""CASH DEPOSIT"",$C10"&amp;"5)),
      COUNTIFS('SUMMARY DATA'!$D:$D,$C105,'SUMMARY DATA'!$B:$B,""RWS"")&lt;&gt;1
    ),
    """",
    IFERROR(TEXTJOIN(CHAR(10),TRUE,FILTER('SUMMARY DATA'!I:I,'SUMMARY DATA'!$D:$D=$C105,'SUMMARY DATA'!$B:$B=""RWS"")),"""")
  )
)"),"")</f>
      </c>
      <c r="K105" s="2"/>
      <c r="L105" s="2"/>
      <c r="M105" s="2"/>
      <c r="N105" s="2"/>
      <c r="O105" s="2"/>
      <c r="P105" s="2"/>
      <c r="Q105" s="2"/>
      <c r="R105" s="2"/>
      <c r="S105" s="2"/>
      <c r="T105" s="2"/>
      <c r="U105" s="2"/>
      <c r="V105" s="2"/>
      <c r="W105" s="2"/>
      <c r="X105" s="2"/>
      <c r="Y105" s="2"/>
      <c r="Z105" s="2"/>
      <c r="AA105" s="2"/>
      <c r="AB105" s="2"/>
    </row>
    <row r="106" spans="1:28" customHeight="true">
      <c r="A106" s="2" t="s">
        <v>155</v>
      </c>
      <c r="B106" s="15">
        <v>45903</v>
      </c>
      <c r="C106" s="2" t="s">
        <v>156</v>
      </c>
      <c r="D106" s="3">
        <v>20</v>
      </c>
      <c r="E106" s="16" t="str">
        <f>IFERROR(__xludf.DUMMYFUNCTION("IFERROR(
  TEXTJOIN(CHAR(10),TRUE,FILTER('SUMMARY DATA'!E:E,'SUMMARY DATA'!$A:$A=$A106,'SUMMARY DATA'!$C:$C=$B106,'SUMMARY DATA'!$B:$B=""RWS"")),
  IF(
    OR(
      ISNUMBER(SEARCH(""CDM CASH DEPOSIT"",$C106)),
      ISNUMBER(SEARCH(""CASH DEPOSIT"",$C10"&amp;"6)),
      COUNTIFS('SUMMARY DATA'!$D:$D,$C106,'SUMMARY DATA'!$B:$B,""RWS"")&lt;&gt;1
    ),
    """",
    IFERROR(TEXTJOIN(CHAR(10),TRUE,FILTER('SUMMARY DATA'!E:E,'SUMMARY DATA'!$D:$D=$C106,'SUMMARY DATA'!$B:$B=""RWS"")),"""")
  )
)"),"")</f>
      </c>
      <c r="F106" s="17" t="str">
        <f>IFERROR(__xludf.DUMMYFUNCTION("IFERROR(
  TEXTJOIN(CHAR(10),TRUE,FILTER('SUMMARY DATA'!F:F,'SUMMARY DATA'!$A:$A=$A106,'SUMMARY DATA'!$C:$C=$B106,'SUMMARY DATA'!$B:$B=""RWS"")),
  IF(
    OR(
      ISNUMBER(SEARCH(""CDM CASH DEPOSIT"",$C106)),
      ISNUMBER(SEARCH(""CASH DEPOSIT"",$C10"&amp;"6)),
      COUNTIFS('SUMMARY DATA'!$D:$D,$C106,'SUMMARY DATA'!$B:$B,""RWS"")&lt;&gt;1
    ),
    """",
    IFERROR(TEXTJOIN(CHAR(10),TRUE,FILTER('SUMMARY DATA'!F:F,'SUMMARY DATA'!$D:$D=$C106,'SUMMARY DATA'!$B:$B=""RWS"")),"""")
  )
)"),"")</f>
      </c>
      <c r="G106" s="17" t="str">
        <f>IFERROR(__xludf.DUMMYFUNCTION("IFERROR(
  TEXTJOIN(CHAR(10),TRUE,FILTER('SUMMARY DATA'!G:G,'SUMMARY DATA'!$A:$A=$A106,'SUMMARY DATA'!$C:$C=$B106,'SUMMARY DATA'!$B:$B=""RWS"")),
  IF(
    OR(
      ISNUMBER(SEARCH(""CDM CASH DEPOSIT"",$C106)),
      ISNUMBER(SEARCH(""CASH DEPOSIT"",$C10"&amp;"6)),
      COUNTIFS('SUMMARY DATA'!$D:$D,$C106,'SUMMARY DATA'!$B:$B,""RWS"")&lt;&gt;1
    ),
    """",
    IFERROR(TEXTJOIN(CHAR(10),TRUE,FILTER('SUMMARY DATA'!G:G,'SUMMARY DATA'!$D:$D=$C106,'SUMMARY DATA'!$B:$B=""RWS"")),"""")
  )
)"),"")</f>
      </c>
      <c r="H106" s="18" t="str">
        <f>IFERROR(__xludf.DUMMYFUNCTION("IFERROR(
  TEXTJOIN(CHAR(10),TRUE,FILTER('SUMMARY DATA'!H:H,'SUMMARY DATA'!$A:$A=$A106,'SUMMARY DATA'!$C:$C=$B106,'SUMMARY DATA'!$B:$B=""RWS"",'SUMMARY DATA'!$H:$H=$D106)),
  IF(
    OR(
      ISNUMBER(SEARCH(""CDM CASH DEPOSIT"",$C106)),
      ISNUMBER(S"&amp;"EARCH(""CASH DEPOSIT"",$C106))
    ),
    """",
    IFERROR(TEXTJOIN(CHAR(10),TRUE,FILTER('SUMMARY DATA'!H:H,'SUMMARY DATA'!$D:$D=$C106,'SUMMARY DATA'!$B:$B=""RWS"",'SUMMARY DATA'!$H:$H=$D106)),"""")
  )
)"),"")</f>
      </c>
      <c r="I106" s="18" t="str">
        <f>IFERROR(__xludf.DUMMYFUNCTION("IF(H106="""","""",
SUM(ARRAYFORMULA(VALUE(SPLIT(H106,CHAR(10)))))
)"),"")</f>
      </c>
      <c r="J106" s="17" t="str">
        <f>IFERROR(__xludf.DUMMYFUNCTION("IFERROR(
  TEXTJOIN(CHAR(10),TRUE,FILTER('SUMMARY DATA'!I:I,'SUMMARY DATA'!$A:$A=$A106,'SUMMARY DATA'!$C:$C=$B106,'SUMMARY DATA'!$B:$B=""RWS"")),
  IF(
    OR(
      ISNUMBER(SEARCH(""CDM CASH DEPOSIT"",$C106)),
      ISNUMBER(SEARCH(""CASH DEPOSIT"",$C10"&amp;"6)),
      COUNTIFS('SUMMARY DATA'!$D:$D,$C106,'SUMMARY DATA'!$B:$B,""RWS"")&lt;&gt;1
    ),
    """",
    IFERROR(TEXTJOIN(CHAR(10),TRUE,FILTER('SUMMARY DATA'!I:I,'SUMMARY DATA'!$D:$D=$C106,'SUMMARY DATA'!$B:$B=""RWS"")),"""")
  )
)"),"")</f>
      </c>
      <c r="K106" s="2"/>
      <c r="L106" s="2"/>
      <c r="M106" s="2"/>
      <c r="N106" s="2"/>
      <c r="O106" s="2"/>
      <c r="P106" s="2"/>
      <c r="Q106" s="2"/>
      <c r="R106" s="2"/>
      <c r="S106" s="2"/>
      <c r="T106" s="2"/>
      <c r="U106" s="2"/>
      <c r="V106" s="2"/>
      <c r="W106" s="2"/>
      <c r="X106" s="2"/>
      <c r="Y106" s="2"/>
      <c r="Z106" s="2"/>
      <c r="AA106" s="2"/>
      <c r="AB106" s="2"/>
    </row>
    <row r="107" spans="1:28" customHeight="true">
      <c r="A107" s="2" t="s">
        <v>157</v>
      </c>
      <c r="B107" s="15">
        <v>45903</v>
      </c>
      <c r="C107" s="2" t="s">
        <v>158</v>
      </c>
      <c r="D107" s="3">
        <v>66</v>
      </c>
      <c r="E107" s="16" t="str">
        <f>IFERROR(__xludf.DUMMYFUNCTION("IFERROR(
  TEXTJOIN(CHAR(10),TRUE,FILTER('SUMMARY DATA'!E:E,'SUMMARY DATA'!$A:$A=$A107,'SUMMARY DATA'!$C:$C=$B107,'SUMMARY DATA'!$B:$B=""RWS"")),
  IF(
    OR(
      ISNUMBER(SEARCH(""CDM CASH DEPOSIT"",$C107)),
      ISNUMBER(SEARCH(""CASH DEPOSIT"",$C10"&amp;"7)),
      COUNTIFS('SUMMARY DATA'!$D:$D,$C107,'SUMMARY DATA'!$B:$B,""RWS"")&lt;&gt;1
    ),
    """",
    IFERROR(TEXTJOIN(CHAR(10),TRUE,FILTER('SUMMARY DATA'!E:E,'SUMMARY DATA'!$D:$D=$C107,'SUMMARY DATA'!$B:$B=""RWS"")),"""")
  )
)"),"")</f>
      </c>
      <c r="F107" s="17" t="str">
        <f>IFERROR(__xludf.DUMMYFUNCTION("IFERROR(
  TEXTJOIN(CHAR(10),TRUE,FILTER('SUMMARY DATA'!F:F,'SUMMARY DATA'!$A:$A=$A107,'SUMMARY DATA'!$C:$C=$B107,'SUMMARY DATA'!$B:$B=""RWS"")),
  IF(
    OR(
      ISNUMBER(SEARCH(""CDM CASH DEPOSIT"",$C107)),
      ISNUMBER(SEARCH(""CASH DEPOSIT"",$C10"&amp;"7)),
      COUNTIFS('SUMMARY DATA'!$D:$D,$C107,'SUMMARY DATA'!$B:$B,""RWS"")&lt;&gt;1
    ),
    """",
    IFERROR(TEXTJOIN(CHAR(10),TRUE,FILTER('SUMMARY DATA'!F:F,'SUMMARY DATA'!$D:$D=$C107,'SUMMARY DATA'!$B:$B=""RWS"")),"""")
  )
)"),"")</f>
      </c>
      <c r="G107" s="17" t="str">
        <f>IFERROR(__xludf.DUMMYFUNCTION("IFERROR(
  TEXTJOIN(CHAR(10),TRUE,FILTER('SUMMARY DATA'!G:G,'SUMMARY DATA'!$A:$A=$A107,'SUMMARY DATA'!$C:$C=$B107,'SUMMARY DATA'!$B:$B=""RWS"")),
  IF(
    OR(
      ISNUMBER(SEARCH(""CDM CASH DEPOSIT"",$C107)),
      ISNUMBER(SEARCH(""CASH DEPOSIT"",$C10"&amp;"7)),
      COUNTIFS('SUMMARY DATA'!$D:$D,$C107,'SUMMARY DATA'!$B:$B,""RWS"")&lt;&gt;1
    ),
    """",
    IFERROR(TEXTJOIN(CHAR(10),TRUE,FILTER('SUMMARY DATA'!G:G,'SUMMARY DATA'!$D:$D=$C107,'SUMMARY DATA'!$B:$B=""RWS"")),"""")
  )
)"),"")</f>
      </c>
      <c r="H107" s="18" t="str">
        <f>IFERROR(__xludf.DUMMYFUNCTION("IFERROR(
  TEXTJOIN(CHAR(10),TRUE,FILTER('SUMMARY DATA'!H:H,'SUMMARY DATA'!$A:$A=$A107,'SUMMARY DATA'!$C:$C=$B107,'SUMMARY DATA'!$B:$B=""RWS"",'SUMMARY DATA'!$H:$H=$D107)),
  IF(
    OR(
      ISNUMBER(SEARCH(""CDM CASH DEPOSIT"",$C107)),
      ISNUMBER(S"&amp;"EARCH(""CASH DEPOSIT"",$C107))
    ),
    """",
    IFERROR(TEXTJOIN(CHAR(10),TRUE,FILTER('SUMMARY DATA'!H:H,'SUMMARY DATA'!$D:$D=$C107,'SUMMARY DATA'!$B:$B=""RWS"",'SUMMARY DATA'!$H:$H=$D107)),"""")
  )
)"),"")</f>
      </c>
      <c r="I107" s="18" t="str">
        <f>IFERROR(__xludf.DUMMYFUNCTION("IF(H107="""","""",
SUM(ARRAYFORMULA(VALUE(SPLIT(H107,CHAR(10)))))
)"),"")</f>
      </c>
      <c r="J107" s="17" t="str">
        <f>IFERROR(__xludf.DUMMYFUNCTION("IFERROR(
  TEXTJOIN(CHAR(10),TRUE,FILTER('SUMMARY DATA'!I:I,'SUMMARY DATA'!$A:$A=$A107,'SUMMARY DATA'!$C:$C=$B107,'SUMMARY DATA'!$B:$B=""RWS"")),
  IF(
    OR(
      ISNUMBER(SEARCH(""CDM CASH DEPOSIT"",$C107)),
      ISNUMBER(SEARCH(""CASH DEPOSIT"",$C10"&amp;"7)),
      COUNTIFS('SUMMARY DATA'!$D:$D,$C107,'SUMMARY DATA'!$B:$B,""RWS"")&lt;&gt;1
    ),
    """",
    IFERROR(TEXTJOIN(CHAR(10),TRUE,FILTER('SUMMARY DATA'!I:I,'SUMMARY DATA'!$D:$D=$C107,'SUMMARY DATA'!$B:$B=""RWS"")),"""")
  )
)"),"")</f>
      </c>
      <c r="K107" s="2"/>
      <c r="L107" s="2"/>
      <c r="M107" s="2"/>
      <c r="N107" s="2"/>
      <c r="O107" s="2"/>
      <c r="P107" s="2"/>
      <c r="Q107" s="2"/>
      <c r="R107" s="2"/>
      <c r="S107" s="2"/>
      <c r="T107" s="2"/>
      <c r="U107" s="2"/>
      <c r="V107" s="2"/>
      <c r="W107" s="2"/>
      <c r="X107" s="2"/>
      <c r="Y107" s="2"/>
      <c r="Z107" s="2"/>
      <c r="AA107" s="2"/>
      <c r="AB107" s="2"/>
    </row>
    <row r="108" spans="1:28" customHeight="true">
      <c r="A108" s="2"/>
      <c r="B108" s="15">
        <v>45903</v>
      </c>
      <c r="C108" s="2" t="s">
        <v>159</v>
      </c>
      <c r="D108" s="3">
        <v>1000</v>
      </c>
      <c r="E108" s="16" t="str">
        <f>IFERROR(__xludf.DUMMYFUNCTION("IFERROR(
  TEXTJOIN(CHAR(10),TRUE,FILTER('SUMMARY DATA'!E:E,'SUMMARY DATA'!$A:$A=$A108,'SUMMARY DATA'!$C:$C=$B108,'SUMMARY DATA'!$B:$B=""RWS"")),
  IF(
    OR(
      ISNUMBER(SEARCH(""CDM CASH DEPOSIT"",$C108)),
      ISNUMBER(SEARCH(""CASH DEPOSIT"",$C10"&amp;"8)),
      COUNTIFS('SUMMARY DATA'!$D:$D,$C108,'SUMMARY DATA'!$B:$B,""RWS"")&lt;&gt;1
    ),
    """",
    IFERROR(TEXTJOIN(CHAR(10),TRUE,FILTER('SUMMARY DATA'!E:E,'SUMMARY DATA'!$D:$D=$C108,'SUMMARY DATA'!$B:$B=""RWS"")),"""")
  )
)"),"")</f>
      </c>
      <c r="F108" s="17" t="str">
        <f>IFERROR(__xludf.DUMMYFUNCTION("IFERROR(
  TEXTJOIN(CHAR(10),TRUE,FILTER('SUMMARY DATA'!F:F,'SUMMARY DATA'!$A:$A=$A108,'SUMMARY DATA'!$C:$C=$B108,'SUMMARY DATA'!$B:$B=""RWS"")),
  IF(
    OR(
      ISNUMBER(SEARCH(""CDM CASH DEPOSIT"",$C108)),
      ISNUMBER(SEARCH(""CASH DEPOSIT"",$C10"&amp;"8)),
      COUNTIFS('SUMMARY DATA'!$D:$D,$C108,'SUMMARY DATA'!$B:$B,""RWS"")&lt;&gt;1
    ),
    """",
    IFERROR(TEXTJOIN(CHAR(10),TRUE,FILTER('SUMMARY DATA'!F:F,'SUMMARY DATA'!$D:$D=$C108,'SUMMARY DATA'!$B:$B=""RWS"")),"""")
  )
)"),"")</f>
      </c>
      <c r="G108" s="17" t="str">
        <f>IFERROR(__xludf.DUMMYFUNCTION("IFERROR(
  TEXTJOIN(CHAR(10),TRUE,FILTER('SUMMARY DATA'!G:G,'SUMMARY DATA'!$A:$A=$A108,'SUMMARY DATA'!$C:$C=$B108,'SUMMARY DATA'!$B:$B=""RWS"")),
  IF(
    OR(
      ISNUMBER(SEARCH(""CDM CASH DEPOSIT"",$C108)),
      ISNUMBER(SEARCH(""CASH DEPOSIT"",$C10"&amp;"8)),
      COUNTIFS('SUMMARY DATA'!$D:$D,$C108,'SUMMARY DATA'!$B:$B,""RWS"")&lt;&gt;1
    ),
    """",
    IFERROR(TEXTJOIN(CHAR(10),TRUE,FILTER('SUMMARY DATA'!G:G,'SUMMARY DATA'!$D:$D=$C108,'SUMMARY DATA'!$B:$B=""RWS"")),"""")
  )
)"),"")</f>
      </c>
      <c r="H108" s="18" t="str">
        <f>IFERROR(__xludf.DUMMYFUNCTION("IFERROR(
  TEXTJOIN(CHAR(10),TRUE,FILTER('SUMMARY DATA'!H:H,'SUMMARY DATA'!$A:$A=$A108,'SUMMARY DATA'!$C:$C=$B108,'SUMMARY DATA'!$B:$B=""RWS"",'SUMMARY DATA'!$H:$H=$D108)),
  IF(
    OR(
      ISNUMBER(SEARCH(""CDM CASH DEPOSIT"",$C108)),
      ISNUMBER(S"&amp;"EARCH(""CASH DEPOSIT"",$C108))
    ),
    """",
    IFERROR(TEXTJOIN(CHAR(10),TRUE,FILTER('SUMMARY DATA'!H:H,'SUMMARY DATA'!$D:$D=$C108,'SUMMARY DATA'!$B:$B=""RWS"",'SUMMARY DATA'!$H:$H=$D108)),"""")
  )
)"),"")</f>
      </c>
      <c r="I108" s="18" t="str">
        <f>IFERROR(__xludf.DUMMYFUNCTION("IF(H108="""","""",
SUM(ARRAYFORMULA(VALUE(SPLIT(H108,CHAR(10)))))
)"),"")</f>
      </c>
      <c r="J108" s="17" t="str">
        <f>IFERROR(__xludf.DUMMYFUNCTION("IFERROR(
  TEXTJOIN(CHAR(10),TRUE,FILTER('SUMMARY DATA'!I:I,'SUMMARY DATA'!$A:$A=$A108,'SUMMARY DATA'!$C:$C=$B108,'SUMMARY DATA'!$B:$B=""RWS"")),
  IF(
    OR(
      ISNUMBER(SEARCH(""CDM CASH DEPOSIT"",$C108)),
      ISNUMBER(SEARCH(""CASH DEPOSIT"",$C10"&amp;"8)),
      COUNTIFS('SUMMARY DATA'!$D:$D,$C108,'SUMMARY DATA'!$B:$B,""RWS"")&lt;&gt;1
    ),
    """",
    IFERROR(TEXTJOIN(CHAR(10),TRUE,FILTER('SUMMARY DATA'!I:I,'SUMMARY DATA'!$D:$D=$C108,'SUMMARY DATA'!$B:$B=""RWS"")),"""")
  )
)"),"")</f>
      </c>
      <c r="K108" s="2"/>
      <c r="L108" s="2"/>
      <c r="M108" s="2"/>
      <c r="N108" s="2"/>
      <c r="O108" s="2"/>
      <c r="P108" s="2"/>
      <c r="Q108" s="2"/>
      <c r="R108" s="2"/>
      <c r="S108" s="2"/>
      <c r="T108" s="2"/>
      <c r="U108" s="2"/>
      <c r="V108" s="2"/>
      <c r="W108" s="2"/>
      <c r="X108" s="2"/>
      <c r="Y108" s="2"/>
      <c r="Z108" s="2"/>
      <c r="AA108" s="2"/>
      <c r="AB108" s="2"/>
    </row>
    <row r="109" spans="1:28" customHeight="true">
      <c r="A109" s="2"/>
      <c r="B109" s="15">
        <v>45903</v>
      </c>
      <c r="C109" s="2" t="s">
        <v>160</v>
      </c>
      <c r="D109" s="3">
        <v>156.55</v>
      </c>
      <c r="E109" s="16" t="str">
        <f>IFERROR(__xludf.DUMMYFUNCTION("IFERROR(
  TEXTJOIN(CHAR(10),TRUE,FILTER('SUMMARY DATA'!E:E,'SUMMARY DATA'!$A:$A=$A109,'SUMMARY DATA'!$C:$C=$B109,'SUMMARY DATA'!$B:$B=""RWS"")),
  IF(
    OR(
      ISNUMBER(SEARCH(""CDM CASH DEPOSIT"",$C109)),
      ISNUMBER(SEARCH(""CASH DEPOSIT"",$C10"&amp;"9)),
      COUNTIFS('SUMMARY DATA'!$D:$D,$C109,'SUMMARY DATA'!$B:$B,""RWS"")&lt;&gt;1
    ),
    """",
    IFERROR(TEXTJOIN(CHAR(10),TRUE,FILTER('SUMMARY DATA'!E:E,'SUMMARY DATA'!$D:$D=$C109,'SUMMARY DATA'!$B:$B=""RWS"")),"""")
  )
)"),"")</f>
      </c>
      <c r="F109" s="17" t="str">
        <f>IFERROR(__xludf.DUMMYFUNCTION("IFERROR(
  TEXTJOIN(CHAR(10),TRUE,FILTER('SUMMARY DATA'!F:F,'SUMMARY DATA'!$A:$A=$A109,'SUMMARY DATA'!$C:$C=$B109,'SUMMARY DATA'!$B:$B=""RWS"")),
  IF(
    OR(
      ISNUMBER(SEARCH(""CDM CASH DEPOSIT"",$C109)),
      ISNUMBER(SEARCH(""CASH DEPOSIT"",$C10"&amp;"9)),
      COUNTIFS('SUMMARY DATA'!$D:$D,$C109,'SUMMARY DATA'!$B:$B,""RWS"")&lt;&gt;1
    ),
    """",
    IFERROR(TEXTJOIN(CHAR(10),TRUE,FILTER('SUMMARY DATA'!F:F,'SUMMARY DATA'!$D:$D=$C109,'SUMMARY DATA'!$B:$B=""RWS"")),"""")
  )
)"),"")</f>
      </c>
      <c r="G109" s="17" t="str">
        <f>IFERROR(__xludf.DUMMYFUNCTION("IFERROR(
  TEXTJOIN(CHAR(10),TRUE,FILTER('SUMMARY DATA'!G:G,'SUMMARY DATA'!$A:$A=$A109,'SUMMARY DATA'!$C:$C=$B109,'SUMMARY DATA'!$B:$B=""RWS"")),
  IF(
    OR(
      ISNUMBER(SEARCH(""CDM CASH DEPOSIT"",$C109)),
      ISNUMBER(SEARCH(""CASH DEPOSIT"",$C10"&amp;"9)),
      COUNTIFS('SUMMARY DATA'!$D:$D,$C109,'SUMMARY DATA'!$B:$B,""RWS"")&lt;&gt;1
    ),
    """",
    IFERROR(TEXTJOIN(CHAR(10),TRUE,FILTER('SUMMARY DATA'!G:G,'SUMMARY DATA'!$D:$D=$C109,'SUMMARY DATA'!$B:$B=""RWS"")),"""")
  )
)"),"")</f>
      </c>
      <c r="H109" s="18" t="str">
        <f>IFERROR(__xludf.DUMMYFUNCTION("IFERROR(
  TEXTJOIN(CHAR(10),TRUE,FILTER('SUMMARY DATA'!H:H,'SUMMARY DATA'!$A:$A=$A109,'SUMMARY DATA'!$C:$C=$B109,'SUMMARY DATA'!$B:$B=""RWS"",'SUMMARY DATA'!$H:$H=$D109)),
  IF(
    OR(
      ISNUMBER(SEARCH(""CDM CASH DEPOSIT"",$C109)),
      ISNUMBER(S"&amp;"EARCH(""CASH DEPOSIT"",$C109))
    ),
    """",
    IFERROR(TEXTJOIN(CHAR(10),TRUE,FILTER('SUMMARY DATA'!H:H,'SUMMARY DATA'!$D:$D=$C109,'SUMMARY DATA'!$B:$B=""RWS"",'SUMMARY DATA'!$H:$H=$D109)),"""")
  )
)"),"")</f>
      </c>
      <c r="I109" s="18" t="str">
        <f>IFERROR(__xludf.DUMMYFUNCTION("IF(H109="""","""",
SUM(ARRAYFORMULA(VALUE(SPLIT(H109,CHAR(10)))))
)"),"")</f>
      </c>
      <c r="J109" s="17" t="str">
        <f>IFERROR(__xludf.DUMMYFUNCTION("IFERROR(
  TEXTJOIN(CHAR(10),TRUE,FILTER('SUMMARY DATA'!I:I,'SUMMARY DATA'!$A:$A=$A109,'SUMMARY DATA'!$C:$C=$B109,'SUMMARY DATA'!$B:$B=""RWS"")),
  IF(
    OR(
      ISNUMBER(SEARCH(""CDM CASH DEPOSIT"",$C109)),
      ISNUMBER(SEARCH(""CASH DEPOSIT"",$C10"&amp;"9)),
      COUNTIFS('SUMMARY DATA'!$D:$D,$C109,'SUMMARY DATA'!$B:$B,""RWS"")&lt;&gt;1
    ),
    """",
    IFERROR(TEXTJOIN(CHAR(10),TRUE,FILTER('SUMMARY DATA'!I:I,'SUMMARY DATA'!$D:$D=$C109,'SUMMARY DATA'!$B:$B=""RWS"")),"""")
  )
)"),"")</f>
      </c>
      <c r="K109" s="2"/>
      <c r="L109" s="2"/>
      <c r="M109" s="2"/>
      <c r="N109" s="2"/>
      <c r="O109" s="2"/>
      <c r="P109" s="2"/>
      <c r="Q109" s="2"/>
      <c r="R109" s="2"/>
      <c r="S109" s="2"/>
      <c r="T109" s="2"/>
      <c r="U109" s="2"/>
      <c r="V109" s="2"/>
      <c r="W109" s="2"/>
      <c r="X109" s="2"/>
      <c r="Y109" s="2"/>
      <c r="Z109" s="2"/>
      <c r="AA109" s="2"/>
      <c r="AB109" s="2"/>
    </row>
    <row r="110" spans="1:28" customHeight="true">
      <c r="A110" s="2"/>
      <c r="B110" s="15">
        <v>45902</v>
      </c>
      <c r="C110" s="2" t="s">
        <v>161</v>
      </c>
      <c r="D110" s="3">
        <v>44.87</v>
      </c>
      <c r="E110" s="16" t="str">
        <f>IFERROR(__xludf.DUMMYFUNCTION("IFERROR(
  TEXTJOIN(CHAR(10),TRUE,FILTER('SUMMARY DATA'!E:E,'SUMMARY DATA'!$A:$A=$A110,'SUMMARY DATA'!$C:$C=$B110,'SUMMARY DATA'!$B:$B=""RWS"")),
  IF(
    OR(
      ISNUMBER(SEARCH(""CDM CASH DEPOSIT"",$C110)),
      ISNUMBER(SEARCH(""CASH DEPOSIT"",$C11"&amp;"0)),
      COUNTIFS('SUMMARY DATA'!$D:$D,$C110,'SUMMARY DATA'!$B:$B,""RWS"")&lt;&gt;1
    ),
    """",
    IFERROR(TEXTJOIN(CHAR(10),TRUE,FILTER('SUMMARY DATA'!E:E,'SUMMARY DATA'!$D:$D=$C110,'SUMMARY DATA'!$B:$B=""RWS"")),"""")
  )
)"),"")</f>
      </c>
      <c r="F110" s="17" t="str">
        <f>IFERROR(__xludf.DUMMYFUNCTION("IFERROR(
  TEXTJOIN(CHAR(10),TRUE,FILTER('SUMMARY DATA'!F:F,'SUMMARY DATA'!$A:$A=$A110,'SUMMARY DATA'!$C:$C=$B110,'SUMMARY DATA'!$B:$B=""RWS"")),
  IF(
    OR(
      ISNUMBER(SEARCH(""CDM CASH DEPOSIT"",$C110)),
      ISNUMBER(SEARCH(""CASH DEPOSIT"",$C11"&amp;"0)),
      COUNTIFS('SUMMARY DATA'!$D:$D,$C110,'SUMMARY DATA'!$B:$B,""RWS"")&lt;&gt;1
    ),
    """",
    IFERROR(TEXTJOIN(CHAR(10),TRUE,FILTER('SUMMARY DATA'!F:F,'SUMMARY DATA'!$D:$D=$C110,'SUMMARY DATA'!$B:$B=""RWS"")),"""")
  )
)"),"")</f>
      </c>
      <c r="G110" s="17" t="str">
        <f>IFERROR(__xludf.DUMMYFUNCTION("IFERROR(
  TEXTJOIN(CHAR(10),TRUE,FILTER('SUMMARY DATA'!G:G,'SUMMARY DATA'!$A:$A=$A110,'SUMMARY DATA'!$C:$C=$B110,'SUMMARY DATA'!$B:$B=""RWS"")),
  IF(
    OR(
      ISNUMBER(SEARCH(""CDM CASH DEPOSIT"",$C110)),
      ISNUMBER(SEARCH(""CASH DEPOSIT"",$C11"&amp;"0)),
      COUNTIFS('SUMMARY DATA'!$D:$D,$C110,'SUMMARY DATA'!$B:$B,""RWS"")&lt;&gt;1
    ),
    """",
    IFERROR(TEXTJOIN(CHAR(10),TRUE,FILTER('SUMMARY DATA'!G:G,'SUMMARY DATA'!$D:$D=$C110,'SUMMARY DATA'!$B:$B=""RWS"")),"""")
  )
)"),"")</f>
      </c>
      <c r="H110" s="18" t="str">
        <f>IFERROR(__xludf.DUMMYFUNCTION("IFERROR(
  TEXTJOIN(CHAR(10),TRUE,FILTER('SUMMARY DATA'!H:H,'SUMMARY DATA'!$A:$A=$A110,'SUMMARY DATA'!$C:$C=$B110,'SUMMARY DATA'!$B:$B=""RWS"",'SUMMARY DATA'!$H:$H=$D110)),
  IF(
    OR(
      ISNUMBER(SEARCH(""CDM CASH DEPOSIT"",$C110)),
      ISNUMBER(S"&amp;"EARCH(""CASH DEPOSIT"",$C110))
    ),
    """",
    IFERROR(TEXTJOIN(CHAR(10),TRUE,FILTER('SUMMARY DATA'!H:H,'SUMMARY DATA'!$D:$D=$C110,'SUMMARY DATA'!$B:$B=""RWS"",'SUMMARY DATA'!$H:$H=$D110)),"""")
  )
)"),"")</f>
      </c>
      <c r="I110" s="18" t="str">
        <f>IFERROR(__xludf.DUMMYFUNCTION("IF(H110="""","""",
SUM(ARRAYFORMULA(VALUE(SPLIT(H110,CHAR(10)))))
)"),"")</f>
      </c>
      <c r="J110" s="17" t="str">
        <f>IFERROR(__xludf.DUMMYFUNCTION("IFERROR(
  TEXTJOIN(CHAR(10),TRUE,FILTER('SUMMARY DATA'!I:I,'SUMMARY DATA'!$A:$A=$A110,'SUMMARY DATA'!$C:$C=$B110,'SUMMARY DATA'!$B:$B=""RWS"")),
  IF(
    OR(
      ISNUMBER(SEARCH(""CDM CASH DEPOSIT"",$C110)),
      ISNUMBER(SEARCH(""CASH DEPOSIT"",$C11"&amp;"0)),
      COUNTIFS('SUMMARY DATA'!$D:$D,$C110,'SUMMARY DATA'!$B:$B,""RWS"")&lt;&gt;1
    ),
    """",
    IFERROR(TEXTJOIN(CHAR(10),TRUE,FILTER('SUMMARY DATA'!I:I,'SUMMARY DATA'!$D:$D=$C110,'SUMMARY DATA'!$B:$B=""RWS"")),"""")
  )
)"),"")</f>
      </c>
      <c r="K110" s="2"/>
      <c r="L110" s="2"/>
      <c r="M110" s="2"/>
      <c r="N110" s="2"/>
      <c r="O110" s="2"/>
      <c r="P110" s="2"/>
      <c r="Q110" s="2"/>
      <c r="R110" s="2"/>
      <c r="S110" s="2"/>
      <c r="T110" s="2"/>
      <c r="U110" s="2"/>
      <c r="V110" s="2"/>
      <c r="W110" s="2"/>
      <c r="X110" s="2"/>
      <c r="Y110" s="2"/>
      <c r="Z110" s="2"/>
      <c r="AA110" s="2"/>
      <c r="AB110" s="2"/>
    </row>
    <row r="111" spans="1:28" customHeight="true">
      <c r="A111" s="2"/>
      <c r="B111" s="15">
        <v>45902</v>
      </c>
      <c r="C111" s="2" t="s">
        <v>162</v>
      </c>
      <c r="D111" s="3">
        <v>393</v>
      </c>
      <c r="E111" s="16" t="str">
        <f>IFERROR(__xludf.DUMMYFUNCTION("IFERROR(
  TEXTJOIN(CHAR(10),TRUE,FILTER('SUMMARY DATA'!E:E,'SUMMARY DATA'!$A:$A=$A111,'SUMMARY DATA'!$C:$C=$B111,'SUMMARY DATA'!$B:$B=""RWS"")),
  IF(
    OR(
      ISNUMBER(SEARCH(""CDM CASH DEPOSIT"",$C111)),
      ISNUMBER(SEARCH(""CASH DEPOSIT"",$C11"&amp;"1)),
      COUNTIFS('SUMMARY DATA'!$D:$D,$C111,'SUMMARY DATA'!$B:$B,""RWS"")&lt;&gt;1
    ),
    """",
    IFERROR(TEXTJOIN(CHAR(10),TRUE,FILTER('SUMMARY DATA'!E:E,'SUMMARY DATA'!$D:$D=$C111,'SUMMARY DATA'!$B:$B=""RWS"")),"""")
  )
)"),"")</f>
      </c>
      <c r="F111" s="17" t="str">
        <f>IFERROR(__xludf.DUMMYFUNCTION("IFERROR(
  TEXTJOIN(CHAR(10),TRUE,FILTER('SUMMARY DATA'!F:F,'SUMMARY DATA'!$A:$A=$A111,'SUMMARY DATA'!$C:$C=$B111,'SUMMARY DATA'!$B:$B=""RWS"")),
  IF(
    OR(
      ISNUMBER(SEARCH(""CDM CASH DEPOSIT"",$C111)),
      ISNUMBER(SEARCH(""CASH DEPOSIT"",$C11"&amp;"1)),
      COUNTIFS('SUMMARY DATA'!$D:$D,$C111,'SUMMARY DATA'!$B:$B,""RWS"")&lt;&gt;1
    ),
    """",
    IFERROR(TEXTJOIN(CHAR(10),TRUE,FILTER('SUMMARY DATA'!F:F,'SUMMARY DATA'!$D:$D=$C111,'SUMMARY DATA'!$B:$B=""RWS"")),"""")
  )
)"),"")</f>
      </c>
      <c r="G111" s="17" t="str">
        <f>IFERROR(__xludf.DUMMYFUNCTION("IFERROR(
  TEXTJOIN(CHAR(10),TRUE,FILTER('SUMMARY DATA'!G:G,'SUMMARY DATA'!$A:$A=$A111,'SUMMARY DATA'!$C:$C=$B111,'SUMMARY DATA'!$B:$B=""RWS"")),
  IF(
    OR(
      ISNUMBER(SEARCH(""CDM CASH DEPOSIT"",$C111)),
      ISNUMBER(SEARCH(""CASH DEPOSIT"",$C11"&amp;"1)),
      COUNTIFS('SUMMARY DATA'!$D:$D,$C111,'SUMMARY DATA'!$B:$B,""RWS"")&lt;&gt;1
    ),
    """",
    IFERROR(TEXTJOIN(CHAR(10),TRUE,FILTER('SUMMARY DATA'!G:G,'SUMMARY DATA'!$D:$D=$C111,'SUMMARY DATA'!$B:$B=""RWS"")),"""")
  )
)"),"")</f>
      </c>
      <c r="H111" s="18" t="str">
        <f>IFERROR(__xludf.DUMMYFUNCTION("IFERROR(
  TEXTJOIN(CHAR(10),TRUE,FILTER('SUMMARY DATA'!H:H,'SUMMARY DATA'!$A:$A=$A111,'SUMMARY DATA'!$C:$C=$B111,'SUMMARY DATA'!$B:$B=""RWS"",'SUMMARY DATA'!$H:$H=$D111)),
  IF(
    OR(
      ISNUMBER(SEARCH(""CDM CASH DEPOSIT"",$C111)),
      ISNUMBER(S"&amp;"EARCH(""CASH DEPOSIT"",$C111))
    ),
    """",
    IFERROR(TEXTJOIN(CHAR(10),TRUE,FILTER('SUMMARY DATA'!H:H,'SUMMARY DATA'!$D:$D=$C111,'SUMMARY DATA'!$B:$B=""RWS"",'SUMMARY DATA'!$H:$H=$D111)),"""")
  )
)"),"")</f>
      </c>
      <c r="I111" s="18" t="str">
        <f>IFERROR(__xludf.DUMMYFUNCTION("IF(H111="""","""",
SUM(ARRAYFORMULA(VALUE(SPLIT(H111,CHAR(10)))))
)"),"")</f>
      </c>
      <c r="J111" s="17" t="str">
        <f>IFERROR(__xludf.DUMMYFUNCTION("IFERROR(
  TEXTJOIN(CHAR(10),TRUE,FILTER('SUMMARY DATA'!I:I,'SUMMARY DATA'!$A:$A=$A111,'SUMMARY DATA'!$C:$C=$B111,'SUMMARY DATA'!$B:$B=""RWS"")),
  IF(
    OR(
      ISNUMBER(SEARCH(""CDM CASH DEPOSIT"",$C111)),
      ISNUMBER(SEARCH(""CASH DEPOSIT"",$C11"&amp;"1)),
      COUNTIFS('SUMMARY DATA'!$D:$D,$C111,'SUMMARY DATA'!$B:$B,""RWS"")&lt;&gt;1
    ),
    """",
    IFERROR(TEXTJOIN(CHAR(10),TRUE,FILTER('SUMMARY DATA'!I:I,'SUMMARY DATA'!$D:$D=$C111,'SUMMARY DATA'!$B:$B=""RWS"")),"""")
  )
)"),"")</f>
      </c>
      <c r="K111" s="2"/>
      <c r="L111" s="2"/>
      <c r="M111" s="2"/>
      <c r="N111" s="2"/>
      <c r="O111" s="2"/>
      <c r="P111" s="2"/>
      <c r="Q111" s="2"/>
      <c r="R111" s="2"/>
      <c r="S111" s="2"/>
      <c r="T111" s="2"/>
      <c r="U111" s="2"/>
      <c r="V111" s="2"/>
      <c r="W111" s="2"/>
      <c r="X111" s="2"/>
      <c r="Y111" s="2"/>
      <c r="Z111" s="2"/>
      <c r="AA111" s="2"/>
      <c r="AB111" s="2"/>
    </row>
    <row r="112" spans="1:28" customHeight="true">
      <c r="A112" s="2"/>
      <c r="B112" s="15">
        <v>45901</v>
      </c>
      <c r="C112" s="2" t="s">
        <v>163</v>
      </c>
      <c r="D112" s="3">
        <v>0.9</v>
      </c>
      <c r="E112" s="16" t="str">
        <f>IFERROR(__xludf.DUMMYFUNCTION("IFERROR(
  TEXTJOIN(CHAR(10),TRUE,FILTER('SUMMARY DATA'!E:E,'SUMMARY DATA'!$A:$A=$A112,'SUMMARY DATA'!$C:$C=$B112,'SUMMARY DATA'!$B:$B=""RWS"")),
  IF(
    OR(
      ISNUMBER(SEARCH(""CDM CASH DEPOSIT"",$C112)),
      ISNUMBER(SEARCH(""CASH DEPOSIT"",$C11"&amp;"2)),
      COUNTIFS('SUMMARY DATA'!$D:$D,$C112,'SUMMARY DATA'!$B:$B,""RWS"")&lt;&gt;1
    ),
    """",
    IFERROR(TEXTJOIN(CHAR(10),TRUE,FILTER('SUMMARY DATA'!E:E,'SUMMARY DATA'!$D:$D=$C112,'SUMMARY DATA'!$B:$B=""RWS"")),"""")
  )
)"),"")</f>
      </c>
      <c r="F112" s="17" t="str">
        <f>IFERROR(__xludf.DUMMYFUNCTION("IFERROR(
  TEXTJOIN(CHAR(10),TRUE,FILTER('SUMMARY DATA'!F:F,'SUMMARY DATA'!$A:$A=$A112,'SUMMARY DATA'!$C:$C=$B112,'SUMMARY DATA'!$B:$B=""RWS"")),
  IF(
    OR(
      ISNUMBER(SEARCH(""CDM CASH DEPOSIT"",$C112)),
      ISNUMBER(SEARCH(""CASH DEPOSIT"",$C11"&amp;"2)),
      COUNTIFS('SUMMARY DATA'!$D:$D,$C112,'SUMMARY DATA'!$B:$B,""RWS"")&lt;&gt;1
    ),
    """",
    IFERROR(TEXTJOIN(CHAR(10),TRUE,FILTER('SUMMARY DATA'!F:F,'SUMMARY DATA'!$D:$D=$C112,'SUMMARY DATA'!$B:$B=""RWS"")),"""")
  )
)"),"")</f>
      </c>
      <c r="G112" s="17" t="str">
        <f>IFERROR(__xludf.DUMMYFUNCTION("IFERROR(
  TEXTJOIN(CHAR(10),TRUE,FILTER('SUMMARY DATA'!G:G,'SUMMARY DATA'!$A:$A=$A112,'SUMMARY DATA'!$C:$C=$B112,'SUMMARY DATA'!$B:$B=""RWS"")),
  IF(
    OR(
      ISNUMBER(SEARCH(""CDM CASH DEPOSIT"",$C112)),
      ISNUMBER(SEARCH(""CASH DEPOSIT"",$C11"&amp;"2)),
      COUNTIFS('SUMMARY DATA'!$D:$D,$C112,'SUMMARY DATA'!$B:$B,""RWS"")&lt;&gt;1
    ),
    """",
    IFERROR(TEXTJOIN(CHAR(10),TRUE,FILTER('SUMMARY DATA'!G:G,'SUMMARY DATA'!$D:$D=$C112,'SUMMARY DATA'!$B:$B=""RWS"")),"""")
  )
)"),"")</f>
      </c>
      <c r="H112" s="18" t="str">
        <f>IFERROR(__xludf.DUMMYFUNCTION("IFERROR(
  TEXTJOIN(CHAR(10),TRUE,FILTER('SUMMARY DATA'!H:H,'SUMMARY DATA'!$A:$A=$A112,'SUMMARY DATA'!$C:$C=$B112,'SUMMARY DATA'!$B:$B=""RWS"",'SUMMARY DATA'!$H:$H=$D112)),
  IF(
    OR(
      ISNUMBER(SEARCH(""CDM CASH DEPOSIT"",$C112)),
      ISNUMBER(S"&amp;"EARCH(""CASH DEPOSIT"",$C112))
    ),
    """",
    IFERROR(TEXTJOIN(CHAR(10),TRUE,FILTER('SUMMARY DATA'!H:H,'SUMMARY DATA'!$D:$D=$C112,'SUMMARY DATA'!$B:$B=""RWS"",'SUMMARY DATA'!$H:$H=$D112)),"""")
  )
)"),"")</f>
      </c>
      <c r="I112" s="18" t="str">
        <f>IFERROR(__xludf.DUMMYFUNCTION("IF(H112="""","""",
SUM(ARRAYFORMULA(VALUE(SPLIT(H112,CHAR(10)))))
)"),"")</f>
      </c>
      <c r="J112" s="17" t="str">
        <f>IFERROR(__xludf.DUMMYFUNCTION("IFERROR(
  TEXTJOIN(CHAR(10),TRUE,FILTER('SUMMARY DATA'!I:I,'SUMMARY DATA'!$A:$A=$A112,'SUMMARY DATA'!$C:$C=$B112,'SUMMARY DATA'!$B:$B=""RWS"")),
  IF(
    OR(
      ISNUMBER(SEARCH(""CDM CASH DEPOSIT"",$C112)),
      ISNUMBER(SEARCH(""CASH DEPOSIT"",$C11"&amp;"2)),
      COUNTIFS('SUMMARY DATA'!$D:$D,$C112,'SUMMARY DATA'!$B:$B,""RWS"")&lt;&gt;1
    ),
    """",
    IFERROR(TEXTJOIN(CHAR(10),TRUE,FILTER('SUMMARY DATA'!I:I,'SUMMARY DATA'!$D:$D=$C112,'SUMMARY DATA'!$B:$B=""RWS"")),"""")
  )
)"),"")</f>
      </c>
      <c r="K112" s="2"/>
      <c r="L112" s="2"/>
      <c r="M112" s="2"/>
      <c r="N112" s="2"/>
      <c r="O112" s="2"/>
      <c r="P112" s="2"/>
      <c r="Q112" s="2"/>
      <c r="R112" s="2"/>
      <c r="S112" s="2"/>
      <c r="T112" s="2"/>
      <c r="U112" s="2"/>
      <c r="V112" s="2"/>
      <c r="W112" s="2"/>
      <c r="X112" s="2"/>
      <c r="Y112" s="2"/>
      <c r="Z112" s="2"/>
      <c r="AA112" s="2"/>
      <c r="AB112" s="2"/>
    </row>
    <row r="113" spans="1:28" customHeight="true">
      <c r="A113" s="2"/>
      <c r="B113" s="15">
        <v>45901</v>
      </c>
      <c r="C113" s="2" t="s">
        <v>164</v>
      </c>
      <c r="D113" s="3">
        <v>40</v>
      </c>
      <c r="E113" s="16" t="str">
        <f>IFERROR(__xludf.DUMMYFUNCTION("IFERROR(
  TEXTJOIN(CHAR(10),TRUE,FILTER('SUMMARY DATA'!E:E,'SUMMARY DATA'!$A:$A=$A113,'SUMMARY DATA'!$C:$C=$B113,'SUMMARY DATA'!$B:$B=""RWS"")),
  IF(
    OR(
      ISNUMBER(SEARCH(""CDM CASH DEPOSIT"",$C113)),
      ISNUMBER(SEARCH(""CASH DEPOSIT"",$C11"&amp;"3)),
      COUNTIFS('SUMMARY DATA'!$D:$D,$C113,'SUMMARY DATA'!$B:$B,""RWS"")&lt;&gt;1
    ),
    """",
    IFERROR(TEXTJOIN(CHAR(10),TRUE,FILTER('SUMMARY DATA'!E:E,'SUMMARY DATA'!$D:$D=$C113,'SUMMARY DATA'!$B:$B=""RWS"")),"""")
  )
)"),"")</f>
      </c>
      <c r="F113" s="17" t="str">
        <f>IFERROR(__xludf.DUMMYFUNCTION("IFERROR(
  TEXTJOIN(CHAR(10),TRUE,FILTER('SUMMARY DATA'!F:F,'SUMMARY DATA'!$A:$A=$A113,'SUMMARY DATA'!$C:$C=$B113,'SUMMARY DATA'!$B:$B=""RWS"")),
  IF(
    OR(
      ISNUMBER(SEARCH(""CDM CASH DEPOSIT"",$C113)),
      ISNUMBER(SEARCH(""CASH DEPOSIT"",$C11"&amp;"3)),
      COUNTIFS('SUMMARY DATA'!$D:$D,$C113,'SUMMARY DATA'!$B:$B,""RWS"")&lt;&gt;1
    ),
    """",
    IFERROR(TEXTJOIN(CHAR(10),TRUE,FILTER('SUMMARY DATA'!F:F,'SUMMARY DATA'!$D:$D=$C113,'SUMMARY DATA'!$B:$B=""RWS"")),"""")
  )
)"),"")</f>
      </c>
      <c r="G113" s="17" t="str">
        <f>IFERROR(__xludf.DUMMYFUNCTION("IFERROR(
  TEXTJOIN(CHAR(10),TRUE,FILTER('SUMMARY DATA'!G:G,'SUMMARY DATA'!$A:$A=$A113,'SUMMARY DATA'!$C:$C=$B113,'SUMMARY DATA'!$B:$B=""RWS"")),
  IF(
    OR(
      ISNUMBER(SEARCH(""CDM CASH DEPOSIT"",$C113)),
      ISNUMBER(SEARCH(""CASH DEPOSIT"",$C11"&amp;"3)),
      COUNTIFS('SUMMARY DATA'!$D:$D,$C113,'SUMMARY DATA'!$B:$B,""RWS"")&lt;&gt;1
    ),
    """",
    IFERROR(TEXTJOIN(CHAR(10),TRUE,FILTER('SUMMARY DATA'!G:G,'SUMMARY DATA'!$D:$D=$C113,'SUMMARY DATA'!$B:$B=""RWS"")),"""")
  )
)"),"")</f>
      </c>
      <c r="H113" s="18" t="str">
        <f>IFERROR(__xludf.DUMMYFUNCTION("IFERROR(
  TEXTJOIN(CHAR(10),TRUE,FILTER('SUMMARY DATA'!H:H,'SUMMARY DATA'!$A:$A=$A113,'SUMMARY DATA'!$C:$C=$B113,'SUMMARY DATA'!$B:$B=""RWS"",'SUMMARY DATA'!$H:$H=$D113)),
  IF(
    OR(
      ISNUMBER(SEARCH(""CDM CASH DEPOSIT"",$C113)),
      ISNUMBER(S"&amp;"EARCH(""CASH DEPOSIT"",$C113))
    ),
    """",
    IFERROR(TEXTJOIN(CHAR(10),TRUE,FILTER('SUMMARY DATA'!H:H,'SUMMARY DATA'!$D:$D=$C113,'SUMMARY DATA'!$B:$B=""RWS"",'SUMMARY DATA'!$H:$H=$D113)),"""")
  )
)"),"")</f>
      </c>
      <c r="I113" s="18" t="str">
        <f>IFERROR(__xludf.DUMMYFUNCTION("IF(H113="""","""",
SUM(ARRAYFORMULA(VALUE(SPLIT(H113,CHAR(10)))))
)"),"")</f>
      </c>
      <c r="J113" s="17" t="str">
        <f>IFERROR(__xludf.DUMMYFUNCTION("IFERROR(
  TEXTJOIN(CHAR(10),TRUE,FILTER('SUMMARY DATA'!I:I,'SUMMARY DATA'!$A:$A=$A113,'SUMMARY DATA'!$C:$C=$B113,'SUMMARY DATA'!$B:$B=""RWS"")),
  IF(
    OR(
      ISNUMBER(SEARCH(""CDM CASH DEPOSIT"",$C113)),
      ISNUMBER(SEARCH(""CASH DEPOSIT"",$C11"&amp;"3)),
      COUNTIFS('SUMMARY DATA'!$D:$D,$C113,'SUMMARY DATA'!$B:$B,""RWS"")&lt;&gt;1
    ),
    """",
    IFERROR(TEXTJOIN(CHAR(10),TRUE,FILTER('SUMMARY DATA'!I:I,'SUMMARY DATA'!$D:$D=$C113,'SUMMARY DATA'!$B:$B=""RWS"")),"""")
  )
)"),"")</f>
      </c>
      <c r="K113" s="2"/>
      <c r="L113" s="2"/>
      <c r="M113" s="2"/>
      <c r="N113" s="2"/>
      <c r="O113" s="2"/>
      <c r="P113" s="2"/>
      <c r="Q113" s="2"/>
      <c r="R113" s="2"/>
      <c r="S113" s="2"/>
      <c r="T113" s="2"/>
      <c r="U113" s="2"/>
      <c r="V113" s="2"/>
      <c r="W113" s="2"/>
      <c r="X113" s="2"/>
      <c r="Y113" s="2"/>
      <c r="Z113" s="2"/>
      <c r="AA113" s="2"/>
      <c r="AB113" s="2"/>
    </row>
    <row r="114" spans="1:28" customHeight="true">
      <c r="A114" s="2" t="s">
        <v>165</v>
      </c>
      <c r="B114" s="15">
        <v>45901</v>
      </c>
      <c r="C114" s="2" t="s">
        <v>166</v>
      </c>
      <c r="D114" s="3">
        <v>500</v>
      </c>
      <c r="E114" s="16" t="str">
        <f>IFERROR(__xludf.DUMMYFUNCTION("IFERROR(
  TEXTJOIN(CHAR(10),TRUE,FILTER('SUMMARY DATA'!E:E,'SUMMARY DATA'!$A:$A=$A114,'SUMMARY DATA'!$C:$C=$B114,'SUMMARY DATA'!$B:$B=""RWS"")),
  IF(
    OR(
      ISNUMBER(SEARCH(""CDM CASH DEPOSIT"",$C114)),
      ISNUMBER(SEARCH(""CASH DEPOSIT"",$C11"&amp;"4)),
      COUNTIFS('SUMMARY DATA'!$D:$D,$C114,'SUMMARY DATA'!$B:$B,""RWS"")&lt;&gt;1
    ),
    """",
    IFERROR(TEXTJOIN(CHAR(10),TRUE,FILTER('SUMMARY DATA'!E:E,'SUMMARY DATA'!$D:$D=$C114,'SUMMARY DATA'!$B:$B=""RWS"")),"""")
  )
)"),"")</f>
      </c>
      <c r="F114" s="17" t="str">
        <f>IFERROR(__xludf.DUMMYFUNCTION("IFERROR(
  TEXTJOIN(CHAR(10),TRUE,FILTER('SUMMARY DATA'!F:F,'SUMMARY DATA'!$A:$A=$A114,'SUMMARY DATA'!$C:$C=$B114,'SUMMARY DATA'!$B:$B=""RWS"")),
  IF(
    OR(
      ISNUMBER(SEARCH(""CDM CASH DEPOSIT"",$C114)),
      ISNUMBER(SEARCH(""CASH DEPOSIT"",$C11"&amp;"4)),
      COUNTIFS('SUMMARY DATA'!$D:$D,$C114,'SUMMARY DATA'!$B:$B,""RWS"")&lt;&gt;1
    ),
    """",
    IFERROR(TEXTJOIN(CHAR(10),TRUE,FILTER('SUMMARY DATA'!F:F,'SUMMARY DATA'!$D:$D=$C114,'SUMMARY DATA'!$B:$B=""RWS"")),"""")
  )
)"),"")</f>
      </c>
      <c r="G114" s="17" t="str">
        <f>IFERROR(__xludf.DUMMYFUNCTION("IFERROR(
  TEXTJOIN(CHAR(10),TRUE,FILTER('SUMMARY DATA'!G:G,'SUMMARY DATA'!$A:$A=$A114,'SUMMARY DATA'!$C:$C=$B114,'SUMMARY DATA'!$B:$B=""RWS"")),
  IF(
    OR(
      ISNUMBER(SEARCH(""CDM CASH DEPOSIT"",$C114)),
      ISNUMBER(SEARCH(""CASH DEPOSIT"",$C11"&amp;"4)),
      COUNTIFS('SUMMARY DATA'!$D:$D,$C114,'SUMMARY DATA'!$B:$B,""RWS"")&lt;&gt;1
    ),
    """",
    IFERROR(TEXTJOIN(CHAR(10),TRUE,FILTER('SUMMARY DATA'!G:G,'SUMMARY DATA'!$D:$D=$C114,'SUMMARY DATA'!$B:$B=""RWS"")),"""")
  )
)"),"")</f>
      </c>
      <c r="H114" s="18" t="str">
        <f>IFERROR(__xludf.DUMMYFUNCTION("IFERROR(
  TEXTJOIN(CHAR(10),TRUE,FILTER('SUMMARY DATA'!H:H,'SUMMARY DATA'!$A:$A=$A114,'SUMMARY DATA'!$C:$C=$B114,'SUMMARY DATA'!$B:$B=""RWS"",'SUMMARY DATA'!$H:$H=$D114)),
  IF(
    OR(
      ISNUMBER(SEARCH(""CDM CASH DEPOSIT"",$C114)),
      ISNUMBER(S"&amp;"EARCH(""CASH DEPOSIT"",$C114))
    ),
    """",
    IFERROR(TEXTJOIN(CHAR(10),TRUE,FILTER('SUMMARY DATA'!H:H,'SUMMARY DATA'!$D:$D=$C114,'SUMMARY DATA'!$B:$B=""RWS"",'SUMMARY DATA'!$H:$H=$D114)),"""")
  )
)"),"")</f>
      </c>
      <c r="I114" s="18" t="str">
        <f>IFERROR(__xludf.DUMMYFUNCTION("IF(H114="""","""",
SUM(ARRAYFORMULA(VALUE(SPLIT(H114,CHAR(10)))))
)"),"")</f>
      </c>
      <c r="J114" s="17" t="str">
        <f>IFERROR(__xludf.DUMMYFUNCTION("IFERROR(
  TEXTJOIN(CHAR(10),TRUE,FILTER('SUMMARY DATA'!I:I,'SUMMARY DATA'!$A:$A=$A114,'SUMMARY DATA'!$C:$C=$B114,'SUMMARY DATA'!$B:$B=""RWS"")),
  IF(
    OR(
      ISNUMBER(SEARCH(""CDM CASH DEPOSIT"",$C114)),
      ISNUMBER(SEARCH(""CASH DEPOSIT"",$C11"&amp;"4)),
      COUNTIFS('SUMMARY DATA'!$D:$D,$C114,'SUMMARY DATA'!$B:$B,""RWS"")&lt;&gt;1
    ),
    """",
    IFERROR(TEXTJOIN(CHAR(10),TRUE,FILTER('SUMMARY DATA'!I:I,'SUMMARY DATA'!$D:$D=$C114,'SUMMARY DATA'!$B:$B=""RWS"")),"""")
  )
)"),"")</f>
      </c>
      <c r="K114" s="2"/>
      <c r="L114" s="2"/>
      <c r="M114" s="2"/>
      <c r="N114" s="2"/>
      <c r="O114" s="2"/>
      <c r="P114" s="2"/>
      <c r="Q114" s="2"/>
      <c r="R114" s="2"/>
      <c r="S114" s="2"/>
      <c r="T114" s="2"/>
      <c r="U114" s="2"/>
      <c r="V114" s="2"/>
      <c r="W114" s="2"/>
      <c r="X114" s="2"/>
      <c r="Y114" s="2"/>
      <c r="Z114" s="2"/>
      <c r="AA114" s="2"/>
      <c r="AB114" s="2"/>
    </row>
    <row r="115" spans="1:28" customHeight="true">
      <c r="A115" s="2" t="s">
        <v>167</v>
      </c>
      <c r="B115" s="15">
        <v>45901</v>
      </c>
      <c r="C115" s="2" t="s">
        <v>168</v>
      </c>
      <c r="D115" s="3">
        <v>320</v>
      </c>
      <c r="E115" s="16" t="s">
        <v>2406</v>
      </c>
      <c r="F115" s="17" t="s">
        <v>2407</v>
      </c>
      <c r="G115" s="17" t="s">
        <v>2393</v>
      </c>
      <c r="H115" s="18">
        <v>320</v>
      </c>
      <c r="I115" s="18">
        <v>320</v>
      </c>
      <c r="J115" s="17" t="s">
        <v>2394</v>
      </c>
      <c r="K115" s="2" t="s">
        <v>2395</v>
      </c>
      <c r="L115" s="2"/>
      <c r="M115" s="2"/>
      <c r="N115" s="2"/>
      <c r="O115" s="2"/>
      <c r="P115" s="2"/>
      <c r="Q115" s="2"/>
      <c r="R115" s="2"/>
      <c r="S115" s="2"/>
      <c r="T115" s="2"/>
      <c r="U115" s="2"/>
      <c r="V115" s="2"/>
      <c r="W115" s="2"/>
      <c r="X115" s="2"/>
      <c r="Y115" s="2"/>
      <c r="Z115" s="2"/>
      <c r="AA115" s="2"/>
      <c r="AB115" s="2"/>
    </row>
    <row r="116" spans="1:28" customHeight="true">
      <c r="A116" s="2" t="s">
        <v>169</v>
      </c>
      <c r="B116" s="15">
        <v>45901</v>
      </c>
      <c r="C116" s="2" t="s">
        <v>170</v>
      </c>
      <c r="D116" s="3">
        <v>123.8</v>
      </c>
      <c r="E116" s="16" t="str">
        <f>IFERROR(__xludf.DUMMYFUNCTION("IFERROR(
  TEXTJOIN(CHAR(10),TRUE,FILTER('SUMMARY DATA'!E:E,'SUMMARY DATA'!$A:$A=$A116,'SUMMARY DATA'!$C:$C=$B116,'SUMMARY DATA'!$B:$B=""RWS"")),
  IF(
    OR(
      ISNUMBER(SEARCH(""CDM CASH DEPOSIT"",$C116)),
      ISNUMBER(SEARCH(""CASH DEPOSIT"",$C11"&amp;"6)),
      COUNTIFS('SUMMARY DATA'!$D:$D,$C116,'SUMMARY DATA'!$B:$B,""RWS"")&lt;&gt;1
    ),
    """",
    IFERROR(TEXTJOIN(CHAR(10),TRUE,FILTER('SUMMARY DATA'!E:E,'SUMMARY DATA'!$D:$D=$C116,'SUMMARY DATA'!$B:$B=""RWS"")),"""")
  )
)"),"")</f>
      </c>
      <c r="F116" s="17" t="str">
        <f>IFERROR(__xludf.DUMMYFUNCTION("IFERROR(
  TEXTJOIN(CHAR(10),TRUE,FILTER('SUMMARY DATA'!F:F,'SUMMARY DATA'!$A:$A=$A116,'SUMMARY DATA'!$C:$C=$B116,'SUMMARY DATA'!$B:$B=""RWS"")),
  IF(
    OR(
      ISNUMBER(SEARCH(""CDM CASH DEPOSIT"",$C116)),
      ISNUMBER(SEARCH(""CASH DEPOSIT"",$C11"&amp;"6)),
      COUNTIFS('SUMMARY DATA'!$D:$D,$C116,'SUMMARY DATA'!$B:$B,""RWS"")&lt;&gt;1
    ),
    """",
    IFERROR(TEXTJOIN(CHAR(10),TRUE,FILTER('SUMMARY DATA'!F:F,'SUMMARY DATA'!$D:$D=$C116,'SUMMARY DATA'!$B:$B=""RWS"")),"""")
  )
)"),"")</f>
      </c>
      <c r="G116" s="17" t="str">
        <f>IFERROR(__xludf.DUMMYFUNCTION("IFERROR(
  TEXTJOIN(CHAR(10),TRUE,FILTER('SUMMARY DATA'!G:G,'SUMMARY DATA'!$A:$A=$A116,'SUMMARY DATA'!$C:$C=$B116,'SUMMARY DATA'!$B:$B=""RWS"")),
  IF(
    OR(
      ISNUMBER(SEARCH(""CDM CASH DEPOSIT"",$C116)),
      ISNUMBER(SEARCH(""CASH DEPOSIT"",$C11"&amp;"6)),
      COUNTIFS('SUMMARY DATA'!$D:$D,$C116,'SUMMARY DATA'!$B:$B,""RWS"")&lt;&gt;1
    ),
    """",
    IFERROR(TEXTJOIN(CHAR(10),TRUE,FILTER('SUMMARY DATA'!G:G,'SUMMARY DATA'!$D:$D=$C116,'SUMMARY DATA'!$B:$B=""RWS"")),"""")
  )
)"),"")</f>
      </c>
      <c r="H116" s="18" t="str">
        <f>IFERROR(__xludf.DUMMYFUNCTION("IFERROR(
  TEXTJOIN(CHAR(10),TRUE,FILTER('SUMMARY DATA'!H:H,'SUMMARY DATA'!$A:$A=$A116,'SUMMARY DATA'!$C:$C=$B116,'SUMMARY DATA'!$B:$B=""RWS"",'SUMMARY DATA'!$H:$H=$D116)),
  IF(
    OR(
      ISNUMBER(SEARCH(""CDM CASH DEPOSIT"",$C116)),
      ISNUMBER(S"&amp;"EARCH(""CASH DEPOSIT"",$C116))
    ),
    """",
    IFERROR(TEXTJOIN(CHAR(10),TRUE,FILTER('SUMMARY DATA'!H:H,'SUMMARY DATA'!$D:$D=$C116,'SUMMARY DATA'!$B:$B=""RWS"",'SUMMARY DATA'!$H:$H=$D116)),"""")
  )
)"),"")</f>
      </c>
      <c r="I116" s="18" t="str">
        <f>IFERROR(__xludf.DUMMYFUNCTION("IF(H116="""","""",
SUM(ARRAYFORMULA(VALUE(SPLIT(H116,CHAR(10)))))
)"),"")</f>
      </c>
      <c r="J116" s="17" t="str">
        <f>IFERROR(__xludf.DUMMYFUNCTION("IFERROR(
  TEXTJOIN(CHAR(10),TRUE,FILTER('SUMMARY DATA'!I:I,'SUMMARY DATA'!$A:$A=$A116,'SUMMARY DATA'!$C:$C=$B116,'SUMMARY DATA'!$B:$B=""RWS"")),
  IF(
    OR(
      ISNUMBER(SEARCH(""CDM CASH DEPOSIT"",$C116)),
      ISNUMBER(SEARCH(""CASH DEPOSIT"",$C11"&amp;"6)),
      COUNTIFS('SUMMARY DATA'!$D:$D,$C116,'SUMMARY DATA'!$B:$B,""RWS"")&lt;&gt;1
    ),
    """",
    IFERROR(TEXTJOIN(CHAR(10),TRUE,FILTER('SUMMARY DATA'!I:I,'SUMMARY DATA'!$D:$D=$C116,'SUMMARY DATA'!$B:$B=""RWS"")),"""")
  )
)"),"")</f>
      </c>
      <c r="K116" s="2"/>
      <c r="L116" s="2"/>
      <c r="M116" s="2"/>
      <c r="N116" s="2"/>
      <c r="O116" s="2"/>
      <c r="P116" s="2"/>
      <c r="Q116" s="2"/>
      <c r="R116" s="2"/>
      <c r="S116" s="2"/>
      <c r="T116" s="2"/>
      <c r="U116" s="2"/>
      <c r="V116" s="2"/>
      <c r="W116" s="2"/>
      <c r="X116" s="2"/>
      <c r="Y116" s="2"/>
      <c r="Z116" s="2"/>
      <c r="AA116" s="2"/>
      <c r="AB116" s="2"/>
    </row>
    <row r="117" spans="1:28" customHeight="true">
      <c r="A117" s="2"/>
      <c r="B117" s="15">
        <v>45901</v>
      </c>
      <c r="C117" s="2" t="s">
        <v>171</v>
      </c>
      <c r="D117" s="3">
        <v>236.34</v>
      </c>
      <c r="E117" s="16" t="str">
        <f>IFERROR(__xludf.DUMMYFUNCTION("IFERROR(
  TEXTJOIN(CHAR(10),TRUE,FILTER('SUMMARY DATA'!E:E,'SUMMARY DATA'!$A:$A=$A117,'SUMMARY DATA'!$C:$C=$B117,'SUMMARY DATA'!$B:$B=""RWS"")),
  IF(
    OR(
      ISNUMBER(SEARCH(""CDM CASH DEPOSIT"",$C117)),
      ISNUMBER(SEARCH(""CASH DEPOSIT"",$C11"&amp;"7)),
      COUNTIFS('SUMMARY DATA'!$D:$D,$C117,'SUMMARY DATA'!$B:$B,""RWS"")&lt;&gt;1
    ),
    """",
    IFERROR(TEXTJOIN(CHAR(10),TRUE,FILTER('SUMMARY DATA'!E:E,'SUMMARY DATA'!$D:$D=$C117,'SUMMARY DATA'!$B:$B=""RWS"")),"""")
  )
)"),"")</f>
      </c>
      <c r="F117" s="17" t="str">
        <f>IFERROR(__xludf.DUMMYFUNCTION("IFERROR(
  TEXTJOIN(CHAR(10),TRUE,FILTER('SUMMARY DATA'!F:F,'SUMMARY DATA'!$A:$A=$A117,'SUMMARY DATA'!$C:$C=$B117,'SUMMARY DATA'!$B:$B=""RWS"")),
  IF(
    OR(
      ISNUMBER(SEARCH(""CDM CASH DEPOSIT"",$C117)),
      ISNUMBER(SEARCH(""CASH DEPOSIT"",$C11"&amp;"7)),
      COUNTIFS('SUMMARY DATA'!$D:$D,$C117,'SUMMARY DATA'!$B:$B,""RWS"")&lt;&gt;1
    ),
    """",
    IFERROR(TEXTJOIN(CHAR(10),TRUE,FILTER('SUMMARY DATA'!F:F,'SUMMARY DATA'!$D:$D=$C117,'SUMMARY DATA'!$B:$B=""RWS"")),"""")
  )
)"),"")</f>
      </c>
      <c r="G117" s="17" t="str">
        <f>IFERROR(__xludf.DUMMYFUNCTION("IFERROR(
  TEXTJOIN(CHAR(10),TRUE,FILTER('SUMMARY DATA'!G:G,'SUMMARY DATA'!$A:$A=$A117,'SUMMARY DATA'!$C:$C=$B117,'SUMMARY DATA'!$B:$B=""RWS"")),
  IF(
    OR(
      ISNUMBER(SEARCH(""CDM CASH DEPOSIT"",$C117)),
      ISNUMBER(SEARCH(""CASH DEPOSIT"",$C11"&amp;"7)),
      COUNTIFS('SUMMARY DATA'!$D:$D,$C117,'SUMMARY DATA'!$B:$B,""RWS"")&lt;&gt;1
    ),
    """",
    IFERROR(TEXTJOIN(CHAR(10),TRUE,FILTER('SUMMARY DATA'!G:G,'SUMMARY DATA'!$D:$D=$C117,'SUMMARY DATA'!$B:$B=""RWS"")),"""")
  )
)"),"")</f>
      </c>
      <c r="H117" s="18" t="str">
        <f>IFERROR(__xludf.DUMMYFUNCTION("IFERROR(
  TEXTJOIN(CHAR(10),TRUE,FILTER('SUMMARY DATA'!H:H,'SUMMARY DATA'!$A:$A=$A117,'SUMMARY DATA'!$C:$C=$B117,'SUMMARY DATA'!$B:$B=""RWS"",'SUMMARY DATA'!$H:$H=$D117)),
  IF(
    OR(
      ISNUMBER(SEARCH(""CDM CASH DEPOSIT"",$C117)),
      ISNUMBER(S"&amp;"EARCH(""CASH DEPOSIT"",$C117))
    ),
    """",
    IFERROR(TEXTJOIN(CHAR(10),TRUE,FILTER('SUMMARY DATA'!H:H,'SUMMARY DATA'!$D:$D=$C117,'SUMMARY DATA'!$B:$B=""RWS"",'SUMMARY DATA'!$H:$H=$D117)),"""")
  )
)"),"")</f>
      </c>
      <c r="I117" s="18" t="str">
        <f>IFERROR(__xludf.DUMMYFUNCTION("IF(H117="""","""",
SUM(ARRAYFORMULA(VALUE(SPLIT(H117,CHAR(10)))))
)"),"")</f>
      </c>
      <c r="J117" s="17" t="str">
        <f>IFERROR(__xludf.DUMMYFUNCTION("IFERROR(
  TEXTJOIN(CHAR(10),TRUE,FILTER('SUMMARY DATA'!I:I,'SUMMARY DATA'!$A:$A=$A117,'SUMMARY DATA'!$C:$C=$B117,'SUMMARY DATA'!$B:$B=""RWS"")),
  IF(
    OR(
      ISNUMBER(SEARCH(""CDM CASH DEPOSIT"",$C117)),
      ISNUMBER(SEARCH(""CASH DEPOSIT"",$C11"&amp;"7)),
      COUNTIFS('SUMMARY DATA'!$D:$D,$C117,'SUMMARY DATA'!$B:$B,""RWS"")&lt;&gt;1
    ),
    """",
    IFERROR(TEXTJOIN(CHAR(10),TRUE,FILTER('SUMMARY DATA'!I:I,'SUMMARY DATA'!$D:$D=$C117,'SUMMARY DATA'!$B:$B=""RWS"")),"""")
  )
)"),"")</f>
      </c>
      <c r="K117" s="2"/>
      <c r="L117" s="2"/>
      <c r="M117" s="2"/>
      <c r="N117" s="2"/>
      <c r="O117" s="2"/>
      <c r="P117" s="2"/>
      <c r="Q117" s="2"/>
      <c r="R117" s="2"/>
      <c r="S117" s="2"/>
      <c r="T117" s="2"/>
      <c r="U117" s="2"/>
      <c r="V117" s="2"/>
      <c r="W117" s="2"/>
      <c r="X117" s="2"/>
      <c r="Y117" s="2"/>
      <c r="Z117" s="2"/>
      <c r="AA117" s="2"/>
      <c r="AB117" s="2"/>
    </row>
    <row r="118" spans="1:28" customHeight="true">
      <c r="A118" s="2" t="s">
        <v>172</v>
      </c>
      <c r="B118" s="15">
        <v>45961</v>
      </c>
      <c r="C118" s="2" t="s">
        <v>173</v>
      </c>
      <c r="D118" s="3">
        <v>10</v>
      </c>
      <c r="E118" s="16" t="str">
        <f>IFERROR(__xludf.DUMMYFUNCTION("IFERROR(
  TEXTJOIN(CHAR(10),TRUE,FILTER('SUMMARY DATA'!E:E,'SUMMARY DATA'!$A:$A=$A118,'SUMMARY DATA'!$C:$C=$B118,'SUMMARY DATA'!$B:$B=""RWS"")),
  IF(
    OR(
      ISNUMBER(SEARCH(""CDM CASH DEPOSIT"",$C118)),
      ISNUMBER(SEARCH(""CASH DEPOSIT"",$C11"&amp;"8)),
      COUNTIFS('SUMMARY DATA'!$D:$D,$C118,'SUMMARY DATA'!$B:$B,""RWS"")&lt;&gt;1
    ),
    """",
    IFERROR(TEXTJOIN(CHAR(10),TRUE,FILTER('SUMMARY DATA'!E:E,'SUMMARY DATA'!$D:$D=$C118,'SUMMARY DATA'!$B:$B=""RWS"")),"""")
  )
)"),"")</f>
      </c>
      <c r="F118" s="17" t="str">
        <f>IFERROR(__xludf.DUMMYFUNCTION("IFERROR(
  TEXTJOIN(CHAR(10),TRUE,FILTER('SUMMARY DATA'!F:F,'SUMMARY DATA'!$A:$A=$A118,'SUMMARY DATA'!$C:$C=$B118,'SUMMARY DATA'!$B:$B=""RWS"")),
  IF(
    OR(
      ISNUMBER(SEARCH(""CDM CASH DEPOSIT"",$C118)),
      ISNUMBER(SEARCH(""CASH DEPOSIT"",$C11"&amp;"8)),
      COUNTIFS('SUMMARY DATA'!$D:$D,$C118,'SUMMARY DATA'!$B:$B,""RWS"")&lt;&gt;1
    ),
    """",
    IFERROR(TEXTJOIN(CHAR(10),TRUE,FILTER('SUMMARY DATA'!F:F,'SUMMARY DATA'!$D:$D=$C118,'SUMMARY DATA'!$B:$B=""RWS"")),"""")
  )
)"),"")</f>
      </c>
      <c r="G118" s="17" t="str">
        <f>IFERROR(__xludf.DUMMYFUNCTION("IFERROR(
  TEXTJOIN(CHAR(10),TRUE,FILTER('SUMMARY DATA'!G:G,'SUMMARY DATA'!$A:$A=$A118,'SUMMARY DATA'!$C:$C=$B118,'SUMMARY DATA'!$B:$B=""RWS"")),
  IF(
    OR(
      ISNUMBER(SEARCH(""CDM CASH DEPOSIT"",$C118)),
      ISNUMBER(SEARCH(""CASH DEPOSIT"",$C11"&amp;"8)),
      COUNTIFS('SUMMARY DATA'!$D:$D,$C118,'SUMMARY DATA'!$B:$B,""RWS"")&lt;&gt;1
    ),
    """",
    IFERROR(TEXTJOIN(CHAR(10),TRUE,FILTER('SUMMARY DATA'!G:G,'SUMMARY DATA'!$D:$D=$C118,'SUMMARY DATA'!$B:$B=""RWS"")),"""")
  )
)"),"")</f>
      </c>
      <c r="H118" s="18" t="str">
        <f>IFERROR(__xludf.DUMMYFUNCTION("IFERROR(
  TEXTJOIN(CHAR(10),TRUE,FILTER('SUMMARY DATA'!H:H,'SUMMARY DATA'!$A:$A=$A118,'SUMMARY DATA'!$C:$C=$B118,'SUMMARY DATA'!$B:$B=""RWS"",'SUMMARY DATA'!$H:$H=$D118)),
  IF(
    OR(
      ISNUMBER(SEARCH(""CDM CASH DEPOSIT"",$C118)),
      ISNUMBER(S"&amp;"EARCH(""CASH DEPOSIT"",$C118))
    ),
    """",
    IFERROR(TEXTJOIN(CHAR(10),TRUE,FILTER('SUMMARY DATA'!H:H,'SUMMARY DATA'!$D:$D=$C118,'SUMMARY DATA'!$B:$B=""RWS"",'SUMMARY DATA'!$H:$H=$D118)),"""")
  )
)"),"")</f>
      </c>
      <c r="I118" s="18" t="str">
        <f>IFERROR(__xludf.DUMMYFUNCTION("IF(H118="""","""",
SUM(ARRAYFORMULA(VALUE(SPLIT(H118,CHAR(10)))))
)"),"")</f>
      </c>
      <c r="J118" s="17" t="str">
        <f>IFERROR(__xludf.DUMMYFUNCTION("IFERROR(
  TEXTJOIN(CHAR(10),TRUE,FILTER('SUMMARY DATA'!I:I,'SUMMARY DATA'!$A:$A=$A118,'SUMMARY DATA'!$C:$C=$B118,'SUMMARY DATA'!$B:$B=""RWS"")),
  IF(
    OR(
      ISNUMBER(SEARCH(""CDM CASH DEPOSIT"",$C118)),
      ISNUMBER(SEARCH(""CASH DEPOSIT"",$C11"&amp;"8)),
      COUNTIFS('SUMMARY DATA'!$D:$D,$C118,'SUMMARY DATA'!$B:$B,""RWS"")&lt;&gt;1
    ),
    """",
    IFERROR(TEXTJOIN(CHAR(10),TRUE,FILTER('SUMMARY DATA'!I:I,'SUMMARY DATA'!$D:$D=$C118,'SUMMARY DATA'!$B:$B=""RWS"")),"""")
  )
)"),"")</f>
      </c>
      <c r="K118" s="2"/>
      <c r="L118" s="2"/>
      <c r="M118" s="2"/>
      <c r="N118" s="2"/>
      <c r="O118" s="2"/>
      <c r="P118" s="2"/>
      <c r="Q118" s="2"/>
      <c r="R118" s="2"/>
      <c r="S118" s="2"/>
      <c r="T118" s="2"/>
      <c r="U118" s="2"/>
      <c r="V118" s="2"/>
      <c r="W118" s="2"/>
      <c r="X118" s="2"/>
      <c r="Y118" s="2"/>
      <c r="Z118" s="2"/>
      <c r="AA118" s="2"/>
      <c r="AB118" s="2"/>
    </row>
    <row r="119" spans="1:28" customHeight="true">
      <c r="A119" s="2"/>
      <c r="B119" s="15">
        <v>45961</v>
      </c>
      <c r="C119" s="2" t="s">
        <v>174</v>
      </c>
      <c r="D119" s="3">
        <v>31.7</v>
      </c>
      <c r="E119" s="16" t="str">
        <f>IFERROR(__xludf.DUMMYFUNCTION("IFERROR(
  TEXTJOIN(CHAR(10),TRUE,FILTER('SUMMARY DATA'!E:E,'SUMMARY DATA'!$A:$A=$A119,'SUMMARY DATA'!$C:$C=$B119,'SUMMARY DATA'!$B:$B=""RWS"")),
  IF(
    OR(
      ISNUMBER(SEARCH(""CDM CASH DEPOSIT"",$C119)),
      ISNUMBER(SEARCH(""CASH DEPOSIT"",$C11"&amp;"9)),
      COUNTIFS('SUMMARY DATA'!$D:$D,$C119,'SUMMARY DATA'!$B:$B,""RWS"")&lt;&gt;1
    ),
    """",
    IFERROR(TEXTJOIN(CHAR(10),TRUE,FILTER('SUMMARY DATA'!E:E,'SUMMARY DATA'!$D:$D=$C119,'SUMMARY DATA'!$B:$B=""RWS"")),"""")
  )
)"),"")</f>
      </c>
      <c r="F119" s="17" t="str">
        <f>IFERROR(__xludf.DUMMYFUNCTION("IFERROR(
  TEXTJOIN(CHAR(10),TRUE,FILTER('SUMMARY DATA'!F:F,'SUMMARY DATA'!$A:$A=$A119,'SUMMARY DATA'!$C:$C=$B119,'SUMMARY DATA'!$B:$B=""RWS"")),
  IF(
    OR(
      ISNUMBER(SEARCH(""CDM CASH DEPOSIT"",$C119)),
      ISNUMBER(SEARCH(""CASH DEPOSIT"",$C11"&amp;"9)),
      COUNTIFS('SUMMARY DATA'!$D:$D,$C119,'SUMMARY DATA'!$B:$B,""RWS"")&lt;&gt;1
    ),
    """",
    IFERROR(TEXTJOIN(CHAR(10),TRUE,FILTER('SUMMARY DATA'!F:F,'SUMMARY DATA'!$D:$D=$C119,'SUMMARY DATA'!$B:$B=""RWS"")),"""")
  )
)"),"")</f>
      </c>
      <c r="G119" s="17" t="str">
        <f>IFERROR(__xludf.DUMMYFUNCTION("IFERROR(
  TEXTJOIN(CHAR(10),TRUE,FILTER('SUMMARY DATA'!G:G,'SUMMARY DATA'!$A:$A=$A119,'SUMMARY DATA'!$C:$C=$B119,'SUMMARY DATA'!$B:$B=""RWS"")),
  IF(
    OR(
      ISNUMBER(SEARCH(""CDM CASH DEPOSIT"",$C119)),
      ISNUMBER(SEARCH(""CASH DEPOSIT"",$C11"&amp;"9)),
      COUNTIFS('SUMMARY DATA'!$D:$D,$C119,'SUMMARY DATA'!$B:$B,""RWS"")&lt;&gt;1
    ),
    """",
    IFERROR(TEXTJOIN(CHAR(10),TRUE,FILTER('SUMMARY DATA'!G:G,'SUMMARY DATA'!$D:$D=$C119,'SUMMARY DATA'!$B:$B=""RWS"")),"""")
  )
)"),"")</f>
      </c>
      <c r="H119" s="18" t="str">
        <f>IFERROR(__xludf.DUMMYFUNCTION("IFERROR(
  TEXTJOIN(CHAR(10),TRUE,FILTER('SUMMARY DATA'!H:H,'SUMMARY DATA'!$A:$A=$A119,'SUMMARY DATA'!$C:$C=$B119,'SUMMARY DATA'!$B:$B=""RWS"",'SUMMARY DATA'!$H:$H=$D119)),
  IF(
    OR(
      ISNUMBER(SEARCH(""CDM CASH DEPOSIT"",$C119)),
      ISNUMBER(S"&amp;"EARCH(""CASH DEPOSIT"",$C119))
    ),
    """",
    IFERROR(TEXTJOIN(CHAR(10),TRUE,FILTER('SUMMARY DATA'!H:H,'SUMMARY DATA'!$D:$D=$C119,'SUMMARY DATA'!$B:$B=""RWS"",'SUMMARY DATA'!$H:$H=$D119)),"""")
  )
)"),"")</f>
      </c>
      <c r="I119" s="18" t="str">
        <f>IFERROR(__xludf.DUMMYFUNCTION("IF(H119="""","""",
SUM(ARRAYFORMULA(VALUE(SPLIT(H119,CHAR(10)))))
)"),"")</f>
      </c>
      <c r="J119" s="17" t="str">
        <f>IFERROR(__xludf.DUMMYFUNCTION("IFERROR(
  TEXTJOIN(CHAR(10),TRUE,FILTER('SUMMARY DATA'!I:I,'SUMMARY DATA'!$A:$A=$A119,'SUMMARY DATA'!$C:$C=$B119,'SUMMARY DATA'!$B:$B=""RWS"")),
  IF(
    OR(
      ISNUMBER(SEARCH(""CDM CASH DEPOSIT"",$C119)),
      ISNUMBER(SEARCH(""CASH DEPOSIT"",$C11"&amp;"9)),
      COUNTIFS('SUMMARY DATA'!$D:$D,$C119,'SUMMARY DATA'!$B:$B,""RWS"")&lt;&gt;1
    ),
    """",
    IFERROR(TEXTJOIN(CHAR(10),TRUE,FILTER('SUMMARY DATA'!I:I,'SUMMARY DATA'!$D:$D=$C119,'SUMMARY DATA'!$B:$B=""RWS"")),"""")
  )
)"),"")</f>
      </c>
      <c r="K119" s="2"/>
      <c r="L119" s="2"/>
      <c r="M119" s="2"/>
      <c r="N119" s="2"/>
      <c r="O119" s="2"/>
      <c r="P119" s="2"/>
      <c r="Q119" s="2"/>
      <c r="R119" s="2"/>
      <c r="S119" s="2"/>
      <c r="T119" s="2"/>
      <c r="U119" s="2"/>
      <c r="V119" s="2"/>
      <c r="W119" s="2"/>
      <c r="X119" s="2"/>
      <c r="Y119" s="2"/>
      <c r="Z119" s="2"/>
      <c r="AA119" s="2"/>
      <c r="AB119" s="2"/>
    </row>
    <row r="120" spans="1:28" customHeight="true">
      <c r="A120" s="2"/>
      <c r="B120" s="15">
        <v>45961</v>
      </c>
      <c r="C120" s="2" t="s">
        <v>175</v>
      </c>
      <c r="D120" s="3">
        <v>130.32</v>
      </c>
      <c r="E120" s="16" t="str">
        <f>IFERROR(__xludf.DUMMYFUNCTION("IFERROR(
  TEXTJOIN(CHAR(10),TRUE,FILTER('SUMMARY DATA'!E:E,'SUMMARY DATA'!$A:$A=$A120,'SUMMARY DATA'!$C:$C=$B120,'SUMMARY DATA'!$B:$B=""RWS"")),
  IF(
    OR(
      ISNUMBER(SEARCH(""CDM CASH DEPOSIT"",$C120)),
      ISNUMBER(SEARCH(""CASH DEPOSIT"",$C12"&amp;"0)),
      COUNTIFS('SUMMARY DATA'!$D:$D,$C120,'SUMMARY DATA'!$B:$B,""RWS"")&lt;&gt;1
    ),
    """",
    IFERROR(TEXTJOIN(CHAR(10),TRUE,FILTER('SUMMARY DATA'!E:E,'SUMMARY DATA'!$D:$D=$C120,'SUMMARY DATA'!$B:$B=""RWS"")),"""")
  )
)"),"")</f>
      </c>
      <c r="F120" s="17" t="str">
        <f>IFERROR(__xludf.DUMMYFUNCTION("IFERROR(
  TEXTJOIN(CHAR(10),TRUE,FILTER('SUMMARY DATA'!F:F,'SUMMARY DATA'!$A:$A=$A120,'SUMMARY DATA'!$C:$C=$B120,'SUMMARY DATA'!$B:$B=""RWS"")),
  IF(
    OR(
      ISNUMBER(SEARCH(""CDM CASH DEPOSIT"",$C120)),
      ISNUMBER(SEARCH(""CASH DEPOSIT"",$C12"&amp;"0)),
      COUNTIFS('SUMMARY DATA'!$D:$D,$C120,'SUMMARY DATA'!$B:$B,""RWS"")&lt;&gt;1
    ),
    """",
    IFERROR(TEXTJOIN(CHAR(10),TRUE,FILTER('SUMMARY DATA'!F:F,'SUMMARY DATA'!$D:$D=$C120,'SUMMARY DATA'!$B:$B=""RWS"")),"""")
  )
)"),"")</f>
      </c>
      <c r="G120" s="17" t="str">
        <f>IFERROR(__xludf.DUMMYFUNCTION("IFERROR(
  TEXTJOIN(CHAR(10),TRUE,FILTER('SUMMARY DATA'!G:G,'SUMMARY DATA'!$A:$A=$A120,'SUMMARY DATA'!$C:$C=$B120,'SUMMARY DATA'!$B:$B=""RWS"")),
  IF(
    OR(
      ISNUMBER(SEARCH(""CDM CASH DEPOSIT"",$C120)),
      ISNUMBER(SEARCH(""CASH DEPOSIT"",$C12"&amp;"0)),
      COUNTIFS('SUMMARY DATA'!$D:$D,$C120,'SUMMARY DATA'!$B:$B,""RWS"")&lt;&gt;1
    ),
    """",
    IFERROR(TEXTJOIN(CHAR(10),TRUE,FILTER('SUMMARY DATA'!G:G,'SUMMARY DATA'!$D:$D=$C120,'SUMMARY DATA'!$B:$B=""RWS"")),"""")
  )
)"),"")</f>
      </c>
      <c r="H120" s="18" t="str">
        <f>IFERROR(__xludf.DUMMYFUNCTION("IFERROR(
  TEXTJOIN(CHAR(10),TRUE,FILTER('SUMMARY DATA'!H:H,'SUMMARY DATA'!$A:$A=$A120,'SUMMARY DATA'!$C:$C=$B120,'SUMMARY DATA'!$B:$B=""RWS"",'SUMMARY DATA'!$H:$H=$D120)),
  IF(
    OR(
      ISNUMBER(SEARCH(""CDM CASH DEPOSIT"",$C120)),
      ISNUMBER(S"&amp;"EARCH(""CASH DEPOSIT"",$C120))
    ),
    """",
    IFERROR(TEXTJOIN(CHAR(10),TRUE,FILTER('SUMMARY DATA'!H:H,'SUMMARY DATA'!$D:$D=$C120,'SUMMARY DATA'!$B:$B=""RWS"",'SUMMARY DATA'!$H:$H=$D120)),"""")
  )
)"),"")</f>
      </c>
      <c r="I120" s="18" t="str">
        <f>IFERROR(__xludf.DUMMYFUNCTION("IF(H120="""","""",
SUM(ARRAYFORMULA(VALUE(SPLIT(H120,CHAR(10)))))
)"),"")</f>
      </c>
      <c r="J120" s="17" t="str">
        <f>IFERROR(__xludf.DUMMYFUNCTION("IFERROR(
  TEXTJOIN(CHAR(10),TRUE,FILTER('SUMMARY DATA'!I:I,'SUMMARY DATA'!$A:$A=$A120,'SUMMARY DATA'!$C:$C=$B120,'SUMMARY DATA'!$B:$B=""RWS"")),
  IF(
    OR(
      ISNUMBER(SEARCH(""CDM CASH DEPOSIT"",$C120)),
      ISNUMBER(SEARCH(""CASH DEPOSIT"",$C12"&amp;"0)),
      COUNTIFS('SUMMARY DATA'!$D:$D,$C120,'SUMMARY DATA'!$B:$B,""RWS"")&lt;&gt;1
    ),
    """",
    IFERROR(TEXTJOIN(CHAR(10),TRUE,FILTER('SUMMARY DATA'!I:I,'SUMMARY DATA'!$D:$D=$C120,'SUMMARY DATA'!$B:$B=""RWS"")),"""")
  )
)"),"")</f>
      </c>
      <c r="K120" s="2"/>
      <c r="L120" s="2"/>
      <c r="M120" s="2"/>
      <c r="N120" s="2"/>
      <c r="O120" s="2"/>
      <c r="P120" s="2"/>
      <c r="Q120" s="2"/>
      <c r="R120" s="2"/>
      <c r="S120" s="2"/>
      <c r="T120" s="2"/>
      <c r="U120" s="2"/>
      <c r="V120" s="2"/>
      <c r="W120" s="2"/>
      <c r="X120" s="2"/>
      <c r="Y120" s="2"/>
      <c r="Z120" s="2"/>
      <c r="AA120" s="2"/>
      <c r="AB120" s="2"/>
    </row>
    <row r="121" spans="1:28" customHeight="true">
      <c r="A121" s="2"/>
      <c r="B121" s="15">
        <v>45961</v>
      </c>
      <c r="C121" s="2" t="s">
        <v>176</v>
      </c>
      <c r="D121" s="3">
        <v>50</v>
      </c>
      <c r="E121" s="16" t="str">
        <f>IFERROR(__xludf.DUMMYFUNCTION("IFERROR(
  TEXTJOIN(CHAR(10),TRUE,FILTER('SUMMARY DATA'!E:E,'SUMMARY DATA'!$A:$A=$A121,'SUMMARY DATA'!$C:$C=$B121,'SUMMARY DATA'!$B:$B=""RWS"")),
  IF(
    OR(
      ISNUMBER(SEARCH(""CDM CASH DEPOSIT"",$C121)),
      ISNUMBER(SEARCH(""CASH DEPOSIT"",$C12"&amp;"1)),
      COUNTIFS('SUMMARY DATA'!$D:$D,$C121,'SUMMARY DATA'!$B:$B,""RWS"")&lt;&gt;1
    ),
    """",
    IFERROR(TEXTJOIN(CHAR(10),TRUE,FILTER('SUMMARY DATA'!E:E,'SUMMARY DATA'!$D:$D=$C121,'SUMMARY DATA'!$B:$B=""RWS"")),"""")
  )
)"),"")</f>
      </c>
      <c r="F121" s="17" t="str">
        <f>IFERROR(__xludf.DUMMYFUNCTION("IFERROR(
  TEXTJOIN(CHAR(10),TRUE,FILTER('SUMMARY DATA'!F:F,'SUMMARY DATA'!$A:$A=$A121,'SUMMARY DATA'!$C:$C=$B121,'SUMMARY DATA'!$B:$B=""RWS"")),
  IF(
    OR(
      ISNUMBER(SEARCH(""CDM CASH DEPOSIT"",$C121)),
      ISNUMBER(SEARCH(""CASH DEPOSIT"",$C12"&amp;"1)),
      COUNTIFS('SUMMARY DATA'!$D:$D,$C121,'SUMMARY DATA'!$B:$B,""RWS"")&lt;&gt;1
    ),
    """",
    IFERROR(TEXTJOIN(CHAR(10),TRUE,FILTER('SUMMARY DATA'!F:F,'SUMMARY DATA'!$D:$D=$C121,'SUMMARY DATA'!$B:$B=""RWS"")),"""")
  )
)"),"")</f>
      </c>
      <c r="G121" s="17" t="str">
        <f>IFERROR(__xludf.DUMMYFUNCTION("IFERROR(
  TEXTJOIN(CHAR(10),TRUE,FILTER('SUMMARY DATA'!G:G,'SUMMARY DATA'!$A:$A=$A121,'SUMMARY DATA'!$C:$C=$B121,'SUMMARY DATA'!$B:$B=""RWS"")),
  IF(
    OR(
      ISNUMBER(SEARCH(""CDM CASH DEPOSIT"",$C121)),
      ISNUMBER(SEARCH(""CASH DEPOSIT"",$C12"&amp;"1)),
      COUNTIFS('SUMMARY DATA'!$D:$D,$C121,'SUMMARY DATA'!$B:$B,""RWS"")&lt;&gt;1
    ),
    """",
    IFERROR(TEXTJOIN(CHAR(10),TRUE,FILTER('SUMMARY DATA'!G:G,'SUMMARY DATA'!$D:$D=$C121,'SUMMARY DATA'!$B:$B=""RWS"")),"""")
  )
)"),"")</f>
      </c>
      <c r="H121" s="18" t="str">
        <f>IFERROR(__xludf.DUMMYFUNCTION("IFERROR(
  TEXTJOIN(CHAR(10),TRUE,FILTER('SUMMARY DATA'!H:H,'SUMMARY DATA'!$A:$A=$A121,'SUMMARY DATA'!$C:$C=$B121,'SUMMARY DATA'!$B:$B=""RWS"",'SUMMARY DATA'!$H:$H=$D121)),
  IF(
    OR(
      ISNUMBER(SEARCH(""CDM CASH DEPOSIT"",$C121)),
      ISNUMBER(S"&amp;"EARCH(""CASH DEPOSIT"",$C121))
    ),
    """",
    IFERROR(TEXTJOIN(CHAR(10),TRUE,FILTER('SUMMARY DATA'!H:H,'SUMMARY DATA'!$D:$D=$C121,'SUMMARY DATA'!$B:$B=""RWS"",'SUMMARY DATA'!$H:$H=$D121)),"""")
  )
)"),"")</f>
      </c>
      <c r="I121" s="18" t="str">
        <f>IFERROR(__xludf.DUMMYFUNCTION("IF(H121="""","""",
SUM(ARRAYFORMULA(VALUE(SPLIT(H121,CHAR(10)))))
)"),"")</f>
      </c>
      <c r="J121" s="17" t="str">
        <f>IFERROR(__xludf.DUMMYFUNCTION("IFERROR(
  TEXTJOIN(CHAR(10),TRUE,FILTER('SUMMARY DATA'!I:I,'SUMMARY DATA'!$A:$A=$A121,'SUMMARY DATA'!$C:$C=$B121,'SUMMARY DATA'!$B:$B=""RWS"")),
  IF(
    OR(
      ISNUMBER(SEARCH(""CDM CASH DEPOSIT"",$C121)),
      ISNUMBER(SEARCH(""CASH DEPOSIT"",$C12"&amp;"1)),
      COUNTIFS('SUMMARY DATA'!$D:$D,$C121,'SUMMARY DATA'!$B:$B,""RWS"")&lt;&gt;1
    ),
    """",
    IFERROR(TEXTJOIN(CHAR(10),TRUE,FILTER('SUMMARY DATA'!I:I,'SUMMARY DATA'!$D:$D=$C121,'SUMMARY DATA'!$B:$B=""RWS"")),"""")
  )
)"),"")</f>
      </c>
      <c r="K121" s="2"/>
      <c r="L121" s="2"/>
      <c r="M121" s="2"/>
      <c r="N121" s="2"/>
      <c r="O121" s="2"/>
      <c r="P121" s="2"/>
      <c r="Q121" s="2"/>
      <c r="R121" s="2"/>
      <c r="S121" s="2"/>
      <c r="T121" s="2"/>
      <c r="U121" s="2"/>
      <c r="V121" s="2"/>
      <c r="W121" s="2"/>
      <c r="X121" s="2"/>
      <c r="Y121" s="2"/>
      <c r="Z121" s="2"/>
      <c r="AA121" s="2"/>
      <c r="AB121" s="2"/>
    </row>
    <row r="122" spans="1:28" customHeight="true">
      <c r="A122" s="2" t="s">
        <v>177</v>
      </c>
      <c r="B122" s="15">
        <v>45961</v>
      </c>
      <c r="C122" s="2" t="s">
        <v>178</v>
      </c>
      <c r="D122" s="3">
        <v>160</v>
      </c>
      <c r="E122" s="16" t="str">
        <f>IFERROR(__xludf.DUMMYFUNCTION("IFERROR(
  TEXTJOIN(CHAR(10),TRUE,FILTER('SUMMARY DATA'!E:E,'SUMMARY DATA'!$A:$A=$A122,'SUMMARY DATA'!$C:$C=$B122,'SUMMARY DATA'!$B:$B=""RWS"")),
  IF(
    OR(
      ISNUMBER(SEARCH(""CDM CASH DEPOSIT"",$C122)),
      ISNUMBER(SEARCH(""CASH DEPOSIT"",$C12"&amp;"2)),
      COUNTIFS('SUMMARY DATA'!$D:$D,$C122,'SUMMARY DATA'!$B:$B,""RWS"")&lt;&gt;1
    ),
    """",
    IFERROR(TEXTJOIN(CHAR(10),TRUE,FILTER('SUMMARY DATA'!E:E,'SUMMARY DATA'!$D:$D=$C122,'SUMMARY DATA'!$B:$B=""RWS"")),"""")
  )
)"),"")</f>
      </c>
      <c r="F122" s="17" t="str">
        <f>IFERROR(__xludf.DUMMYFUNCTION("IFERROR(
  TEXTJOIN(CHAR(10),TRUE,FILTER('SUMMARY DATA'!F:F,'SUMMARY DATA'!$A:$A=$A122,'SUMMARY DATA'!$C:$C=$B122,'SUMMARY DATA'!$B:$B=""RWS"")),
  IF(
    OR(
      ISNUMBER(SEARCH(""CDM CASH DEPOSIT"",$C122)),
      ISNUMBER(SEARCH(""CASH DEPOSIT"",$C12"&amp;"2)),
      COUNTIFS('SUMMARY DATA'!$D:$D,$C122,'SUMMARY DATA'!$B:$B,""RWS"")&lt;&gt;1
    ),
    """",
    IFERROR(TEXTJOIN(CHAR(10),TRUE,FILTER('SUMMARY DATA'!F:F,'SUMMARY DATA'!$D:$D=$C122,'SUMMARY DATA'!$B:$B=""RWS"")),"""")
  )
)"),"")</f>
      </c>
      <c r="G122" s="17" t="str">
        <f>IFERROR(__xludf.DUMMYFUNCTION("IFERROR(
  TEXTJOIN(CHAR(10),TRUE,FILTER('SUMMARY DATA'!G:G,'SUMMARY DATA'!$A:$A=$A122,'SUMMARY DATA'!$C:$C=$B122,'SUMMARY DATA'!$B:$B=""RWS"")),
  IF(
    OR(
      ISNUMBER(SEARCH(""CDM CASH DEPOSIT"",$C122)),
      ISNUMBER(SEARCH(""CASH DEPOSIT"",$C12"&amp;"2)),
      COUNTIFS('SUMMARY DATA'!$D:$D,$C122,'SUMMARY DATA'!$B:$B,""RWS"")&lt;&gt;1
    ),
    """",
    IFERROR(TEXTJOIN(CHAR(10),TRUE,FILTER('SUMMARY DATA'!G:G,'SUMMARY DATA'!$D:$D=$C122,'SUMMARY DATA'!$B:$B=""RWS"")),"""")
  )
)"),"")</f>
      </c>
      <c r="H122" s="18" t="str">
        <f>IFERROR(__xludf.DUMMYFUNCTION("IFERROR(
  TEXTJOIN(CHAR(10),TRUE,FILTER('SUMMARY DATA'!H:H,'SUMMARY DATA'!$A:$A=$A122,'SUMMARY DATA'!$C:$C=$B122,'SUMMARY DATA'!$B:$B=""RWS"",'SUMMARY DATA'!$H:$H=$D122)),
  IF(
    OR(
      ISNUMBER(SEARCH(""CDM CASH DEPOSIT"",$C122)),
      ISNUMBER(S"&amp;"EARCH(""CASH DEPOSIT"",$C122))
    ),
    """",
    IFERROR(TEXTJOIN(CHAR(10),TRUE,FILTER('SUMMARY DATA'!H:H,'SUMMARY DATA'!$D:$D=$C122,'SUMMARY DATA'!$B:$B=""RWS"",'SUMMARY DATA'!$H:$H=$D122)),"""")
  )
)"),"")</f>
      </c>
      <c r="I122" s="18" t="str">
        <f>IFERROR(__xludf.DUMMYFUNCTION("IF(H122="""","""",
SUM(ARRAYFORMULA(VALUE(SPLIT(H122,CHAR(10)))))
)"),"")</f>
      </c>
      <c r="J122" s="17" t="str">
        <f>IFERROR(__xludf.DUMMYFUNCTION("IFERROR(
  TEXTJOIN(CHAR(10),TRUE,FILTER('SUMMARY DATA'!I:I,'SUMMARY DATA'!$A:$A=$A122,'SUMMARY DATA'!$C:$C=$B122,'SUMMARY DATA'!$B:$B=""RWS"")),
  IF(
    OR(
      ISNUMBER(SEARCH(""CDM CASH DEPOSIT"",$C122)),
      ISNUMBER(SEARCH(""CASH DEPOSIT"",$C12"&amp;"2)),
      COUNTIFS('SUMMARY DATA'!$D:$D,$C122,'SUMMARY DATA'!$B:$B,""RWS"")&lt;&gt;1
    ),
    """",
    IFERROR(TEXTJOIN(CHAR(10),TRUE,FILTER('SUMMARY DATA'!I:I,'SUMMARY DATA'!$D:$D=$C122,'SUMMARY DATA'!$B:$B=""RWS"")),"""")
  )
)"),"")</f>
      </c>
      <c r="K122" s="2"/>
      <c r="L122" s="2"/>
      <c r="M122" s="2"/>
      <c r="N122" s="2"/>
      <c r="O122" s="2"/>
      <c r="P122" s="2"/>
      <c r="Q122" s="2"/>
      <c r="R122" s="2"/>
      <c r="S122" s="2"/>
      <c r="T122" s="2"/>
      <c r="U122" s="2"/>
      <c r="V122" s="2"/>
      <c r="W122" s="2"/>
      <c r="X122" s="2"/>
      <c r="Y122" s="2"/>
      <c r="Z122" s="2"/>
      <c r="AA122" s="2"/>
      <c r="AB122" s="2"/>
    </row>
    <row r="123" spans="1:28" customHeight="true">
      <c r="A123" s="2"/>
      <c r="B123" s="15">
        <v>45960</v>
      </c>
      <c r="C123" s="2" t="s">
        <v>179</v>
      </c>
      <c r="D123" s="3">
        <v>10</v>
      </c>
      <c r="E123" s="16" t="str">
        <f>IFERROR(__xludf.DUMMYFUNCTION("IFERROR(
  TEXTJOIN(CHAR(10),TRUE,FILTER('SUMMARY DATA'!E:E,'SUMMARY DATA'!$A:$A=$A123,'SUMMARY DATA'!$C:$C=$B123,'SUMMARY DATA'!$B:$B=""RWS"")),
  IF(
    OR(
      ISNUMBER(SEARCH(""CDM CASH DEPOSIT"",$C123)),
      ISNUMBER(SEARCH(""CASH DEPOSIT"",$C12"&amp;"3)),
      COUNTIFS('SUMMARY DATA'!$D:$D,$C123,'SUMMARY DATA'!$B:$B,""RWS"")&lt;&gt;1
    ),
    """",
    IFERROR(TEXTJOIN(CHAR(10),TRUE,FILTER('SUMMARY DATA'!E:E,'SUMMARY DATA'!$D:$D=$C123,'SUMMARY DATA'!$B:$B=""RWS"")),"""")
  )
)"),"")</f>
      </c>
      <c r="F123" s="17" t="str">
        <f>IFERROR(__xludf.DUMMYFUNCTION("IFERROR(
  TEXTJOIN(CHAR(10),TRUE,FILTER('SUMMARY DATA'!F:F,'SUMMARY DATA'!$A:$A=$A123,'SUMMARY DATA'!$C:$C=$B123,'SUMMARY DATA'!$B:$B=""RWS"")),
  IF(
    OR(
      ISNUMBER(SEARCH(""CDM CASH DEPOSIT"",$C123)),
      ISNUMBER(SEARCH(""CASH DEPOSIT"",$C12"&amp;"3)),
      COUNTIFS('SUMMARY DATA'!$D:$D,$C123,'SUMMARY DATA'!$B:$B,""RWS"")&lt;&gt;1
    ),
    """",
    IFERROR(TEXTJOIN(CHAR(10),TRUE,FILTER('SUMMARY DATA'!F:F,'SUMMARY DATA'!$D:$D=$C123,'SUMMARY DATA'!$B:$B=""RWS"")),"""")
  )
)"),"")</f>
      </c>
      <c r="G123" s="17" t="str">
        <f>IFERROR(__xludf.DUMMYFUNCTION("IFERROR(
  TEXTJOIN(CHAR(10),TRUE,FILTER('SUMMARY DATA'!G:G,'SUMMARY DATA'!$A:$A=$A123,'SUMMARY DATA'!$C:$C=$B123,'SUMMARY DATA'!$B:$B=""RWS"")),
  IF(
    OR(
      ISNUMBER(SEARCH(""CDM CASH DEPOSIT"",$C123)),
      ISNUMBER(SEARCH(""CASH DEPOSIT"",$C12"&amp;"3)),
      COUNTIFS('SUMMARY DATA'!$D:$D,$C123,'SUMMARY DATA'!$B:$B,""RWS"")&lt;&gt;1
    ),
    """",
    IFERROR(TEXTJOIN(CHAR(10),TRUE,FILTER('SUMMARY DATA'!G:G,'SUMMARY DATA'!$D:$D=$C123,'SUMMARY DATA'!$B:$B=""RWS"")),"""")
  )
)"),"")</f>
      </c>
      <c r="H123" s="18" t="str">
        <f>IFERROR(__xludf.DUMMYFUNCTION("IFERROR(
  TEXTJOIN(CHAR(10),TRUE,FILTER('SUMMARY DATA'!H:H,'SUMMARY DATA'!$A:$A=$A123,'SUMMARY DATA'!$C:$C=$B123,'SUMMARY DATA'!$B:$B=""RWS"",'SUMMARY DATA'!$H:$H=$D123)),
  IF(
    OR(
      ISNUMBER(SEARCH(""CDM CASH DEPOSIT"",$C123)),
      ISNUMBER(S"&amp;"EARCH(""CASH DEPOSIT"",$C123))
    ),
    """",
    IFERROR(TEXTJOIN(CHAR(10),TRUE,FILTER('SUMMARY DATA'!H:H,'SUMMARY DATA'!$D:$D=$C123,'SUMMARY DATA'!$B:$B=""RWS"",'SUMMARY DATA'!$H:$H=$D123)),"""")
  )
)"),"")</f>
      </c>
      <c r="I123" s="18" t="str">
        <f>IFERROR(__xludf.DUMMYFUNCTION("IF(H123="""","""",
SUM(ARRAYFORMULA(VALUE(SPLIT(H123,CHAR(10)))))
)"),"")</f>
      </c>
      <c r="J123" s="17" t="str">
        <f>IFERROR(__xludf.DUMMYFUNCTION("IFERROR(
  TEXTJOIN(CHAR(10),TRUE,FILTER('SUMMARY DATA'!I:I,'SUMMARY DATA'!$A:$A=$A123,'SUMMARY DATA'!$C:$C=$B123,'SUMMARY DATA'!$B:$B=""RWS"")),
  IF(
    OR(
      ISNUMBER(SEARCH(""CDM CASH DEPOSIT"",$C123)),
      ISNUMBER(SEARCH(""CASH DEPOSIT"",$C12"&amp;"3)),
      COUNTIFS('SUMMARY DATA'!$D:$D,$C123,'SUMMARY DATA'!$B:$B,""RWS"")&lt;&gt;1
    ),
    """",
    IFERROR(TEXTJOIN(CHAR(10),TRUE,FILTER('SUMMARY DATA'!I:I,'SUMMARY DATA'!$D:$D=$C123,'SUMMARY DATA'!$B:$B=""RWS"")),"""")
  )
)"),"")</f>
      </c>
      <c r="K123" s="2"/>
      <c r="L123" s="2"/>
      <c r="M123" s="2"/>
      <c r="N123" s="2"/>
      <c r="O123" s="2"/>
      <c r="P123" s="2"/>
      <c r="Q123" s="2"/>
      <c r="R123" s="2"/>
      <c r="S123" s="2"/>
      <c r="T123" s="2"/>
      <c r="U123" s="2"/>
      <c r="V123" s="2"/>
      <c r="W123" s="2"/>
      <c r="X123" s="2"/>
      <c r="Y123" s="2"/>
      <c r="Z123" s="2"/>
      <c r="AA123" s="2"/>
      <c r="AB123" s="2"/>
    </row>
    <row r="124" spans="1:28" customHeight="true">
      <c r="A124" s="2" t="s">
        <v>180</v>
      </c>
      <c r="B124" s="15">
        <v>45959</v>
      </c>
      <c r="C124" s="2" t="s">
        <v>181</v>
      </c>
      <c r="D124" s="3">
        <v>11439</v>
      </c>
      <c r="E124" s="16" t="s">
        <v>2408</v>
      </c>
      <c r="F124" s="17" t="s">
        <v>2409</v>
      </c>
      <c r="G124" s="17" t="s">
        <v>2393</v>
      </c>
      <c r="H124" s="18">
        <v>11439</v>
      </c>
      <c r="I124" s="18">
        <v>11439</v>
      </c>
      <c r="J124" s="17" t="s">
        <v>2394</v>
      </c>
      <c r="K124" s="2" t="s">
        <v>2395</v>
      </c>
      <c r="L124" s="2"/>
      <c r="M124" s="2"/>
      <c r="N124" s="2"/>
      <c r="O124" s="2"/>
      <c r="P124" s="2"/>
      <c r="Q124" s="2"/>
      <c r="R124" s="2"/>
      <c r="S124" s="2"/>
      <c r="T124" s="2"/>
      <c r="U124" s="2"/>
      <c r="V124" s="2"/>
      <c r="W124" s="2"/>
      <c r="X124" s="2"/>
      <c r="Y124" s="2"/>
      <c r="Z124" s="2"/>
      <c r="AA124" s="2"/>
      <c r="AB124" s="2"/>
    </row>
    <row r="125" spans="1:28" customHeight="true">
      <c r="A125" s="2" t="s">
        <v>182</v>
      </c>
      <c r="B125" s="15">
        <v>45959</v>
      </c>
      <c r="C125" s="2" t="s">
        <v>183</v>
      </c>
      <c r="D125" s="3">
        <v>298.06</v>
      </c>
      <c r="E125" s="16" t="s">
        <v>2408</v>
      </c>
      <c r="F125" s="17" t="s">
        <v>2410</v>
      </c>
      <c r="G125" s="17" t="s">
        <v>2393</v>
      </c>
      <c r="H125" s="18">
        <v>298.06</v>
      </c>
      <c r="I125" s="18">
        <v>298.06</v>
      </c>
      <c r="J125" s="17" t="s">
        <v>2394</v>
      </c>
      <c r="K125" s="2" t="s">
        <v>2395</v>
      </c>
      <c r="L125" s="2"/>
      <c r="M125" s="2"/>
      <c r="N125" s="2"/>
      <c r="O125" s="2"/>
      <c r="P125" s="2"/>
      <c r="Q125" s="2"/>
      <c r="R125" s="2"/>
      <c r="S125" s="2"/>
      <c r="T125" s="2"/>
      <c r="U125" s="2"/>
      <c r="V125" s="2"/>
      <c r="W125" s="2"/>
      <c r="X125" s="2"/>
      <c r="Y125" s="2"/>
      <c r="Z125" s="2"/>
      <c r="AA125" s="2"/>
      <c r="AB125" s="2"/>
    </row>
    <row r="126" spans="1:28" customHeight="true">
      <c r="A126" s="2"/>
      <c r="B126" s="15">
        <v>45959</v>
      </c>
      <c r="C126" s="2" t="s">
        <v>184</v>
      </c>
      <c r="D126" s="3">
        <v>218.12</v>
      </c>
      <c r="E126" s="16" t="str">
        <f>IFERROR(__xludf.DUMMYFUNCTION("IFERROR(
  TEXTJOIN(CHAR(10),TRUE,FILTER('SUMMARY DATA'!E:E,'SUMMARY DATA'!$A:$A=$A126,'SUMMARY DATA'!$C:$C=$B126,'SUMMARY DATA'!$B:$B=""RWS"")),
  IF(
    OR(
      ISNUMBER(SEARCH(""CDM CASH DEPOSIT"",$C126)),
      ISNUMBER(SEARCH(""CASH DEPOSIT"",$C12"&amp;"6)),
      COUNTIFS('SUMMARY DATA'!$D:$D,$C126,'SUMMARY DATA'!$B:$B,""RWS"")&lt;&gt;1
    ),
    """",
    IFERROR(TEXTJOIN(CHAR(10),TRUE,FILTER('SUMMARY DATA'!E:E,'SUMMARY DATA'!$D:$D=$C126,'SUMMARY DATA'!$B:$B=""RWS"")),"""")
  )
)"),"")</f>
      </c>
      <c r="F126" s="17" t="str">
        <f>IFERROR(__xludf.DUMMYFUNCTION("IFERROR(
  TEXTJOIN(CHAR(10),TRUE,FILTER('SUMMARY DATA'!F:F,'SUMMARY DATA'!$A:$A=$A126,'SUMMARY DATA'!$C:$C=$B126,'SUMMARY DATA'!$B:$B=""RWS"")),
  IF(
    OR(
      ISNUMBER(SEARCH(""CDM CASH DEPOSIT"",$C126)),
      ISNUMBER(SEARCH(""CASH DEPOSIT"",$C12"&amp;"6)),
      COUNTIFS('SUMMARY DATA'!$D:$D,$C126,'SUMMARY DATA'!$B:$B,""RWS"")&lt;&gt;1
    ),
    """",
    IFERROR(TEXTJOIN(CHAR(10),TRUE,FILTER('SUMMARY DATA'!F:F,'SUMMARY DATA'!$D:$D=$C126,'SUMMARY DATA'!$B:$B=""RWS"")),"""")
  )
)"),"")</f>
      </c>
      <c r="G126" s="17" t="str">
        <f>IFERROR(__xludf.DUMMYFUNCTION("IFERROR(
  TEXTJOIN(CHAR(10),TRUE,FILTER('SUMMARY DATA'!G:G,'SUMMARY DATA'!$A:$A=$A126,'SUMMARY DATA'!$C:$C=$B126,'SUMMARY DATA'!$B:$B=""RWS"")),
  IF(
    OR(
      ISNUMBER(SEARCH(""CDM CASH DEPOSIT"",$C126)),
      ISNUMBER(SEARCH(""CASH DEPOSIT"",$C12"&amp;"6)),
      COUNTIFS('SUMMARY DATA'!$D:$D,$C126,'SUMMARY DATA'!$B:$B,""RWS"")&lt;&gt;1
    ),
    """",
    IFERROR(TEXTJOIN(CHAR(10),TRUE,FILTER('SUMMARY DATA'!G:G,'SUMMARY DATA'!$D:$D=$C126,'SUMMARY DATA'!$B:$B=""RWS"")),"""")
  )
)"),"")</f>
      </c>
      <c r="H126" s="18" t="str">
        <f>IFERROR(__xludf.DUMMYFUNCTION("IFERROR(
  TEXTJOIN(CHAR(10),TRUE,FILTER('SUMMARY DATA'!H:H,'SUMMARY DATA'!$A:$A=$A126,'SUMMARY DATA'!$C:$C=$B126,'SUMMARY DATA'!$B:$B=""RWS"",'SUMMARY DATA'!$H:$H=$D126)),
  IF(
    OR(
      ISNUMBER(SEARCH(""CDM CASH DEPOSIT"",$C126)),
      ISNUMBER(S"&amp;"EARCH(""CASH DEPOSIT"",$C126))
    ),
    """",
    IFERROR(TEXTJOIN(CHAR(10),TRUE,FILTER('SUMMARY DATA'!H:H,'SUMMARY DATA'!$D:$D=$C126,'SUMMARY DATA'!$B:$B=""RWS"",'SUMMARY DATA'!$H:$H=$D126)),"""")
  )
)"),"")</f>
      </c>
      <c r="I126" s="18" t="str">
        <f>IFERROR(__xludf.DUMMYFUNCTION("IF(H126="""","""",
SUM(ARRAYFORMULA(VALUE(SPLIT(H126,CHAR(10)))))
)"),"")</f>
      </c>
      <c r="J126" s="17" t="str">
        <f>IFERROR(__xludf.DUMMYFUNCTION("IFERROR(
  TEXTJOIN(CHAR(10),TRUE,FILTER('SUMMARY DATA'!I:I,'SUMMARY DATA'!$A:$A=$A126,'SUMMARY DATA'!$C:$C=$B126,'SUMMARY DATA'!$B:$B=""RWS"")),
  IF(
    OR(
      ISNUMBER(SEARCH(""CDM CASH DEPOSIT"",$C126)),
      ISNUMBER(SEARCH(""CASH DEPOSIT"",$C12"&amp;"6)),
      COUNTIFS('SUMMARY DATA'!$D:$D,$C126,'SUMMARY DATA'!$B:$B,""RWS"")&lt;&gt;1
    ),
    """",
    IFERROR(TEXTJOIN(CHAR(10),TRUE,FILTER('SUMMARY DATA'!I:I,'SUMMARY DATA'!$D:$D=$C126,'SUMMARY DATA'!$B:$B=""RWS"")),"""")
  )
)"),"")</f>
      </c>
      <c r="K126" s="2"/>
      <c r="L126" s="2"/>
      <c r="M126" s="2"/>
      <c r="N126" s="2"/>
      <c r="O126" s="2"/>
      <c r="P126" s="2"/>
      <c r="Q126" s="2"/>
      <c r="R126" s="2"/>
      <c r="S126" s="2"/>
      <c r="T126" s="2"/>
      <c r="U126" s="2"/>
      <c r="V126" s="2"/>
      <c r="W126" s="2"/>
      <c r="X126" s="2"/>
      <c r="Y126" s="2"/>
      <c r="Z126" s="2"/>
      <c r="AA126" s="2"/>
      <c r="AB126" s="2"/>
    </row>
    <row r="127" spans="1:28" customHeight="true">
      <c r="A127" s="2"/>
      <c r="B127" s="15">
        <v>45958</v>
      </c>
      <c r="C127" s="2" t="s">
        <v>185</v>
      </c>
      <c r="D127" s="3">
        <v>209.45</v>
      </c>
      <c r="E127" s="16" t="str">
        <f>IFERROR(__xludf.DUMMYFUNCTION("IFERROR(
  TEXTJOIN(CHAR(10),TRUE,FILTER('SUMMARY DATA'!E:E,'SUMMARY DATA'!$A:$A=$A127,'SUMMARY DATA'!$C:$C=$B127,'SUMMARY DATA'!$B:$B=""RWS"")),
  IF(
    OR(
      ISNUMBER(SEARCH(""CDM CASH DEPOSIT"",$C127)),
      ISNUMBER(SEARCH(""CASH DEPOSIT"",$C12"&amp;"7)),
      COUNTIFS('SUMMARY DATA'!$D:$D,$C127,'SUMMARY DATA'!$B:$B,""RWS"")&lt;&gt;1
    ),
    """",
    IFERROR(TEXTJOIN(CHAR(10),TRUE,FILTER('SUMMARY DATA'!E:E,'SUMMARY DATA'!$D:$D=$C127,'SUMMARY DATA'!$B:$B=""RWS"")),"""")
  )
)"),"")</f>
      </c>
      <c r="F127" s="17" t="str">
        <f>IFERROR(__xludf.DUMMYFUNCTION("IFERROR(
  TEXTJOIN(CHAR(10),TRUE,FILTER('SUMMARY DATA'!F:F,'SUMMARY DATA'!$A:$A=$A127,'SUMMARY DATA'!$C:$C=$B127,'SUMMARY DATA'!$B:$B=""RWS"")),
  IF(
    OR(
      ISNUMBER(SEARCH(""CDM CASH DEPOSIT"",$C127)),
      ISNUMBER(SEARCH(""CASH DEPOSIT"",$C12"&amp;"7)),
      COUNTIFS('SUMMARY DATA'!$D:$D,$C127,'SUMMARY DATA'!$B:$B,""RWS"")&lt;&gt;1
    ),
    """",
    IFERROR(TEXTJOIN(CHAR(10),TRUE,FILTER('SUMMARY DATA'!F:F,'SUMMARY DATA'!$D:$D=$C127,'SUMMARY DATA'!$B:$B=""RWS"")),"""")
  )
)"),"")</f>
      </c>
      <c r="G127" s="17" t="str">
        <f>IFERROR(__xludf.DUMMYFUNCTION("IFERROR(
  TEXTJOIN(CHAR(10),TRUE,FILTER('SUMMARY DATA'!G:G,'SUMMARY DATA'!$A:$A=$A127,'SUMMARY DATA'!$C:$C=$B127,'SUMMARY DATA'!$B:$B=""RWS"")),
  IF(
    OR(
      ISNUMBER(SEARCH(""CDM CASH DEPOSIT"",$C127)),
      ISNUMBER(SEARCH(""CASH DEPOSIT"",$C12"&amp;"7)),
      COUNTIFS('SUMMARY DATA'!$D:$D,$C127,'SUMMARY DATA'!$B:$B,""RWS"")&lt;&gt;1
    ),
    """",
    IFERROR(TEXTJOIN(CHAR(10),TRUE,FILTER('SUMMARY DATA'!G:G,'SUMMARY DATA'!$D:$D=$C127,'SUMMARY DATA'!$B:$B=""RWS"")),"""")
  )
)"),"")</f>
      </c>
      <c r="H127" s="18" t="str">
        <f>IFERROR(__xludf.DUMMYFUNCTION("IFERROR(
  TEXTJOIN(CHAR(10),TRUE,FILTER('SUMMARY DATA'!H:H,'SUMMARY DATA'!$A:$A=$A127,'SUMMARY DATA'!$C:$C=$B127,'SUMMARY DATA'!$B:$B=""RWS"",'SUMMARY DATA'!$H:$H=$D127)),
  IF(
    OR(
      ISNUMBER(SEARCH(""CDM CASH DEPOSIT"",$C127)),
      ISNUMBER(S"&amp;"EARCH(""CASH DEPOSIT"",$C127))
    ),
    """",
    IFERROR(TEXTJOIN(CHAR(10),TRUE,FILTER('SUMMARY DATA'!H:H,'SUMMARY DATA'!$D:$D=$C127,'SUMMARY DATA'!$B:$B=""RWS"",'SUMMARY DATA'!$H:$H=$D127)),"""")
  )
)"),"")</f>
      </c>
      <c r="I127" s="18" t="str">
        <f>IFERROR(__xludf.DUMMYFUNCTION("IF(H127="""","""",
SUM(ARRAYFORMULA(VALUE(SPLIT(H127,CHAR(10)))))
)"),"")</f>
      </c>
      <c r="J127" s="17" t="str">
        <f>IFERROR(__xludf.DUMMYFUNCTION("IFERROR(
  TEXTJOIN(CHAR(10),TRUE,FILTER('SUMMARY DATA'!I:I,'SUMMARY DATA'!$A:$A=$A127,'SUMMARY DATA'!$C:$C=$B127,'SUMMARY DATA'!$B:$B=""RWS"")),
  IF(
    OR(
      ISNUMBER(SEARCH(""CDM CASH DEPOSIT"",$C127)),
      ISNUMBER(SEARCH(""CASH DEPOSIT"",$C12"&amp;"7)),
      COUNTIFS('SUMMARY DATA'!$D:$D,$C127,'SUMMARY DATA'!$B:$B,""RWS"")&lt;&gt;1
    ),
    """",
    IFERROR(TEXTJOIN(CHAR(10),TRUE,FILTER('SUMMARY DATA'!I:I,'SUMMARY DATA'!$D:$D=$C127,'SUMMARY DATA'!$B:$B=""RWS"")),"""")
  )
)"),"")</f>
      </c>
      <c r="K127" s="2"/>
      <c r="L127" s="2"/>
      <c r="M127" s="2"/>
      <c r="N127" s="2"/>
      <c r="O127" s="2"/>
      <c r="P127" s="2"/>
      <c r="Q127" s="2"/>
      <c r="R127" s="2"/>
      <c r="S127" s="2"/>
      <c r="T127" s="2"/>
      <c r="U127" s="2"/>
      <c r="V127" s="2"/>
      <c r="W127" s="2"/>
      <c r="X127" s="2"/>
      <c r="Y127" s="2"/>
      <c r="Z127" s="2"/>
      <c r="AA127" s="2"/>
      <c r="AB127" s="2"/>
    </row>
    <row r="128" spans="1:28" customHeight="true">
      <c r="A128" s="2" t="s">
        <v>186</v>
      </c>
      <c r="B128" s="15">
        <v>45958</v>
      </c>
      <c r="C128" s="2" t="s">
        <v>187</v>
      </c>
      <c r="D128" s="3">
        <v>69</v>
      </c>
      <c r="E128" s="16" t="str">
        <f>IFERROR(__xludf.DUMMYFUNCTION("IFERROR(
  TEXTJOIN(CHAR(10),TRUE,FILTER('SUMMARY DATA'!E:E,'SUMMARY DATA'!$A:$A=$A128,'SUMMARY DATA'!$C:$C=$B128,'SUMMARY DATA'!$B:$B=""RWS"")),
  IF(
    OR(
      ISNUMBER(SEARCH(""CDM CASH DEPOSIT"",$C128)),
      ISNUMBER(SEARCH(""CASH DEPOSIT"",$C12"&amp;"8)),
      COUNTIFS('SUMMARY DATA'!$D:$D,$C128,'SUMMARY DATA'!$B:$B,""RWS"")&lt;&gt;1
    ),
    """",
    IFERROR(TEXTJOIN(CHAR(10),TRUE,FILTER('SUMMARY DATA'!E:E,'SUMMARY DATA'!$D:$D=$C128,'SUMMARY DATA'!$B:$B=""RWS"")),"""")
  )
)"),"")</f>
      </c>
      <c r="F128" s="17" t="str">
        <f>IFERROR(__xludf.DUMMYFUNCTION("IFERROR(
  TEXTJOIN(CHAR(10),TRUE,FILTER('SUMMARY DATA'!F:F,'SUMMARY DATA'!$A:$A=$A128,'SUMMARY DATA'!$C:$C=$B128,'SUMMARY DATA'!$B:$B=""RWS"")),
  IF(
    OR(
      ISNUMBER(SEARCH(""CDM CASH DEPOSIT"",$C128)),
      ISNUMBER(SEARCH(""CASH DEPOSIT"",$C12"&amp;"8)),
      COUNTIFS('SUMMARY DATA'!$D:$D,$C128,'SUMMARY DATA'!$B:$B,""RWS"")&lt;&gt;1
    ),
    """",
    IFERROR(TEXTJOIN(CHAR(10),TRUE,FILTER('SUMMARY DATA'!F:F,'SUMMARY DATA'!$D:$D=$C128,'SUMMARY DATA'!$B:$B=""RWS"")),"""")
  )
)"),"")</f>
      </c>
      <c r="G128" s="17" t="str">
        <f>IFERROR(__xludf.DUMMYFUNCTION("IFERROR(
  TEXTJOIN(CHAR(10),TRUE,FILTER('SUMMARY DATA'!G:G,'SUMMARY DATA'!$A:$A=$A128,'SUMMARY DATA'!$C:$C=$B128,'SUMMARY DATA'!$B:$B=""RWS"")),
  IF(
    OR(
      ISNUMBER(SEARCH(""CDM CASH DEPOSIT"",$C128)),
      ISNUMBER(SEARCH(""CASH DEPOSIT"",$C12"&amp;"8)),
      COUNTIFS('SUMMARY DATA'!$D:$D,$C128,'SUMMARY DATA'!$B:$B,""RWS"")&lt;&gt;1
    ),
    """",
    IFERROR(TEXTJOIN(CHAR(10),TRUE,FILTER('SUMMARY DATA'!G:G,'SUMMARY DATA'!$D:$D=$C128,'SUMMARY DATA'!$B:$B=""RWS"")),"""")
  )
)"),"")</f>
      </c>
      <c r="H128" s="18" t="str">
        <f>IFERROR(__xludf.DUMMYFUNCTION("IFERROR(
  TEXTJOIN(CHAR(10),TRUE,FILTER('SUMMARY DATA'!H:H,'SUMMARY DATA'!$A:$A=$A128,'SUMMARY DATA'!$C:$C=$B128,'SUMMARY DATA'!$B:$B=""RWS"",'SUMMARY DATA'!$H:$H=$D128)),
  IF(
    OR(
      ISNUMBER(SEARCH(""CDM CASH DEPOSIT"",$C128)),
      ISNUMBER(S"&amp;"EARCH(""CASH DEPOSIT"",$C128))
    ),
    """",
    IFERROR(TEXTJOIN(CHAR(10),TRUE,FILTER('SUMMARY DATA'!H:H,'SUMMARY DATA'!$D:$D=$C128,'SUMMARY DATA'!$B:$B=""RWS"",'SUMMARY DATA'!$H:$H=$D128)),"""")
  )
)"),"")</f>
      </c>
      <c r="I128" s="18" t="str">
        <f>IFERROR(__xludf.DUMMYFUNCTION("IF(H128="""","""",
SUM(ARRAYFORMULA(VALUE(SPLIT(H128,CHAR(10)))))
)"),"")</f>
      </c>
      <c r="J128" s="17" t="str">
        <f>IFERROR(__xludf.DUMMYFUNCTION("IFERROR(
  TEXTJOIN(CHAR(10),TRUE,FILTER('SUMMARY DATA'!I:I,'SUMMARY DATA'!$A:$A=$A128,'SUMMARY DATA'!$C:$C=$B128,'SUMMARY DATA'!$B:$B=""RWS"")),
  IF(
    OR(
      ISNUMBER(SEARCH(""CDM CASH DEPOSIT"",$C128)),
      ISNUMBER(SEARCH(""CASH DEPOSIT"",$C12"&amp;"8)),
      COUNTIFS('SUMMARY DATA'!$D:$D,$C128,'SUMMARY DATA'!$B:$B,""RWS"")&lt;&gt;1
    ),
    """",
    IFERROR(TEXTJOIN(CHAR(10),TRUE,FILTER('SUMMARY DATA'!I:I,'SUMMARY DATA'!$D:$D=$C128,'SUMMARY DATA'!$B:$B=""RWS"")),"""")
  )
)"),"")</f>
      </c>
      <c r="K128" s="2"/>
      <c r="L128" s="2"/>
      <c r="M128" s="2"/>
      <c r="N128" s="2"/>
      <c r="O128" s="2"/>
      <c r="P128" s="2"/>
      <c r="Q128" s="2"/>
      <c r="R128" s="2"/>
      <c r="S128" s="2"/>
      <c r="T128" s="2"/>
      <c r="U128" s="2"/>
      <c r="V128" s="2"/>
      <c r="W128" s="2"/>
      <c r="X128" s="2"/>
      <c r="Y128" s="2"/>
      <c r="Z128" s="2"/>
      <c r="AA128" s="2"/>
      <c r="AB128" s="2"/>
    </row>
    <row r="129" spans="1:28" customHeight="true">
      <c r="A129" s="2" t="s">
        <v>188</v>
      </c>
      <c r="B129" s="15">
        <v>45958</v>
      </c>
      <c r="C129" s="2" t="s">
        <v>189</v>
      </c>
      <c r="D129" s="3">
        <v>40</v>
      </c>
      <c r="E129" s="16" t="s">
        <v>2411</v>
      </c>
      <c r="F129" s="17" t="s">
        <v>2412</v>
      </c>
      <c r="G129" s="17" t="s">
        <v>2393</v>
      </c>
      <c r="H129" s="18">
        <v>40</v>
      </c>
      <c r="I129" s="18">
        <v>40</v>
      </c>
      <c r="J129" s="17" t="s">
        <v>2394</v>
      </c>
      <c r="K129" s="2" t="s">
        <v>2395</v>
      </c>
      <c r="L129" s="2"/>
      <c r="M129" s="2"/>
      <c r="N129" s="2"/>
      <c r="O129" s="2"/>
      <c r="P129" s="2"/>
      <c r="Q129" s="2"/>
      <c r="R129" s="2"/>
      <c r="S129" s="2"/>
      <c r="T129" s="2"/>
      <c r="U129" s="2"/>
      <c r="V129" s="2"/>
      <c r="W129" s="2"/>
      <c r="X129" s="2"/>
      <c r="Y129" s="2"/>
      <c r="Z129" s="2"/>
      <c r="AA129" s="2"/>
      <c r="AB129" s="2"/>
    </row>
    <row r="130" spans="1:28" customHeight="true">
      <c r="A130" s="2" t="s">
        <v>190</v>
      </c>
      <c r="B130" s="15">
        <v>45958</v>
      </c>
      <c r="C130" s="2" t="s">
        <v>191</v>
      </c>
      <c r="D130" s="3">
        <v>33.34</v>
      </c>
      <c r="E130" s="16" t="s">
        <v>2413</v>
      </c>
      <c r="F130" s="17" t="s">
        <v>2414</v>
      </c>
      <c r="G130" s="17" t="s">
        <v>2393</v>
      </c>
      <c r="H130" s="18">
        <v>33.34</v>
      </c>
      <c r="I130" s="18">
        <v>33.34</v>
      </c>
      <c r="J130" s="17" t="s">
        <v>2394</v>
      </c>
      <c r="K130" s="2" t="s">
        <v>2395</v>
      </c>
      <c r="L130" s="2"/>
      <c r="M130" s="2"/>
      <c r="N130" s="2"/>
      <c r="O130" s="2"/>
      <c r="P130" s="2"/>
      <c r="Q130" s="2"/>
      <c r="R130" s="2"/>
      <c r="S130" s="2"/>
      <c r="T130" s="2"/>
      <c r="U130" s="2"/>
      <c r="V130" s="2"/>
      <c r="W130" s="2"/>
      <c r="X130" s="2"/>
      <c r="Y130" s="2"/>
      <c r="Z130" s="2"/>
      <c r="AA130" s="2"/>
      <c r="AB130" s="2"/>
    </row>
    <row r="131" spans="1:28" customHeight="true">
      <c r="A131" s="2" t="s">
        <v>192</v>
      </c>
      <c r="B131" s="15">
        <v>45958</v>
      </c>
      <c r="C131" s="2" t="s">
        <v>193</v>
      </c>
      <c r="D131" s="3">
        <v>39.19</v>
      </c>
      <c r="E131" s="16" t="str">
        <f>IFERROR(__xludf.DUMMYFUNCTION("IFERROR(
  TEXTJOIN(CHAR(10),TRUE,FILTER('SUMMARY DATA'!E:E,'SUMMARY DATA'!$A:$A=$A131,'SUMMARY DATA'!$C:$C=$B131,'SUMMARY DATA'!$B:$B=""RWS"")),
  IF(
    OR(
      ISNUMBER(SEARCH(""CDM CASH DEPOSIT"",$C131)),
      ISNUMBER(SEARCH(""CASH DEPOSIT"",$C13"&amp;"1)),
      COUNTIFS('SUMMARY DATA'!$D:$D,$C131,'SUMMARY DATA'!$B:$B,""RWS"")&lt;&gt;1
    ),
    """",
    IFERROR(TEXTJOIN(CHAR(10),TRUE,FILTER('SUMMARY DATA'!E:E,'SUMMARY DATA'!$D:$D=$C131,'SUMMARY DATA'!$B:$B=""RWS"")),"""")
  )
)"),"")</f>
      </c>
      <c r="F131" s="17" t="str">
        <f>IFERROR(__xludf.DUMMYFUNCTION("IFERROR(
  TEXTJOIN(CHAR(10),TRUE,FILTER('SUMMARY DATA'!F:F,'SUMMARY DATA'!$A:$A=$A131,'SUMMARY DATA'!$C:$C=$B131,'SUMMARY DATA'!$B:$B=""RWS"")),
  IF(
    OR(
      ISNUMBER(SEARCH(""CDM CASH DEPOSIT"",$C131)),
      ISNUMBER(SEARCH(""CASH DEPOSIT"",$C13"&amp;"1)),
      COUNTIFS('SUMMARY DATA'!$D:$D,$C131,'SUMMARY DATA'!$B:$B,""RWS"")&lt;&gt;1
    ),
    """",
    IFERROR(TEXTJOIN(CHAR(10),TRUE,FILTER('SUMMARY DATA'!F:F,'SUMMARY DATA'!$D:$D=$C131,'SUMMARY DATA'!$B:$B=""RWS"")),"""")
  )
)"),"")</f>
      </c>
      <c r="G131" s="17" t="str">
        <f>IFERROR(__xludf.DUMMYFUNCTION("IFERROR(
  TEXTJOIN(CHAR(10),TRUE,FILTER('SUMMARY DATA'!G:G,'SUMMARY DATA'!$A:$A=$A131,'SUMMARY DATA'!$C:$C=$B131,'SUMMARY DATA'!$B:$B=""RWS"")),
  IF(
    OR(
      ISNUMBER(SEARCH(""CDM CASH DEPOSIT"",$C131)),
      ISNUMBER(SEARCH(""CASH DEPOSIT"",$C13"&amp;"1)),
      COUNTIFS('SUMMARY DATA'!$D:$D,$C131,'SUMMARY DATA'!$B:$B,""RWS"")&lt;&gt;1
    ),
    """",
    IFERROR(TEXTJOIN(CHAR(10),TRUE,FILTER('SUMMARY DATA'!G:G,'SUMMARY DATA'!$D:$D=$C131,'SUMMARY DATA'!$B:$B=""RWS"")),"""")
  )
)"),"")</f>
      </c>
      <c r="H131" s="18" t="str">
        <f>IFERROR(__xludf.DUMMYFUNCTION("IFERROR(
  TEXTJOIN(CHAR(10),TRUE,FILTER('SUMMARY DATA'!H:H,'SUMMARY DATA'!$A:$A=$A131,'SUMMARY DATA'!$C:$C=$B131,'SUMMARY DATA'!$B:$B=""RWS"",'SUMMARY DATA'!$H:$H=$D131)),
  IF(
    OR(
      ISNUMBER(SEARCH(""CDM CASH DEPOSIT"",$C131)),
      ISNUMBER(S"&amp;"EARCH(""CASH DEPOSIT"",$C131))
    ),
    """",
    IFERROR(TEXTJOIN(CHAR(10),TRUE,FILTER('SUMMARY DATA'!H:H,'SUMMARY DATA'!$D:$D=$C131,'SUMMARY DATA'!$B:$B=""RWS"",'SUMMARY DATA'!$H:$H=$D131)),"""")
  )
)"),"")</f>
      </c>
      <c r="I131" s="18" t="str">
        <f>IFERROR(__xludf.DUMMYFUNCTION("IF(H131="""","""",
SUM(ARRAYFORMULA(VALUE(SPLIT(H131,CHAR(10)))))
)"),"")</f>
      </c>
      <c r="J131" s="17" t="str">
        <f>IFERROR(__xludf.DUMMYFUNCTION("IFERROR(
  TEXTJOIN(CHAR(10),TRUE,FILTER('SUMMARY DATA'!I:I,'SUMMARY DATA'!$A:$A=$A131,'SUMMARY DATA'!$C:$C=$B131,'SUMMARY DATA'!$B:$B=""RWS"")),
  IF(
    OR(
      ISNUMBER(SEARCH(""CDM CASH DEPOSIT"",$C131)),
      ISNUMBER(SEARCH(""CASH DEPOSIT"",$C13"&amp;"1)),
      COUNTIFS('SUMMARY DATA'!$D:$D,$C131,'SUMMARY DATA'!$B:$B,""RWS"")&lt;&gt;1
    ),
    """",
    IFERROR(TEXTJOIN(CHAR(10),TRUE,FILTER('SUMMARY DATA'!I:I,'SUMMARY DATA'!$D:$D=$C131,'SUMMARY DATA'!$B:$B=""RWS"")),"""")
  )
)"),"")</f>
      </c>
      <c r="K131" s="2"/>
      <c r="L131" s="2"/>
      <c r="M131" s="2"/>
      <c r="N131" s="2"/>
      <c r="O131" s="2"/>
      <c r="P131" s="2"/>
      <c r="Q131" s="2"/>
      <c r="R131" s="2"/>
      <c r="S131" s="2"/>
      <c r="T131" s="2"/>
      <c r="U131" s="2"/>
      <c r="V131" s="2"/>
      <c r="W131" s="2"/>
      <c r="X131" s="2"/>
      <c r="Y131" s="2"/>
      <c r="Z131" s="2"/>
      <c r="AA131" s="2"/>
      <c r="AB131" s="2"/>
    </row>
    <row r="132" spans="1:28" customHeight="true">
      <c r="A132" s="2" t="s">
        <v>194</v>
      </c>
      <c r="B132" s="15">
        <v>45958</v>
      </c>
      <c r="C132" s="2" t="s">
        <v>195</v>
      </c>
      <c r="D132" s="3">
        <v>21.24</v>
      </c>
      <c r="E132" s="16" t="str">
        <f>IFERROR(__xludf.DUMMYFUNCTION("IFERROR(
  TEXTJOIN(CHAR(10),TRUE,FILTER('SUMMARY DATA'!E:E,'SUMMARY DATA'!$A:$A=$A132,'SUMMARY DATA'!$C:$C=$B132,'SUMMARY DATA'!$B:$B=""RWS"")),
  IF(
    OR(
      ISNUMBER(SEARCH(""CDM CASH DEPOSIT"",$C132)),
      ISNUMBER(SEARCH(""CASH DEPOSIT"",$C13"&amp;"2)),
      COUNTIFS('SUMMARY DATA'!$D:$D,$C132,'SUMMARY DATA'!$B:$B,""RWS"")&lt;&gt;1
    ),
    """",
    IFERROR(TEXTJOIN(CHAR(10),TRUE,FILTER('SUMMARY DATA'!E:E,'SUMMARY DATA'!$D:$D=$C132,'SUMMARY DATA'!$B:$B=""RWS"")),"""")
  )
)"),"")</f>
      </c>
      <c r="F132" s="17" t="str">
        <f>IFERROR(__xludf.DUMMYFUNCTION("IFERROR(
  TEXTJOIN(CHAR(10),TRUE,FILTER('SUMMARY DATA'!F:F,'SUMMARY DATA'!$A:$A=$A132,'SUMMARY DATA'!$C:$C=$B132,'SUMMARY DATA'!$B:$B=""RWS"")),
  IF(
    OR(
      ISNUMBER(SEARCH(""CDM CASH DEPOSIT"",$C132)),
      ISNUMBER(SEARCH(""CASH DEPOSIT"",$C13"&amp;"2)),
      COUNTIFS('SUMMARY DATA'!$D:$D,$C132,'SUMMARY DATA'!$B:$B,""RWS"")&lt;&gt;1
    ),
    """",
    IFERROR(TEXTJOIN(CHAR(10),TRUE,FILTER('SUMMARY DATA'!F:F,'SUMMARY DATA'!$D:$D=$C132,'SUMMARY DATA'!$B:$B=""RWS"")),"""")
  )
)"),"")</f>
      </c>
      <c r="G132" s="17" t="str">
        <f>IFERROR(__xludf.DUMMYFUNCTION("IFERROR(
  TEXTJOIN(CHAR(10),TRUE,FILTER('SUMMARY DATA'!G:G,'SUMMARY DATA'!$A:$A=$A132,'SUMMARY DATA'!$C:$C=$B132,'SUMMARY DATA'!$B:$B=""RWS"")),
  IF(
    OR(
      ISNUMBER(SEARCH(""CDM CASH DEPOSIT"",$C132)),
      ISNUMBER(SEARCH(""CASH DEPOSIT"",$C13"&amp;"2)),
      COUNTIFS('SUMMARY DATA'!$D:$D,$C132,'SUMMARY DATA'!$B:$B,""RWS"")&lt;&gt;1
    ),
    """",
    IFERROR(TEXTJOIN(CHAR(10),TRUE,FILTER('SUMMARY DATA'!G:G,'SUMMARY DATA'!$D:$D=$C132,'SUMMARY DATA'!$B:$B=""RWS"")),"""")
  )
)"),"")</f>
      </c>
      <c r="H132" s="18" t="str">
        <f>IFERROR(__xludf.DUMMYFUNCTION("IFERROR(
  TEXTJOIN(CHAR(10),TRUE,FILTER('SUMMARY DATA'!H:H,'SUMMARY DATA'!$A:$A=$A132,'SUMMARY DATA'!$C:$C=$B132,'SUMMARY DATA'!$B:$B=""RWS"",'SUMMARY DATA'!$H:$H=$D132)),
  IF(
    OR(
      ISNUMBER(SEARCH(""CDM CASH DEPOSIT"",$C132)),
      ISNUMBER(S"&amp;"EARCH(""CASH DEPOSIT"",$C132))
    ),
    """",
    IFERROR(TEXTJOIN(CHAR(10),TRUE,FILTER('SUMMARY DATA'!H:H,'SUMMARY DATA'!$D:$D=$C132,'SUMMARY DATA'!$B:$B=""RWS"",'SUMMARY DATA'!$H:$H=$D132)),"""")
  )
)"),"")</f>
      </c>
      <c r="I132" s="18" t="str">
        <f>IFERROR(__xludf.DUMMYFUNCTION("IF(H132="""","""",
SUM(ARRAYFORMULA(VALUE(SPLIT(H132,CHAR(10)))))
)"),"")</f>
      </c>
      <c r="J132" s="17" t="str">
        <f>IFERROR(__xludf.DUMMYFUNCTION("IFERROR(
  TEXTJOIN(CHAR(10),TRUE,FILTER('SUMMARY DATA'!I:I,'SUMMARY DATA'!$A:$A=$A132,'SUMMARY DATA'!$C:$C=$B132,'SUMMARY DATA'!$B:$B=""RWS"")),
  IF(
    OR(
      ISNUMBER(SEARCH(""CDM CASH DEPOSIT"",$C132)),
      ISNUMBER(SEARCH(""CASH DEPOSIT"",$C13"&amp;"2)),
      COUNTIFS('SUMMARY DATA'!$D:$D,$C132,'SUMMARY DATA'!$B:$B,""RWS"")&lt;&gt;1
    ),
    """",
    IFERROR(TEXTJOIN(CHAR(10),TRUE,FILTER('SUMMARY DATA'!I:I,'SUMMARY DATA'!$D:$D=$C132,'SUMMARY DATA'!$B:$B=""RWS"")),"""")
  )
)"),"")</f>
      </c>
      <c r="K132" s="2"/>
      <c r="L132" s="2"/>
      <c r="M132" s="2"/>
      <c r="N132" s="2"/>
      <c r="O132" s="2"/>
      <c r="P132" s="2"/>
      <c r="Q132" s="2"/>
      <c r="R132" s="2"/>
      <c r="S132" s="2"/>
      <c r="T132" s="2"/>
      <c r="U132" s="2"/>
      <c r="V132" s="2"/>
      <c r="W132" s="2"/>
      <c r="X132" s="2"/>
      <c r="Y132" s="2"/>
      <c r="Z132" s="2"/>
      <c r="AA132" s="2"/>
      <c r="AB132" s="2"/>
    </row>
    <row r="133" spans="1:28" customHeight="true">
      <c r="A133" s="2" t="s">
        <v>196</v>
      </c>
      <c r="B133" s="15">
        <v>45958</v>
      </c>
      <c r="C133" s="2" t="s">
        <v>197</v>
      </c>
      <c r="D133" s="3">
        <v>403.79</v>
      </c>
      <c r="E133" s="16" t="s">
        <v>2408</v>
      </c>
      <c r="F133" s="17" t="s">
        <v>2415</v>
      </c>
      <c r="G133" s="17" t="s">
        <v>2393</v>
      </c>
      <c r="H133" s="18">
        <v>403.79</v>
      </c>
      <c r="I133" s="18">
        <v>403.79</v>
      </c>
      <c r="J133" s="17" t="s">
        <v>2394</v>
      </c>
      <c r="K133" s="2" t="s">
        <v>2395</v>
      </c>
      <c r="L133" s="2"/>
      <c r="M133" s="2"/>
      <c r="N133" s="2"/>
      <c r="O133" s="2"/>
      <c r="P133" s="2"/>
      <c r="Q133" s="2"/>
      <c r="R133" s="2"/>
      <c r="S133" s="2"/>
      <c r="T133" s="2"/>
      <c r="U133" s="2"/>
      <c r="V133" s="2"/>
      <c r="W133" s="2"/>
      <c r="X133" s="2"/>
      <c r="Y133" s="2"/>
      <c r="Z133" s="2"/>
      <c r="AA133" s="2"/>
      <c r="AB133" s="2"/>
    </row>
    <row r="134" spans="1:28" customHeight="true">
      <c r="A134" s="2" t="s">
        <v>198</v>
      </c>
      <c r="B134" s="15">
        <v>45958</v>
      </c>
      <c r="C134" s="2" t="s">
        <v>199</v>
      </c>
      <c r="D134" s="3">
        <v>161.22</v>
      </c>
      <c r="E134" s="16" t="s">
        <v>2416</v>
      </c>
      <c r="F134" s="17" t="s">
        <v>2417</v>
      </c>
      <c r="G134" s="17" t="s">
        <v>2393</v>
      </c>
      <c r="H134" s="18">
        <v>161.22</v>
      </c>
      <c r="I134" s="18">
        <v>161.22</v>
      </c>
      <c r="J134" s="17" t="s">
        <v>2394</v>
      </c>
      <c r="K134" s="2" t="s">
        <v>2395</v>
      </c>
      <c r="L134" s="2"/>
      <c r="M134" s="2"/>
      <c r="N134" s="2"/>
      <c r="O134" s="2"/>
      <c r="P134" s="2"/>
      <c r="Q134" s="2"/>
      <c r="R134" s="2"/>
      <c r="S134" s="2"/>
      <c r="T134" s="2"/>
      <c r="U134" s="2"/>
      <c r="V134" s="2"/>
      <c r="W134" s="2"/>
      <c r="X134" s="2"/>
      <c r="Y134" s="2"/>
      <c r="Z134" s="2"/>
      <c r="AA134" s="2"/>
      <c r="AB134" s="2"/>
    </row>
    <row r="135" spans="1:28" customHeight="true">
      <c r="A135" s="2" t="s">
        <v>200</v>
      </c>
      <c r="B135" s="15">
        <v>45958</v>
      </c>
      <c r="C135" s="2" t="s">
        <v>201</v>
      </c>
      <c r="D135" s="3">
        <v>115.5</v>
      </c>
      <c r="E135" s="16" t="str">
        <f>IFERROR(__xludf.DUMMYFUNCTION("IFERROR(
  TEXTJOIN(CHAR(10),TRUE,FILTER('SUMMARY DATA'!E:E,'SUMMARY DATA'!$A:$A=$A135,'SUMMARY DATA'!$C:$C=$B135,'SUMMARY DATA'!$B:$B=""RWS"")),
  IF(
    OR(
      ISNUMBER(SEARCH(""CDM CASH DEPOSIT"",$C135)),
      ISNUMBER(SEARCH(""CASH DEPOSIT"",$C13"&amp;"5)),
      COUNTIFS('SUMMARY DATA'!$D:$D,$C135,'SUMMARY DATA'!$B:$B,""RWS"")&lt;&gt;1
    ),
    """",
    IFERROR(TEXTJOIN(CHAR(10),TRUE,FILTER('SUMMARY DATA'!E:E,'SUMMARY DATA'!$D:$D=$C135,'SUMMARY DATA'!$B:$B=""RWS"")),"""")
  )
)"),"")</f>
      </c>
      <c r="F135" s="17" t="str">
        <f>IFERROR(__xludf.DUMMYFUNCTION("IFERROR(
  TEXTJOIN(CHAR(10),TRUE,FILTER('SUMMARY DATA'!F:F,'SUMMARY DATA'!$A:$A=$A135,'SUMMARY DATA'!$C:$C=$B135,'SUMMARY DATA'!$B:$B=""RWS"")),
  IF(
    OR(
      ISNUMBER(SEARCH(""CDM CASH DEPOSIT"",$C135)),
      ISNUMBER(SEARCH(""CASH DEPOSIT"",$C13"&amp;"5)),
      COUNTIFS('SUMMARY DATA'!$D:$D,$C135,'SUMMARY DATA'!$B:$B,""RWS"")&lt;&gt;1
    ),
    """",
    IFERROR(TEXTJOIN(CHAR(10),TRUE,FILTER('SUMMARY DATA'!F:F,'SUMMARY DATA'!$D:$D=$C135,'SUMMARY DATA'!$B:$B=""RWS"")),"""")
  )
)"),"")</f>
      </c>
      <c r="G135" s="17" t="str">
        <f>IFERROR(__xludf.DUMMYFUNCTION("IFERROR(
  TEXTJOIN(CHAR(10),TRUE,FILTER('SUMMARY DATA'!G:G,'SUMMARY DATA'!$A:$A=$A135,'SUMMARY DATA'!$C:$C=$B135,'SUMMARY DATA'!$B:$B=""RWS"")),
  IF(
    OR(
      ISNUMBER(SEARCH(""CDM CASH DEPOSIT"",$C135)),
      ISNUMBER(SEARCH(""CASH DEPOSIT"",$C13"&amp;"5)),
      COUNTIFS('SUMMARY DATA'!$D:$D,$C135,'SUMMARY DATA'!$B:$B,""RWS"")&lt;&gt;1
    ),
    """",
    IFERROR(TEXTJOIN(CHAR(10),TRUE,FILTER('SUMMARY DATA'!G:G,'SUMMARY DATA'!$D:$D=$C135,'SUMMARY DATA'!$B:$B=""RWS"")),"""")
  )
)"),"")</f>
      </c>
      <c r="H135" s="18" t="str">
        <f>IFERROR(__xludf.DUMMYFUNCTION("IFERROR(
  TEXTJOIN(CHAR(10),TRUE,FILTER('SUMMARY DATA'!H:H,'SUMMARY DATA'!$A:$A=$A135,'SUMMARY DATA'!$C:$C=$B135,'SUMMARY DATA'!$B:$B=""RWS"",'SUMMARY DATA'!$H:$H=$D135)),
  IF(
    OR(
      ISNUMBER(SEARCH(""CDM CASH DEPOSIT"",$C135)),
      ISNUMBER(S"&amp;"EARCH(""CASH DEPOSIT"",$C135))
    ),
    """",
    IFERROR(TEXTJOIN(CHAR(10),TRUE,FILTER('SUMMARY DATA'!H:H,'SUMMARY DATA'!$D:$D=$C135,'SUMMARY DATA'!$B:$B=""RWS"",'SUMMARY DATA'!$H:$H=$D135)),"""")
  )
)"),"")</f>
      </c>
      <c r="I135" s="18" t="str">
        <f>IFERROR(__xludf.DUMMYFUNCTION("IF(H135="""","""",
SUM(ARRAYFORMULA(VALUE(SPLIT(H135,CHAR(10)))))
)"),"")</f>
      </c>
      <c r="J135" s="17" t="str">
        <f>IFERROR(__xludf.DUMMYFUNCTION("IFERROR(
  TEXTJOIN(CHAR(10),TRUE,FILTER('SUMMARY DATA'!I:I,'SUMMARY DATA'!$A:$A=$A135,'SUMMARY DATA'!$C:$C=$B135,'SUMMARY DATA'!$B:$B=""RWS"")),
  IF(
    OR(
      ISNUMBER(SEARCH(""CDM CASH DEPOSIT"",$C135)),
      ISNUMBER(SEARCH(""CASH DEPOSIT"",$C13"&amp;"5)),
      COUNTIFS('SUMMARY DATA'!$D:$D,$C135,'SUMMARY DATA'!$B:$B,""RWS"")&lt;&gt;1
    ),
    """",
    IFERROR(TEXTJOIN(CHAR(10),TRUE,FILTER('SUMMARY DATA'!I:I,'SUMMARY DATA'!$D:$D=$C135,'SUMMARY DATA'!$B:$B=""RWS"")),"""")
  )
)"),"")</f>
      </c>
      <c r="K135" s="2"/>
      <c r="L135" s="2"/>
      <c r="M135" s="2"/>
      <c r="N135" s="2"/>
      <c r="O135" s="2"/>
      <c r="P135" s="2"/>
      <c r="Q135" s="2"/>
      <c r="R135" s="2"/>
      <c r="S135" s="2"/>
      <c r="T135" s="2"/>
      <c r="U135" s="2"/>
      <c r="V135" s="2"/>
      <c r="W135" s="2"/>
      <c r="X135" s="2"/>
      <c r="Y135" s="2"/>
      <c r="Z135" s="2"/>
      <c r="AA135" s="2"/>
      <c r="AB135" s="2"/>
    </row>
    <row r="136" spans="1:28" customHeight="true">
      <c r="A136" s="2" t="s">
        <v>202</v>
      </c>
      <c r="B136" s="15">
        <v>45958</v>
      </c>
      <c r="C136" s="2" t="s">
        <v>203</v>
      </c>
      <c r="D136" s="3">
        <v>184.58</v>
      </c>
      <c r="E136" s="16" t="str">
        <f>IFERROR(__xludf.DUMMYFUNCTION("IFERROR(
  TEXTJOIN(CHAR(10),TRUE,FILTER('SUMMARY DATA'!E:E,'SUMMARY DATA'!$A:$A=$A136,'SUMMARY DATA'!$C:$C=$B136,'SUMMARY DATA'!$B:$B=""RWS"")),
  IF(
    OR(
      ISNUMBER(SEARCH(""CDM CASH DEPOSIT"",$C136)),
      ISNUMBER(SEARCH(""CASH DEPOSIT"",$C13"&amp;"6)),
      COUNTIFS('SUMMARY DATA'!$D:$D,$C136,'SUMMARY DATA'!$B:$B,""RWS"")&lt;&gt;1
    ),
    """",
    IFERROR(TEXTJOIN(CHAR(10),TRUE,FILTER('SUMMARY DATA'!E:E,'SUMMARY DATA'!$D:$D=$C136,'SUMMARY DATA'!$B:$B=""RWS"")),"""")
  )
)"),"")</f>
      </c>
      <c r="F136" s="17" t="str">
        <f>IFERROR(__xludf.DUMMYFUNCTION("IFERROR(
  TEXTJOIN(CHAR(10),TRUE,FILTER('SUMMARY DATA'!F:F,'SUMMARY DATA'!$A:$A=$A136,'SUMMARY DATA'!$C:$C=$B136,'SUMMARY DATA'!$B:$B=""RWS"")),
  IF(
    OR(
      ISNUMBER(SEARCH(""CDM CASH DEPOSIT"",$C136)),
      ISNUMBER(SEARCH(""CASH DEPOSIT"",$C13"&amp;"6)),
      COUNTIFS('SUMMARY DATA'!$D:$D,$C136,'SUMMARY DATA'!$B:$B,""RWS"")&lt;&gt;1
    ),
    """",
    IFERROR(TEXTJOIN(CHAR(10),TRUE,FILTER('SUMMARY DATA'!F:F,'SUMMARY DATA'!$D:$D=$C136,'SUMMARY DATA'!$B:$B=""RWS"")),"""")
  )
)"),"")</f>
      </c>
      <c r="G136" s="17" t="str">
        <f>IFERROR(__xludf.DUMMYFUNCTION("IFERROR(
  TEXTJOIN(CHAR(10),TRUE,FILTER('SUMMARY DATA'!G:G,'SUMMARY DATA'!$A:$A=$A136,'SUMMARY DATA'!$C:$C=$B136,'SUMMARY DATA'!$B:$B=""RWS"")),
  IF(
    OR(
      ISNUMBER(SEARCH(""CDM CASH DEPOSIT"",$C136)),
      ISNUMBER(SEARCH(""CASH DEPOSIT"",$C13"&amp;"6)),
      COUNTIFS('SUMMARY DATA'!$D:$D,$C136,'SUMMARY DATA'!$B:$B,""RWS"")&lt;&gt;1
    ),
    """",
    IFERROR(TEXTJOIN(CHAR(10),TRUE,FILTER('SUMMARY DATA'!G:G,'SUMMARY DATA'!$D:$D=$C136,'SUMMARY DATA'!$B:$B=""RWS"")),"""")
  )
)"),"")</f>
      </c>
      <c r="H136" s="18" t="str">
        <f>IFERROR(__xludf.DUMMYFUNCTION("IFERROR(
  TEXTJOIN(CHAR(10),TRUE,FILTER('SUMMARY DATA'!H:H,'SUMMARY DATA'!$A:$A=$A136,'SUMMARY DATA'!$C:$C=$B136,'SUMMARY DATA'!$B:$B=""RWS"",'SUMMARY DATA'!$H:$H=$D136)),
  IF(
    OR(
      ISNUMBER(SEARCH(""CDM CASH DEPOSIT"",$C136)),
      ISNUMBER(S"&amp;"EARCH(""CASH DEPOSIT"",$C136))
    ),
    """",
    IFERROR(TEXTJOIN(CHAR(10),TRUE,FILTER('SUMMARY DATA'!H:H,'SUMMARY DATA'!$D:$D=$C136,'SUMMARY DATA'!$B:$B=""RWS"",'SUMMARY DATA'!$H:$H=$D136)),"""")
  )
)"),"")</f>
      </c>
      <c r="I136" s="18" t="str">
        <f>IFERROR(__xludf.DUMMYFUNCTION("IF(H136="""","""",
SUM(ARRAYFORMULA(VALUE(SPLIT(H136,CHAR(10)))))
)"),"")</f>
      </c>
      <c r="J136" s="17" t="str">
        <f>IFERROR(__xludf.DUMMYFUNCTION("IFERROR(
  TEXTJOIN(CHAR(10),TRUE,FILTER('SUMMARY DATA'!I:I,'SUMMARY DATA'!$A:$A=$A136,'SUMMARY DATA'!$C:$C=$B136,'SUMMARY DATA'!$B:$B=""RWS"")),
  IF(
    OR(
      ISNUMBER(SEARCH(""CDM CASH DEPOSIT"",$C136)),
      ISNUMBER(SEARCH(""CASH DEPOSIT"",$C13"&amp;"6)),
      COUNTIFS('SUMMARY DATA'!$D:$D,$C136,'SUMMARY DATA'!$B:$B,""RWS"")&lt;&gt;1
    ),
    """",
    IFERROR(TEXTJOIN(CHAR(10),TRUE,FILTER('SUMMARY DATA'!I:I,'SUMMARY DATA'!$D:$D=$C136,'SUMMARY DATA'!$B:$B=""RWS"")),"""")
  )
)"),"")</f>
      </c>
      <c r="K136" s="2"/>
      <c r="L136" s="2"/>
      <c r="M136" s="2"/>
      <c r="N136" s="2"/>
      <c r="O136" s="2"/>
      <c r="P136" s="2"/>
      <c r="Q136" s="2"/>
      <c r="R136" s="2"/>
      <c r="S136" s="2"/>
      <c r="T136" s="2"/>
      <c r="U136" s="2"/>
      <c r="V136" s="2"/>
      <c r="W136" s="2"/>
      <c r="X136" s="2"/>
      <c r="Y136" s="2"/>
      <c r="Z136" s="2"/>
      <c r="AA136" s="2"/>
      <c r="AB136" s="2"/>
    </row>
    <row r="137" spans="1:28" customHeight="true">
      <c r="A137" s="2" t="s">
        <v>204</v>
      </c>
      <c r="B137" s="15">
        <v>45957</v>
      </c>
      <c r="C137" s="2" t="s">
        <v>205</v>
      </c>
      <c r="D137" s="3">
        <v>36.59</v>
      </c>
      <c r="E137" s="16" t="str">
        <f>IFERROR(__xludf.DUMMYFUNCTION("IFERROR(
  TEXTJOIN(CHAR(10),TRUE,FILTER('SUMMARY DATA'!E:E,'SUMMARY DATA'!$A:$A=$A137,'SUMMARY DATA'!$C:$C=$B137,'SUMMARY DATA'!$B:$B=""RWS"")),
  IF(
    OR(
      ISNUMBER(SEARCH(""CDM CASH DEPOSIT"",$C137)),
      ISNUMBER(SEARCH(""CASH DEPOSIT"",$C13"&amp;"7)),
      COUNTIFS('SUMMARY DATA'!$D:$D,$C137,'SUMMARY DATA'!$B:$B,""RWS"")&lt;&gt;1
    ),
    """",
    IFERROR(TEXTJOIN(CHAR(10),TRUE,FILTER('SUMMARY DATA'!E:E,'SUMMARY DATA'!$D:$D=$C137,'SUMMARY DATA'!$B:$B=""RWS"")),"""")
  )
)"),"")</f>
      </c>
      <c r="F137" s="17" t="str">
        <f>IFERROR(__xludf.DUMMYFUNCTION("IFERROR(
  TEXTJOIN(CHAR(10),TRUE,FILTER('SUMMARY DATA'!F:F,'SUMMARY DATA'!$A:$A=$A137,'SUMMARY DATA'!$C:$C=$B137,'SUMMARY DATA'!$B:$B=""RWS"")),
  IF(
    OR(
      ISNUMBER(SEARCH(""CDM CASH DEPOSIT"",$C137)),
      ISNUMBER(SEARCH(""CASH DEPOSIT"",$C13"&amp;"7)),
      COUNTIFS('SUMMARY DATA'!$D:$D,$C137,'SUMMARY DATA'!$B:$B,""RWS"")&lt;&gt;1
    ),
    """",
    IFERROR(TEXTJOIN(CHAR(10),TRUE,FILTER('SUMMARY DATA'!F:F,'SUMMARY DATA'!$D:$D=$C137,'SUMMARY DATA'!$B:$B=""RWS"")),"""")
  )
)"),"")</f>
      </c>
      <c r="G137" s="17" t="str">
        <f>IFERROR(__xludf.DUMMYFUNCTION("IFERROR(
  TEXTJOIN(CHAR(10),TRUE,FILTER('SUMMARY DATA'!G:G,'SUMMARY DATA'!$A:$A=$A137,'SUMMARY DATA'!$C:$C=$B137,'SUMMARY DATA'!$B:$B=""RWS"")),
  IF(
    OR(
      ISNUMBER(SEARCH(""CDM CASH DEPOSIT"",$C137)),
      ISNUMBER(SEARCH(""CASH DEPOSIT"",$C13"&amp;"7)),
      COUNTIFS('SUMMARY DATA'!$D:$D,$C137,'SUMMARY DATA'!$B:$B,""RWS"")&lt;&gt;1
    ),
    """",
    IFERROR(TEXTJOIN(CHAR(10),TRUE,FILTER('SUMMARY DATA'!G:G,'SUMMARY DATA'!$D:$D=$C137,'SUMMARY DATA'!$B:$B=""RWS"")),"""")
  )
)"),"")</f>
      </c>
      <c r="H137" s="18" t="str">
        <f>IFERROR(__xludf.DUMMYFUNCTION("IFERROR(
  TEXTJOIN(CHAR(10),TRUE,FILTER('SUMMARY DATA'!H:H,'SUMMARY DATA'!$A:$A=$A137,'SUMMARY DATA'!$C:$C=$B137,'SUMMARY DATA'!$B:$B=""RWS"",'SUMMARY DATA'!$H:$H=$D137)),
  IF(
    OR(
      ISNUMBER(SEARCH(""CDM CASH DEPOSIT"",$C137)),
      ISNUMBER(S"&amp;"EARCH(""CASH DEPOSIT"",$C137))
    ),
    """",
    IFERROR(TEXTJOIN(CHAR(10),TRUE,FILTER('SUMMARY DATA'!H:H,'SUMMARY DATA'!$D:$D=$C137,'SUMMARY DATA'!$B:$B=""RWS"",'SUMMARY DATA'!$H:$H=$D137)),"""")
  )
)"),"")</f>
      </c>
      <c r="I137" s="18" t="str">
        <f>IFERROR(__xludf.DUMMYFUNCTION("IF(H137="""","""",
SUM(ARRAYFORMULA(VALUE(SPLIT(H137,CHAR(10)))))
)"),"")</f>
      </c>
      <c r="J137" s="17" t="str">
        <f>IFERROR(__xludf.DUMMYFUNCTION("IFERROR(
  TEXTJOIN(CHAR(10),TRUE,FILTER('SUMMARY DATA'!I:I,'SUMMARY DATA'!$A:$A=$A137,'SUMMARY DATA'!$C:$C=$B137,'SUMMARY DATA'!$B:$B=""RWS"")),
  IF(
    OR(
      ISNUMBER(SEARCH(""CDM CASH DEPOSIT"",$C137)),
      ISNUMBER(SEARCH(""CASH DEPOSIT"",$C13"&amp;"7)),
      COUNTIFS('SUMMARY DATA'!$D:$D,$C137,'SUMMARY DATA'!$B:$B,""RWS"")&lt;&gt;1
    ),
    """",
    IFERROR(TEXTJOIN(CHAR(10),TRUE,FILTER('SUMMARY DATA'!I:I,'SUMMARY DATA'!$D:$D=$C137,'SUMMARY DATA'!$B:$B=""RWS"")),"""")
  )
)"),"")</f>
      </c>
      <c r="K137" s="2"/>
      <c r="L137" s="2"/>
      <c r="M137" s="2"/>
      <c r="N137" s="2"/>
      <c r="O137" s="2"/>
      <c r="P137" s="2"/>
      <c r="Q137" s="2"/>
      <c r="R137" s="2"/>
      <c r="S137" s="2"/>
      <c r="T137" s="2"/>
      <c r="U137" s="2"/>
      <c r="V137" s="2"/>
      <c r="W137" s="2"/>
      <c r="X137" s="2"/>
      <c r="Y137" s="2"/>
      <c r="Z137" s="2"/>
      <c r="AA137" s="2"/>
      <c r="AB137" s="2"/>
    </row>
    <row r="138" spans="1:28" customHeight="true">
      <c r="A138" s="2" t="s">
        <v>206</v>
      </c>
      <c r="B138" s="15">
        <v>45957</v>
      </c>
      <c r="C138" s="2" t="s">
        <v>207</v>
      </c>
      <c r="D138" s="3">
        <v>1671.69</v>
      </c>
      <c r="E138" s="16" t="str">
        <f>IFERROR(__xludf.DUMMYFUNCTION("IFERROR(
  TEXTJOIN(CHAR(10),TRUE,FILTER('SUMMARY DATA'!E:E,'SUMMARY DATA'!$A:$A=$A138,'SUMMARY DATA'!$C:$C=$B138,'SUMMARY DATA'!$B:$B=""RWS"")),
  IF(
    OR(
      ISNUMBER(SEARCH(""CDM CASH DEPOSIT"",$C138)),
      ISNUMBER(SEARCH(""CASH DEPOSIT"",$C13"&amp;"8)),
      COUNTIFS('SUMMARY DATA'!$D:$D,$C138,'SUMMARY DATA'!$B:$B,""RWS"")&lt;&gt;1
    ),
    """",
    IFERROR(TEXTJOIN(CHAR(10),TRUE,FILTER('SUMMARY DATA'!E:E,'SUMMARY DATA'!$D:$D=$C138,'SUMMARY DATA'!$B:$B=""RWS"")),"""")
  )
)"),"")</f>
      </c>
      <c r="F138" s="17" t="str">
        <f>IFERROR(__xludf.DUMMYFUNCTION("IFERROR(
  TEXTJOIN(CHAR(10),TRUE,FILTER('SUMMARY DATA'!F:F,'SUMMARY DATA'!$A:$A=$A138,'SUMMARY DATA'!$C:$C=$B138,'SUMMARY DATA'!$B:$B=""RWS"")),
  IF(
    OR(
      ISNUMBER(SEARCH(""CDM CASH DEPOSIT"",$C138)),
      ISNUMBER(SEARCH(""CASH DEPOSIT"",$C13"&amp;"8)),
      COUNTIFS('SUMMARY DATA'!$D:$D,$C138,'SUMMARY DATA'!$B:$B,""RWS"")&lt;&gt;1
    ),
    """",
    IFERROR(TEXTJOIN(CHAR(10),TRUE,FILTER('SUMMARY DATA'!F:F,'SUMMARY DATA'!$D:$D=$C138,'SUMMARY DATA'!$B:$B=""RWS"")),"""")
  )
)"),"")</f>
      </c>
      <c r="G138" s="17" t="str">
        <f>IFERROR(__xludf.DUMMYFUNCTION("IFERROR(
  TEXTJOIN(CHAR(10),TRUE,FILTER('SUMMARY DATA'!G:G,'SUMMARY DATA'!$A:$A=$A138,'SUMMARY DATA'!$C:$C=$B138,'SUMMARY DATA'!$B:$B=""RWS"")),
  IF(
    OR(
      ISNUMBER(SEARCH(""CDM CASH DEPOSIT"",$C138)),
      ISNUMBER(SEARCH(""CASH DEPOSIT"",$C13"&amp;"8)),
      COUNTIFS('SUMMARY DATA'!$D:$D,$C138,'SUMMARY DATA'!$B:$B,""RWS"")&lt;&gt;1
    ),
    """",
    IFERROR(TEXTJOIN(CHAR(10),TRUE,FILTER('SUMMARY DATA'!G:G,'SUMMARY DATA'!$D:$D=$C138,'SUMMARY DATA'!$B:$B=""RWS"")),"""")
  )
)"),"")</f>
      </c>
      <c r="H138" s="18" t="str">
        <f>IFERROR(__xludf.DUMMYFUNCTION("IFERROR(
  TEXTJOIN(CHAR(10),TRUE,FILTER('SUMMARY DATA'!H:H,'SUMMARY DATA'!$A:$A=$A138,'SUMMARY DATA'!$C:$C=$B138,'SUMMARY DATA'!$B:$B=""RWS"",'SUMMARY DATA'!$H:$H=$D138)),
  IF(
    OR(
      ISNUMBER(SEARCH(""CDM CASH DEPOSIT"",$C138)),
      ISNUMBER(S"&amp;"EARCH(""CASH DEPOSIT"",$C138))
    ),
    """",
    IFERROR(TEXTJOIN(CHAR(10),TRUE,FILTER('SUMMARY DATA'!H:H,'SUMMARY DATA'!$D:$D=$C138,'SUMMARY DATA'!$B:$B=""RWS"",'SUMMARY DATA'!$H:$H=$D138)),"""")
  )
)"),"")</f>
      </c>
      <c r="I138" s="18" t="str">
        <f>IFERROR(__xludf.DUMMYFUNCTION("IF(H138="""","""",
SUM(ARRAYFORMULA(VALUE(SPLIT(H138,CHAR(10)))))
)"),"")</f>
      </c>
      <c r="J138" s="17" t="str">
        <f>IFERROR(__xludf.DUMMYFUNCTION("IFERROR(
  TEXTJOIN(CHAR(10),TRUE,FILTER('SUMMARY DATA'!I:I,'SUMMARY DATA'!$A:$A=$A138,'SUMMARY DATA'!$C:$C=$B138,'SUMMARY DATA'!$B:$B=""RWS"")),
  IF(
    OR(
      ISNUMBER(SEARCH(""CDM CASH DEPOSIT"",$C138)),
      ISNUMBER(SEARCH(""CASH DEPOSIT"",$C13"&amp;"8)),
      COUNTIFS('SUMMARY DATA'!$D:$D,$C138,'SUMMARY DATA'!$B:$B,""RWS"")&lt;&gt;1
    ),
    """",
    IFERROR(TEXTJOIN(CHAR(10),TRUE,FILTER('SUMMARY DATA'!I:I,'SUMMARY DATA'!$D:$D=$C138,'SUMMARY DATA'!$B:$B=""RWS"")),"""")
  )
)"),"")</f>
      </c>
      <c r="K138" s="2"/>
      <c r="L138" s="2"/>
      <c r="M138" s="2"/>
      <c r="N138" s="2"/>
      <c r="O138" s="2"/>
      <c r="P138" s="2"/>
      <c r="Q138" s="2"/>
      <c r="R138" s="2"/>
      <c r="S138" s="2"/>
      <c r="T138" s="2"/>
      <c r="U138" s="2"/>
      <c r="V138" s="2"/>
      <c r="W138" s="2"/>
      <c r="X138" s="2"/>
      <c r="Y138" s="2"/>
      <c r="Z138" s="2"/>
      <c r="AA138" s="2"/>
      <c r="AB138" s="2"/>
    </row>
    <row r="139" spans="1:28" customHeight="true">
      <c r="A139" s="2" t="s">
        <v>208</v>
      </c>
      <c r="B139" s="15">
        <v>45957</v>
      </c>
      <c r="C139" s="2" t="s">
        <v>209</v>
      </c>
      <c r="D139" s="3">
        <v>259.1</v>
      </c>
      <c r="E139" s="16" t="str">
        <f>IFERROR(__xludf.DUMMYFUNCTION("IFERROR(
  TEXTJOIN(CHAR(10),TRUE,FILTER('SUMMARY DATA'!E:E,'SUMMARY DATA'!$A:$A=$A139,'SUMMARY DATA'!$C:$C=$B139,'SUMMARY DATA'!$B:$B=""RWS"")),
  IF(
    OR(
      ISNUMBER(SEARCH(""CDM CASH DEPOSIT"",$C139)),
      ISNUMBER(SEARCH(""CASH DEPOSIT"",$C13"&amp;"9)),
      COUNTIFS('SUMMARY DATA'!$D:$D,$C139,'SUMMARY DATA'!$B:$B,""RWS"")&lt;&gt;1
    ),
    """",
    IFERROR(TEXTJOIN(CHAR(10),TRUE,FILTER('SUMMARY DATA'!E:E,'SUMMARY DATA'!$D:$D=$C139,'SUMMARY DATA'!$B:$B=""RWS"")),"""")
  )
)"),"")</f>
      </c>
      <c r="F139" s="17" t="str">
        <f>IFERROR(__xludf.DUMMYFUNCTION("IFERROR(
  TEXTJOIN(CHAR(10),TRUE,FILTER('SUMMARY DATA'!F:F,'SUMMARY DATA'!$A:$A=$A139,'SUMMARY DATA'!$C:$C=$B139,'SUMMARY DATA'!$B:$B=""RWS"")),
  IF(
    OR(
      ISNUMBER(SEARCH(""CDM CASH DEPOSIT"",$C139)),
      ISNUMBER(SEARCH(""CASH DEPOSIT"",$C13"&amp;"9)),
      COUNTIFS('SUMMARY DATA'!$D:$D,$C139,'SUMMARY DATA'!$B:$B,""RWS"")&lt;&gt;1
    ),
    """",
    IFERROR(TEXTJOIN(CHAR(10),TRUE,FILTER('SUMMARY DATA'!F:F,'SUMMARY DATA'!$D:$D=$C139,'SUMMARY DATA'!$B:$B=""RWS"")),"""")
  )
)"),"")</f>
      </c>
      <c r="G139" s="17" t="str">
        <f>IFERROR(__xludf.DUMMYFUNCTION("IFERROR(
  TEXTJOIN(CHAR(10),TRUE,FILTER('SUMMARY DATA'!G:G,'SUMMARY DATA'!$A:$A=$A139,'SUMMARY DATA'!$C:$C=$B139,'SUMMARY DATA'!$B:$B=""RWS"")),
  IF(
    OR(
      ISNUMBER(SEARCH(""CDM CASH DEPOSIT"",$C139)),
      ISNUMBER(SEARCH(""CASH DEPOSIT"",$C13"&amp;"9)),
      COUNTIFS('SUMMARY DATA'!$D:$D,$C139,'SUMMARY DATA'!$B:$B,""RWS"")&lt;&gt;1
    ),
    """",
    IFERROR(TEXTJOIN(CHAR(10),TRUE,FILTER('SUMMARY DATA'!G:G,'SUMMARY DATA'!$D:$D=$C139,'SUMMARY DATA'!$B:$B=""RWS"")),"""")
  )
)"),"")</f>
      </c>
      <c r="H139" s="18" t="str">
        <f>IFERROR(__xludf.DUMMYFUNCTION("IFERROR(
  TEXTJOIN(CHAR(10),TRUE,FILTER('SUMMARY DATA'!H:H,'SUMMARY DATA'!$A:$A=$A139,'SUMMARY DATA'!$C:$C=$B139,'SUMMARY DATA'!$B:$B=""RWS"",'SUMMARY DATA'!$H:$H=$D139)),
  IF(
    OR(
      ISNUMBER(SEARCH(""CDM CASH DEPOSIT"",$C139)),
      ISNUMBER(S"&amp;"EARCH(""CASH DEPOSIT"",$C139))
    ),
    """",
    IFERROR(TEXTJOIN(CHAR(10),TRUE,FILTER('SUMMARY DATA'!H:H,'SUMMARY DATA'!$D:$D=$C139,'SUMMARY DATA'!$B:$B=""RWS"",'SUMMARY DATA'!$H:$H=$D139)),"""")
  )
)"),"")</f>
      </c>
      <c r="I139" s="18" t="str">
        <f>IFERROR(__xludf.DUMMYFUNCTION("IF(H139="""","""",
SUM(ARRAYFORMULA(VALUE(SPLIT(H139,CHAR(10)))))
)"),"")</f>
      </c>
      <c r="J139" s="17" t="str">
        <f>IFERROR(__xludf.DUMMYFUNCTION("IFERROR(
  TEXTJOIN(CHAR(10),TRUE,FILTER('SUMMARY DATA'!I:I,'SUMMARY DATA'!$A:$A=$A139,'SUMMARY DATA'!$C:$C=$B139,'SUMMARY DATA'!$B:$B=""RWS"")),
  IF(
    OR(
      ISNUMBER(SEARCH(""CDM CASH DEPOSIT"",$C139)),
      ISNUMBER(SEARCH(""CASH DEPOSIT"",$C13"&amp;"9)),
      COUNTIFS('SUMMARY DATA'!$D:$D,$C139,'SUMMARY DATA'!$B:$B,""RWS"")&lt;&gt;1
    ),
    """",
    IFERROR(TEXTJOIN(CHAR(10),TRUE,FILTER('SUMMARY DATA'!I:I,'SUMMARY DATA'!$D:$D=$C139,'SUMMARY DATA'!$B:$B=""RWS"")),"""")
  )
)"),"")</f>
      </c>
      <c r="K139" s="2"/>
      <c r="L139" s="2"/>
      <c r="M139" s="2"/>
      <c r="N139" s="2"/>
      <c r="O139" s="2"/>
      <c r="P139" s="2"/>
      <c r="Q139" s="2"/>
      <c r="R139" s="2"/>
      <c r="S139" s="2"/>
      <c r="T139" s="2"/>
      <c r="U139" s="2"/>
      <c r="V139" s="2"/>
      <c r="W139" s="2"/>
      <c r="X139" s="2"/>
      <c r="Y139" s="2"/>
      <c r="Z139" s="2"/>
      <c r="AA139" s="2"/>
      <c r="AB139" s="2"/>
    </row>
    <row r="140" spans="1:28" customHeight="true">
      <c r="A140" s="2" t="s">
        <v>210</v>
      </c>
      <c r="B140" s="15">
        <v>45957</v>
      </c>
      <c r="C140" s="2" t="s">
        <v>211</v>
      </c>
      <c r="D140" s="3">
        <v>10</v>
      </c>
      <c r="E140" s="16" t="str">
        <f>IFERROR(__xludf.DUMMYFUNCTION("IFERROR(
  TEXTJOIN(CHAR(10),TRUE,FILTER('SUMMARY DATA'!E:E,'SUMMARY DATA'!$A:$A=$A140,'SUMMARY DATA'!$C:$C=$B140,'SUMMARY DATA'!$B:$B=""RWS"")),
  IF(
    OR(
      ISNUMBER(SEARCH(""CDM CASH DEPOSIT"",$C140)),
      ISNUMBER(SEARCH(""CASH DEPOSIT"",$C14"&amp;"0)),
      COUNTIFS('SUMMARY DATA'!$D:$D,$C140,'SUMMARY DATA'!$B:$B,""RWS"")&lt;&gt;1
    ),
    """",
    IFERROR(TEXTJOIN(CHAR(10),TRUE,FILTER('SUMMARY DATA'!E:E,'SUMMARY DATA'!$D:$D=$C140,'SUMMARY DATA'!$B:$B=""RWS"")),"""")
  )
)"),"")</f>
      </c>
      <c r="F140" s="17" t="str">
        <f>IFERROR(__xludf.DUMMYFUNCTION("IFERROR(
  TEXTJOIN(CHAR(10),TRUE,FILTER('SUMMARY DATA'!F:F,'SUMMARY DATA'!$A:$A=$A140,'SUMMARY DATA'!$C:$C=$B140,'SUMMARY DATA'!$B:$B=""RWS"")),
  IF(
    OR(
      ISNUMBER(SEARCH(""CDM CASH DEPOSIT"",$C140)),
      ISNUMBER(SEARCH(""CASH DEPOSIT"",$C14"&amp;"0)),
      COUNTIFS('SUMMARY DATA'!$D:$D,$C140,'SUMMARY DATA'!$B:$B,""RWS"")&lt;&gt;1
    ),
    """",
    IFERROR(TEXTJOIN(CHAR(10),TRUE,FILTER('SUMMARY DATA'!F:F,'SUMMARY DATA'!$D:$D=$C140,'SUMMARY DATA'!$B:$B=""RWS"")),"""")
  )
)"),"")</f>
      </c>
      <c r="G140" s="17" t="str">
        <f>IFERROR(__xludf.DUMMYFUNCTION("IFERROR(
  TEXTJOIN(CHAR(10),TRUE,FILTER('SUMMARY DATA'!G:G,'SUMMARY DATA'!$A:$A=$A140,'SUMMARY DATA'!$C:$C=$B140,'SUMMARY DATA'!$B:$B=""RWS"")),
  IF(
    OR(
      ISNUMBER(SEARCH(""CDM CASH DEPOSIT"",$C140)),
      ISNUMBER(SEARCH(""CASH DEPOSIT"",$C14"&amp;"0)),
      COUNTIFS('SUMMARY DATA'!$D:$D,$C140,'SUMMARY DATA'!$B:$B,""RWS"")&lt;&gt;1
    ),
    """",
    IFERROR(TEXTJOIN(CHAR(10),TRUE,FILTER('SUMMARY DATA'!G:G,'SUMMARY DATA'!$D:$D=$C140,'SUMMARY DATA'!$B:$B=""RWS"")),"""")
  )
)"),"")</f>
      </c>
      <c r="H140" s="18" t="str">
        <f>IFERROR(__xludf.DUMMYFUNCTION("IFERROR(
  TEXTJOIN(CHAR(10),TRUE,FILTER('SUMMARY DATA'!H:H,'SUMMARY DATA'!$A:$A=$A140,'SUMMARY DATA'!$C:$C=$B140,'SUMMARY DATA'!$B:$B=""RWS"",'SUMMARY DATA'!$H:$H=$D140)),
  IF(
    OR(
      ISNUMBER(SEARCH(""CDM CASH DEPOSIT"",$C140)),
      ISNUMBER(S"&amp;"EARCH(""CASH DEPOSIT"",$C140))
    ),
    """",
    IFERROR(TEXTJOIN(CHAR(10),TRUE,FILTER('SUMMARY DATA'!H:H,'SUMMARY DATA'!$D:$D=$C140,'SUMMARY DATA'!$B:$B=""RWS"",'SUMMARY DATA'!$H:$H=$D140)),"""")
  )
)"),"")</f>
      </c>
      <c r="I140" s="18" t="str">
        <f>IFERROR(__xludf.DUMMYFUNCTION("IF(H140="""","""",
SUM(ARRAYFORMULA(VALUE(SPLIT(H140,CHAR(10)))))
)"),"")</f>
      </c>
      <c r="J140" s="17" t="str">
        <f>IFERROR(__xludf.DUMMYFUNCTION("IFERROR(
  TEXTJOIN(CHAR(10),TRUE,FILTER('SUMMARY DATA'!I:I,'SUMMARY DATA'!$A:$A=$A140,'SUMMARY DATA'!$C:$C=$B140,'SUMMARY DATA'!$B:$B=""RWS"")),
  IF(
    OR(
      ISNUMBER(SEARCH(""CDM CASH DEPOSIT"",$C140)),
      ISNUMBER(SEARCH(""CASH DEPOSIT"",$C14"&amp;"0)),
      COUNTIFS('SUMMARY DATA'!$D:$D,$C140,'SUMMARY DATA'!$B:$B,""RWS"")&lt;&gt;1
    ),
    """",
    IFERROR(TEXTJOIN(CHAR(10),TRUE,FILTER('SUMMARY DATA'!I:I,'SUMMARY DATA'!$D:$D=$C140,'SUMMARY DATA'!$B:$B=""RWS"")),"""")
  )
)"),"")</f>
      </c>
      <c r="K140" s="2"/>
      <c r="L140" s="2"/>
      <c r="M140" s="2"/>
      <c r="N140" s="2"/>
      <c r="O140" s="2"/>
      <c r="P140" s="2"/>
      <c r="Q140" s="2"/>
      <c r="R140" s="2"/>
      <c r="S140" s="2"/>
      <c r="T140" s="2"/>
      <c r="U140" s="2"/>
      <c r="V140" s="2"/>
      <c r="W140" s="2"/>
      <c r="X140" s="2"/>
      <c r="Y140" s="2"/>
      <c r="Z140" s="2"/>
      <c r="AA140" s="2"/>
      <c r="AB140" s="2"/>
    </row>
    <row r="141" spans="1:28" customHeight="true">
      <c r="A141" s="2" t="s">
        <v>212</v>
      </c>
      <c r="B141" s="15">
        <v>45957</v>
      </c>
      <c r="C141" s="2" t="s">
        <v>213</v>
      </c>
      <c r="D141" s="3">
        <v>297.2</v>
      </c>
      <c r="E141" s="16" t="str">
        <f>IFERROR(__xludf.DUMMYFUNCTION("IFERROR(
  TEXTJOIN(CHAR(10),TRUE,FILTER('SUMMARY DATA'!E:E,'SUMMARY DATA'!$A:$A=$A141,'SUMMARY DATA'!$C:$C=$B141,'SUMMARY DATA'!$B:$B=""RWS"")),
  IF(
    OR(
      ISNUMBER(SEARCH(""CDM CASH DEPOSIT"",$C141)),
      ISNUMBER(SEARCH(""CASH DEPOSIT"",$C14"&amp;"1)),
      COUNTIFS('SUMMARY DATA'!$D:$D,$C141,'SUMMARY DATA'!$B:$B,""RWS"")&lt;&gt;1
    ),
    """",
    IFERROR(TEXTJOIN(CHAR(10),TRUE,FILTER('SUMMARY DATA'!E:E,'SUMMARY DATA'!$D:$D=$C141,'SUMMARY DATA'!$B:$B=""RWS"")),"""")
  )
)"),"")</f>
      </c>
      <c r="F141" s="17" t="str">
        <f>IFERROR(__xludf.DUMMYFUNCTION("IFERROR(
  TEXTJOIN(CHAR(10),TRUE,FILTER('SUMMARY DATA'!F:F,'SUMMARY DATA'!$A:$A=$A141,'SUMMARY DATA'!$C:$C=$B141,'SUMMARY DATA'!$B:$B=""RWS"")),
  IF(
    OR(
      ISNUMBER(SEARCH(""CDM CASH DEPOSIT"",$C141)),
      ISNUMBER(SEARCH(""CASH DEPOSIT"",$C14"&amp;"1)),
      COUNTIFS('SUMMARY DATA'!$D:$D,$C141,'SUMMARY DATA'!$B:$B,""RWS"")&lt;&gt;1
    ),
    """",
    IFERROR(TEXTJOIN(CHAR(10),TRUE,FILTER('SUMMARY DATA'!F:F,'SUMMARY DATA'!$D:$D=$C141,'SUMMARY DATA'!$B:$B=""RWS"")),"""")
  )
)"),"")</f>
      </c>
      <c r="G141" s="17" t="str">
        <f>IFERROR(__xludf.DUMMYFUNCTION("IFERROR(
  TEXTJOIN(CHAR(10),TRUE,FILTER('SUMMARY DATA'!G:G,'SUMMARY DATA'!$A:$A=$A141,'SUMMARY DATA'!$C:$C=$B141,'SUMMARY DATA'!$B:$B=""RWS"")),
  IF(
    OR(
      ISNUMBER(SEARCH(""CDM CASH DEPOSIT"",$C141)),
      ISNUMBER(SEARCH(""CASH DEPOSIT"",$C14"&amp;"1)),
      COUNTIFS('SUMMARY DATA'!$D:$D,$C141,'SUMMARY DATA'!$B:$B,""RWS"")&lt;&gt;1
    ),
    """",
    IFERROR(TEXTJOIN(CHAR(10),TRUE,FILTER('SUMMARY DATA'!G:G,'SUMMARY DATA'!$D:$D=$C141,'SUMMARY DATA'!$B:$B=""RWS"")),"""")
  )
)"),"")</f>
      </c>
      <c r="H141" s="18" t="str">
        <f>IFERROR(__xludf.DUMMYFUNCTION("IFERROR(
  TEXTJOIN(CHAR(10),TRUE,FILTER('SUMMARY DATA'!H:H,'SUMMARY DATA'!$A:$A=$A141,'SUMMARY DATA'!$C:$C=$B141,'SUMMARY DATA'!$B:$B=""RWS"",'SUMMARY DATA'!$H:$H=$D141)),
  IF(
    OR(
      ISNUMBER(SEARCH(""CDM CASH DEPOSIT"",$C141)),
      ISNUMBER(S"&amp;"EARCH(""CASH DEPOSIT"",$C141))
    ),
    """",
    IFERROR(TEXTJOIN(CHAR(10),TRUE,FILTER('SUMMARY DATA'!H:H,'SUMMARY DATA'!$D:$D=$C141,'SUMMARY DATA'!$B:$B=""RWS"",'SUMMARY DATA'!$H:$H=$D141)),"""")
  )
)"),"")</f>
      </c>
      <c r="I141" s="18" t="str">
        <f>IFERROR(__xludf.DUMMYFUNCTION("IF(H141="""","""",
SUM(ARRAYFORMULA(VALUE(SPLIT(H141,CHAR(10)))))
)"),"")</f>
      </c>
      <c r="J141" s="17" t="str">
        <f>IFERROR(__xludf.DUMMYFUNCTION("IFERROR(
  TEXTJOIN(CHAR(10),TRUE,FILTER('SUMMARY DATA'!I:I,'SUMMARY DATA'!$A:$A=$A141,'SUMMARY DATA'!$C:$C=$B141,'SUMMARY DATA'!$B:$B=""RWS"")),
  IF(
    OR(
      ISNUMBER(SEARCH(""CDM CASH DEPOSIT"",$C141)),
      ISNUMBER(SEARCH(""CASH DEPOSIT"",$C14"&amp;"1)),
      COUNTIFS('SUMMARY DATA'!$D:$D,$C141,'SUMMARY DATA'!$B:$B,""RWS"")&lt;&gt;1
    ),
    """",
    IFERROR(TEXTJOIN(CHAR(10),TRUE,FILTER('SUMMARY DATA'!I:I,'SUMMARY DATA'!$D:$D=$C141,'SUMMARY DATA'!$B:$B=""RWS"")),"""")
  )
)"),"")</f>
      </c>
      <c r="K141" s="2"/>
      <c r="L141" s="2"/>
      <c r="M141" s="2"/>
      <c r="N141" s="2"/>
      <c r="O141" s="2"/>
      <c r="P141" s="2"/>
      <c r="Q141" s="2"/>
      <c r="R141" s="2"/>
      <c r="S141" s="2"/>
      <c r="T141" s="2"/>
      <c r="U141" s="2"/>
      <c r="V141" s="2"/>
      <c r="W141" s="2"/>
      <c r="X141" s="2"/>
      <c r="Y141" s="2"/>
      <c r="Z141" s="2"/>
      <c r="AA141" s="2"/>
      <c r="AB141" s="2"/>
    </row>
    <row r="142" spans="1:28" customHeight="true">
      <c r="A142" s="2" t="s">
        <v>214</v>
      </c>
      <c r="B142" s="15">
        <v>45957</v>
      </c>
      <c r="C142" s="2" t="s">
        <v>215</v>
      </c>
      <c r="D142" s="3">
        <v>245.28</v>
      </c>
      <c r="E142" s="16" t="str">
        <f>IFERROR(__xludf.DUMMYFUNCTION("IFERROR(
  TEXTJOIN(CHAR(10),TRUE,FILTER('SUMMARY DATA'!E:E,'SUMMARY DATA'!$A:$A=$A142,'SUMMARY DATA'!$C:$C=$B142,'SUMMARY DATA'!$B:$B=""RWS"")),
  IF(
    OR(
      ISNUMBER(SEARCH(""CDM CASH DEPOSIT"",$C142)),
      ISNUMBER(SEARCH(""CASH DEPOSIT"",$C14"&amp;"2)),
      COUNTIFS('SUMMARY DATA'!$D:$D,$C142,'SUMMARY DATA'!$B:$B,""RWS"")&lt;&gt;1
    ),
    """",
    IFERROR(TEXTJOIN(CHAR(10),TRUE,FILTER('SUMMARY DATA'!E:E,'SUMMARY DATA'!$D:$D=$C142,'SUMMARY DATA'!$B:$B=""RWS"")),"""")
  )
)"),"")</f>
      </c>
      <c r="F142" s="17" t="str">
        <f>IFERROR(__xludf.DUMMYFUNCTION("IFERROR(
  TEXTJOIN(CHAR(10),TRUE,FILTER('SUMMARY DATA'!F:F,'SUMMARY DATA'!$A:$A=$A142,'SUMMARY DATA'!$C:$C=$B142,'SUMMARY DATA'!$B:$B=""RWS"")),
  IF(
    OR(
      ISNUMBER(SEARCH(""CDM CASH DEPOSIT"",$C142)),
      ISNUMBER(SEARCH(""CASH DEPOSIT"",$C14"&amp;"2)),
      COUNTIFS('SUMMARY DATA'!$D:$D,$C142,'SUMMARY DATA'!$B:$B,""RWS"")&lt;&gt;1
    ),
    """",
    IFERROR(TEXTJOIN(CHAR(10),TRUE,FILTER('SUMMARY DATA'!F:F,'SUMMARY DATA'!$D:$D=$C142,'SUMMARY DATA'!$B:$B=""RWS"")),"""")
  )
)"),"")</f>
      </c>
      <c r="G142" s="17" t="str">
        <f>IFERROR(__xludf.DUMMYFUNCTION("IFERROR(
  TEXTJOIN(CHAR(10),TRUE,FILTER('SUMMARY DATA'!G:G,'SUMMARY DATA'!$A:$A=$A142,'SUMMARY DATA'!$C:$C=$B142,'SUMMARY DATA'!$B:$B=""RWS"")),
  IF(
    OR(
      ISNUMBER(SEARCH(""CDM CASH DEPOSIT"",$C142)),
      ISNUMBER(SEARCH(""CASH DEPOSIT"",$C14"&amp;"2)),
      COUNTIFS('SUMMARY DATA'!$D:$D,$C142,'SUMMARY DATA'!$B:$B,""RWS"")&lt;&gt;1
    ),
    """",
    IFERROR(TEXTJOIN(CHAR(10),TRUE,FILTER('SUMMARY DATA'!G:G,'SUMMARY DATA'!$D:$D=$C142,'SUMMARY DATA'!$B:$B=""RWS"")),"""")
  )
)"),"")</f>
      </c>
      <c r="H142" s="18" t="str">
        <f>IFERROR(__xludf.DUMMYFUNCTION("IFERROR(
  TEXTJOIN(CHAR(10),TRUE,FILTER('SUMMARY DATA'!H:H,'SUMMARY DATA'!$A:$A=$A142,'SUMMARY DATA'!$C:$C=$B142,'SUMMARY DATA'!$B:$B=""RWS"",'SUMMARY DATA'!$H:$H=$D142)),
  IF(
    OR(
      ISNUMBER(SEARCH(""CDM CASH DEPOSIT"",$C142)),
      ISNUMBER(S"&amp;"EARCH(""CASH DEPOSIT"",$C142))
    ),
    """",
    IFERROR(TEXTJOIN(CHAR(10),TRUE,FILTER('SUMMARY DATA'!H:H,'SUMMARY DATA'!$D:$D=$C142,'SUMMARY DATA'!$B:$B=""RWS"",'SUMMARY DATA'!$H:$H=$D142)),"""")
  )
)"),"")</f>
      </c>
      <c r="I142" s="18" t="str">
        <f>IFERROR(__xludf.DUMMYFUNCTION("IF(H142="""","""",
SUM(ARRAYFORMULA(VALUE(SPLIT(H142,CHAR(10)))))
)"),"")</f>
      </c>
      <c r="J142" s="17" t="str">
        <f>IFERROR(__xludf.DUMMYFUNCTION("IFERROR(
  TEXTJOIN(CHAR(10),TRUE,FILTER('SUMMARY DATA'!I:I,'SUMMARY DATA'!$A:$A=$A142,'SUMMARY DATA'!$C:$C=$B142,'SUMMARY DATA'!$B:$B=""RWS"")),
  IF(
    OR(
      ISNUMBER(SEARCH(""CDM CASH DEPOSIT"",$C142)),
      ISNUMBER(SEARCH(""CASH DEPOSIT"",$C14"&amp;"2)),
      COUNTIFS('SUMMARY DATA'!$D:$D,$C142,'SUMMARY DATA'!$B:$B,""RWS"")&lt;&gt;1
    ),
    """",
    IFERROR(TEXTJOIN(CHAR(10),TRUE,FILTER('SUMMARY DATA'!I:I,'SUMMARY DATA'!$D:$D=$C142,'SUMMARY DATA'!$B:$B=""RWS"")),"""")
  )
)"),"")</f>
      </c>
      <c r="K142" s="2"/>
      <c r="L142" s="2"/>
      <c r="M142" s="2"/>
      <c r="N142" s="2"/>
      <c r="O142" s="2"/>
      <c r="P142" s="2"/>
      <c r="Q142" s="2"/>
      <c r="R142" s="2"/>
      <c r="S142" s="2"/>
      <c r="T142" s="2"/>
      <c r="U142" s="2"/>
      <c r="V142" s="2"/>
      <c r="W142" s="2"/>
      <c r="X142" s="2"/>
      <c r="Y142" s="2"/>
      <c r="Z142" s="2"/>
      <c r="AA142" s="2"/>
      <c r="AB142" s="2"/>
    </row>
    <row r="143" spans="1:28" customHeight="true">
      <c r="A143" s="2" t="s">
        <v>214</v>
      </c>
      <c r="B143" s="15">
        <v>45957</v>
      </c>
      <c r="C143" s="2" t="s">
        <v>216</v>
      </c>
      <c r="D143" s="3">
        <v>245.28</v>
      </c>
      <c r="E143" s="16" t="s">
        <v>2404</v>
      </c>
      <c r="F143" s="17" t="s">
        <v>2418</v>
      </c>
      <c r="G143" s="17" t="s">
        <v>2393</v>
      </c>
      <c r="H143" s="18">
        <v>245.28</v>
      </c>
      <c r="I143" s="18">
        <v>245.28</v>
      </c>
      <c r="J143" s="17" t="s">
        <v>2394</v>
      </c>
      <c r="K143" s="2" t="s">
        <v>2395</v>
      </c>
      <c r="L143" s="2"/>
      <c r="M143" s="2"/>
      <c r="N143" s="2"/>
      <c r="O143" s="2"/>
      <c r="P143" s="2"/>
      <c r="Q143" s="2"/>
      <c r="R143" s="2"/>
      <c r="S143" s="2"/>
      <c r="T143" s="2"/>
      <c r="U143" s="2"/>
      <c r="V143" s="2"/>
      <c r="W143" s="2"/>
      <c r="X143" s="2"/>
      <c r="Y143" s="2"/>
      <c r="Z143" s="2"/>
      <c r="AA143" s="2"/>
      <c r="AB143" s="2"/>
    </row>
    <row r="144" spans="1:28" customHeight="true">
      <c r="A144" s="2" t="s">
        <v>217</v>
      </c>
      <c r="B144" s="15">
        <v>45957</v>
      </c>
      <c r="C144" s="2" t="s">
        <v>218</v>
      </c>
      <c r="D144" s="3">
        <v>190.72</v>
      </c>
      <c r="E144" s="16" t="str">
        <f>IFERROR(__xludf.DUMMYFUNCTION("IFERROR(
  TEXTJOIN(CHAR(10),TRUE,FILTER('SUMMARY DATA'!E:E,'SUMMARY DATA'!$A:$A=$A144,'SUMMARY DATA'!$C:$C=$B144,'SUMMARY DATA'!$B:$B=""RWS"")),
  IF(
    OR(
      ISNUMBER(SEARCH(""CDM CASH DEPOSIT"",$C144)),
      ISNUMBER(SEARCH(""CASH DEPOSIT"",$C14"&amp;"4)),
      COUNTIFS('SUMMARY DATA'!$D:$D,$C144,'SUMMARY DATA'!$B:$B,""RWS"")&lt;&gt;1
    ),
    """",
    IFERROR(TEXTJOIN(CHAR(10),TRUE,FILTER('SUMMARY DATA'!E:E,'SUMMARY DATA'!$D:$D=$C144,'SUMMARY DATA'!$B:$B=""RWS"")),"""")
  )
)"),"")</f>
      </c>
      <c r="F144" s="17" t="str">
        <f>IFERROR(__xludf.DUMMYFUNCTION("IFERROR(
  TEXTJOIN(CHAR(10),TRUE,FILTER('SUMMARY DATA'!F:F,'SUMMARY DATA'!$A:$A=$A144,'SUMMARY DATA'!$C:$C=$B144,'SUMMARY DATA'!$B:$B=""RWS"")),
  IF(
    OR(
      ISNUMBER(SEARCH(""CDM CASH DEPOSIT"",$C144)),
      ISNUMBER(SEARCH(""CASH DEPOSIT"",$C14"&amp;"4)),
      COUNTIFS('SUMMARY DATA'!$D:$D,$C144,'SUMMARY DATA'!$B:$B,""RWS"")&lt;&gt;1
    ),
    """",
    IFERROR(TEXTJOIN(CHAR(10),TRUE,FILTER('SUMMARY DATA'!F:F,'SUMMARY DATA'!$D:$D=$C144,'SUMMARY DATA'!$B:$B=""RWS"")),"""")
  )
)"),"")</f>
      </c>
      <c r="G144" s="17" t="str">
        <f>IFERROR(__xludf.DUMMYFUNCTION("IFERROR(
  TEXTJOIN(CHAR(10),TRUE,FILTER('SUMMARY DATA'!G:G,'SUMMARY DATA'!$A:$A=$A144,'SUMMARY DATA'!$C:$C=$B144,'SUMMARY DATA'!$B:$B=""RWS"")),
  IF(
    OR(
      ISNUMBER(SEARCH(""CDM CASH DEPOSIT"",$C144)),
      ISNUMBER(SEARCH(""CASH DEPOSIT"",$C14"&amp;"4)),
      COUNTIFS('SUMMARY DATA'!$D:$D,$C144,'SUMMARY DATA'!$B:$B,""RWS"")&lt;&gt;1
    ),
    """",
    IFERROR(TEXTJOIN(CHAR(10),TRUE,FILTER('SUMMARY DATA'!G:G,'SUMMARY DATA'!$D:$D=$C144,'SUMMARY DATA'!$B:$B=""RWS"")),"""")
  )
)"),"")</f>
      </c>
      <c r="H144" s="18" t="str">
        <f>IFERROR(__xludf.DUMMYFUNCTION("IFERROR(
  TEXTJOIN(CHAR(10),TRUE,FILTER('SUMMARY DATA'!H:H,'SUMMARY DATA'!$A:$A=$A144,'SUMMARY DATA'!$C:$C=$B144,'SUMMARY DATA'!$B:$B=""RWS"",'SUMMARY DATA'!$H:$H=$D144)),
  IF(
    OR(
      ISNUMBER(SEARCH(""CDM CASH DEPOSIT"",$C144)),
      ISNUMBER(S"&amp;"EARCH(""CASH DEPOSIT"",$C144))
    ),
    """",
    IFERROR(TEXTJOIN(CHAR(10),TRUE,FILTER('SUMMARY DATA'!H:H,'SUMMARY DATA'!$D:$D=$C144,'SUMMARY DATA'!$B:$B=""RWS"",'SUMMARY DATA'!$H:$H=$D144)),"""")
  )
)"),"")</f>
      </c>
      <c r="I144" s="18" t="str">
        <f>IFERROR(__xludf.DUMMYFUNCTION("IF(H144="""","""",
SUM(ARRAYFORMULA(VALUE(SPLIT(H144,CHAR(10)))))
)"),"")</f>
      </c>
      <c r="J144" s="17" t="str">
        <f>IFERROR(__xludf.DUMMYFUNCTION("IFERROR(
  TEXTJOIN(CHAR(10),TRUE,FILTER('SUMMARY DATA'!I:I,'SUMMARY DATA'!$A:$A=$A144,'SUMMARY DATA'!$C:$C=$B144,'SUMMARY DATA'!$B:$B=""RWS"")),
  IF(
    OR(
      ISNUMBER(SEARCH(""CDM CASH DEPOSIT"",$C144)),
      ISNUMBER(SEARCH(""CASH DEPOSIT"",$C14"&amp;"4)),
      COUNTIFS('SUMMARY DATA'!$D:$D,$C144,'SUMMARY DATA'!$B:$B,""RWS"")&lt;&gt;1
    ),
    """",
    IFERROR(TEXTJOIN(CHAR(10),TRUE,FILTER('SUMMARY DATA'!I:I,'SUMMARY DATA'!$D:$D=$C144,'SUMMARY DATA'!$B:$B=""RWS"")),"""")
  )
)"),"")</f>
      </c>
      <c r="K144" s="2"/>
      <c r="L144" s="2"/>
      <c r="M144" s="2"/>
      <c r="N144" s="2"/>
      <c r="O144" s="2"/>
      <c r="P144" s="2"/>
      <c r="Q144" s="2"/>
      <c r="R144" s="2"/>
      <c r="S144" s="2"/>
      <c r="T144" s="2"/>
      <c r="U144" s="2"/>
      <c r="V144" s="2"/>
      <c r="W144" s="2"/>
      <c r="X144" s="2"/>
      <c r="Y144" s="2"/>
      <c r="Z144" s="2"/>
      <c r="AA144" s="2"/>
      <c r="AB144" s="2"/>
    </row>
    <row r="145" spans="1:28" customHeight="true">
      <c r="A145" s="2"/>
      <c r="B145" s="15">
        <v>45957</v>
      </c>
      <c r="C145" s="2" t="s">
        <v>219</v>
      </c>
      <c r="D145" s="3">
        <v>354.52</v>
      </c>
      <c r="E145" s="16" t="str">
        <f>IFERROR(__xludf.DUMMYFUNCTION("IFERROR(
  TEXTJOIN(CHAR(10),TRUE,FILTER('SUMMARY DATA'!E:E,'SUMMARY DATA'!$A:$A=$A145,'SUMMARY DATA'!$C:$C=$B145,'SUMMARY DATA'!$B:$B=""RWS"")),
  IF(
    OR(
      ISNUMBER(SEARCH(""CDM CASH DEPOSIT"",$C145)),
      ISNUMBER(SEARCH(""CASH DEPOSIT"",$C14"&amp;"5)),
      COUNTIFS('SUMMARY DATA'!$D:$D,$C145,'SUMMARY DATA'!$B:$B,""RWS"")&lt;&gt;1
    ),
    """",
    IFERROR(TEXTJOIN(CHAR(10),TRUE,FILTER('SUMMARY DATA'!E:E,'SUMMARY DATA'!$D:$D=$C145,'SUMMARY DATA'!$B:$B=""RWS"")),"""")
  )
)"),"")</f>
      </c>
      <c r="F145" s="17" t="str">
        <f>IFERROR(__xludf.DUMMYFUNCTION("IFERROR(
  TEXTJOIN(CHAR(10),TRUE,FILTER('SUMMARY DATA'!F:F,'SUMMARY DATA'!$A:$A=$A145,'SUMMARY DATA'!$C:$C=$B145,'SUMMARY DATA'!$B:$B=""RWS"")),
  IF(
    OR(
      ISNUMBER(SEARCH(""CDM CASH DEPOSIT"",$C145)),
      ISNUMBER(SEARCH(""CASH DEPOSIT"",$C14"&amp;"5)),
      COUNTIFS('SUMMARY DATA'!$D:$D,$C145,'SUMMARY DATA'!$B:$B,""RWS"")&lt;&gt;1
    ),
    """",
    IFERROR(TEXTJOIN(CHAR(10),TRUE,FILTER('SUMMARY DATA'!F:F,'SUMMARY DATA'!$D:$D=$C145,'SUMMARY DATA'!$B:$B=""RWS"")),"""")
  )
)"),"")</f>
      </c>
      <c r="G145" s="17" t="str">
        <f>IFERROR(__xludf.DUMMYFUNCTION("IFERROR(
  TEXTJOIN(CHAR(10),TRUE,FILTER('SUMMARY DATA'!G:G,'SUMMARY DATA'!$A:$A=$A145,'SUMMARY DATA'!$C:$C=$B145,'SUMMARY DATA'!$B:$B=""RWS"")),
  IF(
    OR(
      ISNUMBER(SEARCH(""CDM CASH DEPOSIT"",$C145)),
      ISNUMBER(SEARCH(""CASH DEPOSIT"",$C14"&amp;"5)),
      COUNTIFS('SUMMARY DATA'!$D:$D,$C145,'SUMMARY DATA'!$B:$B,""RWS"")&lt;&gt;1
    ),
    """",
    IFERROR(TEXTJOIN(CHAR(10),TRUE,FILTER('SUMMARY DATA'!G:G,'SUMMARY DATA'!$D:$D=$C145,'SUMMARY DATA'!$B:$B=""RWS"")),"""")
  )
)"),"")</f>
      </c>
      <c r="H145" s="18" t="str">
        <f>IFERROR(__xludf.DUMMYFUNCTION("IFERROR(
  TEXTJOIN(CHAR(10),TRUE,FILTER('SUMMARY DATA'!H:H,'SUMMARY DATA'!$A:$A=$A145,'SUMMARY DATA'!$C:$C=$B145,'SUMMARY DATA'!$B:$B=""RWS"",'SUMMARY DATA'!$H:$H=$D145)),
  IF(
    OR(
      ISNUMBER(SEARCH(""CDM CASH DEPOSIT"",$C145)),
      ISNUMBER(S"&amp;"EARCH(""CASH DEPOSIT"",$C145))
    ),
    """",
    IFERROR(TEXTJOIN(CHAR(10),TRUE,FILTER('SUMMARY DATA'!H:H,'SUMMARY DATA'!$D:$D=$C145,'SUMMARY DATA'!$B:$B=""RWS"",'SUMMARY DATA'!$H:$H=$D145)),"""")
  )
)"),"")</f>
      </c>
      <c r="I145" s="18" t="str">
        <f>IFERROR(__xludf.DUMMYFUNCTION("IF(H145="""","""",
SUM(ARRAYFORMULA(VALUE(SPLIT(H145,CHAR(10)))))
)"),"")</f>
      </c>
      <c r="J145" s="17" t="str">
        <f>IFERROR(__xludf.DUMMYFUNCTION("IFERROR(
  TEXTJOIN(CHAR(10),TRUE,FILTER('SUMMARY DATA'!I:I,'SUMMARY DATA'!$A:$A=$A145,'SUMMARY DATA'!$C:$C=$B145,'SUMMARY DATA'!$B:$B=""RWS"")),
  IF(
    OR(
      ISNUMBER(SEARCH(""CDM CASH DEPOSIT"",$C145)),
      ISNUMBER(SEARCH(""CASH DEPOSIT"",$C14"&amp;"5)),
      COUNTIFS('SUMMARY DATA'!$D:$D,$C145,'SUMMARY DATA'!$B:$B,""RWS"")&lt;&gt;1
    ),
    """",
    IFERROR(TEXTJOIN(CHAR(10),TRUE,FILTER('SUMMARY DATA'!I:I,'SUMMARY DATA'!$D:$D=$C145,'SUMMARY DATA'!$B:$B=""RWS"")),"""")
  )
)"),"")</f>
      </c>
      <c r="K145" s="2"/>
      <c r="L145" s="2"/>
      <c r="M145" s="2"/>
      <c r="N145" s="2"/>
      <c r="O145" s="2"/>
      <c r="P145" s="2"/>
      <c r="Q145" s="2"/>
      <c r="R145" s="2"/>
      <c r="S145" s="2"/>
      <c r="T145" s="2"/>
      <c r="U145" s="2"/>
      <c r="V145" s="2"/>
      <c r="W145" s="2"/>
      <c r="X145" s="2"/>
      <c r="Y145" s="2"/>
      <c r="Z145" s="2"/>
      <c r="AA145" s="2"/>
      <c r="AB145" s="2"/>
    </row>
    <row r="146" spans="1:28" customHeight="true">
      <c r="A146" s="2" t="s">
        <v>220</v>
      </c>
      <c r="B146" s="15">
        <v>45957</v>
      </c>
      <c r="C146" s="2" t="s">
        <v>221</v>
      </c>
      <c r="D146" s="3">
        <v>28.48</v>
      </c>
      <c r="E146" s="16" t="str">
        <f>IFERROR(__xludf.DUMMYFUNCTION("IFERROR(
  TEXTJOIN(CHAR(10),TRUE,FILTER('SUMMARY DATA'!E:E,'SUMMARY DATA'!$A:$A=$A146,'SUMMARY DATA'!$C:$C=$B146,'SUMMARY DATA'!$B:$B=""RWS"")),
  IF(
    OR(
      ISNUMBER(SEARCH(""CDM CASH DEPOSIT"",$C146)),
      ISNUMBER(SEARCH(""CASH DEPOSIT"",$C14"&amp;"6)),
      COUNTIFS('SUMMARY DATA'!$D:$D,$C146,'SUMMARY DATA'!$B:$B,""RWS"")&lt;&gt;1
    ),
    """",
    IFERROR(TEXTJOIN(CHAR(10),TRUE,FILTER('SUMMARY DATA'!E:E,'SUMMARY DATA'!$D:$D=$C146,'SUMMARY DATA'!$B:$B=""RWS"")),"""")
  )
)"),"")</f>
      </c>
      <c r="F146" s="17" t="str">
        <f>IFERROR(__xludf.DUMMYFUNCTION("IFERROR(
  TEXTJOIN(CHAR(10),TRUE,FILTER('SUMMARY DATA'!F:F,'SUMMARY DATA'!$A:$A=$A146,'SUMMARY DATA'!$C:$C=$B146,'SUMMARY DATA'!$B:$B=""RWS"")),
  IF(
    OR(
      ISNUMBER(SEARCH(""CDM CASH DEPOSIT"",$C146)),
      ISNUMBER(SEARCH(""CASH DEPOSIT"",$C14"&amp;"6)),
      COUNTIFS('SUMMARY DATA'!$D:$D,$C146,'SUMMARY DATA'!$B:$B,""RWS"")&lt;&gt;1
    ),
    """",
    IFERROR(TEXTJOIN(CHAR(10),TRUE,FILTER('SUMMARY DATA'!F:F,'SUMMARY DATA'!$D:$D=$C146,'SUMMARY DATA'!$B:$B=""RWS"")),"""")
  )
)"),"")</f>
      </c>
      <c r="G146" s="17" t="str">
        <f>IFERROR(__xludf.DUMMYFUNCTION("IFERROR(
  TEXTJOIN(CHAR(10),TRUE,FILTER('SUMMARY DATA'!G:G,'SUMMARY DATA'!$A:$A=$A146,'SUMMARY DATA'!$C:$C=$B146,'SUMMARY DATA'!$B:$B=""RWS"")),
  IF(
    OR(
      ISNUMBER(SEARCH(""CDM CASH DEPOSIT"",$C146)),
      ISNUMBER(SEARCH(""CASH DEPOSIT"",$C14"&amp;"6)),
      COUNTIFS('SUMMARY DATA'!$D:$D,$C146,'SUMMARY DATA'!$B:$B,""RWS"")&lt;&gt;1
    ),
    """",
    IFERROR(TEXTJOIN(CHAR(10),TRUE,FILTER('SUMMARY DATA'!G:G,'SUMMARY DATA'!$D:$D=$C146,'SUMMARY DATA'!$B:$B=""RWS"")),"""")
  )
)"),"")</f>
      </c>
      <c r="H146" s="18" t="str">
        <f>IFERROR(__xludf.DUMMYFUNCTION("IFERROR(
  TEXTJOIN(CHAR(10),TRUE,FILTER('SUMMARY DATA'!H:H,'SUMMARY DATA'!$A:$A=$A146,'SUMMARY DATA'!$C:$C=$B146,'SUMMARY DATA'!$B:$B=""RWS"",'SUMMARY DATA'!$H:$H=$D146)),
  IF(
    OR(
      ISNUMBER(SEARCH(""CDM CASH DEPOSIT"",$C146)),
      ISNUMBER(S"&amp;"EARCH(""CASH DEPOSIT"",$C146))
    ),
    """",
    IFERROR(TEXTJOIN(CHAR(10),TRUE,FILTER('SUMMARY DATA'!H:H,'SUMMARY DATA'!$D:$D=$C146,'SUMMARY DATA'!$B:$B=""RWS"",'SUMMARY DATA'!$H:$H=$D146)),"""")
  )
)"),"")</f>
      </c>
      <c r="I146" s="18" t="str">
        <f>IFERROR(__xludf.DUMMYFUNCTION("IF(H146="""","""",
SUM(ARRAYFORMULA(VALUE(SPLIT(H146,CHAR(10)))))
)"),"")</f>
      </c>
      <c r="J146" s="17" t="str">
        <f>IFERROR(__xludf.DUMMYFUNCTION("IFERROR(
  TEXTJOIN(CHAR(10),TRUE,FILTER('SUMMARY DATA'!I:I,'SUMMARY DATA'!$A:$A=$A146,'SUMMARY DATA'!$C:$C=$B146,'SUMMARY DATA'!$B:$B=""RWS"")),
  IF(
    OR(
      ISNUMBER(SEARCH(""CDM CASH DEPOSIT"",$C146)),
      ISNUMBER(SEARCH(""CASH DEPOSIT"",$C14"&amp;"6)),
      COUNTIFS('SUMMARY DATA'!$D:$D,$C146,'SUMMARY DATA'!$B:$B,""RWS"")&lt;&gt;1
    ),
    """",
    IFERROR(TEXTJOIN(CHAR(10),TRUE,FILTER('SUMMARY DATA'!I:I,'SUMMARY DATA'!$D:$D=$C146,'SUMMARY DATA'!$B:$B=""RWS"")),"""")
  )
)"),"")</f>
      </c>
      <c r="K146" s="2"/>
      <c r="L146" s="2"/>
      <c r="M146" s="2"/>
      <c r="N146" s="2"/>
      <c r="O146" s="2"/>
      <c r="P146" s="2"/>
      <c r="Q146" s="2"/>
      <c r="R146" s="2"/>
      <c r="S146" s="2"/>
      <c r="T146" s="2"/>
      <c r="U146" s="2"/>
      <c r="V146" s="2"/>
      <c r="W146" s="2"/>
      <c r="X146" s="2"/>
      <c r="Y146" s="2"/>
      <c r="Z146" s="2"/>
      <c r="AA146" s="2"/>
      <c r="AB146" s="2"/>
    </row>
    <row r="147" spans="1:28" customHeight="true">
      <c r="A147" s="2" t="s">
        <v>222</v>
      </c>
      <c r="B147" s="15">
        <v>45957</v>
      </c>
      <c r="C147" s="2" t="s">
        <v>223</v>
      </c>
      <c r="D147" s="3">
        <v>164.23</v>
      </c>
      <c r="E147" s="16" t="str">
        <f>IFERROR(__xludf.DUMMYFUNCTION("IFERROR(
  TEXTJOIN(CHAR(10),TRUE,FILTER('SUMMARY DATA'!E:E,'SUMMARY DATA'!$A:$A=$A147,'SUMMARY DATA'!$C:$C=$B147,'SUMMARY DATA'!$B:$B=""RWS"")),
  IF(
    OR(
      ISNUMBER(SEARCH(""CDM CASH DEPOSIT"",$C147)),
      ISNUMBER(SEARCH(""CASH DEPOSIT"",$C14"&amp;"7)),
      COUNTIFS('SUMMARY DATA'!$D:$D,$C147,'SUMMARY DATA'!$B:$B,""RWS"")&lt;&gt;1
    ),
    """",
    IFERROR(TEXTJOIN(CHAR(10),TRUE,FILTER('SUMMARY DATA'!E:E,'SUMMARY DATA'!$D:$D=$C147,'SUMMARY DATA'!$B:$B=""RWS"")),"""")
  )
)"),"")</f>
      </c>
      <c r="F147" s="17" t="str">
        <f>IFERROR(__xludf.DUMMYFUNCTION("IFERROR(
  TEXTJOIN(CHAR(10),TRUE,FILTER('SUMMARY DATA'!F:F,'SUMMARY DATA'!$A:$A=$A147,'SUMMARY DATA'!$C:$C=$B147,'SUMMARY DATA'!$B:$B=""RWS"")),
  IF(
    OR(
      ISNUMBER(SEARCH(""CDM CASH DEPOSIT"",$C147)),
      ISNUMBER(SEARCH(""CASH DEPOSIT"",$C14"&amp;"7)),
      COUNTIFS('SUMMARY DATA'!$D:$D,$C147,'SUMMARY DATA'!$B:$B,""RWS"")&lt;&gt;1
    ),
    """",
    IFERROR(TEXTJOIN(CHAR(10),TRUE,FILTER('SUMMARY DATA'!F:F,'SUMMARY DATA'!$D:$D=$C147,'SUMMARY DATA'!$B:$B=""RWS"")),"""")
  )
)"),"")</f>
      </c>
      <c r="G147" s="17" t="str">
        <f>IFERROR(__xludf.DUMMYFUNCTION("IFERROR(
  TEXTJOIN(CHAR(10),TRUE,FILTER('SUMMARY DATA'!G:G,'SUMMARY DATA'!$A:$A=$A147,'SUMMARY DATA'!$C:$C=$B147,'SUMMARY DATA'!$B:$B=""RWS"")),
  IF(
    OR(
      ISNUMBER(SEARCH(""CDM CASH DEPOSIT"",$C147)),
      ISNUMBER(SEARCH(""CASH DEPOSIT"",$C14"&amp;"7)),
      COUNTIFS('SUMMARY DATA'!$D:$D,$C147,'SUMMARY DATA'!$B:$B,""RWS"")&lt;&gt;1
    ),
    """",
    IFERROR(TEXTJOIN(CHAR(10),TRUE,FILTER('SUMMARY DATA'!G:G,'SUMMARY DATA'!$D:$D=$C147,'SUMMARY DATA'!$B:$B=""RWS"")),"""")
  )
)"),"")</f>
      </c>
      <c r="H147" s="18" t="str">
        <f>IFERROR(__xludf.DUMMYFUNCTION("IFERROR(
  TEXTJOIN(CHAR(10),TRUE,FILTER('SUMMARY DATA'!H:H,'SUMMARY DATA'!$A:$A=$A147,'SUMMARY DATA'!$C:$C=$B147,'SUMMARY DATA'!$B:$B=""RWS"",'SUMMARY DATA'!$H:$H=$D147)),
  IF(
    OR(
      ISNUMBER(SEARCH(""CDM CASH DEPOSIT"",$C147)),
      ISNUMBER(S"&amp;"EARCH(""CASH DEPOSIT"",$C147))
    ),
    """",
    IFERROR(TEXTJOIN(CHAR(10),TRUE,FILTER('SUMMARY DATA'!H:H,'SUMMARY DATA'!$D:$D=$C147,'SUMMARY DATA'!$B:$B=""RWS"",'SUMMARY DATA'!$H:$H=$D147)),"""")
  )
)"),"")</f>
      </c>
      <c r="I147" s="18" t="str">
        <f>IFERROR(__xludf.DUMMYFUNCTION("IF(H147="""","""",
SUM(ARRAYFORMULA(VALUE(SPLIT(H147,CHAR(10)))))
)"),"")</f>
      </c>
      <c r="J147" s="17" t="str">
        <f>IFERROR(__xludf.DUMMYFUNCTION("IFERROR(
  TEXTJOIN(CHAR(10),TRUE,FILTER('SUMMARY DATA'!I:I,'SUMMARY DATA'!$A:$A=$A147,'SUMMARY DATA'!$C:$C=$B147,'SUMMARY DATA'!$B:$B=""RWS"")),
  IF(
    OR(
      ISNUMBER(SEARCH(""CDM CASH DEPOSIT"",$C147)),
      ISNUMBER(SEARCH(""CASH DEPOSIT"",$C14"&amp;"7)),
      COUNTIFS('SUMMARY DATA'!$D:$D,$C147,'SUMMARY DATA'!$B:$B,""RWS"")&lt;&gt;1
    ),
    """",
    IFERROR(TEXTJOIN(CHAR(10),TRUE,FILTER('SUMMARY DATA'!I:I,'SUMMARY DATA'!$D:$D=$C147,'SUMMARY DATA'!$B:$B=""RWS"")),"""")
  )
)"),"")</f>
      </c>
      <c r="K147" s="2"/>
      <c r="L147" s="2"/>
      <c r="M147" s="2"/>
      <c r="N147" s="2"/>
      <c r="O147" s="2"/>
      <c r="P147" s="2"/>
      <c r="Q147" s="2"/>
      <c r="R147" s="2"/>
      <c r="S147" s="2"/>
      <c r="T147" s="2"/>
      <c r="U147" s="2"/>
      <c r="V147" s="2"/>
      <c r="W147" s="2"/>
      <c r="X147" s="2"/>
      <c r="Y147" s="2"/>
      <c r="Z147" s="2"/>
      <c r="AA147" s="2"/>
      <c r="AB147" s="2"/>
    </row>
    <row r="148" spans="1:28" customHeight="true">
      <c r="A148" s="2" t="s">
        <v>224</v>
      </c>
      <c r="B148" s="15">
        <v>45957</v>
      </c>
      <c r="C148" s="2" t="s">
        <v>225</v>
      </c>
      <c r="D148" s="3">
        <v>207.43</v>
      </c>
      <c r="E148" s="16" t="str">
        <f>IFERROR(__xludf.DUMMYFUNCTION("IFERROR(
  TEXTJOIN(CHAR(10),TRUE,FILTER('SUMMARY DATA'!E:E,'SUMMARY DATA'!$A:$A=$A148,'SUMMARY DATA'!$C:$C=$B148,'SUMMARY DATA'!$B:$B=""RWS"")),
  IF(
    OR(
      ISNUMBER(SEARCH(""CDM CASH DEPOSIT"",$C148)),
      ISNUMBER(SEARCH(""CASH DEPOSIT"",$C14"&amp;"8)),
      COUNTIFS('SUMMARY DATA'!$D:$D,$C148,'SUMMARY DATA'!$B:$B,""RWS"")&lt;&gt;1
    ),
    """",
    IFERROR(TEXTJOIN(CHAR(10),TRUE,FILTER('SUMMARY DATA'!E:E,'SUMMARY DATA'!$D:$D=$C148,'SUMMARY DATA'!$B:$B=""RWS"")),"""")
  )
)"),"")</f>
      </c>
      <c r="F148" s="17" t="str">
        <f>IFERROR(__xludf.DUMMYFUNCTION("IFERROR(
  TEXTJOIN(CHAR(10),TRUE,FILTER('SUMMARY DATA'!F:F,'SUMMARY DATA'!$A:$A=$A148,'SUMMARY DATA'!$C:$C=$B148,'SUMMARY DATA'!$B:$B=""RWS"")),
  IF(
    OR(
      ISNUMBER(SEARCH(""CDM CASH DEPOSIT"",$C148)),
      ISNUMBER(SEARCH(""CASH DEPOSIT"",$C14"&amp;"8)),
      COUNTIFS('SUMMARY DATA'!$D:$D,$C148,'SUMMARY DATA'!$B:$B,""RWS"")&lt;&gt;1
    ),
    """",
    IFERROR(TEXTJOIN(CHAR(10),TRUE,FILTER('SUMMARY DATA'!F:F,'SUMMARY DATA'!$D:$D=$C148,'SUMMARY DATA'!$B:$B=""RWS"")),"""")
  )
)"),"")</f>
      </c>
      <c r="G148" s="17" t="str">
        <f>IFERROR(__xludf.DUMMYFUNCTION("IFERROR(
  TEXTJOIN(CHAR(10),TRUE,FILTER('SUMMARY DATA'!G:G,'SUMMARY DATA'!$A:$A=$A148,'SUMMARY DATA'!$C:$C=$B148,'SUMMARY DATA'!$B:$B=""RWS"")),
  IF(
    OR(
      ISNUMBER(SEARCH(""CDM CASH DEPOSIT"",$C148)),
      ISNUMBER(SEARCH(""CASH DEPOSIT"",$C14"&amp;"8)),
      COUNTIFS('SUMMARY DATA'!$D:$D,$C148,'SUMMARY DATA'!$B:$B,""RWS"")&lt;&gt;1
    ),
    """",
    IFERROR(TEXTJOIN(CHAR(10),TRUE,FILTER('SUMMARY DATA'!G:G,'SUMMARY DATA'!$D:$D=$C148,'SUMMARY DATA'!$B:$B=""RWS"")),"""")
  )
)"),"")</f>
      </c>
      <c r="H148" s="18" t="str">
        <f>IFERROR(__xludf.DUMMYFUNCTION("IFERROR(
  TEXTJOIN(CHAR(10),TRUE,FILTER('SUMMARY DATA'!H:H,'SUMMARY DATA'!$A:$A=$A148,'SUMMARY DATA'!$C:$C=$B148,'SUMMARY DATA'!$B:$B=""RWS"",'SUMMARY DATA'!$H:$H=$D148)),
  IF(
    OR(
      ISNUMBER(SEARCH(""CDM CASH DEPOSIT"",$C148)),
      ISNUMBER(S"&amp;"EARCH(""CASH DEPOSIT"",$C148))
    ),
    """",
    IFERROR(TEXTJOIN(CHAR(10),TRUE,FILTER('SUMMARY DATA'!H:H,'SUMMARY DATA'!$D:$D=$C148,'SUMMARY DATA'!$B:$B=""RWS"",'SUMMARY DATA'!$H:$H=$D148)),"""")
  )
)"),"")</f>
      </c>
      <c r="I148" s="18" t="str">
        <f>IFERROR(__xludf.DUMMYFUNCTION("IF(H148="""","""",
SUM(ARRAYFORMULA(VALUE(SPLIT(H148,CHAR(10)))))
)"),"")</f>
      </c>
      <c r="J148" s="17" t="str">
        <f>IFERROR(__xludf.DUMMYFUNCTION("IFERROR(
  TEXTJOIN(CHAR(10),TRUE,FILTER('SUMMARY DATA'!I:I,'SUMMARY DATA'!$A:$A=$A148,'SUMMARY DATA'!$C:$C=$B148,'SUMMARY DATA'!$B:$B=""RWS"")),
  IF(
    OR(
      ISNUMBER(SEARCH(""CDM CASH DEPOSIT"",$C148)),
      ISNUMBER(SEARCH(""CASH DEPOSIT"",$C14"&amp;"8)),
      COUNTIFS('SUMMARY DATA'!$D:$D,$C148,'SUMMARY DATA'!$B:$B,""RWS"")&lt;&gt;1
    ),
    """",
    IFERROR(TEXTJOIN(CHAR(10),TRUE,FILTER('SUMMARY DATA'!I:I,'SUMMARY DATA'!$D:$D=$C148,'SUMMARY DATA'!$B:$B=""RWS"")),"""")
  )
)"),"")</f>
      </c>
      <c r="K148" s="2"/>
      <c r="L148" s="2"/>
      <c r="M148" s="2"/>
      <c r="N148" s="2"/>
      <c r="O148" s="2"/>
      <c r="P148" s="2"/>
      <c r="Q148" s="2"/>
      <c r="R148" s="2"/>
      <c r="S148" s="2"/>
      <c r="T148" s="2"/>
      <c r="U148" s="2"/>
      <c r="V148" s="2"/>
      <c r="W148" s="2"/>
      <c r="X148" s="2"/>
      <c r="Y148" s="2"/>
      <c r="Z148" s="2"/>
      <c r="AA148" s="2"/>
      <c r="AB148" s="2"/>
    </row>
    <row r="149" spans="1:28" customHeight="true">
      <c r="A149" s="2" t="s">
        <v>226</v>
      </c>
      <c r="B149" s="15">
        <v>45957</v>
      </c>
      <c r="C149" s="2" t="s">
        <v>227</v>
      </c>
      <c r="D149" s="3">
        <v>226</v>
      </c>
      <c r="E149" s="16" t="str">
        <f>IFERROR(__xludf.DUMMYFUNCTION("IFERROR(
  TEXTJOIN(CHAR(10),TRUE,FILTER('SUMMARY DATA'!E:E,'SUMMARY DATA'!$A:$A=$A149,'SUMMARY DATA'!$C:$C=$B149,'SUMMARY DATA'!$B:$B=""RWS"")),
  IF(
    OR(
      ISNUMBER(SEARCH(""CDM CASH DEPOSIT"",$C149)),
      ISNUMBER(SEARCH(""CASH DEPOSIT"",$C14"&amp;"9)),
      COUNTIFS('SUMMARY DATA'!$D:$D,$C149,'SUMMARY DATA'!$B:$B,""RWS"")&lt;&gt;1
    ),
    """",
    IFERROR(TEXTJOIN(CHAR(10),TRUE,FILTER('SUMMARY DATA'!E:E,'SUMMARY DATA'!$D:$D=$C149,'SUMMARY DATA'!$B:$B=""RWS"")),"""")
  )
)"),"")</f>
      </c>
      <c r="F149" s="17" t="str">
        <f>IFERROR(__xludf.DUMMYFUNCTION("IFERROR(
  TEXTJOIN(CHAR(10),TRUE,FILTER('SUMMARY DATA'!F:F,'SUMMARY DATA'!$A:$A=$A149,'SUMMARY DATA'!$C:$C=$B149,'SUMMARY DATA'!$B:$B=""RWS"")),
  IF(
    OR(
      ISNUMBER(SEARCH(""CDM CASH DEPOSIT"",$C149)),
      ISNUMBER(SEARCH(""CASH DEPOSIT"",$C14"&amp;"9)),
      COUNTIFS('SUMMARY DATA'!$D:$D,$C149,'SUMMARY DATA'!$B:$B,""RWS"")&lt;&gt;1
    ),
    """",
    IFERROR(TEXTJOIN(CHAR(10),TRUE,FILTER('SUMMARY DATA'!F:F,'SUMMARY DATA'!$D:$D=$C149,'SUMMARY DATA'!$B:$B=""RWS"")),"""")
  )
)"),"")</f>
      </c>
      <c r="G149" s="17" t="str">
        <f>IFERROR(__xludf.DUMMYFUNCTION("IFERROR(
  TEXTJOIN(CHAR(10),TRUE,FILTER('SUMMARY DATA'!G:G,'SUMMARY DATA'!$A:$A=$A149,'SUMMARY DATA'!$C:$C=$B149,'SUMMARY DATA'!$B:$B=""RWS"")),
  IF(
    OR(
      ISNUMBER(SEARCH(""CDM CASH DEPOSIT"",$C149)),
      ISNUMBER(SEARCH(""CASH DEPOSIT"",$C14"&amp;"9)),
      COUNTIFS('SUMMARY DATA'!$D:$D,$C149,'SUMMARY DATA'!$B:$B,""RWS"")&lt;&gt;1
    ),
    """",
    IFERROR(TEXTJOIN(CHAR(10),TRUE,FILTER('SUMMARY DATA'!G:G,'SUMMARY DATA'!$D:$D=$C149,'SUMMARY DATA'!$B:$B=""RWS"")),"""")
  )
)"),"")</f>
      </c>
      <c r="H149" s="18" t="str">
        <f>IFERROR(__xludf.DUMMYFUNCTION("IFERROR(
  TEXTJOIN(CHAR(10),TRUE,FILTER('SUMMARY DATA'!H:H,'SUMMARY DATA'!$A:$A=$A149,'SUMMARY DATA'!$C:$C=$B149,'SUMMARY DATA'!$B:$B=""RWS"",'SUMMARY DATA'!$H:$H=$D149)),
  IF(
    OR(
      ISNUMBER(SEARCH(""CDM CASH DEPOSIT"",$C149)),
      ISNUMBER(S"&amp;"EARCH(""CASH DEPOSIT"",$C149))
    ),
    """",
    IFERROR(TEXTJOIN(CHAR(10),TRUE,FILTER('SUMMARY DATA'!H:H,'SUMMARY DATA'!$D:$D=$C149,'SUMMARY DATA'!$B:$B=""RWS"",'SUMMARY DATA'!$H:$H=$D149)),"""")
  )
)"),"")</f>
      </c>
      <c r="I149" s="18" t="str">
        <f>IFERROR(__xludf.DUMMYFUNCTION("IF(H149="""","""",
SUM(ARRAYFORMULA(VALUE(SPLIT(H149,CHAR(10)))))
)"),"")</f>
      </c>
      <c r="J149" s="17" t="str">
        <f>IFERROR(__xludf.DUMMYFUNCTION("IFERROR(
  TEXTJOIN(CHAR(10),TRUE,FILTER('SUMMARY DATA'!I:I,'SUMMARY DATA'!$A:$A=$A149,'SUMMARY DATA'!$C:$C=$B149,'SUMMARY DATA'!$B:$B=""RWS"")),
  IF(
    OR(
      ISNUMBER(SEARCH(""CDM CASH DEPOSIT"",$C149)),
      ISNUMBER(SEARCH(""CASH DEPOSIT"",$C14"&amp;"9)),
      COUNTIFS('SUMMARY DATA'!$D:$D,$C149,'SUMMARY DATA'!$B:$B,""RWS"")&lt;&gt;1
    ),
    """",
    IFERROR(TEXTJOIN(CHAR(10),TRUE,FILTER('SUMMARY DATA'!I:I,'SUMMARY DATA'!$D:$D=$C149,'SUMMARY DATA'!$B:$B=""RWS"")),"""")
  )
)"),"")</f>
      </c>
      <c r="K149" s="2"/>
      <c r="L149" s="2"/>
      <c r="M149" s="2"/>
      <c r="N149" s="2"/>
      <c r="O149" s="2"/>
      <c r="P149" s="2"/>
      <c r="Q149" s="2"/>
      <c r="R149" s="2"/>
      <c r="S149" s="2"/>
      <c r="T149" s="2"/>
      <c r="U149" s="2"/>
      <c r="V149" s="2"/>
      <c r="W149" s="2"/>
      <c r="X149" s="2"/>
      <c r="Y149" s="2"/>
      <c r="Z149" s="2"/>
      <c r="AA149" s="2"/>
      <c r="AB149" s="2"/>
    </row>
    <row r="150" spans="1:28" customHeight="true">
      <c r="A150" s="2" t="s">
        <v>228</v>
      </c>
      <c r="B150" s="15">
        <v>45957</v>
      </c>
      <c r="C150" s="2" t="s">
        <v>229</v>
      </c>
      <c r="D150" s="3">
        <v>53.1</v>
      </c>
      <c r="E150" s="16" t="str">
        <f>IFERROR(__xludf.DUMMYFUNCTION("IFERROR(
  TEXTJOIN(CHAR(10),TRUE,FILTER('SUMMARY DATA'!E:E,'SUMMARY DATA'!$A:$A=$A150,'SUMMARY DATA'!$C:$C=$B150,'SUMMARY DATA'!$B:$B=""RWS"")),
  IF(
    OR(
      ISNUMBER(SEARCH(""CDM CASH DEPOSIT"",$C150)),
      ISNUMBER(SEARCH(""CASH DEPOSIT"",$C15"&amp;"0)),
      COUNTIFS('SUMMARY DATA'!$D:$D,$C150,'SUMMARY DATA'!$B:$B,""RWS"")&lt;&gt;1
    ),
    """",
    IFERROR(TEXTJOIN(CHAR(10),TRUE,FILTER('SUMMARY DATA'!E:E,'SUMMARY DATA'!$D:$D=$C150,'SUMMARY DATA'!$B:$B=""RWS"")),"""")
  )
)"),"")</f>
      </c>
      <c r="F150" s="17" t="str">
        <f>IFERROR(__xludf.DUMMYFUNCTION("IFERROR(
  TEXTJOIN(CHAR(10),TRUE,FILTER('SUMMARY DATA'!F:F,'SUMMARY DATA'!$A:$A=$A150,'SUMMARY DATA'!$C:$C=$B150,'SUMMARY DATA'!$B:$B=""RWS"")),
  IF(
    OR(
      ISNUMBER(SEARCH(""CDM CASH DEPOSIT"",$C150)),
      ISNUMBER(SEARCH(""CASH DEPOSIT"",$C15"&amp;"0)),
      COUNTIFS('SUMMARY DATA'!$D:$D,$C150,'SUMMARY DATA'!$B:$B,""RWS"")&lt;&gt;1
    ),
    """",
    IFERROR(TEXTJOIN(CHAR(10),TRUE,FILTER('SUMMARY DATA'!F:F,'SUMMARY DATA'!$D:$D=$C150,'SUMMARY DATA'!$B:$B=""RWS"")),"""")
  )
)"),"")</f>
      </c>
      <c r="G150" s="17" t="str">
        <f>IFERROR(__xludf.DUMMYFUNCTION("IFERROR(
  TEXTJOIN(CHAR(10),TRUE,FILTER('SUMMARY DATA'!G:G,'SUMMARY DATA'!$A:$A=$A150,'SUMMARY DATA'!$C:$C=$B150,'SUMMARY DATA'!$B:$B=""RWS"")),
  IF(
    OR(
      ISNUMBER(SEARCH(""CDM CASH DEPOSIT"",$C150)),
      ISNUMBER(SEARCH(""CASH DEPOSIT"",$C15"&amp;"0)),
      COUNTIFS('SUMMARY DATA'!$D:$D,$C150,'SUMMARY DATA'!$B:$B,""RWS"")&lt;&gt;1
    ),
    """",
    IFERROR(TEXTJOIN(CHAR(10),TRUE,FILTER('SUMMARY DATA'!G:G,'SUMMARY DATA'!$D:$D=$C150,'SUMMARY DATA'!$B:$B=""RWS"")),"""")
  )
)"),"")</f>
      </c>
      <c r="H150" s="18" t="str">
        <f>IFERROR(__xludf.DUMMYFUNCTION("IFERROR(
  TEXTJOIN(CHAR(10),TRUE,FILTER('SUMMARY DATA'!H:H,'SUMMARY DATA'!$A:$A=$A150,'SUMMARY DATA'!$C:$C=$B150,'SUMMARY DATA'!$B:$B=""RWS"",'SUMMARY DATA'!$H:$H=$D150)),
  IF(
    OR(
      ISNUMBER(SEARCH(""CDM CASH DEPOSIT"",$C150)),
      ISNUMBER(S"&amp;"EARCH(""CASH DEPOSIT"",$C150))
    ),
    """",
    IFERROR(TEXTJOIN(CHAR(10),TRUE,FILTER('SUMMARY DATA'!H:H,'SUMMARY DATA'!$D:$D=$C150,'SUMMARY DATA'!$B:$B=""RWS"",'SUMMARY DATA'!$H:$H=$D150)),"""")
  )
)"),"")</f>
      </c>
      <c r="I150" s="18" t="str">
        <f>IFERROR(__xludf.DUMMYFUNCTION("IF(H150="""","""",
SUM(ARRAYFORMULA(VALUE(SPLIT(H150,CHAR(10)))))
)"),"")</f>
      </c>
      <c r="J150" s="17" t="str">
        <f>IFERROR(__xludf.DUMMYFUNCTION("IFERROR(
  TEXTJOIN(CHAR(10),TRUE,FILTER('SUMMARY DATA'!I:I,'SUMMARY DATA'!$A:$A=$A150,'SUMMARY DATA'!$C:$C=$B150,'SUMMARY DATA'!$B:$B=""RWS"")),
  IF(
    OR(
      ISNUMBER(SEARCH(""CDM CASH DEPOSIT"",$C150)),
      ISNUMBER(SEARCH(""CASH DEPOSIT"",$C15"&amp;"0)),
      COUNTIFS('SUMMARY DATA'!$D:$D,$C150,'SUMMARY DATA'!$B:$B,""RWS"")&lt;&gt;1
    ),
    """",
    IFERROR(TEXTJOIN(CHAR(10),TRUE,FILTER('SUMMARY DATA'!I:I,'SUMMARY DATA'!$D:$D=$C150,'SUMMARY DATA'!$B:$B=""RWS"")),"""")
  )
)"),"")</f>
      </c>
      <c r="K150" s="2"/>
      <c r="L150" s="2"/>
      <c r="M150" s="2"/>
      <c r="N150" s="2"/>
      <c r="O150" s="2"/>
      <c r="P150" s="2"/>
      <c r="Q150" s="2"/>
      <c r="R150" s="2"/>
      <c r="S150" s="2"/>
      <c r="T150" s="2"/>
      <c r="U150" s="2"/>
      <c r="V150" s="2"/>
      <c r="W150" s="2"/>
      <c r="X150" s="2"/>
      <c r="Y150" s="2"/>
      <c r="Z150" s="2"/>
      <c r="AA150" s="2"/>
      <c r="AB150" s="2"/>
    </row>
    <row r="151" spans="1:28" customHeight="true">
      <c r="A151" s="2"/>
      <c r="B151" s="15">
        <v>45957</v>
      </c>
      <c r="C151" s="2" t="s">
        <v>230</v>
      </c>
      <c r="D151" s="3">
        <v>10</v>
      </c>
      <c r="E151" s="16" t="str">
        <f>IFERROR(__xludf.DUMMYFUNCTION("IFERROR(
  TEXTJOIN(CHAR(10),TRUE,FILTER('SUMMARY DATA'!E:E,'SUMMARY DATA'!$A:$A=$A151,'SUMMARY DATA'!$C:$C=$B151,'SUMMARY DATA'!$B:$B=""RWS"")),
  IF(
    OR(
      ISNUMBER(SEARCH(""CDM CASH DEPOSIT"",$C151)),
      ISNUMBER(SEARCH(""CASH DEPOSIT"",$C15"&amp;"1)),
      COUNTIFS('SUMMARY DATA'!$D:$D,$C151,'SUMMARY DATA'!$B:$B,""RWS"")&lt;&gt;1
    ),
    """",
    IFERROR(TEXTJOIN(CHAR(10),TRUE,FILTER('SUMMARY DATA'!E:E,'SUMMARY DATA'!$D:$D=$C151,'SUMMARY DATA'!$B:$B=""RWS"")),"""")
  )
)"),"")</f>
      </c>
      <c r="F151" s="17" t="str">
        <f>IFERROR(__xludf.DUMMYFUNCTION("IFERROR(
  TEXTJOIN(CHAR(10),TRUE,FILTER('SUMMARY DATA'!F:F,'SUMMARY DATA'!$A:$A=$A151,'SUMMARY DATA'!$C:$C=$B151,'SUMMARY DATA'!$B:$B=""RWS"")),
  IF(
    OR(
      ISNUMBER(SEARCH(""CDM CASH DEPOSIT"",$C151)),
      ISNUMBER(SEARCH(""CASH DEPOSIT"",$C15"&amp;"1)),
      COUNTIFS('SUMMARY DATA'!$D:$D,$C151,'SUMMARY DATA'!$B:$B,""RWS"")&lt;&gt;1
    ),
    """",
    IFERROR(TEXTJOIN(CHAR(10),TRUE,FILTER('SUMMARY DATA'!F:F,'SUMMARY DATA'!$D:$D=$C151,'SUMMARY DATA'!$B:$B=""RWS"")),"""")
  )
)"),"")</f>
      </c>
      <c r="G151" s="17" t="str">
        <f>IFERROR(__xludf.DUMMYFUNCTION("IFERROR(
  TEXTJOIN(CHAR(10),TRUE,FILTER('SUMMARY DATA'!G:G,'SUMMARY DATA'!$A:$A=$A151,'SUMMARY DATA'!$C:$C=$B151,'SUMMARY DATA'!$B:$B=""RWS"")),
  IF(
    OR(
      ISNUMBER(SEARCH(""CDM CASH DEPOSIT"",$C151)),
      ISNUMBER(SEARCH(""CASH DEPOSIT"",$C15"&amp;"1)),
      COUNTIFS('SUMMARY DATA'!$D:$D,$C151,'SUMMARY DATA'!$B:$B,""RWS"")&lt;&gt;1
    ),
    """",
    IFERROR(TEXTJOIN(CHAR(10),TRUE,FILTER('SUMMARY DATA'!G:G,'SUMMARY DATA'!$D:$D=$C151,'SUMMARY DATA'!$B:$B=""RWS"")),"""")
  )
)"),"")</f>
      </c>
      <c r="H151" s="18" t="str">
        <f>IFERROR(__xludf.DUMMYFUNCTION("IFERROR(
  TEXTJOIN(CHAR(10),TRUE,FILTER('SUMMARY DATA'!H:H,'SUMMARY DATA'!$A:$A=$A151,'SUMMARY DATA'!$C:$C=$B151,'SUMMARY DATA'!$B:$B=""RWS"",'SUMMARY DATA'!$H:$H=$D151)),
  IF(
    OR(
      ISNUMBER(SEARCH(""CDM CASH DEPOSIT"",$C151)),
      ISNUMBER(S"&amp;"EARCH(""CASH DEPOSIT"",$C151))
    ),
    """",
    IFERROR(TEXTJOIN(CHAR(10),TRUE,FILTER('SUMMARY DATA'!H:H,'SUMMARY DATA'!$D:$D=$C151,'SUMMARY DATA'!$B:$B=""RWS"",'SUMMARY DATA'!$H:$H=$D151)),"""")
  )
)"),"")</f>
      </c>
      <c r="I151" s="18" t="str">
        <f>IFERROR(__xludf.DUMMYFUNCTION("IF(H151="""","""",
SUM(ARRAYFORMULA(VALUE(SPLIT(H151,CHAR(10)))))
)"),"")</f>
      </c>
      <c r="J151" s="17" t="str">
        <f>IFERROR(__xludf.DUMMYFUNCTION("IFERROR(
  TEXTJOIN(CHAR(10),TRUE,FILTER('SUMMARY DATA'!I:I,'SUMMARY DATA'!$A:$A=$A151,'SUMMARY DATA'!$C:$C=$B151,'SUMMARY DATA'!$B:$B=""RWS"")),
  IF(
    OR(
      ISNUMBER(SEARCH(""CDM CASH DEPOSIT"",$C151)),
      ISNUMBER(SEARCH(""CASH DEPOSIT"",$C15"&amp;"1)),
      COUNTIFS('SUMMARY DATA'!$D:$D,$C151,'SUMMARY DATA'!$B:$B,""RWS"")&lt;&gt;1
    ),
    """",
    IFERROR(TEXTJOIN(CHAR(10),TRUE,FILTER('SUMMARY DATA'!I:I,'SUMMARY DATA'!$D:$D=$C151,'SUMMARY DATA'!$B:$B=""RWS"")),"""")
  )
)"),"")</f>
      </c>
      <c r="K151" s="2"/>
      <c r="L151" s="2"/>
      <c r="M151" s="2"/>
      <c r="N151" s="2"/>
      <c r="O151" s="2"/>
      <c r="P151" s="2"/>
      <c r="Q151" s="2"/>
      <c r="R151" s="2"/>
      <c r="S151" s="2"/>
      <c r="T151" s="2"/>
      <c r="U151" s="2"/>
      <c r="V151" s="2"/>
      <c r="W151" s="2"/>
      <c r="X151" s="2"/>
      <c r="Y151" s="2"/>
      <c r="Z151" s="2"/>
      <c r="AA151" s="2"/>
      <c r="AB151" s="2"/>
    </row>
    <row r="152" spans="1:28" customHeight="true">
      <c r="A152" s="2" t="s">
        <v>231</v>
      </c>
      <c r="B152" s="15">
        <v>45957</v>
      </c>
      <c r="C152" s="2" t="s">
        <v>232</v>
      </c>
      <c r="D152" s="3">
        <v>574.33</v>
      </c>
      <c r="E152" s="16" t="str">
        <f>IFERROR(__xludf.DUMMYFUNCTION("IFERROR(
  TEXTJOIN(CHAR(10),TRUE,FILTER('SUMMARY DATA'!E:E,'SUMMARY DATA'!$A:$A=$A152,'SUMMARY DATA'!$C:$C=$B152,'SUMMARY DATA'!$B:$B=""RWS"")),
  IF(
    OR(
      ISNUMBER(SEARCH(""CDM CASH DEPOSIT"",$C152)),
      ISNUMBER(SEARCH(""CASH DEPOSIT"",$C15"&amp;"2)),
      COUNTIFS('SUMMARY DATA'!$D:$D,$C152,'SUMMARY DATA'!$B:$B,""RWS"")&lt;&gt;1
    ),
    """",
    IFERROR(TEXTJOIN(CHAR(10),TRUE,FILTER('SUMMARY DATA'!E:E,'SUMMARY DATA'!$D:$D=$C152,'SUMMARY DATA'!$B:$B=""RWS"")),"""")
  )
)"),"")</f>
      </c>
      <c r="F152" s="17" t="str">
        <f>IFERROR(__xludf.DUMMYFUNCTION("IFERROR(
  TEXTJOIN(CHAR(10),TRUE,FILTER('SUMMARY DATA'!F:F,'SUMMARY DATA'!$A:$A=$A152,'SUMMARY DATA'!$C:$C=$B152,'SUMMARY DATA'!$B:$B=""RWS"")),
  IF(
    OR(
      ISNUMBER(SEARCH(""CDM CASH DEPOSIT"",$C152)),
      ISNUMBER(SEARCH(""CASH DEPOSIT"",$C15"&amp;"2)),
      COUNTIFS('SUMMARY DATA'!$D:$D,$C152,'SUMMARY DATA'!$B:$B,""RWS"")&lt;&gt;1
    ),
    """",
    IFERROR(TEXTJOIN(CHAR(10),TRUE,FILTER('SUMMARY DATA'!F:F,'SUMMARY DATA'!$D:$D=$C152,'SUMMARY DATA'!$B:$B=""RWS"")),"""")
  )
)"),"")</f>
      </c>
      <c r="G152" s="17" t="str">
        <f>IFERROR(__xludf.DUMMYFUNCTION("IFERROR(
  TEXTJOIN(CHAR(10),TRUE,FILTER('SUMMARY DATA'!G:G,'SUMMARY DATA'!$A:$A=$A152,'SUMMARY DATA'!$C:$C=$B152,'SUMMARY DATA'!$B:$B=""RWS"")),
  IF(
    OR(
      ISNUMBER(SEARCH(""CDM CASH DEPOSIT"",$C152)),
      ISNUMBER(SEARCH(""CASH DEPOSIT"",$C15"&amp;"2)),
      COUNTIFS('SUMMARY DATA'!$D:$D,$C152,'SUMMARY DATA'!$B:$B,""RWS"")&lt;&gt;1
    ),
    """",
    IFERROR(TEXTJOIN(CHAR(10),TRUE,FILTER('SUMMARY DATA'!G:G,'SUMMARY DATA'!$D:$D=$C152,'SUMMARY DATA'!$B:$B=""RWS"")),"""")
  )
)"),"")</f>
      </c>
      <c r="H152" s="18" t="str">
        <f>IFERROR(__xludf.DUMMYFUNCTION("IFERROR(
  TEXTJOIN(CHAR(10),TRUE,FILTER('SUMMARY DATA'!H:H,'SUMMARY DATA'!$A:$A=$A152,'SUMMARY DATA'!$C:$C=$B152,'SUMMARY DATA'!$B:$B=""RWS"",'SUMMARY DATA'!$H:$H=$D152)),
  IF(
    OR(
      ISNUMBER(SEARCH(""CDM CASH DEPOSIT"",$C152)),
      ISNUMBER(S"&amp;"EARCH(""CASH DEPOSIT"",$C152))
    ),
    """",
    IFERROR(TEXTJOIN(CHAR(10),TRUE,FILTER('SUMMARY DATA'!H:H,'SUMMARY DATA'!$D:$D=$C152,'SUMMARY DATA'!$B:$B=""RWS"",'SUMMARY DATA'!$H:$H=$D152)),"""")
  )
)"),"")</f>
      </c>
      <c r="I152" s="18" t="str">
        <f>IFERROR(__xludf.DUMMYFUNCTION("IF(H152="""","""",
SUM(ARRAYFORMULA(VALUE(SPLIT(H152,CHAR(10)))))
)"),"")</f>
      </c>
      <c r="J152" s="17" t="str">
        <f>IFERROR(__xludf.DUMMYFUNCTION("IFERROR(
  TEXTJOIN(CHAR(10),TRUE,FILTER('SUMMARY DATA'!I:I,'SUMMARY DATA'!$A:$A=$A152,'SUMMARY DATA'!$C:$C=$B152,'SUMMARY DATA'!$B:$B=""RWS"")),
  IF(
    OR(
      ISNUMBER(SEARCH(""CDM CASH DEPOSIT"",$C152)),
      ISNUMBER(SEARCH(""CASH DEPOSIT"",$C15"&amp;"2)),
      COUNTIFS('SUMMARY DATA'!$D:$D,$C152,'SUMMARY DATA'!$B:$B,""RWS"")&lt;&gt;1
    ),
    """",
    IFERROR(TEXTJOIN(CHAR(10),TRUE,FILTER('SUMMARY DATA'!I:I,'SUMMARY DATA'!$D:$D=$C152,'SUMMARY DATA'!$B:$B=""RWS"")),"""")
  )
)"),"")</f>
      </c>
      <c r="K152" s="2"/>
      <c r="L152" s="2"/>
      <c r="M152" s="2"/>
      <c r="N152" s="2"/>
      <c r="O152" s="2"/>
      <c r="P152" s="2"/>
      <c r="Q152" s="2"/>
      <c r="R152" s="2"/>
      <c r="S152" s="2"/>
      <c r="T152" s="2"/>
      <c r="U152" s="2"/>
      <c r="V152" s="2"/>
      <c r="W152" s="2"/>
      <c r="X152" s="2"/>
      <c r="Y152" s="2"/>
      <c r="Z152" s="2"/>
      <c r="AA152" s="2"/>
      <c r="AB152" s="2"/>
    </row>
    <row r="153" spans="1:28" customHeight="true">
      <c r="A153" s="2"/>
      <c r="B153" s="15">
        <v>45956</v>
      </c>
      <c r="C153" s="2" t="s">
        <v>233</v>
      </c>
      <c r="D153" s="3">
        <v>99.29</v>
      </c>
      <c r="E153" s="16" t="str">
        <f>IFERROR(__xludf.DUMMYFUNCTION("IFERROR(
  TEXTJOIN(CHAR(10),TRUE,FILTER('SUMMARY DATA'!E:E,'SUMMARY DATA'!$A:$A=$A153,'SUMMARY DATA'!$C:$C=$B153,'SUMMARY DATA'!$B:$B=""RWS"")),
  IF(
    OR(
      ISNUMBER(SEARCH(""CDM CASH DEPOSIT"",$C153)),
      ISNUMBER(SEARCH(""CASH DEPOSIT"",$C15"&amp;"3)),
      COUNTIFS('SUMMARY DATA'!$D:$D,$C153,'SUMMARY DATA'!$B:$B,""RWS"")&lt;&gt;1
    ),
    """",
    IFERROR(TEXTJOIN(CHAR(10),TRUE,FILTER('SUMMARY DATA'!E:E,'SUMMARY DATA'!$D:$D=$C153,'SUMMARY DATA'!$B:$B=""RWS"")),"""")
  )
)"),"")</f>
      </c>
      <c r="F153" s="17" t="str">
        <f>IFERROR(__xludf.DUMMYFUNCTION("IFERROR(
  TEXTJOIN(CHAR(10),TRUE,FILTER('SUMMARY DATA'!F:F,'SUMMARY DATA'!$A:$A=$A153,'SUMMARY DATA'!$C:$C=$B153,'SUMMARY DATA'!$B:$B=""RWS"")),
  IF(
    OR(
      ISNUMBER(SEARCH(""CDM CASH DEPOSIT"",$C153)),
      ISNUMBER(SEARCH(""CASH DEPOSIT"",$C15"&amp;"3)),
      COUNTIFS('SUMMARY DATA'!$D:$D,$C153,'SUMMARY DATA'!$B:$B,""RWS"")&lt;&gt;1
    ),
    """",
    IFERROR(TEXTJOIN(CHAR(10),TRUE,FILTER('SUMMARY DATA'!F:F,'SUMMARY DATA'!$D:$D=$C153,'SUMMARY DATA'!$B:$B=""RWS"")),"""")
  )
)"),"")</f>
      </c>
      <c r="G153" s="17" t="str">
        <f>IFERROR(__xludf.DUMMYFUNCTION("IFERROR(
  TEXTJOIN(CHAR(10),TRUE,FILTER('SUMMARY DATA'!G:G,'SUMMARY DATA'!$A:$A=$A153,'SUMMARY DATA'!$C:$C=$B153,'SUMMARY DATA'!$B:$B=""RWS"")),
  IF(
    OR(
      ISNUMBER(SEARCH(""CDM CASH DEPOSIT"",$C153)),
      ISNUMBER(SEARCH(""CASH DEPOSIT"",$C15"&amp;"3)),
      COUNTIFS('SUMMARY DATA'!$D:$D,$C153,'SUMMARY DATA'!$B:$B,""RWS"")&lt;&gt;1
    ),
    """",
    IFERROR(TEXTJOIN(CHAR(10),TRUE,FILTER('SUMMARY DATA'!G:G,'SUMMARY DATA'!$D:$D=$C153,'SUMMARY DATA'!$B:$B=""RWS"")),"""")
  )
)"),"")</f>
      </c>
      <c r="H153" s="18" t="str">
        <f>IFERROR(__xludf.DUMMYFUNCTION("IFERROR(
  TEXTJOIN(CHAR(10),TRUE,FILTER('SUMMARY DATA'!H:H,'SUMMARY DATA'!$A:$A=$A153,'SUMMARY DATA'!$C:$C=$B153,'SUMMARY DATA'!$B:$B=""RWS"",'SUMMARY DATA'!$H:$H=$D153)),
  IF(
    OR(
      ISNUMBER(SEARCH(""CDM CASH DEPOSIT"",$C153)),
      ISNUMBER(S"&amp;"EARCH(""CASH DEPOSIT"",$C153))
    ),
    """",
    IFERROR(TEXTJOIN(CHAR(10),TRUE,FILTER('SUMMARY DATA'!H:H,'SUMMARY DATA'!$D:$D=$C153,'SUMMARY DATA'!$B:$B=""RWS"",'SUMMARY DATA'!$H:$H=$D153)),"""")
  )
)"),"")</f>
      </c>
      <c r="I153" s="18" t="str">
        <f>IFERROR(__xludf.DUMMYFUNCTION("IF(H153="""","""",
SUM(ARRAYFORMULA(VALUE(SPLIT(H153,CHAR(10)))))
)"),"")</f>
      </c>
      <c r="J153" s="17" t="str">
        <f>IFERROR(__xludf.DUMMYFUNCTION("IFERROR(
  TEXTJOIN(CHAR(10),TRUE,FILTER('SUMMARY DATA'!I:I,'SUMMARY DATA'!$A:$A=$A153,'SUMMARY DATA'!$C:$C=$B153,'SUMMARY DATA'!$B:$B=""RWS"")),
  IF(
    OR(
      ISNUMBER(SEARCH(""CDM CASH DEPOSIT"",$C153)),
      ISNUMBER(SEARCH(""CASH DEPOSIT"",$C15"&amp;"3)),
      COUNTIFS('SUMMARY DATA'!$D:$D,$C153,'SUMMARY DATA'!$B:$B,""RWS"")&lt;&gt;1
    ),
    """",
    IFERROR(TEXTJOIN(CHAR(10),TRUE,FILTER('SUMMARY DATA'!I:I,'SUMMARY DATA'!$D:$D=$C153,'SUMMARY DATA'!$B:$B=""RWS"")),"""")
  )
)"),"")</f>
      </c>
      <c r="K153" s="2"/>
      <c r="L153" s="2"/>
      <c r="M153" s="2"/>
      <c r="N153" s="2"/>
      <c r="O153" s="2"/>
      <c r="P153" s="2"/>
      <c r="Q153" s="2"/>
      <c r="R153" s="2"/>
      <c r="S153" s="2"/>
      <c r="T153" s="2"/>
      <c r="U153" s="2"/>
      <c r="V153" s="2"/>
      <c r="W153" s="2"/>
      <c r="X153" s="2"/>
      <c r="Y153" s="2"/>
      <c r="Z153" s="2"/>
      <c r="AA153" s="2"/>
      <c r="AB153" s="2"/>
    </row>
    <row r="154" spans="1:28" customHeight="true">
      <c r="A154" s="2"/>
      <c r="B154" s="15">
        <v>45956</v>
      </c>
      <c r="C154" s="2" t="s">
        <v>234</v>
      </c>
      <c r="D154" s="3">
        <v>0.2</v>
      </c>
      <c r="E154" s="16" t="str">
        <f>IFERROR(__xludf.DUMMYFUNCTION("IFERROR(
  TEXTJOIN(CHAR(10),TRUE,FILTER('SUMMARY DATA'!E:E,'SUMMARY DATA'!$A:$A=$A154,'SUMMARY DATA'!$C:$C=$B154,'SUMMARY DATA'!$B:$B=""RWS"")),
  IF(
    OR(
      ISNUMBER(SEARCH(""CDM CASH DEPOSIT"",$C154)),
      ISNUMBER(SEARCH(""CASH DEPOSIT"",$C15"&amp;"4)),
      COUNTIFS('SUMMARY DATA'!$D:$D,$C154,'SUMMARY DATA'!$B:$B,""RWS"")&lt;&gt;1
    ),
    """",
    IFERROR(TEXTJOIN(CHAR(10),TRUE,FILTER('SUMMARY DATA'!E:E,'SUMMARY DATA'!$D:$D=$C154,'SUMMARY DATA'!$B:$B=""RWS"")),"""")
  )
)"),"")</f>
      </c>
      <c r="F154" s="17" t="str">
        <f>IFERROR(__xludf.DUMMYFUNCTION("IFERROR(
  TEXTJOIN(CHAR(10),TRUE,FILTER('SUMMARY DATA'!F:F,'SUMMARY DATA'!$A:$A=$A154,'SUMMARY DATA'!$C:$C=$B154,'SUMMARY DATA'!$B:$B=""RWS"")),
  IF(
    OR(
      ISNUMBER(SEARCH(""CDM CASH DEPOSIT"",$C154)),
      ISNUMBER(SEARCH(""CASH DEPOSIT"",$C15"&amp;"4)),
      COUNTIFS('SUMMARY DATA'!$D:$D,$C154,'SUMMARY DATA'!$B:$B,""RWS"")&lt;&gt;1
    ),
    """",
    IFERROR(TEXTJOIN(CHAR(10),TRUE,FILTER('SUMMARY DATA'!F:F,'SUMMARY DATA'!$D:$D=$C154,'SUMMARY DATA'!$B:$B=""RWS"")),"""")
  )
)"),"")</f>
      </c>
      <c r="G154" s="17" t="str">
        <f>IFERROR(__xludf.DUMMYFUNCTION("IFERROR(
  TEXTJOIN(CHAR(10),TRUE,FILTER('SUMMARY DATA'!G:G,'SUMMARY DATA'!$A:$A=$A154,'SUMMARY DATA'!$C:$C=$B154,'SUMMARY DATA'!$B:$B=""RWS"")),
  IF(
    OR(
      ISNUMBER(SEARCH(""CDM CASH DEPOSIT"",$C154)),
      ISNUMBER(SEARCH(""CASH DEPOSIT"",$C15"&amp;"4)),
      COUNTIFS('SUMMARY DATA'!$D:$D,$C154,'SUMMARY DATA'!$B:$B,""RWS"")&lt;&gt;1
    ),
    """",
    IFERROR(TEXTJOIN(CHAR(10),TRUE,FILTER('SUMMARY DATA'!G:G,'SUMMARY DATA'!$D:$D=$C154,'SUMMARY DATA'!$B:$B=""RWS"")),"""")
  )
)"),"")</f>
      </c>
      <c r="H154" s="18" t="str">
        <f>IFERROR(__xludf.DUMMYFUNCTION("IFERROR(
  TEXTJOIN(CHAR(10),TRUE,FILTER('SUMMARY DATA'!H:H,'SUMMARY DATA'!$A:$A=$A154,'SUMMARY DATA'!$C:$C=$B154,'SUMMARY DATA'!$B:$B=""RWS"",'SUMMARY DATA'!$H:$H=$D154)),
  IF(
    OR(
      ISNUMBER(SEARCH(""CDM CASH DEPOSIT"",$C154)),
      ISNUMBER(S"&amp;"EARCH(""CASH DEPOSIT"",$C154))
    ),
    """",
    IFERROR(TEXTJOIN(CHAR(10),TRUE,FILTER('SUMMARY DATA'!H:H,'SUMMARY DATA'!$D:$D=$C154,'SUMMARY DATA'!$B:$B=""RWS"",'SUMMARY DATA'!$H:$H=$D154)),"""")
  )
)"),"")</f>
      </c>
      <c r="I154" s="18" t="str">
        <f>IFERROR(__xludf.DUMMYFUNCTION("IF(H154="""","""",
SUM(ARRAYFORMULA(VALUE(SPLIT(H154,CHAR(10)))))
)"),"")</f>
      </c>
      <c r="J154" s="17" t="str">
        <f>IFERROR(__xludf.DUMMYFUNCTION("IFERROR(
  TEXTJOIN(CHAR(10),TRUE,FILTER('SUMMARY DATA'!I:I,'SUMMARY DATA'!$A:$A=$A154,'SUMMARY DATA'!$C:$C=$B154,'SUMMARY DATA'!$B:$B=""RWS"")),
  IF(
    OR(
      ISNUMBER(SEARCH(""CDM CASH DEPOSIT"",$C154)),
      ISNUMBER(SEARCH(""CASH DEPOSIT"",$C15"&amp;"4)),
      COUNTIFS('SUMMARY DATA'!$D:$D,$C154,'SUMMARY DATA'!$B:$B,""RWS"")&lt;&gt;1
    ),
    """",
    IFERROR(TEXTJOIN(CHAR(10),TRUE,FILTER('SUMMARY DATA'!I:I,'SUMMARY DATA'!$D:$D=$C154,'SUMMARY DATA'!$B:$B=""RWS"")),"""")
  )
)"),"")</f>
      </c>
      <c r="K154" s="2"/>
      <c r="L154" s="2"/>
      <c r="M154" s="2"/>
      <c r="N154" s="2"/>
      <c r="O154" s="2"/>
      <c r="P154" s="2"/>
      <c r="Q154" s="2"/>
      <c r="R154" s="2"/>
      <c r="S154" s="2"/>
      <c r="T154" s="2"/>
      <c r="U154" s="2"/>
      <c r="V154" s="2"/>
      <c r="W154" s="2"/>
      <c r="X154" s="2"/>
      <c r="Y154" s="2"/>
      <c r="Z154" s="2"/>
      <c r="AA154" s="2"/>
      <c r="AB154" s="2"/>
    </row>
    <row r="155" spans="1:28" customHeight="true">
      <c r="A155" s="2"/>
      <c r="B155" s="15">
        <v>45956</v>
      </c>
      <c r="C155" s="2" t="s">
        <v>235</v>
      </c>
      <c r="D155" s="3">
        <v>12.04</v>
      </c>
      <c r="E155" s="16" t="str">
        <f>IFERROR(__xludf.DUMMYFUNCTION("IFERROR(
  TEXTJOIN(CHAR(10),TRUE,FILTER('SUMMARY DATA'!E:E,'SUMMARY DATA'!$A:$A=$A155,'SUMMARY DATA'!$C:$C=$B155,'SUMMARY DATA'!$B:$B=""RWS"")),
  IF(
    OR(
      ISNUMBER(SEARCH(""CDM CASH DEPOSIT"",$C155)),
      ISNUMBER(SEARCH(""CASH DEPOSIT"",$C15"&amp;"5)),
      COUNTIFS('SUMMARY DATA'!$D:$D,$C155,'SUMMARY DATA'!$B:$B,""RWS"")&lt;&gt;1
    ),
    """",
    IFERROR(TEXTJOIN(CHAR(10),TRUE,FILTER('SUMMARY DATA'!E:E,'SUMMARY DATA'!$D:$D=$C155,'SUMMARY DATA'!$B:$B=""RWS"")),"""")
  )
)"),"")</f>
      </c>
      <c r="F155" s="17" t="str">
        <f>IFERROR(__xludf.DUMMYFUNCTION("IFERROR(
  TEXTJOIN(CHAR(10),TRUE,FILTER('SUMMARY DATA'!F:F,'SUMMARY DATA'!$A:$A=$A155,'SUMMARY DATA'!$C:$C=$B155,'SUMMARY DATA'!$B:$B=""RWS"")),
  IF(
    OR(
      ISNUMBER(SEARCH(""CDM CASH DEPOSIT"",$C155)),
      ISNUMBER(SEARCH(""CASH DEPOSIT"",$C15"&amp;"5)),
      COUNTIFS('SUMMARY DATA'!$D:$D,$C155,'SUMMARY DATA'!$B:$B,""RWS"")&lt;&gt;1
    ),
    """",
    IFERROR(TEXTJOIN(CHAR(10),TRUE,FILTER('SUMMARY DATA'!F:F,'SUMMARY DATA'!$D:$D=$C155,'SUMMARY DATA'!$B:$B=""RWS"")),"""")
  )
)"),"")</f>
      </c>
      <c r="G155" s="17" t="str">
        <f>IFERROR(__xludf.DUMMYFUNCTION("IFERROR(
  TEXTJOIN(CHAR(10),TRUE,FILTER('SUMMARY DATA'!G:G,'SUMMARY DATA'!$A:$A=$A155,'SUMMARY DATA'!$C:$C=$B155,'SUMMARY DATA'!$B:$B=""RWS"")),
  IF(
    OR(
      ISNUMBER(SEARCH(""CDM CASH DEPOSIT"",$C155)),
      ISNUMBER(SEARCH(""CASH DEPOSIT"",$C15"&amp;"5)),
      COUNTIFS('SUMMARY DATA'!$D:$D,$C155,'SUMMARY DATA'!$B:$B,""RWS"")&lt;&gt;1
    ),
    """",
    IFERROR(TEXTJOIN(CHAR(10),TRUE,FILTER('SUMMARY DATA'!G:G,'SUMMARY DATA'!$D:$D=$C155,'SUMMARY DATA'!$B:$B=""RWS"")),"""")
  )
)"),"")</f>
      </c>
      <c r="H155" s="18" t="str">
        <f>IFERROR(__xludf.DUMMYFUNCTION("IFERROR(
  TEXTJOIN(CHAR(10),TRUE,FILTER('SUMMARY DATA'!H:H,'SUMMARY DATA'!$A:$A=$A155,'SUMMARY DATA'!$C:$C=$B155,'SUMMARY DATA'!$B:$B=""RWS"",'SUMMARY DATA'!$H:$H=$D155)),
  IF(
    OR(
      ISNUMBER(SEARCH(""CDM CASH DEPOSIT"",$C155)),
      ISNUMBER(S"&amp;"EARCH(""CASH DEPOSIT"",$C155))
    ),
    """",
    IFERROR(TEXTJOIN(CHAR(10),TRUE,FILTER('SUMMARY DATA'!H:H,'SUMMARY DATA'!$D:$D=$C155,'SUMMARY DATA'!$B:$B=""RWS"",'SUMMARY DATA'!$H:$H=$D155)),"""")
  )
)"),"")</f>
      </c>
      <c r="I155" s="18" t="str">
        <f>IFERROR(__xludf.DUMMYFUNCTION("IF(H155="""","""",
SUM(ARRAYFORMULA(VALUE(SPLIT(H155,CHAR(10)))))
)"),"")</f>
      </c>
      <c r="J155" s="17" t="str">
        <f>IFERROR(__xludf.DUMMYFUNCTION("IFERROR(
  TEXTJOIN(CHAR(10),TRUE,FILTER('SUMMARY DATA'!I:I,'SUMMARY DATA'!$A:$A=$A155,'SUMMARY DATA'!$C:$C=$B155,'SUMMARY DATA'!$B:$B=""RWS"")),
  IF(
    OR(
      ISNUMBER(SEARCH(""CDM CASH DEPOSIT"",$C155)),
      ISNUMBER(SEARCH(""CASH DEPOSIT"",$C15"&amp;"5)),
      COUNTIFS('SUMMARY DATA'!$D:$D,$C155,'SUMMARY DATA'!$B:$B,""RWS"")&lt;&gt;1
    ),
    """",
    IFERROR(TEXTJOIN(CHAR(10),TRUE,FILTER('SUMMARY DATA'!I:I,'SUMMARY DATA'!$D:$D=$C155,'SUMMARY DATA'!$B:$B=""RWS"")),"""")
  )
)"),"")</f>
      </c>
      <c r="K155" s="2"/>
      <c r="L155" s="2"/>
      <c r="M155" s="2"/>
      <c r="N155" s="2"/>
      <c r="O155" s="2"/>
      <c r="P155" s="2"/>
      <c r="Q155" s="2"/>
      <c r="R155" s="2"/>
      <c r="S155" s="2"/>
      <c r="T155" s="2"/>
      <c r="U155" s="2"/>
      <c r="V155" s="2"/>
      <c r="W155" s="2"/>
      <c r="X155" s="2"/>
      <c r="Y155" s="2"/>
      <c r="Z155" s="2"/>
      <c r="AA155" s="2"/>
      <c r="AB155" s="2"/>
    </row>
    <row r="156" spans="1:28" customHeight="true">
      <c r="A156" s="2"/>
      <c r="B156" s="15">
        <v>45956</v>
      </c>
      <c r="C156" s="2" t="s">
        <v>236</v>
      </c>
      <c r="D156" s="3">
        <v>120.54</v>
      </c>
      <c r="E156" s="16" t="str">
        <f>IFERROR(__xludf.DUMMYFUNCTION("IFERROR(
  TEXTJOIN(CHAR(10),TRUE,FILTER('SUMMARY DATA'!E:E,'SUMMARY DATA'!$A:$A=$A156,'SUMMARY DATA'!$C:$C=$B156,'SUMMARY DATA'!$B:$B=""RWS"")),
  IF(
    OR(
      ISNUMBER(SEARCH(""CDM CASH DEPOSIT"",$C156)),
      ISNUMBER(SEARCH(""CASH DEPOSIT"",$C15"&amp;"6)),
      COUNTIFS('SUMMARY DATA'!$D:$D,$C156,'SUMMARY DATA'!$B:$B,""RWS"")&lt;&gt;1
    ),
    """",
    IFERROR(TEXTJOIN(CHAR(10),TRUE,FILTER('SUMMARY DATA'!E:E,'SUMMARY DATA'!$D:$D=$C156,'SUMMARY DATA'!$B:$B=""RWS"")),"""")
  )
)"),"")</f>
      </c>
      <c r="F156" s="17" t="str">
        <f>IFERROR(__xludf.DUMMYFUNCTION("IFERROR(
  TEXTJOIN(CHAR(10),TRUE,FILTER('SUMMARY DATA'!F:F,'SUMMARY DATA'!$A:$A=$A156,'SUMMARY DATA'!$C:$C=$B156,'SUMMARY DATA'!$B:$B=""RWS"")),
  IF(
    OR(
      ISNUMBER(SEARCH(""CDM CASH DEPOSIT"",$C156)),
      ISNUMBER(SEARCH(""CASH DEPOSIT"",$C15"&amp;"6)),
      COUNTIFS('SUMMARY DATA'!$D:$D,$C156,'SUMMARY DATA'!$B:$B,""RWS"")&lt;&gt;1
    ),
    """",
    IFERROR(TEXTJOIN(CHAR(10),TRUE,FILTER('SUMMARY DATA'!F:F,'SUMMARY DATA'!$D:$D=$C156,'SUMMARY DATA'!$B:$B=""RWS"")),"""")
  )
)"),"")</f>
      </c>
      <c r="G156" s="17" t="str">
        <f>IFERROR(__xludf.DUMMYFUNCTION("IFERROR(
  TEXTJOIN(CHAR(10),TRUE,FILTER('SUMMARY DATA'!G:G,'SUMMARY DATA'!$A:$A=$A156,'SUMMARY DATA'!$C:$C=$B156,'SUMMARY DATA'!$B:$B=""RWS"")),
  IF(
    OR(
      ISNUMBER(SEARCH(""CDM CASH DEPOSIT"",$C156)),
      ISNUMBER(SEARCH(""CASH DEPOSIT"",$C15"&amp;"6)),
      COUNTIFS('SUMMARY DATA'!$D:$D,$C156,'SUMMARY DATA'!$B:$B,""RWS"")&lt;&gt;1
    ),
    """",
    IFERROR(TEXTJOIN(CHAR(10),TRUE,FILTER('SUMMARY DATA'!G:G,'SUMMARY DATA'!$D:$D=$C156,'SUMMARY DATA'!$B:$B=""RWS"")),"""")
  )
)"),"")</f>
      </c>
      <c r="H156" s="18" t="str">
        <f>IFERROR(__xludf.DUMMYFUNCTION("IFERROR(
  TEXTJOIN(CHAR(10),TRUE,FILTER('SUMMARY DATA'!H:H,'SUMMARY DATA'!$A:$A=$A156,'SUMMARY DATA'!$C:$C=$B156,'SUMMARY DATA'!$B:$B=""RWS"",'SUMMARY DATA'!$H:$H=$D156)),
  IF(
    OR(
      ISNUMBER(SEARCH(""CDM CASH DEPOSIT"",$C156)),
      ISNUMBER(S"&amp;"EARCH(""CASH DEPOSIT"",$C156))
    ),
    """",
    IFERROR(TEXTJOIN(CHAR(10),TRUE,FILTER('SUMMARY DATA'!H:H,'SUMMARY DATA'!$D:$D=$C156,'SUMMARY DATA'!$B:$B=""RWS"",'SUMMARY DATA'!$H:$H=$D156)),"""")
  )
)"),"")</f>
      </c>
      <c r="I156" s="18" t="str">
        <f>IFERROR(__xludf.DUMMYFUNCTION("IF(H156="""","""",
SUM(ARRAYFORMULA(VALUE(SPLIT(H156,CHAR(10)))))
)"),"")</f>
      </c>
      <c r="J156" s="17" t="str">
        <f>IFERROR(__xludf.DUMMYFUNCTION("IFERROR(
  TEXTJOIN(CHAR(10),TRUE,FILTER('SUMMARY DATA'!I:I,'SUMMARY DATA'!$A:$A=$A156,'SUMMARY DATA'!$C:$C=$B156,'SUMMARY DATA'!$B:$B=""RWS"")),
  IF(
    OR(
      ISNUMBER(SEARCH(""CDM CASH DEPOSIT"",$C156)),
      ISNUMBER(SEARCH(""CASH DEPOSIT"",$C15"&amp;"6)),
      COUNTIFS('SUMMARY DATA'!$D:$D,$C156,'SUMMARY DATA'!$B:$B,""RWS"")&lt;&gt;1
    ),
    """",
    IFERROR(TEXTJOIN(CHAR(10),TRUE,FILTER('SUMMARY DATA'!I:I,'SUMMARY DATA'!$D:$D=$C156,'SUMMARY DATA'!$B:$B=""RWS"")),"""")
  )
)"),"")</f>
      </c>
      <c r="K156" s="2"/>
      <c r="L156" s="2"/>
      <c r="M156" s="2"/>
      <c r="N156" s="2"/>
      <c r="O156" s="2"/>
      <c r="P156" s="2"/>
      <c r="Q156" s="2"/>
      <c r="R156" s="2"/>
      <c r="S156" s="2"/>
      <c r="T156" s="2"/>
      <c r="U156" s="2"/>
      <c r="V156" s="2"/>
      <c r="W156" s="2"/>
      <c r="X156" s="2"/>
      <c r="Y156" s="2"/>
      <c r="Z156" s="2"/>
      <c r="AA156" s="2"/>
      <c r="AB156" s="2"/>
    </row>
    <row r="157" spans="1:28" customHeight="true">
      <c r="A157" s="2"/>
      <c r="B157" s="15">
        <v>45956</v>
      </c>
      <c r="C157" s="2" t="s">
        <v>237</v>
      </c>
      <c r="D157" s="3">
        <v>3.98</v>
      </c>
      <c r="E157" s="16" t="str">
        <f>IFERROR(__xludf.DUMMYFUNCTION("IFERROR(
  TEXTJOIN(CHAR(10),TRUE,FILTER('SUMMARY DATA'!E:E,'SUMMARY DATA'!$A:$A=$A157,'SUMMARY DATA'!$C:$C=$B157,'SUMMARY DATA'!$B:$B=""RWS"")),
  IF(
    OR(
      ISNUMBER(SEARCH(""CDM CASH DEPOSIT"",$C157)),
      ISNUMBER(SEARCH(""CASH DEPOSIT"",$C15"&amp;"7)),
      COUNTIFS('SUMMARY DATA'!$D:$D,$C157,'SUMMARY DATA'!$B:$B,""RWS"")&lt;&gt;1
    ),
    """",
    IFERROR(TEXTJOIN(CHAR(10),TRUE,FILTER('SUMMARY DATA'!E:E,'SUMMARY DATA'!$D:$D=$C157,'SUMMARY DATA'!$B:$B=""RWS"")),"""")
  )
)"),"")</f>
      </c>
      <c r="F157" s="17" t="str">
        <f>IFERROR(__xludf.DUMMYFUNCTION("IFERROR(
  TEXTJOIN(CHAR(10),TRUE,FILTER('SUMMARY DATA'!F:F,'SUMMARY DATA'!$A:$A=$A157,'SUMMARY DATA'!$C:$C=$B157,'SUMMARY DATA'!$B:$B=""RWS"")),
  IF(
    OR(
      ISNUMBER(SEARCH(""CDM CASH DEPOSIT"",$C157)),
      ISNUMBER(SEARCH(""CASH DEPOSIT"",$C15"&amp;"7)),
      COUNTIFS('SUMMARY DATA'!$D:$D,$C157,'SUMMARY DATA'!$B:$B,""RWS"")&lt;&gt;1
    ),
    """",
    IFERROR(TEXTJOIN(CHAR(10),TRUE,FILTER('SUMMARY DATA'!F:F,'SUMMARY DATA'!$D:$D=$C157,'SUMMARY DATA'!$B:$B=""RWS"")),"""")
  )
)"),"")</f>
      </c>
      <c r="G157" s="17" t="str">
        <f>IFERROR(__xludf.DUMMYFUNCTION("IFERROR(
  TEXTJOIN(CHAR(10),TRUE,FILTER('SUMMARY DATA'!G:G,'SUMMARY DATA'!$A:$A=$A157,'SUMMARY DATA'!$C:$C=$B157,'SUMMARY DATA'!$B:$B=""RWS"")),
  IF(
    OR(
      ISNUMBER(SEARCH(""CDM CASH DEPOSIT"",$C157)),
      ISNUMBER(SEARCH(""CASH DEPOSIT"",$C15"&amp;"7)),
      COUNTIFS('SUMMARY DATA'!$D:$D,$C157,'SUMMARY DATA'!$B:$B,""RWS"")&lt;&gt;1
    ),
    """",
    IFERROR(TEXTJOIN(CHAR(10),TRUE,FILTER('SUMMARY DATA'!G:G,'SUMMARY DATA'!$D:$D=$C157,'SUMMARY DATA'!$B:$B=""RWS"")),"""")
  )
)"),"")</f>
      </c>
      <c r="H157" s="18" t="str">
        <f>IFERROR(__xludf.DUMMYFUNCTION("IFERROR(
  TEXTJOIN(CHAR(10),TRUE,FILTER('SUMMARY DATA'!H:H,'SUMMARY DATA'!$A:$A=$A157,'SUMMARY DATA'!$C:$C=$B157,'SUMMARY DATA'!$B:$B=""RWS"",'SUMMARY DATA'!$H:$H=$D157)),
  IF(
    OR(
      ISNUMBER(SEARCH(""CDM CASH DEPOSIT"",$C157)),
      ISNUMBER(S"&amp;"EARCH(""CASH DEPOSIT"",$C157))
    ),
    """",
    IFERROR(TEXTJOIN(CHAR(10),TRUE,FILTER('SUMMARY DATA'!H:H,'SUMMARY DATA'!$D:$D=$C157,'SUMMARY DATA'!$B:$B=""RWS"",'SUMMARY DATA'!$H:$H=$D157)),"""")
  )
)"),"")</f>
      </c>
      <c r="I157" s="18" t="str">
        <f>IFERROR(__xludf.DUMMYFUNCTION("IF(H157="""","""",
SUM(ARRAYFORMULA(VALUE(SPLIT(H157,CHAR(10)))))
)"),"")</f>
      </c>
      <c r="J157" s="17" t="str">
        <f>IFERROR(__xludf.DUMMYFUNCTION("IFERROR(
  TEXTJOIN(CHAR(10),TRUE,FILTER('SUMMARY DATA'!I:I,'SUMMARY DATA'!$A:$A=$A157,'SUMMARY DATA'!$C:$C=$B157,'SUMMARY DATA'!$B:$B=""RWS"")),
  IF(
    OR(
      ISNUMBER(SEARCH(""CDM CASH DEPOSIT"",$C157)),
      ISNUMBER(SEARCH(""CASH DEPOSIT"",$C15"&amp;"7)),
      COUNTIFS('SUMMARY DATA'!$D:$D,$C157,'SUMMARY DATA'!$B:$B,""RWS"")&lt;&gt;1
    ),
    """",
    IFERROR(TEXTJOIN(CHAR(10),TRUE,FILTER('SUMMARY DATA'!I:I,'SUMMARY DATA'!$D:$D=$C157,'SUMMARY DATA'!$B:$B=""RWS"")),"""")
  )
)"),"")</f>
      </c>
      <c r="K157" s="2"/>
      <c r="L157" s="2"/>
      <c r="M157" s="2"/>
      <c r="N157" s="2"/>
      <c r="O157" s="2"/>
      <c r="P157" s="2"/>
      <c r="Q157" s="2"/>
      <c r="R157" s="2"/>
      <c r="S157" s="2"/>
      <c r="T157" s="2"/>
      <c r="U157" s="2"/>
      <c r="V157" s="2"/>
      <c r="W157" s="2"/>
      <c r="X157" s="2"/>
      <c r="Y157" s="2"/>
      <c r="Z157" s="2"/>
      <c r="AA157" s="2"/>
      <c r="AB157" s="2"/>
    </row>
    <row r="158" spans="1:28" customHeight="true">
      <c r="A158" s="2" t="s">
        <v>238</v>
      </c>
      <c r="B158" s="15">
        <v>45956</v>
      </c>
      <c r="C158" s="2" t="s">
        <v>239</v>
      </c>
      <c r="D158" s="3">
        <v>123.86</v>
      </c>
      <c r="E158" s="16" t="str">
        <f>IFERROR(__xludf.DUMMYFUNCTION("IFERROR(
  TEXTJOIN(CHAR(10),TRUE,FILTER('SUMMARY DATA'!E:E,'SUMMARY DATA'!$A:$A=$A158,'SUMMARY DATA'!$C:$C=$B158,'SUMMARY DATA'!$B:$B=""RWS"")),
  IF(
    OR(
      ISNUMBER(SEARCH(""CDM CASH DEPOSIT"",$C158)),
      ISNUMBER(SEARCH(""CASH DEPOSIT"",$C15"&amp;"8)),
      COUNTIFS('SUMMARY DATA'!$D:$D,$C158,'SUMMARY DATA'!$B:$B,""RWS"")&lt;&gt;1
    ),
    """",
    IFERROR(TEXTJOIN(CHAR(10),TRUE,FILTER('SUMMARY DATA'!E:E,'SUMMARY DATA'!$D:$D=$C158,'SUMMARY DATA'!$B:$B=""RWS"")),"""")
  )
)"),"")</f>
      </c>
      <c r="F158" s="17" t="str">
        <f>IFERROR(__xludf.DUMMYFUNCTION("IFERROR(
  TEXTJOIN(CHAR(10),TRUE,FILTER('SUMMARY DATA'!F:F,'SUMMARY DATA'!$A:$A=$A158,'SUMMARY DATA'!$C:$C=$B158,'SUMMARY DATA'!$B:$B=""RWS"")),
  IF(
    OR(
      ISNUMBER(SEARCH(""CDM CASH DEPOSIT"",$C158)),
      ISNUMBER(SEARCH(""CASH DEPOSIT"",$C15"&amp;"8)),
      COUNTIFS('SUMMARY DATA'!$D:$D,$C158,'SUMMARY DATA'!$B:$B,""RWS"")&lt;&gt;1
    ),
    """",
    IFERROR(TEXTJOIN(CHAR(10),TRUE,FILTER('SUMMARY DATA'!F:F,'SUMMARY DATA'!$D:$D=$C158,'SUMMARY DATA'!$B:$B=""RWS"")),"""")
  )
)"),"")</f>
      </c>
      <c r="G158" s="17" t="str">
        <f>IFERROR(__xludf.DUMMYFUNCTION("IFERROR(
  TEXTJOIN(CHAR(10),TRUE,FILTER('SUMMARY DATA'!G:G,'SUMMARY DATA'!$A:$A=$A158,'SUMMARY DATA'!$C:$C=$B158,'SUMMARY DATA'!$B:$B=""RWS"")),
  IF(
    OR(
      ISNUMBER(SEARCH(""CDM CASH DEPOSIT"",$C158)),
      ISNUMBER(SEARCH(""CASH DEPOSIT"",$C15"&amp;"8)),
      COUNTIFS('SUMMARY DATA'!$D:$D,$C158,'SUMMARY DATA'!$B:$B,""RWS"")&lt;&gt;1
    ),
    """",
    IFERROR(TEXTJOIN(CHAR(10),TRUE,FILTER('SUMMARY DATA'!G:G,'SUMMARY DATA'!$D:$D=$C158,'SUMMARY DATA'!$B:$B=""RWS"")),"""")
  )
)"),"")</f>
      </c>
      <c r="H158" s="18" t="str">
        <f>IFERROR(__xludf.DUMMYFUNCTION("IFERROR(
  TEXTJOIN(CHAR(10),TRUE,FILTER('SUMMARY DATA'!H:H,'SUMMARY DATA'!$A:$A=$A158,'SUMMARY DATA'!$C:$C=$B158,'SUMMARY DATA'!$B:$B=""RWS"",'SUMMARY DATA'!$H:$H=$D158)),
  IF(
    OR(
      ISNUMBER(SEARCH(""CDM CASH DEPOSIT"",$C158)),
      ISNUMBER(S"&amp;"EARCH(""CASH DEPOSIT"",$C158))
    ),
    """",
    IFERROR(TEXTJOIN(CHAR(10),TRUE,FILTER('SUMMARY DATA'!H:H,'SUMMARY DATA'!$D:$D=$C158,'SUMMARY DATA'!$B:$B=""RWS"",'SUMMARY DATA'!$H:$H=$D158)),"""")
  )
)"),"")</f>
      </c>
      <c r="I158" s="18" t="str">
        <f>IFERROR(__xludf.DUMMYFUNCTION("IF(H158="""","""",
SUM(ARRAYFORMULA(VALUE(SPLIT(H158,CHAR(10)))))
)"),"")</f>
      </c>
      <c r="J158" s="17" t="str">
        <f>IFERROR(__xludf.DUMMYFUNCTION("IFERROR(
  TEXTJOIN(CHAR(10),TRUE,FILTER('SUMMARY DATA'!I:I,'SUMMARY DATA'!$A:$A=$A158,'SUMMARY DATA'!$C:$C=$B158,'SUMMARY DATA'!$B:$B=""RWS"")),
  IF(
    OR(
      ISNUMBER(SEARCH(""CDM CASH DEPOSIT"",$C158)),
      ISNUMBER(SEARCH(""CASH DEPOSIT"",$C15"&amp;"8)),
      COUNTIFS('SUMMARY DATA'!$D:$D,$C158,'SUMMARY DATA'!$B:$B,""RWS"")&lt;&gt;1
    ),
    """",
    IFERROR(TEXTJOIN(CHAR(10),TRUE,FILTER('SUMMARY DATA'!I:I,'SUMMARY DATA'!$D:$D=$C158,'SUMMARY DATA'!$B:$B=""RWS"")),"""")
  )
)"),"")</f>
      </c>
      <c r="K158" s="2"/>
      <c r="L158" s="2"/>
      <c r="M158" s="2"/>
      <c r="N158" s="2"/>
      <c r="O158" s="2"/>
      <c r="P158" s="2"/>
      <c r="Q158" s="2"/>
      <c r="R158" s="2"/>
      <c r="S158" s="2"/>
      <c r="T158" s="2"/>
      <c r="U158" s="2"/>
      <c r="V158" s="2"/>
      <c r="W158" s="2"/>
      <c r="X158" s="2"/>
      <c r="Y158" s="2"/>
      <c r="Z158" s="2"/>
      <c r="AA158" s="2"/>
      <c r="AB158" s="2"/>
    </row>
    <row r="159" spans="1:28" customHeight="true">
      <c r="A159" s="2"/>
      <c r="B159" s="15">
        <v>45956</v>
      </c>
      <c r="C159" s="2" t="s">
        <v>240</v>
      </c>
      <c r="D159" s="3">
        <v>60</v>
      </c>
      <c r="E159" s="16" t="str">
        <f>IFERROR(__xludf.DUMMYFUNCTION("IFERROR(
  TEXTJOIN(CHAR(10),TRUE,FILTER('SUMMARY DATA'!E:E,'SUMMARY DATA'!$A:$A=$A159,'SUMMARY DATA'!$C:$C=$B159,'SUMMARY DATA'!$B:$B=""RWS"")),
  IF(
    OR(
      ISNUMBER(SEARCH(""CDM CASH DEPOSIT"",$C159)),
      ISNUMBER(SEARCH(""CASH DEPOSIT"",$C15"&amp;"9)),
      COUNTIFS('SUMMARY DATA'!$D:$D,$C159,'SUMMARY DATA'!$B:$B,""RWS"")&lt;&gt;1
    ),
    """",
    IFERROR(TEXTJOIN(CHAR(10),TRUE,FILTER('SUMMARY DATA'!E:E,'SUMMARY DATA'!$D:$D=$C159,'SUMMARY DATA'!$B:$B=""RWS"")),"""")
  )
)"),"")</f>
      </c>
      <c r="F159" s="17" t="str">
        <f>IFERROR(__xludf.DUMMYFUNCTION("IFERROR(
  TEXTJOIN(CHAR(10),TRUE,FILTER('SUMMARY DATA'!F:F,'SUMMARY DATA'!$A:$A=$A159,'SUMMARY DATA'!$C:$C=$B159,'SUMMARY DATA'!$B:$B=""RWS"")),
  IF(
    OR(
      ISNUMBER(SEARCH(""CDM CASH DEPOSIT"",$C159)),
      ISNUMBER(SEARCH(""CASH DEPOSIT"",$C15"&amp;"9)),
      COUNTIFS('SUMMARY DATA'!$D:$D,$C159,'SUMMARY DATA'!$B:$B,""RWS"")&lt;&gt;1
    ),
    """",
    IFERROR(TEXTJOIN(CHAR(10),TRUE,FILTER('SUMMARY DATA'!F:F,'SUMMARY DATA'!$D:$D=$C159,'SUMMARY DATA'!$B:$B=""RWS"")),"""")
  )
)"),"")</f>
      </c>
      <c r="G159" s="17" t="str">
        <f>IFERROR(__xludf.DUMMYFUNCTION("IFERROR(
  TEXTJOIN(CHAR(10),TRUE,FILTER('SUMMARY DATA'!G:G,'SUMMARY DATA'!$A:$A=$A159,'SUMMARY DATA'!$C:$C=$B159,'SUMMARY DATA'!$B:$B=""RWS"")),
  IF(
    OR(
      ISNUMBER(SEARCH(""CDM CASH DEPOSIT"",$C159)),
      ISNUMBER(SEARCH(""CASH DEPOSIT"",$C15"&amp;"9)),
      COUNTIFS('SUMMARY DATA'!$D:$D,$C159,'SUMMARY DATA'!$B:$B,""RWS"")&lt;&gt;1
    ),
    """",
    IFERROR(TEXTJOIN(CHAR(10),TRUE,FILTER('SUMMARY DATA'!G:G,'SUMMARY DATA'!$D:$D=$C159,'SUMMARY DATA'!$B:$B=""RWS"")),"""")
  )
)"),"")</f>
      </c>
      <c r="H159" s="18" t="str">
        <f>IFERROR(__xludf.DUMMYFUNCTION("IFERROR(
  TEXTJOIN(CHAR(10),TRUE,FILTER('SUMMARY DATA'!H:H,'SUMMARY DATA'!$A:$A=$A159,'SUMMARY DATA'!$C:$C=$B159,'SUMMARY DATA'!$B:$B=""RWS"",'SUMMARY DATA'!$H:$H=$D159)),
  IF(
    OR(
      ISNUMBER(SEARCH(""CDM CASH DEPOSIT"",$C159)),
      ISNUMBER(S"&amp;"EARCH(""CASH DEPOSIT"",$C159))
    ),
    """",
    IFERROR(TEXTJOIN(CHAR(10),TRUE,FILTER('SUMMARY DATA'!H:H,'SUMMARY DATA'!$D:$D=$C159,'SUMMARY DATA'!$B:$B=""RWS"",'SUMMARY DATA'!$H:$H=$D159)),"""")
  )
)"),"")</f>
      </c>
      <c r="I159" s="18" t="str">
        <f>IFERROR(__xludf.DUMMYFUNCTION("IF(H159="""","""",
SUM(ARRAYFORMULA(VALUE(SPLIT(H159,CHAR(10)))))
)"),"")</f>
      </c>
      <c r="J159" s="17" t="str">
        <f>IFERROR(__xludf.DUMMYFUNCTION("IFERROR(
  TEXTJOIN(CHAR(10),TRUE,FILTER('SUMMARY DATA'!I:I,'SUMMARY DATA'!$A:$A=$A159,'SUMMARY DATA'!$C:$C=$B159,'SUMMARY DATA'!$B:$B=""RWS"")),
  IF(
    OR(
      ISNUMBER(SEARCH(""CDM CASH DEPOSIT"",$C159)),
      ISNUMBER(SEARCH(""CASH DEPOSIT"",$C15"&amp;"9)),
      COUNTIFS('SUMMARY DATA'!$D:$D,$C159,'SUMMARY DATA'!$B:$B,""RWS"")&lt;&gt;1
    ),
    """",
    IFERROR(TEXTJOIN(CHAR(10),TRUE,FILTER('SUMMARY DATA'!I:I,'SUMMARY DATA'!$D:$D=$C159,'SUMMARY DATA'!$B:$B=""RWS"")),"""")
  )
)"),"")</f>
      </c>
      <c r="K159" s="2"/>
      <c r="L159" s="2"/>
      <c r="M159" s="2"/>
      <c r="N159" s="2"/>
      <c r="O159" s="2"/>
      <c r="P159" s="2"/>
      <c r="Q159" s="2"/>
      <c r="R159" s="2"/>
      <c r="S159" s="2"/>
      <c r="T159" s="2"/>
      <c r="U159" s="2"/>
      <c r="V159" s="2"/>
      <c r="W159" s="2"/>
      <c r="X159" s="2"/>
      <c r="Y159" s="2"/>
      <c r="Z159" s="2"/>
      <c r="AA159" s="2"/>
      <c r="AB159" s="2"/>
    </row>
    <row r="160" spans="1:28" customHeight="true">
      <c r="A160" s="2" t="s">
        <v>241</v>
      </c>
      <c r="B160" s="15">
        <v>45955</v>
      </c>
      <c r="C160" s="2" t="s">
        <v>242</v>
      </c>
      <c r="D160" s="3">
        <v>5</v>
      </c>
      <c r="E160" s="16" t="str">
        <f>IFERROR(__xludf.DUMMYFUNCTION("IFERROR(
  TEXTJOIN(CHAR(10),TRUE,FILTER('SUMMARY DATA'!E:E,'SUMMARY DATA'!$A:$A=$A160,'SUMMARY DATA'!$C:$C=$B160,'SUMMARY DATA'!$B:$B=""RWS"")),
  IF(
    OR(
      ISNUMBER(SEARCH(""CDM CASH DEPOSIT"",$C160)),
      ISNUMBER(SEARCH(""CASH DEPOSIT"",$C16"&amp;"0)),
      COUNTIFS('SUMMARY DATA'!$D:$D,$C160,'SUMMARY DATA'!$B:$B,""RWS"")&lt;&gt;1
    ),
    """",
    IFERROR(TEXTJOIN(CHAR(10),TRUE,FILTER('SUMMARY DATA'!E:E,'SUMMARY DATA'!$D:$D=$C160,'SUMMARY DATA'!$B:$B=""RWS"")),"""")
  )
)"),"")</f>
      </c>
      <c r="F160" s="17" t="str">
        <f>IFERROR(__xludf.DUMMYFUNCTION("IFERROR(
  TEXTJOIN(CHAR(10),TRUE,FILTER('SUMMARY DATA'!F:F,'SUMMARY DATA'!$A:$A=$A160,'SUMMARY DATA'!$C:$C=$B160,'SUMMARY DATA'!$B:$B=""RWS"")),
  IF(
    OR(
      ISNUMBER(SEARCH(""CDM CASH DEPOSIT"",$C160)),
      ISNUMBER(SEARCH(""CASH DEPOSIT"",$C16"&amp;"0)),
      COUNTIFS('SUMMARY DATA'!$D:$D,$C160,'SUMMARY DATA'!$B:$B,""RWS"")&lt;&gt;1
    ),
    """",
    IFERROR(TEXTJOIN(CHAR(10),TRUE,FILTER('SUMMARY DATA'!F:F,'SUMMARY DATA'!$D:$D=$C160,'SUMMARY DATA'!$B:$B=""RWS"")),"""")
  )
)"),"")</f>
      </c>
      <c r="G160" s="17" t="str">
        <f>IFERROR(__xludf.DUMMYFUNCTION("IFERROR(
  TEXTJOIN(CHAR(10),TRUE,FILTER('SUMMARY DATA'!G:G,'SUMMARY DATA'!$A:$A=$A160,'SUMMARY DATA'!$C:$C=$B160,'SUMMARY DATA'!$B:$B=""RWS"")),
  IF(
    OR(
      ISNUMBER(SEARCH(""CDM CASH DEPOSIT"",$C160)),
      ISNUMBER(SEARCH(""CASH DEPOSIT"",$C16"&amp;"0)),
      COUNTIFS('SUMMARY DATA'!$D:$D,$C160,'SUMMARY DATA'!$B:$B,""RWS"")&lt;&gt;1
    ),
    """",
    IFERROR(TEXTJOIN(CHAR(10),TRUE,FILTER('SUMMARY DATA'!G:G,'SUMMARY DATA'!$D:$D=$C160,'SUMMARY DATA'!$B:$B=""RWS"")),"""")
  )
)"),"")</f>
      </c>
      <c r="H160" s="18" t="str">
        <f>IFERROR(__xludf.DUMMYFUNCTION("IFERROR(
  TEXTJOIN(CHAR(10),TRUE,FILTER('SUMMARY DATA'!H:H,'SUMMARY DATA'!$A:$A=$A160,'SUMMARY DATA'!$C:$C=$B160,'SUMMARY DATA'!$B:$B=""RWS"",'SUMMARY DATA'!$H:$H=$D160)),
  IF(
    OR(
      ISNUMBER(SEARCH(""CDM CASH DEPOSIT"",$C160)),
      ISNUMBER(S"&amp;"EARCH(""CASH DEPOSIT"",$C160))
    ),
    """",
    IFERROR(TEXTJOIN(CHAR(10),TRUE,FILTER('SUMMARY DATA'!H:H,'SUMMARY DATA'!$D:$D=$C160,'SUMMARY DATA'!$B:$B=""RWS"",'SUMMARY DATA'!$H:$H=$D160)),"""")
  )
)"),"")</f>
      </c>
      <c r="I160" s="18" t="str">
        <f>IFERROR(__xludf.DUMMYFUNCTION("IF(H160="""","""",
SUM(ARRAYFORMULA(VALUE(SPLIT(H160,CHAR(10)))))
)"),"")</f>
      </c>
      <c r="J160" s="17" t="str">
        <f>IFERROR(__xludf.DUMMYFUNCTION("IFERROR(
  TEXTJOIN(CHAR(10),TRUE,FILTER('SUMMARY DATA'!I:I,'SUMMARY DATA'!$A:$A=$A160,'SUMMARY DATA'!$C:$C=$B160,'SUMMARY DATA'!$B:$B=""RWS"")),
  IF(
    OR(
      ISNUMBER(SEARCH(""CDM CASH DEPOSIT"",$C160)),
      ISNUMBER(SEARCH(""CASH DEPOSIT"",$C16"&amp;"0)),
      COUNTIFS('SUMMARY DATA'!$D:$D,$C160,'SUMMARY DATA'!$B:$B,""RWS"")&lt;&gt;1
    ),
    """",
    IFERROR(TEXTJOIN(CHAR(10),TRUE,FILTER('SUMMARY DATA'!I:I,'SUMMARY DATA'!$D:$D=$C160,'SUMMARY DATA'!$B:$B=""RWS"")),"""")
  )
)"),"")</f>
      </c>
      <c r="K160" s="2"/>
      <c r="L160" s="2"/>
      <c r="M160" s="2"/>
      <c r="N160" s="2"/>
      <c r="O160" s="2"/>
      <c r="P160" s="2"/>
      <c r="Q160" s="2"/>
      <c r="R160" s="2"/>
      <c r="S160" s="2"/>
      <c r="T160" s="2"/>
      <c r="U160" s="2"/>
      <c r="V160" s="2"/>
      <c r="W160" s="2"/>
      <c r="X160" s="2"/>
      <c r="Y160" s="2"/>
      <c r="Z160" s="2"/>
      <c r="AA160" s="2"/>
      <c r="AB160" s="2"/>
    </row>
    <row r="161" spans="1:28" customHeight="true">
      <c r="A161" s="2" t="s">
        <v>243</v>
      </c>
      <c r="B161" s="15">
        <v>45955</v>
      </c>
      <c r="C161" s="2" t="s">
        <v>244</v>
      </c>
      <c r="D161" s="3">
        <v>448.33</v>
      </c>
      <c r="E161" s="16" t="str">
        <f>IFERROR(__xludf.DUMMYFUNCTION("IFERROR(
  TEXTJOIN(CHAR(10),TRUE,FILTER('SUMMARY DATA'!E:E,'SUMMARY DATA'!$A:$A=$A161,'SUMMARY DATA'!$C:$C=$B161,'SUMMARY DATA'!$B:$B=""RWS"")),
  IF(
    OR(
      ISNUMBER(SEARCH(""CDM CASH DEPOSIT"",$C161)),
      ISNUMBER(SEARCH(""CASH DEPOSIT"",$C16"&amp;"1)),
      COUNTIFS('SUMMARY DATA'!$D:$D,$C161,'SUMMARY DATA'!$B:$B,""RWS"")&lt;&gt;1
    ),
    """",
    IFERROR(TEXTJOIN(CHAR(10),TRUE,FILTER('SUMMARY DATA'!E:E,'SUMMARY DATA'!$D:$D=$C161,'SUMMARY DATA'!$B:$B=""RWS"")),"""")
  )
)"),"")</f>
      </c>
      <c r="F161" s="17" t="str">
        <f>IFERROR(__xludf.DUMMYFUNCTION("IFERROR(
  TEXTJOIN(CHAR(10),TRUE,FILTER('SUMMARY DATA'!F:F,'SUMMARY DATA'!$A:$A=$A161,'SUMMARY DATA'!$C:$C=$B161,'SUMMARY DATA'!$B:$B=""RWS"")),
  IF(
    OR(
      ISNUMBER(SEARCH(""CDM CASH DEPOSIT"",$C161)),
      ISNUMBER(SEARCH(""CASH DEPOSIT"",$C16"&amp;"1)),
      COUNTIFS('SUMMARY DATA'!$D:$D,$C161,'SUMMARY DATA'!$B:$B,""RWS"")&lt;&gt;1
    ),
    """",
    IFERROR(TEXTJOIN(CHAR(10),TRUE,FILTER('SUMMARY DATA'!F:F,'SUMMARY DATA'!$D:$D=$C161,'SUMMARY DATA'!$B:$B=""RWS"")),"""")
  )
)"),"")</f>
      </c>
      <c r="G161" s="17" t="str">
        <f>IFERROR(__xludf.DUMMYFUNCTION("IFERROR(
  TEXTJOIN(CHAR(10),TRUE,FILTER('SUMMARY DATA'!G:G,'SUMMARY DATA'!$A:$A=$A161,'SUMMARY DATA'!$C:$C=$B161,'SUMMARY DATA'!$B:$B=""RWS"")),
  IF(
    OR(
      ISNUMBER(SEARCH(""CDM CASH DEPOSIT"",$C161)),
      ISNUMBER(SEARCH(""CASH DEPOSIT"",$C16"&amp;"1)),
      COUNTIFS('SUMMARY DATA'!$D:$D,$C161,'SUMMARY DATA'!$B:$B,""RWS"")&lt;&gt;1
    ),
    """",
    IFERROR(TEXTJOIN(CHAR(10),TRUE,FILTER('SUMMARY DATA'!G:G,'SUMMARY DATA'!$D:$D=$C161,'SUMMARY DATA'!$B:$B=""RWS"")),"""")
  )
)"),"")</f>
      </c>
      <c r="H161" s="18" t="str">
        <f>IFERROR(__xludf.DUMMYFUNCTION("IFERROR(
  TEXTJOIN(CHAR(10),TRUE,FILTER('SUMMARY DATA'!H:H,'SUMMARY DATA'!$A:$A=$A161,'SUMMARY DATA'!$C:$C=$B161,'SUMMARY DATA'!$B:$B=""RWS"",'SUMMARY DATA'!$H:$H=$D161)),
  IF(
    OR(
      ISNUMBER(SEARCH(""CDM CASH DEPOSIT"",$C161)),
      ISNUMBER(S"&amp;"EARCH(""CASH DEPOSIT"",$C161))
    ),
    """",
    IFERROR(TEXTJOIN(CHAR(10),TRUE,FILTER('SUMMARY DATA'!H:H,'SUMMARY DATA'!$D:$D=$C161,'SUMMARY DATA'!$B:$B=""RWS"",'SUMMARY DATA'!$H:$H=$D161)),"""")
  )
)"),"")</f>
      </c>
      <c r="I161" s="18" t="str">
        <f>IFERROR(__xludf.DUMMYFUNCTION("IF(H161="""","""",
SUM(ARRAYFORMULA(VALUE(SPLIT(H161,CHAR(10)))))
)"),"")</f>
      </c>
      <c r="J161" s="17" t="str">
        <f>IFERROR(__xludf.DUMMYFUNCTION("IFERROR(
  TEXTJOIN(CHAR(10),TRUE,FILTER('SUMMARY DATA'!I:I,'SUMMARY DATA'!$A:$A=$A161,'SUMMARY DATA'!$C:$C=$B161,'SUMMARY DATA'!$B:$B=""RWS"")),
  IF(
    OR(
      ISNUMBER(SEARCH(""CDM CASH DEPOSIT"",$C161)),
      ISNUMBER(SEARCH(""CASH DEPOSIT"",$C16"&amp;"1)),
      COUNTIFS('SUMMARY DATA'!$D:$D,$C161,'SUMMARY DATA'!$B:$B,""RWS"")&lt;&gt;1
    ),
    """",
    IFERROR(TEXTJOIN(CHAR(10),TRUE,FILTER('SUMMARY DATA'!I:I,'SUMMARY DATA'!$D:$D=$C161,'SUMMARY DATA'!$B:$B=""RWS"")),"""")
  )
)"),"")</f>
      </c>
      <c r="K161" s="2"/>
      <c r="L161" s="2"/>
      <c r="M161" s="2"/>
      <c r="N161" s="2"/>
      <c r="O161" s="2"/>
      <c r="P161" s="2"/>
      <c r="Q161" s="2"/>
      <c r="R161" s="2"/>
      <c r="S161" s="2"/>
      <c r="T161" s="2"/>
      <c r="U161" s="2"/>
      <c r="V161" s="2"/>
      <c r="W161" s="2"/>
      <c r="X161" s="2"/>
      <c r="Y161" s="2"/>
      <c r="Z161" s="2"/>
      <c r="AA161" s="2"/>
      <c r="AB161" s="2"/>
    </row>
    <row r="162" spans="1:28" customHeight="true">
      <c r="A162" s="2"/>
      <c r="B162" s="15">
        <v>45955</v>
      </c>
      <c r="C162" s="2" t="s">
        <v>245</v>
      </c>
      <c r="D162" s="3">
        <v>177.73</v>
      </c>
      <c r="E162" s="16" t="str">
        <f>IFERROR(__xludf.DUMMYFUNCTION("IFERROR(
  TEXTJOIN(CHAR(10),TRUE,FILTER('SUMMARY DATA'!E:E,'SUMMARY DATA'!$A:$A=$A162,'SUMMARY DATA'!$C:$C=$B162,'SUMMARY DATA'!$B:$B=""RWS"")),
  IF(
    OR(
      ISNUMBER(SEARCH(""CDM CASH DEPOSIT"",$C162)),
      ISNUMBER(SEARCH(""CASH DEPOSIT"",$C16"&amp;"2)),
      COUNTIFS('SUMMARY DATA'!$D:$D,$C162,'SUMMARY DATA'!$B:$B,""RWS"")&lt;&gt;1
    ),
    """",
    IFERROR(TEXTJOIN(CHAR(10),TRUE,FILTER('SUMMARY DATA'!E:E,'SUMMARY DATA'!$D:$D=$C162,'SUMMARY DATA'!$B:$B=""RWS"")),"""")
  )
)"),"")</f>
      </c>
      <c r="F162" s="17" t="str">
        <f>IFERROR(__xludf.DUMMYFUNCTION("IFERROR(
  TEXTJOIN(CHAR(10),TRUE,FILTER('SUMMARY DATA'!F:F,'SUMMARY DATA'!$A:$A=$A162,'SUMMARY DATA'!$C:$C=$B162,'SUMMARY DATA'!$B:$B=""RWS"")),
  IF(
    OR(
      ISNUMBER(SEARCH(""CDM CASH DEPOSIT"",$C162)),
      ISNUMBER(SEARCH(""CASH DEPOSIT"",$C16"&amp;"2)),
      COUNTIFS('SUMMARY DATA'!$D:$D,$C162,'SUMMARY DATA'!$B:$B,""RWS"")&lt;&gt;1
    ),
    """",
    IFERROR(TEXTJOIN(CHAR(10),TRUE,FILTER('SUMMARY DATA'!F:F,'SUMMARY DATA'!$D:$D=$C162,'SUMMARY DATA'!$B:$B=""RWS"")),"""")
  )
)"),"")</f>
      </c>
      <c r="G162" s="17" t="str">
        <f>IFERROR(__xludf.DUMMYFUNCTION("IFERROR(
  TEXTJOIN(CHAR(10),TRUE,FILTER('SUMMARY DATA'!G:G,'SUMMARY DATA'!$A:$A=$A162,'SUMMARY DATA'!$C:$C=$B162,'SUMMARY DATA'!$B:$B=""RWS"")),
  IF(
    OR(
      ISNUMBER(SEARCH(""CDM CASH DEPOSIT"",$C162)),
      ISNUMBER(SEARCH(""CASH DEPOSIT"",$C16"&amp;"2)),
      COUNTIFS('SUMMARY DATA'!$D:$D,$C162,'SUMMARY DATA'!$B:$B,""RWS"")&lt;&gt;1
    ),
    """",
    IFERROR(TEXTJOIN(CHAR(10),TRUE,FILTER('SUMMARY DATA'!G:G,'SUMMARY DATA'!$D:$D=$C162,'SUMMARY DATA'!$B:$B=""RWS"")),"""")
  )
)"),"")</f>
      </c>
      <c r="H162" s="18" t="str">
        <f>IFERROR(__xludf.DUMMYFUNCTION("IFERROR(
  TEXTJOIN(CHAR(10),TRUE,FILTER('SUMMARY DATA'!H:H,'SUMMARY DATA'!$A:$A=$A162,'SUMMARY DATA'!$C:$C=$B162,'SUMMARY DATA'!$B:$B=""RWS"",'SUMMARY DATA'!$H:$H=$D162)),
  IF(
    OR(
      ISNUMBER(SEARCH(""CDM CASH DEPOSIT"",$C162)),
      ISNUMBER(S"&amp;"EARCH(""CASH DEPOSIT"",$C162))
    ),
    """",
    IFERROR(TEXTJOIN(CHAR(10),TRUE,FILTER('SUMMARY DATA'!H:H,'SUMMARY DATA'!$D:$D=$C162,'SUMMARY DATA'!$B:$B=""RWS"",'SUMMARY DATA'!$H:$H=$D162)),"""")
  )
)"),"")</f>
      </c>
      <c r="I162" s="18" t="str">
        <f>IFERROR(__xludf.DUMMYFUNCTION("IF(H162="""","""",
SUM(ARRAYFORMULA(VALUE(SPLIT(H162,CHAR(10)))))
)"),"")</f>
      </c>
      <c r="J162" s="17" t="str">
        <f>IFERROR(__xludf.DUMMYFUNCTION("IFERROR(
  TEXTJOIN(CHAR(10),TRUE,FILTER('SUMMARY DATA'!I:I,'SUMMARY DATA'!$A:$A=$A162,'SUMMARY DATA'!$C:$C=$B162,'SUMMARY DATA'!$B:$B=""RWS"")),
  IF(
    OR(
      ISNUMBER(SEARCH(""CDM CASH DEPOSIT"",$C162)),
      ISNUMBER(SEARCH(""CASH DEPOSIT"",$C16"&amp;"2)),
      COUNTIFS('SUMMARY DATA'!$D:$D,$C162,'SUMMARY DATA'!$B:$B,""RWS"")&lt;&gt;1
    ),
    """",
    IFERROR(TEXTJOIN(CHAR(10),TRUE,FILTER('SUMMARY DATA'!I:I,'SUMMARY DATA'!$D:$D=$C162,'SUMMARY DATA'!$B:$B=""RWS"")),"""")
  )
)"),"")</f>
      </c>
      <c r="K162" s="2"/>
      <c r="L162" s="2"/>
      <c r="M162" s="2"/>
      <c r="N162" s="2"/>
      <c r="O162" s="2"/>
      <c r="P162" s="2"/>
      <c r="Q162" s="2"/>
      <c r="R162" s="2"/>
      <c r="S162" s="2"/>
      <c r="T162" s="2"/>
      <c r="U162" s="2"/>
      <c r="V162" s="2"/>
      <c r="W162" s="2"/>
      <c r="X162" s="2"/>
      <c r="Y162" s="2"/>
      <c r="Z162" s="2"/>
      <c r="AA162" s="2"/>
      <c r="AB162" s="2"/>
    </row>
    <row r="163" spans="1:28" customHeight="true">
      <c r="A163" s="2" t="s">
        <v>246</v>
      </c>
      <c r="B163" s="15">
        <v>45955</v>
      </c>
      <c r="C163" s="2" t="s">
        <v>247</v>
      </c>
      <c r="D163" s="3">
        <v>10</v>
      </c>
      <c r="E163" s="16" t="str">
        <f>IFERROR(__xludf.DUMMYFUNCTION("IFERROR(
  TEXTJOIN(CHAR(10),TRUE,FILTER('SUMMARY DATA'!E:E,'SUMMARY DATA'!$A:$A=$A163,'SUMMARY DATA'!$C:$C=$B163,'SUMMARY DATA'!$B:$B=""RWS"")),
  IF(
    OR(
      ISNUMBER(SEARCH(""CDM CASH DEPOSIT"",$C163)),
      ISNUMBER(SEARCH(""CASH DEPOSIT"",$C16"&amp;"3)),
      COUNTIFS('SUMMARY DATA'!$D:$D,$C163,'SUMMARY DATA'!$B:$B,""RWS"")&lt;&gt;1
    ),
    """",
    IFERROR(TEXTJOIN(CHAR(10),TRUE,FILTER('SUMMARY DATA'!E:E,'SUMMARY DATA'!$D:$D=$C163,'SUMMARY DATA'!$B:$B=""RWS"")),"""")
  )
)"),"")</f>
      </c>
      <c r="F163" s="17" t="str">
        <f>IFERROR(__xludf.DUMMYFUNCTION("IFERROR(
  TEXTJOIN(CHAR(10),TRUE,FILTER('SUMMARY DATA'!F:F,'SUMMARY DATA'!$A:$A=$A163,'SUMMARY DATA'!$C:$C=$B163,'SUMMARY DATA'!$B:$B=""RWS"")),
  IF(
    OR(
      ISNUMBER(SEARCH(""CDM CASH DEPOSIT"",$C163)),
      ISNUMBER(SEARCH(""CASH DEPOSIT"",$C16"&amp;"3)),
      COUNTIFS('SUMMARY DATA'!$D:$D,$C163,'SUMMARY DATA'!$B:$B,""RWS"")&lt;&gt;1
    ),
    """",
    IFERROR(TEXTJOIN(CHAR(10),TRUE,FILTER('SUMMARY DATA'!F:F,'SUMMARY DATA'!$D:$D=$C163,'SUMMARY DATA'!$B:$B=""RWS"")),"""")
  )
)"),"")</f>
      </c>
      <c r="G163" s="17" t="str">
        <f>IFERROR(__xludf.DUMMYFUNCTION("IFERROR(
  TEXTJOIN(CHAR(10),TRUE,FILTER('SUMMARY DATA'!G:G,'SUMMARY DATA'!$A:$A=$A163,'SUMMARY DATA'!$C:$C=$B163,'SUMMARY DATA'!$B:$B=""RWS"")),
  IF(
    OR(
      ISNUMBER(SEARCH(""CDM CASH DEPOSIT"",$C163)),
      ISNUMBER(SEARCH(""CASH DEPOSIT"",$C16"&amp;"3)),
      COUNTIFS('SUMMARY DATA'!$D:$D,$C163,'SUMMARY DATA'!$B:$B,""RWS"")&lt;&gt;1
    ),
    """",
    IFERROR(TEXTJOIN(CHAR(10),TRUE,FILTER('SUMMARY DATA'!G:G,'SUMMARY DATA'!$D:$D=$C163,'SUMMARY DATA'!$B:$B=""RWS"")),"""")
  )
)"),"")</f>
      </c>
      <c r="H163" s="18" t="str">
        <f>IFERROR(__xludf.DUMMYFUNCTION("IFERROR(
  TEXTJOIN(CHAR(10),TRUE,FILTER('SUMMARY DATA'!H:H,'SUMMARY DATA'!$A:$A=$A163,'SUMMARY DATA'!$C:$C=$B163,'SUMMARY DATA'!$B:$B=""RWS"",'SUMMARY DATA'!$H:$H=$D163)),
  IF(
    OR(
      ISNUMBER(SEARCH(""CDM CASH DEPOSIT"",$C163)),
      ISNUMBER(S"&amp;"EARCH(""CASH DEPOSIT"",$C163))
    ),
    """",
    IFERROR(TEXTJOIN(CHAR(10),TRUE,FILTER('SUMMARY DATA'!H:H,'SUMMARY DATA'!$D:$D=$C163,'SUMMARY DATA'!$B:$B=""RWS"",'SUMMARY DATA'!$H:$H=$D163)),"""")
  )
)"),"")</f>
      </c>
      <c r="I163" s="18" t="str">
        <f>IFERROR(__xludf.DUMMYFUNCTION("IF(H163="""","""",
SUM(ARRAYFORMULA(VALUE(SPLIT(H163,CHAR(10)))))
)"),"")</f>
      </c>
      <c r="J163" s="17" t="str">
        <f>IFERROR(__xludf.DUMMYFUNCTION("IFERROR(
  TEXTJOIN(CHAR(10),TRUE,FILTER('SUMMARY DATA'!I:I,'SUMMARY DATA'!$A:$A=$A163,'SUMMARY DATA'!$C:$C=$B163,'SUMMARY DATA'!$B:$B=""RWS"")),
  IF(
    OR(
      ISNUMBER(SEARCH(""CDM CASH DEPOSIT"",$C163)),
      ISNUMBER(SEARCH(""CASH DEPOSIT"",$C16"&amp;"3)),
      COUNTIFS('SUMMARY DATA'!$D:$D,$C163,'SUMMARY DATA'!$B:$B,""RWS"")&lt;&gt;1
    ),
    """",
    IFERROR(TEXTJOIN(CHAR(10),TRUE,FILTER('SUMMARY DATA'!I:I,'SUMMARY DATA'!$D:$D=$C163,'SUMMARY DATA'!$B:$B=""RWS"")),"""")
  )
)"),"")</f>
      </c>
      <c r="K163" s="2"/>
      <c r="L163" s="2"/>
      <c r="M163" s="2"/>
      <c r="N163" s="2"/>
      <c r="O163" s="2"/>
      <c r="P163" s="2"/>
      <c r="Q163" s="2"/>
      <c r="R163" s="2"/>
      <c r="S163" s="2"/>
      <c r="T163" s="2"/>
      <c r="U163" s="2"/>
      <c r="V163" s="2"/>
      <c r="W163" s="2"/>
      <c r="X163" s="2"/>
      <c r="Y163" s="2"/>
      <c r="Z163" s="2"/>
      <c r="AA163" s="2"/>
      <c r="AB163" s="2"/>
    </row>
    <row r="164" spans="1:28" customHeight="true">
      <c r="A164" s="2"/>
      <c r="B164" s="15">
        <v>45955</v>
      </c>
      <c r="C164" s="2" t="s">
        <v>248</v>
      </c>
      <c r="D164" s="3">
        <v>17.8</v>
      </c>
      <c r="E164" s="16" t="str">
        <f>IFERROR(__xludf.DUMMYFUNCTION("IFERROR(
  TEXTJOIN(CHAR(10),TRUE,FILTER('SUMMARY DATA'!E:E,'SUMMARY DATA'!$A:$A=$A164,'SUMMARY DATA'!$C:$C=$B164,'SUMMARY DATA'!$B:$B=""RWS"")),
  IF(
    OR(
      ISNUMBER(SEARCH(""CDM CASH DEPOSIT"",$C164)),
      ISNUMBER(SEARCH(""CASH DEPOSIT"",$C16"&amp;"4)),
      COUNTIFS('SUMMARY DATA'!$D:$D,$C164,'SUMMARY DATA'!$B:$B,""RWS"")&lt;&gt;1
    ),
    """",
    IFERROR(TEXTJOIN(CHAR(10),TRUE,FILTER('SUMMARY DATA'!E:E,'SUMMARY DATA'!$D:$D=$C164,'SUMMARY DATA'!$B:$B=""RWS"")),"""")
  )
)"),"")</f>
      </c>
      <c r="F164" s="17" t="str">
        <f>IFERROR(__xludf.DUMMYFUNCTION("IFERROR(
  TEXTJOIN(CHAR(10),TRUE,FILTER('SUMMARY DATA'!F:F,'SUMMARY DATA'!$A:$A=$A164,'SUMMARY DATA'!$C:$C=$B164,'SUMMARY DATA'!$B:$B=""RWS"")),
  IF(
    OR(
      ISNUMBER(SEARCH(""CDM CASH DEPOSIT"",$C164)),
      ISNUMBER(SEARCH(""CASH DEPOSIT"",$C16"&amp;"4)),
      COUNTIFS('SUMMARY DATA'!$D:$D,$C164,'SUMMARY DATA'!$B:$B,""RWS"")&lt;&gt;1
    ),
    """",
    IFERROR(TEXTJOIN(CHAR(10),TRUE,FILTER('SUMMARY DATA'!F:F,'SUMMARY DATA'!$D:$D=$C164,'SUMMARY DATA'!$B:$B=""RWS"")),"""")
  )
)"),"")</f>
      </c>
      <c r="G164" s="17" t="str">
        <f>IFERROR(__xludf.DUMMYFUNCTION("IFERROR(
  TEXTJOIN(CHAR(10),TRUE,FILTER('SUMMARY DATA'!G:G,'SUMMARY DATA'!$A:$A=$A164,'SUMMARY DATA'!$C:$C=$B164,'SUMMARY DATA'!$B:$B=""RWS"")),
  IF(
    OR(
      ISNUMBER(SEARCH(""CDM CASH DEPOSIT"",$C164)),
      ISNUMBER(SEARCH(""CASH DEPOSIT"",$C16"&amp;"4)),
      COUNTIFS('SUMMARY DATA'!$D:$D,$C164,'SUMMARY DATA'!$B:$B,""RWS"")&lt;&gt;1
    ),
    """",
    IFERROR(TEXTJOIN(CHAR(10),TRUE,FILTER('SUMMARY DATA'!G:G,'SUMMARY DATA'!$D:$D=$C164,'SUMMARY DATA'!$B:$B=""RWS"")),"""")
  )
)"),"")</f>
      </c>
      <c r="H164" s="18" t="str">
        <f>IFERROR(__xludf.DUMMYFUNCTION("IFERROR(
  TEXTJOIN(CHAR(10),TRUE,FILTER('SUMMARY DATA'!H:H,'SUMMARY DATA'!$A:$A=$A164,'SUMMARY DATA'!$C:$C=$B164,'SUMMARY DATA'!$B:$B=""RWS"",'SUMMARY DATA'!$H:$H=$D164)),
  IF(
    OR(
      ISNUMBER(SEARCH(""CDM CASH DEPOSIT"",$C164)),
      ISNUMBER(S"&amp;"EARCH(""CASH DEPOSIT"",$C164))
    ),
    """",
    IFERROR(TEXTJOIN(CHAR(10),TRUE,FILTER('SUMMARY DATA'!H:H,'SUMMARY DATA'!$D:$D=$C164,'SUMMARY DATA'!$B:$B=""RWS"",'SUMMARY DATA'!$H:$H=$D164)),"""")
  )
)"),"")</f>
      </c>
      <c r="I164" s="18" t="str">
        <f>IFERROR(__xludf.DUMMYFUNCTION("IF(H164="""","""",
SUM(ARRAYFORMULA(VALUE(SPLIT(H164,CHAR(10)))))
)"),"")</f>
      </c>
      <c r="J164" s="17" t="str">
        <f>IFERROR(__xludf.DUMMYFUNCTION("IFERROR(
  TEXTJOIN(CHAR(10),TRUE,FILTER('SUMMARY DATA'!I:I,'SUMMARY DATA'!$A:$A=$A164,'SUMMARY DATA'!$C:$C=$B164,'SUMMARY DATA'!$B:$B=""RWS"")),
  IF(
    OR(
      ISNUMBER(SEARCH(""CDM CASH DEPOSIT"",$C164)),
      ISNUMBER(SEARCH(""CASH DEPOSIT"",$C16"&amp;"4)),
      COUNTIFS('SUMMARY DATA'!$D:$D,$C164,'SUMMARY DATA'!$B:$B,""RWS"")&lt;&gt;1
    ),
    """",
    IFERROR(TEXTJOIN(CHAR(10),TRUE,FILTER('SUMMARY DATA'!I:I,'SUMMARY DATA'!$D:$D=$C164,'SUMMARY DATA'!$B:$B=""RWS"")),"""")
  )
)"),"")</f>
      </c>
      <c r="K164" s="2"/>
      <c r="L164" s="2"/>
      <c r="M164" s="2"/>
      <c r="N164" s="2"/>
      <c r="O164" s="2"/>
      <c r="P164" s="2"/>
      <c r="Q164" s="2"/>
      <c r="R164" s="2"/>
      <c r="S164" s="2"/>
      <c r="T164" s="2"/>
      <c r="U164" s="2"/>
      <c r="V164" s="2"/>
      <c r="W164" s="2"/>
      <c r="X164" s="2"/>
      <c r="Y164" s="2"/>
      <c r="Z164" s="2"/>
      <c r="AA164" s="2"/>
      <c r="AB164" s="2"/>
    </row>
    <row r="165" spans="1:28" customHeight="true">
      <c r="A165" s="2"/>
      <c r="B165" s="15">
        <v>45954</v>
      </c>
      <c r="C165" s="2" t="s">
        <v>249</v>
      </c>
      <c r="D165" s="3">
        <v>112.51</v>
      </c>
      <c r="E165" s="16" t="str">
        <f>IFERROR(__xludf.DUMMYFUNCTION("IFERROR(
  TEXTJOIN(CHAR(10),TRUE,FILTER('SUMMARY DATA'!E:E,'SUMMARY DATA'!$A:$A=$A165,'SUMMARY DATA'!$C:$C=$B165,'SUMMARY DATA'!$B:$B=""RWS"")),
  IF(
    OR(
      ISNUMBER(SEARCH(""CDM CASH DEPOSIT"",$C165)),
      ISNUMBER(SEARCH(""CASH DEPOSIT"",$C16"&amp;"5)),
      COUNTIFS('SUMMARY DATA'!$D:$D,$C165,'SUMMARY DATA'!$B:$B,""RWS"")&lt;&gt;1
    ),
    """",
    IFERROR(TEXTJOIN(CHAR(10),TRUE,FILTER('SUMMARY DATA'!E:E,'SUMMARY DATA'!$D:$D=$C165,'SUMMARY DATA'!$B:$B=""RWS"")),"""")
  )
)"),"")</f>
      </c>
      <c r="F165" s="17" t="str">
        <f>IFERROR(__xludf.DUMMYFUNCTION("IFERROR(
  TEXTJOIN(CHAR(10),TRUE,FILTER('SUMMARY DATA'!F:F,'SUMMARY DATA'!$A:$A=$A165,'SUMMARY DATA'!$C:$C=$B165,'SUMMARY DATA'!$B:$B=""RWS"")),
  IF(
    OR(
      ISNUMBER(SEARCH(""CDM CASH DEPOSIT"",$C165)),
      ISNUMBER(SEARCH(""CASH DEPOSIT"",$C16"&amp;"5)),
      COUNTIFS('SUMMARY DATA'!$D:$D,$C165,'SUMMARY DATA'!$B:$B,""RWS"")&lt;&gt;1
    ),
    """",
    IFERROR(TEXTJOIN(CHAR(10),TRUE,FILTER('SUMMARY DATA'!F:F,'SUMMARY DATA'!$D:$D=$C165,'SUMMARY DATA'!$B:$B=""RWS"")),"""")
  )
)"),"")</f>
      </c>
      <c r="G165" s="17" t="str">
        <f>IFERROR(__xludf.DUMMYFUNCTION("IFERROR(
  TEXTJOIN(CHAR(10),TRUE,FILTER('SUMMARY DATA'!G:G,'SUMMARY DATA'!$A:$A=$A165,'SUMMARY DATA'!$C:$C=$B165,'SUMMARY DATA'!$B:$B=""RWS"")),
  IF(
    OR(
      ISNUMBER(SEARCH(""CDM CASH DEPOSIT"",$C165)),
      ISNUMBER(SEARCH(""CASH DEPOSIT"",$C16"&amp;"5)),
      COUNTIFS('SUMMARY DATA'!$D:$D,$C165,'SUMMARY DATA'!$B:$B,""RWS"")&lt;&gt;1
    ),
    """",
    IFERROR(TEXTJOIN(CHAR(10),TRUE,FILTER('SUMMARY DATA'!G:G,'SUMMARY DATA'!$D:$D=$C165,'SUMMARY DATA'!$B:$B=""RWS"")),"""")
  )
)"),"")</f>
      </c>
      <c r="H165" s="18" t="str">
        <f>IFERROR(__xludf.DUMMYFUNCTION("IFERROR(
  TEXTJOIN(CHAR(10),TRUE,FILTER('SUMMARY DATA'!H:H,'SUMMARY DATA'!$A:$A=$A165,'SUMMARY DATA'!$C:$C=$B165,'SUMMARY DATA'!$B:$B=""RWS"",'SUMMARY DATA'!$H:$H=$D165)),
  IF(
    OR(
      ISNUMBER(SEARCH(""CDM CASH DEPOSIT"",$C165)),
      ISNUMBER(S"&amp;"EARCH(""CASH DEPOSIT"",$C165))
    ),
    """",
    IFERROR(TEXTJOIN(CHAR(10),TRUE,FILTER('SUMMARY DATA'!H:H,'SUMMARY DATA'!$D:$D=$C165,'SUMMARY DATA'!$B:$B=""RWS"",'SUMMARY DATA'!$H:$H=$D165)),"""")
  )
)"),"")</f>
      </c>
      <c r="I165" s="18" t="str">
        <f>IFERROR(__xludf.DUMMYFUNCTION("IF(H165="""","""",
SUM(ARRAYFORMULA(VALUE(SPLIT(H165,CHAR(10)))))
)"),"")</f>
      </c>
      <c r="J165" s="17" t="str">
        <f>IFERROR(__xludf.DUMMYFUNCTION("IFERROR(
  TEXTJOIN(CHAR(10),TRUE,FILTER('SUMMARY DATA'!I:I,'SUMMARY DATA'!$A:$A=$A165,'SUMMARY DATA'!$C:$C=$B165,'SUMMARY DATA'!$B:$B=""RWS"")),
  IF(
    OR(
      ISNUMBER(SEARCH(""CDM CASH DEPOSIT"",$C165)),
      ISNUMBER(SEARCH(""CASH DEPOSIT"",$C16"&amp;"5)),
      COUNTIFS('SUMMARY DATA'!$D:$D,$C165,'SUMMARY DATA'!$B:$B,""RWS"")&lt;&gt;1
    ),
    """",
    IFERROR(TEXTJOIN(CHAR(10),TRUE,FILTER('SUMMARY DATA'!I:I,'SUMMARY DATA'!$D:$D=$C165,'SUMMARY DATA'!$B:$B=""RWS"")),"""")
  )
)"),"")</f>
      </c>
      <c r="K165" s="2"/>
      <c r="L165" s="2"/>
      <c r="M165" s="2"/>
      <c r="N165" s="2"/>
      <c r="O165" s="2"/>
      <c r="P165" s="2"/>
      <c r="Q165" s="2"/>
      <c r="R165" s="2"/>
      <c r="S165" s="2"/>
      <c r="T165" s="2"/>
      <c r="U165" s="2"/>
      <c r="V165" s="2"/>
      <c r="W165" s="2"/>
      <c r="X165" s="2"/>
      <c r="Y165" s="2"/>
      <c r="Z165" s="2"/>
      <c r="AA165" s="2"/>
      <c r="AB165" s="2"/>
    </row>
    <row r="166" spans="1:28" customHeight="true">
      <c r="A166" s="2"/>
      <c r="B166" s="15">
        <v>45954</v>
      </c>
      <c r="C166" s="2" t="s">
        <v>250</v>
      </c>
      <c r="D166" s="3">
        <v>10</v>
      </c>
      <c r="E166" s="16" t="str">
        <f>IFERROR(__xludf.DUMMYFUNCTION("IFERROR(
  TEXTJOIN(CHAR(10),TRUE,FILTER('SUMMARY DATA'!E:E,'SUMMARY DATA'!$A:$A=$A166,'SUMMARY DATA'!$C:$C=$B166,'SUMMARY DATA'!$B:$B=""RWS"")),
  IF(
    OR(
      ISNUMBER(SEARCH(""CDM CASH DEPOSIT"",$C166)),
      ISNUMBER(SEARCH(""CASH DEPOSIT"",$C16"&amp;"6)),
      COUNTIFS('SUMMARY DATA'!$D:$D,$C166,'SUMMARY DATA'!$B:$B,""RWS"")&lt;&gt;1
    ),
    """",
    IFERROR(TEXTJOIN(CHAR(10),TRUE,FILTER('SUMMARY DATA'!E:E,'SUMMARY DATA'!$D:$D=$C166,'SUMMARY DATA'!$B:$B=""RWS"")),"""")
  )
)"),"")</f>
      </c>
      <c r="F166" s="17" t="str">
        <f>IFERROR(__xludf.DUMMYFUNCTION("IFERROR(
  TEXTJOIN(CHAR(10),TRUE,FILTER('SUMMARY DATA'!F:F,'SUMMARY DATA'!$A:$A=$A166,'SUMMARY DATA'!$C:$C=$B166,'SUMMARY DATA'!$B:$B=""RWS"")),
  IF(
    OR(
      ISNUMBER(SEARCH(""CDM CASH DEPOSIT"",$C166)),
      ISNUMBER(SEARCH(""CASH DEPOSIT"",$C16"&amp;"6)),
      COUNTIFS('SUMMARY DATA'!$D:$D,$C166,'SUMMARY DATA'!$B:$B,""RWS"")&lt;&gt;1
    ),
    """",
    IFERROR(TEXTJOIN(CHAR(10),TRUE,FILTER('SUMMARY DATA'!F:F,'SUMMARY DATA'!$D:$D=$C166,'SUMMARY DATA'!$B:$B=""RWS"")),"""")
  )
)"),"")</f>
      </c>
      <c r="G166" s="17" t="str">
        <f>IFERROR(__xludf.DUMMYFUNCTION("IFERROR(
  TEXTJOIN(CHAR(10),TRUE,FILTER('SUMMARY DATA'!G:G,'SUMMARY DATA'!$A:$A=$A166,'SUMMARY DATA'!$C:$C=$B166,'SUMMARY DATA'!$B:$B=""RWS"")),
  IF(
    OR(
      ISNUMBER(SEARCH(""CDM CASH DEPOSIT"",$C166)),
      ISNUMBER(SEARCH(""CASH DEPOSIT"",$C16"&amp;"6)),
      COUNTIFS('SUMMARY DATA'!$D:$D,$C166,'SUMMARY DATA'!$B:$B,""RWS"")&lt;&gt;1
    ),
    """",
    IFERROR(TEXTJOIN(CHAR(10),TRUE,FILTER('SUMMARY DATA'!G:G,'SUMMARY DATA'!$D:$D=$C166,'SUMMARY DATA'!$B:$B=""RWS"")),"""")
  )
)"),"")</f>
      </c>
      <c r="H166" s="18" t="str">
        <f>IFERROR(__xludf.DUMMYFUNCTION("IFERROR(
  TEXTJOIN(CHAR(10),TRUE,FILTER('SUMMARY DATA'!H:H,'SUMMARY DATA'!$A:$A=$A166,'SUMMARY DATA'!$C:$C=$B166,'SUMMARY DATA'!$B:$B=""RWS"",'SUMMARY DATA'!$H:$H=$D166)),
  IF(
    OR(
      ISNUMBER(SEARCH(""CDM CASH DEPOSIT"",$C166)),
      ISNUMBER(S"&amp;"EARCH(""CASH DEPOSIT"",$C166))
    ),
    """",
    IFERROR(TEXTJOIN(CHAR(10),TRUE,FILTER('SUMMARY DATA'!H:H,'SUMMARY DATA'!$D:$D=$C166,'SUMMARY DATA'!$B:$B=""RWS"",'SUMMARY DATA'!$H:$H=$D166)),"""")
  )
)"),"")</f>
      </c>
      <c r="I166" s="18" t="str">
        <f>IFERROR(__xludf.DUMMYFUNCTION("IF(H166="""","""",
SUM(ARRAYFORMULA(VALUE(SPLIT(H166,CHAR(10)))))
)"),"")</f>
      </c>
      <c r="J166" s="17" t="str">
        <f>IFERROR(__xludf.DUMMYFUNCTION("IFERROR(
  TEXTJOIN(CHAR(10),TRUE,FILTER('SUMMARY DATA'!I:I,'SUMMARY DATA'!$A:$A=$A166,'SUMMARY DATA'!$C:$C=$B166,'SUMMARY DATA'!$B:$B=""RWS"")),
  IF(
    OR(
      ISNUMBER(SEARCH(""CDM CASH DEPOSIT"",$C166)),
      ISNUMBER(SEARCH(""CASH DEPOSIT"",$C16"&amp;"6)),
      COUNTIFS('SUMMARY DATA'!$D:$D,$C166,'SUMMARY DATA'!$B:$B,""RWS"")&lt;&gt;1
    ),
    """",
    IFERROR(TEXTJOIN(CHAR(10),TRUE,FILTER('SUMMARY DATA'!I:I,'SUMMARY DATA'!$D:$D=$C166,'SUMMARY DATA'!$B:$B=""RWS"")),"""")
  )
)"),"")</f>
      </c>
      <c r="K166" s="2"/>
      <c r="L166" s="2"/>
      <c r="M166" s="2"/>
      <c r="N166" s="2"/>
      <c r="O166" s="2"/>
      <c r="P166" s="2"/>
      <c r="Q166" s="2"/>
      <c r="R166" s="2"/>
      <c r="S166" s="2"/>
      <c r="T166" s="2"/>
      <c r="U166" s="2"/>
      <c r="V166" s="2"/>
      <c r="W166" s="2"/>
      <c r="X166" s="2"/>
      <c r="Y166" s="2"/>
      <c r="Z166" s="2"/>
      <c r="AA166" s="2"/>
      <c r="AB166" s="2"/>
    </row>
    <row r="167" spans="1:28" customHeight="true">
      <c r="A167" s="2" t="s">
        <v>251</v>
      </c>
      <c r="B167" s="15">
        <v>45954</v>
      </c>
      <c r="C167" s="2" t="s">
        <v>252</v>
      </c>
      <c r="D167" s="3">
        <v>75</v>
      </c>
      <c r="E167" s="16" t="str">
        <f>IFERROR(__xludf.DUMMYFUNCTION("IFERROR(
  TEXTJOIN(CHAR(10),TRUE,FILTER('SUMMARY DATA'!E:E,'SUMMARY DATA'!$A:$A=$A167,'SUMMARY DATA'!$C:$C=$B167,'SUMMARY DATA'!$B:$B=""RWS"")),
  IF(
    OR(
      ISNUMBER(SEARCH(""CDM CASH DEPOSIT"",$C167)),
      ISNUMBER(SEARCH(""CASH DEPOSIT"",$C16"&amp;"7)),
      COUNTIFS('SUMMARY DATA'!$D:$D,$C167,'SUMMARY DATA'!$B:$B,""RWS"")&lt;&gt;1
    ),
    """",
    IFERROR(TEXTJOIN(CHAR(10),TRUE,FILTER('SUMMARY DATA'!E:E,'SUMMARY DATA'!$D:$D=$C167,'SUMMARY DATA'!$B:$B=""RWS"")),"""")
  )
)"),"")</f>
      </c>
      <c r="F167" s="17" t="str">
        <f>IFERROR(__xludf.DUMMYFUNCTION("IFERROR(
  TEXTJOIN(CHAR(10),TRUE,FILTER('SUMMARY DATA'!F:F,'SUMMARY DATA'!$A:$A=$A167,'SUMMARY DATA'!$C:$C=$B167,'SUMMARY DATA'!$B:$B=""RWS"")),
  IF(
    OR(
      ISNUMBER(SEARCH(""CDM CASH DEPOSIT"",$C167)),
      ISNUMBER(SEARCH(""CASH DEPOSIT"",$C16"&amp;"7)),
      COUNTIFS('SUMMARY DATA'!$D:$D,$C167,'SUMMARY DATA'!$B:$B,""RWS"")&lt;&gt;1
    ),
    """",
    IFERROR(TEXTJOIN(CHAR(10),TRUE,FILTER('SUMMARY DATA'!F:F,'SUMMARY DATA'!$D:$D=$C167,'SUMMARY DATA'!$B:$B=""RWS"")),"""")
  )
)"),"")</f>
      </c>
      <c r="G167" s="17" t="str">
        <f>IFERROR(__xludf.DUMMYFUNCTION("IFERROR(
  TEXTJOIN(CHAR(10),TRUE,FILTER('SUMMARY DATA'!G:G,'SUMMARY DATA'!$A:$A=$A167,'SUMMARY DATA'!$C:$C=$B167,'SUMMARY DATA'!$B:$B=""RWS"")),
  IF(
    OR(
      ISNUMBER(SEARCH(""CDM CASH DEPOSIT"",$C167)),
      ISNUMBER(SEARCH(""CASH DEPOSIT"",$C16"&amp;"7)),
      COUNTIFS('SUMMARY DATA'!$D:$D,$C167,'SUMMARY DATA'!$B:$B,""RWS"")&lt;&gt;1
    ),
    """",
    IFERROR(TEXTJOIN(CHAR(10),TRUE,FILTER('SUMMARY DATA'!G:G,'SUMMARY DATA'!$D:$D=$C167,'SUMMARY DATA'!$B:$B=""RWS"")),"""")
  )
)"),"")</f>
      </c>
      <c r="H167" s="18" t="str">
        <f>IFERROR(__xludf.DUMMYFUNCTION("IFERROR(
  TEXTJOIN(CHAR(10),TRUE,FILTER('SUMMARY DATA'!H:H,'SUMMARY DATA'!$A:$A=$A167,'SUMMARY DATA'!$C:$C=$B167,'SUMMARY DATA'!$B:$B=""RWS"",'SUMMARY DATA'!$H:$H=$D167)),
  IF(
    OR(
      ISNUMBER(SEARCH(""CDM CASH DEPOSIT"",$C167)),
      ISNUMBER(S"&amp;"EARCH(""CASH DEPOSIT"",$C167))
    ),
    """",
    IFERROR(TEXTJOIN(CHAR(10),TRUE,FILTER('SUMMARY DATA'!H:H,'SUMMARY DATA'!$D:$D=$C167,'SUMMARY DATA'!$B:$B=""RWS"",'SUMMARY DATA'!$H:$H=$D167)),"""")
  )
)"),"")</f>
      </c>
      <c r="I167" s="18" t="str">
        <f>IFERROR(__xludf.DUMMYFUNCTION("IF(H167="""","""",
SUM(ARRAYFORMULA(VALUE(SPLIT(H167,CHAR(10)))))
)"),"")</f>
      </c>
      <c r="J167" s="17" t="str">
        <f>IFERROR(__xludf.DUMMYFUNCTION("IFERROR(
  TEXTJOIN(CHAR(10),TRUE,FILTER('SUMMARY DATA'!I:I,'SUMMARY DATA'!$A:$A=$A167,'SUMMARY DATA'!$C:$C=$B167,'SUMMARY DATA'!$B:$B=""RWS"")),
  IF(
    OR(
      ISNUMBER(SEARCH(""CDM CASH DEPOSIT"",$C167)),
      ISNUMBER(SEARCH(""CASH DEPOSIT"",$C16"&amp;"7)),
      COUNTIFS('SUMMARY DATA'!$D:$D,$C167,'SUMMARY DATA'!$B:$B,""RWS"")&lt;&gt;1
    ),
    """",
    IFERROR(TEXTJOIN(CHAR(10),TRUE,FILTER('SUMMARY DATA'!I:I,'SUMMARY DATA'!$D:$D=$C167,'SUMMARY DATA'!$B:$B=""RWS"")),"""")
  )
)"),"")</f>
      </c>
      <c r="K167" s="2"/>
      <c r="L167" s="2"/>
      <c r="M167" s="2"/>
      <c r="N167" s="2"/>
      <c r="O167" s="2"/>
      <c r="P167" s="2"/>
      <c r="Q167" s="2"/>
      <c r="R167" s="2"/>
      <c r="S167" s="2"/>
      <c r="T167" s="2"/>
      <c r="U167" s="2"/>
      <c r="V167" s="2"/>
      <c r="W167" s="2"/>
      <c r="X167" s="2"/>
      <c r="Y167" s="2"/>
      <c r="Z167" s="2"/>
      <c r="AA167" s="2"/>
      <c r="AB167" s="2"/>
    </row>
    <row r="168" spans="1:28" customHeight="true">
      <c r="A168" s="2" t="s">
        <v>253</v>
      </c>
      <c r="B168" s="15">
        <v>45954</v>
      </c>
      <c r="C168" s="2" t="s">
        <v>254</v>
      </c>
      <c r="D168" s="3">
        <v>1144</v>
      </c>
      <c r="E168" s="16" t="s">
        <v>2419</v>
      </c>
      <c r="F168" s="17" t="s">
        <v>2420</v>
      </c>
      <c r="G168" s="17" t="s">
        <v>2393</v>
      </c>
      <c r="H168" s="18">
        <v>1144</v>
      </c>
      <c r="I168" s="18">
        <v>1144</v>
      </c>
      <c r="J168" s="17" t="s">
        <v>2394</v>
      </c>
      <c r="K168" s="2" t="s">
        <v>2395</v>
      </c>
      <c r="L168" s="2"/>
      <c r="M168" s="2"/>
      <c r="N168" s="2"/>
      <c r="O168" s="2"/>
      <c r="P168" s="2"/>
      <c r="Q168" s="2"/>
      <c r="R168" s="2"/>
      <c r="S168" s="2"/>
      <c r="T168" s="2"/>
      <c r="U168" s="2"/>
      <c r="V168" s="2"/>
      <c r="W168" s="2"/>
      <c r="X168" s="2"/>
      <c r="Y168" s="2"/>
      <c r="Z168" s="2"/>
      <c r="AA168" s="2"/>
      <c r="AB168" s="2"/>
    </row>
    <row r="169" spans="1:28" customHeight="true">
      <c r="A169" s="2"/>
      <c r="B169" s="15">
        <v>45954</v>
      </c>
      <c r="C169" s="2" t="s">
        <v>255</v>
      </c>
      <c r="D169" s="3">
        <v>129.69</v>
      </c>
      <c r="E169" s="16" t="str">
        <f>IFERROR(__xludf.DUMMYFUNCTION("IFERROR(
  TEXTJOIN(CHAR(10),TRUE,FILTER('SUMMARY DATA'!E:E,'SUMMARY DATA'!$A:$A=$A169,'SUMMARY DATA'!$C:$C=$B169,'SUMMARY DATA'!$B:$B=""RWS"")),
  IF(
    OR(
      ISNUMBER(SEARCH(""CDM CASH DEPOSIT"",$C169)),
      ISNUMBER(SEARCH(""CASH DEPOSIT"",$C16"&amp;"9)),
      COUNTIFS('SUMMARY DATA'!$D:$D,$C169,'SUMMARY DATA'!$B:$B,""RWS"")&lt;&gt;1
    ),
    """",
    IFERROR(TEXTJOIN(CHAR(10),TRUE,FILTER('SUMMARY DATA'!E:E,'SUMMARY DATA'!$D:$D=$C169,'SUMMARY DATA'!$B:$B=""RWS"")),"""")
  )
)"),"")</f>
      </c>
      <c r="F169" s="17" t="str">
        <f>IFERROR(__xludf.DUMMYFUNCTION("IFERROR(
  TEXTJOIN(CHAR(10),TRUE,FILTER('SUMMARY DATA'!F:F,'SUMMARY DATA'!$A:$A=$A169,'SUMMARY DATA'!$C:$C=$B169,'SUMMARY DATA'!$B:$B=""RWS"")),
  IF(
    OR(
      ISNUMBER(SEARCH(""CDM CASH DEPOSIT"",$C169)),
      ISNUMBER(SEARCH(""CASH DEPOSIT"",$C16"&amp;"9)),
      COUNTIFS('SUMMARY DATA'!$D:$D,$C169,'SUMMARY DATA'!$B:$B,""RWS"")&lt;&gt;1
    ),
    """",
    IFERROR(TEXTJOIN(CHAR(10),TRUE,FILTER('SUMMARY DATA'!F:F,'SUMMARY DATA'!$D:$D=$C169,'SUMMARY DATA'!$B:$B=""RWS"")),"""")
  )
)"),"")</f>
      </c>
      <c r="G169" s="17" t="str">
        <f>IFERROR(__xludf.DUMMYFUNCTION("IFERROR(
  TEXTJOIN(CHAR(10),TRUE,FILTER('SUMMARY DATA'!G:G,'SUMMARY DATA'!$A:$A=$A169,'SUMMARY DATA'!$C:$C=$B169,'SUMMARY DATA'!$B:$B=""RWS"")),
  IF(
    OR(
      ISNUMBER(SEARCH(""CDM CASH DEPOSIT"",$C169)),
      ISNUMBER(SEARCH(""CASH DEPOSIT"",$C16"&amp;"9)),
      COUNTIFS('SUMMARY DATA'!$D:$D,$C169,'SUMMARY DATA'!$B:$B,""RWS"")&lt;&gt;1
    ),
    """",
    IFERROR(TEXTJOIN(CHAR(10),TRUE,FILTER('SUMMARY DATA'!G:G,'SUMMARY DATA'!$D:$D=$C169,'SUMMARY DATA'!$B:$B=""RWS"")),"""")
  )
)"),"")</f>
      </c>
      <c r="H169" s="18" t="str">
        <f>IFERROR(__xludf.DUMMYFUNCTION("IFERROR(
  TEXTJOIN(CHAR(10),TRUE,FILTER('SUMMARY DATA'!H:H,'SUMMARY DATA'!$A:$A=$A169,'SUMMARY DATA'!$C:$C=$B169,'SUMMARY DATA'!$B:$B=""RWS"",'SUMMARY DATA'!$H:$H=$D169)),
  IF(
    OR(
      ISNUMBER(SEARCH(""CDM CASH DEPOSIT"",$C169)),
      ISNUMBER(S"&amp;"EARCH(""CASH DEPOSIT"",$C169))
    ),
    """",
    IFERROR(TEXTJOIN(CHAR(10),TRUE,FILTER('SUMMARY DATA'!H:H,'SUMMARY DATA'!$D:$D=$C169,'SUMMARY DATA'!$B:$B=""RWS"",'SUMMARY DATA'!$H:$H=$D169)),"""")
  )
)"),"")</f>
      </c>
      <c r="I169" s="18" t="str">
        <f>IFERROR(__xludf.DUMMYFUNCTION("IF(H169="""","""",
SUM(ARRAYFORMULA(VALUE(SPLIT(H169,CHAR(10)))))
)"),"")</f>
      </c>
      <c r="J169" s="17" t="str">
        <f>IFERROR(__xludf.DUMMYFUNCTION("IFERROR(
  TEXTJOIN(CHAR(10),TRUE,FILTER('SUMMARY DATA'!I:I,'SUMMARY DATA'!$A:$A=$A169,'SUMMARY DATA'!$C:$C=$B169,'SUMMARY DATA'!$B:$B=""RWS"")),
  IF(
    OR(
      ISNUMBER(SEARCH(""CDM CASH DEPOSIT"",$C169)),
      ISNUMBER(SEARCH(""CASH DEPOSIT"",$C16"&amp;"9)),
      COUNTIFS('SUMMARY DATA'!$D:$D,$C169,'SUMMARY DATA'!$B:$B,""RWS"")&lt;&gt;1
    ),
    """",
    IFERROR(TEXTJOIN(CHAR(10),TRUE,FILTER('SUMMARY DATA'!I:I,'SUMMARY DATA'!$D:$D=$C169,'SUMMARY DATA'!$B:$B=""RWS"")),"""")
  )
)"),"")</f>
      </c>
      <c r="K169" s="2"/>
      <c r="L169" s="2"/>
      <c r="M169" s="2"/>
      <c r="N169" s="2"/>
      <c r="O169" s="2"/>
      <c r="P169" s="2"/>
      <c r="Q169" s="2"/>
      <c r="R169" s="2"/>
      <c r="S169" s="2"/>
      <c r="T169" s="2"/>
      <c r="U169" s="2"/>
      <c r="V169" s="2"/>
      <c r="W169" s="2"/>
      <c r="X169" s="2"/>
      <c r="Y169" s="2"/>
      <c r="Z169" s="2"/>
      <c r="AA169" s="2"/>
      <c r="AB169" s="2"/>
    </row>
    <row r="170" spans="1:28" customHeight="true">
      <c r="A170" s="2" t="s">
        <v>256</v>
      </c>
      <c r="B170" s="15">
        <v>45954</v>
      </c>
      <c r="C170" s="2" t="s">
        <v>257</v>
      </c>
      <c r="D170" s="3">
        <v>42.8</v>
      </c>
      <c r="E170" s="16" t="str">
        <f>IFERROR(__xludf.DUMMYFUNCTION("IFERROR(
  TEXTJOIN(CHAR(10),TRUE,FILTER('SUMMARY DATA'!E:E,'SUMMARY DATA'!$A:$A=$A170,'SUMMARY DATA'!$C:$C=$B170,'SUMMARY DATA'!$B:$B=""RWS"")),
  IF(
    OR(
      ISNUMBER(SEARCH(""CDM CASH DEPOSIT"",$C170)),
      ISNUMBER(SEARCH(""CASH DEPOSIT"",$C17"&amp;"0)),
      COUNTIFS('SUMMARY DATA'!$D:$D,$C170,'SUMMARY DATA'!$B:$B,""RWS"")&lt;&gt;1
    ),
    """",
    IFERROR(TEXTJOIN(CHAR(10),TRUE,FILTER('SUMMARY DATA'!E:E,'SUMMARY DATA'!$D:$D=$C170,'SUMMARY DATA'!$B:$B=""RWS"")),"""")
  )
)"),"")</f>
      </c>
      <c r="F170" s="17" t="str">
        <f>IFERROR(__xludf.DUMMYFUNCTION("IFERROR(
  TEXTJOIN(CHAR(10),TRUE,FILTER('SUMMARY DATA'!F:F,'SUMMARY DATA'!$A:$A=$A170,'SUMMARY DATA'!$C:$C=$B170,'SUMMARY DATA'!$B:$B=""RWS"")),
  IF(
    OR(
      ISNUMBER(SEARCH(""CDM CASH DEPOSIT"",$C170)),
      ISNUMBER(SEARCH(""CASH DEPOSIT"",$C17"&amp;"0)),
      COUNTIFS('SUMMARY DATA'!$D:$D,$C170,'SUMMARY DATA'!$B:$B,""RWS"")&lt;&gt;1
    ),
    """",
    IFERROR(TEXTJOIN(CHAR(10),TRUE,FILTER('SUMMARY DATA'!F:F,'SUMMARY DATA'!$D:$D=$C170,'SUMMARY DATA'!$B:$B=""RWS"")),"""")
  )
)"),"")</f>
      </c>
      <c r="G170" s="17" t="str">
        <f>IFERROR(__xludf.DUMMYFUNCTION("IFERROR(
  TEXTJOIN(CHAR(10),TRUE,FILTER('SUMMARY DATA'!G:G,'SUMMARY DATA'!$A:$A=$A170,'SUMMARY DATA'!$C:$C=$B170,'SUMMARY DATA'!$B:$B=""RWS"")),
  IF(
    OR(
      ISNUMBER(SEARCH(""CDM CASH DEPOSIT"",$C170)),
      ISNUMBER(SEARCH(""CASH DEPOSIT"",$C17"&amp;"0)),
      COUNTIFS('SUMMARY DATA'!$D:$D,$C170,'SUMMARY DATA'!$B:$B,""RWS"")&lt;&gt;1
    ),
    """",
    IFERROR(TEXTJOIN(CHAR(10),TRUE,FILTER('SUMMARY DATA'!G:G,'SUMMARY DATA'!$D:$D=$C170,'SUMMARY DATA'!$B:$B=""RWS"")),"""")
  )
)"),"")</f>
      </c>
      <c r="H170" s="18" t="str">
        <f>IFERROR(__xludf.DUMMYFUNCTION("IFERROR(
  TEXTJOIN(CHAR(10),TRUE,FILTER('SUMMARY DATA'!H:H,'SUMMARY DATA'!$A:$A=$A170,'SUMMARY DATA'!$C:$C=$B170,'SUMMARY DATA'!$B:$B=""RWS"",'SUMMARY DATA'!$H:$H=$D170)),
  IF(
    OR(
      ISNUMBER(SEARCH(""CDM CASH DEPOSIT"",$C170)),
      ISNUMBER(S"&amp;"EARCH(""CASH DEPOSIT"",$C170))
    ),
    """",
    IFERROR(TEXTJOIN(CHAR(10),TRUE,FILTER('SUMMARY DATA'!H:H,'SUMMARY DATA'!$D:$D=$C170,'SUMMARY DATA'!$B:$B=""RWS"",'SUMMARY DATA'!$H:$H=$D170)),"""")
  )
)"),"")</f>
      </c>
      <c r="I170" s="18" t="str">
        <f>IFERROR(__xludf.DUMMYFUNCTION("IF(H170="""","""",
SUM(ARRAYFORMULA(VALUE(SPLIT(H170,CHAR(10)))))
)"),"")</f>
      </c>
      <c r="J170" s="17" t="str">
        <f>IFERROR(__xludf.DUMMYFUNCTION("IFERROR(
  TEXTJOIN(CHAR(10),TRUE,FILTER('SUMMARY DATA'!I:I,'SUMMARY DATA'!$A:$A=$A170,'SUMMARY DATA'!$C:$C=$B170,'SUMMARY DATA'!$B:$B=""RWS"")),
  IF(
    OR(
      ISNUMBER(SEARCH(""CDM CASH DEPOSIT"",$C170)),
      ISNUMBER(SEARCH(""CASH DEPOSIT"",$C17"&amp;"0)),
      COUNTIFS('SUMMARY DATA'!$D:$D,$C170,'SUMMARY DATA'!$B:$B,""RWS"")&lt;&gt;1
    ),
    """",
    IFERROR(TEXTJOIN(CHAR(10),TRUE,FILTER('SUMMARY DATA'!I:I,'SUMMARY DATA'!$D:$D=$C170,'SUMMARY DATA'!$B:$B=""RWS"")),"""")
  )
)"),"")</f>
      </c>
      <c r="K170" s="2"/>
      <c r="L170" s="2"/>
      <c r="M170" s="2"/>
      <c r="N170" s="2"/>
      <c r="O170" s="2"/>
      <c r="P170" s="2"/>
      <c r="Q170" s="2"/>
      <c r="R170" s="2"/>
      <c r="S170" s="2"/>
      <c r="T170" s="2"/>
      <c r="U170" s="2"/>
      <c r="V170" s="2"/>
      <c r="W170" s="2"/>
      <c r="X170" s="2"/>
      <c r="Y170" s="2"/>
      <c r="Z170" s="2"/>
      <c r="AA170" s="2"/>
      <c r="AB170" s="2"/>
    </row>
    <row r="171" spans="1:28" customHeight="true">
      <c r="A171" s="2" t="s">
        <v>258</v>
      </c>
      <c r="B171" s="15">
        <v>45953</v>
      </c>
      <c r="C171" s="2" t="s">
        <v>259</v>
      </c>
      <c r="D171" s="3">
        <v>626</v>
      </c>
      <c r="E171" s="16" t="s">
        <v>2421</v>
      </c>
      <c r="F171" s="17" t="s">
        <v>2422</v>
      </c>
      <c r="G171" s="17" t="s">
        <v>2393</v>
      </c>
      <c r="H171" s="18">
        <v>626</v>
      </c>
      <c r="I171" s="18">
        <v>626</v>
      </c>
      <c r="J171" s="17" t="s">
        <v>2394</v>
      </c>
      <c r="K171" s="2" t="s">
        <v>2395</v>
      </c>
      <c r="L171" s="2"/>
      <c r="M171" s="2"/>
      <c r="N171" s="2"/>
      <c r="O171" s="2"/>
      <c r="P171" s="2"/>
      <c r="Q171" s="2"/>
      <c r="R171" s="2"/>
      <c r="S171" s="2"/>
      <c r="T171" s="2"/>
      <c r="U171" s="2"/>
      <c r="V171" s="2"/>
      <c r="W171" s="2"/>
      <c r="X171" s="2"/>
      <c r="Y171" s="2"/>
      <c r="Z171" s="2"/>
      <c r="AA171" s="2"/>
      <c r="AB171" s="2"/>
    </row>
    <row r="172" spans="1:28" customHeight="true">
      <c r="A172" s="2" t="s">
        <v>260</v>
      </c>
      <c r="B172" s="15">
        <v>45953</v>
      </c>
      <c r="C172" s="2" t="s">
        <v>261</v>
      </c>
      <c r="D172" s="3">
        <v>152.21</v>
      </c>
      <c r="E172" s="16" t="s">
        <v>2423</v>
      </c>
      <c r="F172" s="17" t="s">
        <v>2424</v>
      </c>
      <c r="G172" s="17" t="s">
        <v>2393</v>
      </c>
      <c r="H172" s="18">
        <v>152.21</v>
      </c>
      <c r="I172" s="18">
        <v>152.21</v>
      </c>
      <c r="J172" s="17" t="s">
        <v>2394</v>
      </c>
      <c r="K172" s="2" t="s">
        <v>2395</v>
      </c>
      <c r="L172" s="2"/>
      <c r="M172" s="2"/>
      <c r="N172" s="2"/>
      <c r="O172" s="2"/>
      <c r="P172" s="2"/>
      <c r="Q172" s="2"/>
      <c r="R172" s="2"/>
      <c r="S172" s="2"/>
      <c r="T172" s="2"/>
      <c r="U172" s="2"/>
      <c r="V172" s="2"/>
      <c r="W172" s="2"/>
      <c r="X172" s="2"/>
      <c r="Y172" s="2"/>
      <c r="Z172" s="2"/>
      <c r="AA172" s="2"/>
      <c r="AB172" s="2"/>
    </row>
    <row r="173" spans="1:28" customHeight="true">
      <c r="A173" s="2"/>
      <c r="B173" s="15">
        <v>45953</v>
      </c>
      <c r="C173" s="2" t="s">
        <v>262</v>
      </c>
      <c r="D173" s="3">
        <v>36.84</v>
      </c>
      <c r="E173" s="16" t="str">
        <f>IFERROR(__xludf.DUMMYFUNCTION("IFERROR(
  TEXTJOIN(CHAR(10),TRUE,FILTER('SUMMARY DATA'!E:E,'SUMMARY DATA'!$A:$A=$A173,'SUMMARY DATA'!$C:$C=$B173,'SUMMARY DATA'!$B:$B=""RWS"")),
  IF(
    OR(
      ISNUMBER(SEARCH(""CDM CASH DEPOSIT"",$C173)),
      ISNUMBER(SEARCH(""CASH DEPOSIT"",$C17"&amp;"3)),
      COUNTIFS('SUMMARY DATA'!$D:$D,$C173,'SUMMARY DATA'!$B:$B,""RWS"")&lt;&gt;1
    ),
    """",
    IFERROR(TEXTJOIN(CHAR(10),TRUE,FILTER('SUMMARY DATA'!E:E,'SUMMARY DATA'!$D:$D=$C173,'SUMMARY DATA'!$B:$B=""RWS"")),"""")
  )
)"),"")</f>
      </c>
      <c r="F173" s="17" t="str">
        <f>IFERROR(__xludf.DUMMYFUNCTION("IFERROR(
  TEXTJOIN(CHAR(10),TRUE,FILTER('SUMMARY DATA'!F:F,'SUMMARY DATA'!$A:$A=$A173,'SUMMARY DATA'!$C:$C=$B173,'SUMMARY DATA'!$B:$B=""RWS"")),
  IF(
    OR(
      ISNUMBER(SEARCH(""CDM CASH DEPOSIT"",$C173)),
      ISNUMBER(SEARCH(""CASH DEPOSIT"",$C17"&amp;"3)),
      COUNTIFS('SUMMARY DATA'!$D:$D,$C173,'SUMMARY DATA'!$B:$B,""RWS"")&lt;&gt;1
    ),
    """",
    IFERROR(TEXTJOIN(CHAR(10),TRUE,FILTER('SUMMARY DATA'!F:F,'SUMMARY DATA'!$D:$D=$C173,'SUMMARY DATA'!$B:$B=""RWS"")),"""")
  )
)"),"")</f>
      </c>
      <c r="G173" s="17" t="str">
        <f>IFERROR(__xludf.DUMMYFUNCTION("IFERROR(
  TEXTJOIN(CHAR(10),TRUE,FILTER('SUMMARY DATA'!G:G,'SUMMARY DATA'!$A:$A=$A173,'SUMMARY DATA'!$C:$C=$B173,'SUMMARY DATA'!$B:$B=""RWS"")),
  IF(
    OR(
      ISNUMBER(SEARCH(""CDM CASH DEPOSIT"",$C173)),
      ISNUMBER(SEARCH(""CASH DEPOSIT"",$C17"&amp;"3)),
      COUNTIFS('SUMMARY DATA'!$D:$D,$C173,'SUMMARY DATA'!$B:$B,""RWS"")&lt;&gt;1
    ),
    """",
    IFERROR(TEXTJOIN(CHAR(10),TRUE,FILTER('SUMMARY DATA'!G:G,'SUMMARY DATA'!$D:$D=$C173,'SUMMARY DATA'!$B:$B=""RWS"")),"""")
  )
)"),"")</f>
      </c>
      <c r="H173" s="18" t="str">
        <f>IFERROR(__xludf.DUMMYFUNCTION("IFERROR(
  TEXTJOIN(CHAR(10),TRUE,FILTER('SUMMARY DATA'!H:H,'SUMMARY DATA'!$A:$A=$A173,'SUMMARY DATA'!$C:$C=$B173,'SUMMARY DATA'!$B:$B=""RWS"",'SUMMARY DATA'!$H:$H=$D173)),
  IF(
    OR(
      ISNUMBER(SEARCH(""CDM CASH DEPOSIT"",$C173)),
      ISNUMBER(S"&amp;"EARCH(""CASH DEPOSIT"",$C173))
    ),
    """",
    IFERROR(TEXTJOIN(CHAR(10),TRUE,FILTER('SUMMARY DATA'!H:H,'SUMMARY DATA'!$D:$D=$C173,'SUMMARY DATA'!$B:$B=""RWS"",'SUMMARY DATA'!$H:$H=$D173)),"""")
  )
)"),"")</f>
      </c>
      <c r="I173" s="18" t="str">
        <f>IFERROR(__xludf.DUMMYFUNCTION("IF(H173="""","""",
SUM(ARRAYFORMULA(VALUE(SPLIT(H173,CHAR(10)))))
)"),"")</f>
      </c>
      <c r="J173" s="17" t="str">
        <f>IFERROR(__xludf.DUMMYFUNCTION("IFERROR(
  TEXTJOIN(CHAR(10),TRUE,FILTER('SUMMARY DATA'!I:I,'SUMMARY DATA'!$A:$A=$A173,'SUMMARY DATA'!$C:$C=$B173,'SUMMARY DATA'!$B:$B=""RWS"")),
  IF(
    OR(
      ISNUMBER(SEARCH(""CDM CASH DEPOSIT"",$C173)),
      ISNUMBER(SEARCH(""CASH DEPOSIT"",$C17"&amp;"3)),
      COUNTIFS('SUMMARY DATA'!$D:$D,$C173,'SUMMARY DATA'!$B:$B,""RWS"")&lt;&gt;1
    ),
    """",
    IFERROR(TEXTJOIN(CHAR(10),TRUE,FILTER('SUMMARY DATA'!I:I,'SUMMARY DATA'!$D:$D=$C173,'SUMMARY DATA'!$B:$B=""RWS"")),"""")
  )
)"),"")</f>
      </c>
      <c r="K173" s="2"/>
      <c r="L173" s="2"/>
      <c r="M173" s="2"/>
      <c r="N173" s="2"/>
      <c r="O173" s="2"/>
      <c r="P173" s="2"/>
      <c r="Q173" s="2"/>
      <c r="R173" s="2"/>
      <c r="S173" s="2"/>
      <c r="T173" s="2"/>
      <c r="U173" s="2"/>
      <c r="V173" s="2"/>
      <c r="W173" s="2"/>
      <c r="X173" s="2"/>
      <c r="Y173" s="2"/>
      <c r="Z173" s="2"/>
      <c r="AA173" s="2"/>
      <c r="AB173" s="2"/>
    </row>
    <row r="174" spans="1:28" customHeight="true">
      <c r="A174" s="2" t="s">
        <v>263</v>
      </c>
      <c r="B174" s="15">
        <v>45953</v>
      </c>
      <c r="C174" s="2" t="s">
        <v>264</v>
      </c>
      <c r="D174" s="3">
        <v>600.99</v>
      </c>
      <c r="E174" s="16" t="str">
        <f>IFERROR(__xludf.DUMMYFUNCTION("IFERROR(
  TEXTJOIN(CHAR(10),TRUE,FILTER('SUMMARY DATA'!E:E,'SUMMARY DATA'!$A:$A=$A174,'SUMMARY DATA'!$C:$C=$B174,'SUMMARY DATA'!$B:$B=""RWS"")),
  IF(
    OR(
      ISNUMBER(SEARCH(""CDM CASH DEPOSIT"",$C174)),
      ISNUMBER(SEARCH(""CASH DEPOSIT"",$C17"&amp;"4)),
      COUNTIFS('SUMMARY DATA'!$D:$D,$C174,'SUMMARY DATA'!$B:$B,""RWS"")&lt;&gt;1
    ),
    """",
    IFERROR(TEXTJOIN(CHAR(10),TRUE,FILTER('SUMMARY DATA'!E:E,'SUMMARY DATA'!$D:$D=$C174,'SUMMARY DATA'!$B:$B=""RWS"")),"""")
  )
)"),"")</f>
      </c>
      <c r="F174" s="17" t="str">
        <f>IFERROR(__xludf.DUMMYFUNCTION("IFERROR(
  TEXTJOIN(CHAR(10),TRUE,FILTER('SUMMARY DATA'!F:F,'SUMMARY DATA'!$A:$A=$A174,'SUMMARY DATA'!$C:$C=$B174,'SUMMARY DATA'!$B:$B=""RWS"")),
  IF(
    OR(
      ISNUMBER(SEARCH(""CDM CASH DEPOSIT"",$C174)),
      ISNUMBER(SEARCH(""CASH DEPOSIT"",$C17"&amp;"4)),
      COUNTIFS('SUMMARY DATA'!$D:$D,$C174,'SUMMARY DATA'!$B:$B,""RWS"")&lt;&gt;1
    ),
    """",
    IFERROR(TEXTJOIN(CHAR(10),TRUE,FILTER('SUMMARY DATA'!F:F,'SUMMARY DATA'!$D:$D=$C174,'SUMMARY DATA'!$B:$B=""RWS"")),"""")
  )
)"),"")</f>
      </c>
      <c r="G174" s="17" t="str">
        <f>IFERROR(__xludf.DUMMYFUNCTION("IFERROR(
  TEXTJOIN(CHAR(10),TRUE,FILTER('SUMMARY DATA'!G:G,'SUMMARY DATA'!$A:$A=$A174,'SUMMARY DATA'!$C:$C=$B174,'SUMMARY DATA'!$B:$B=""RWS"")),
  IF(
    OR(
      ISNUMBER(SEARCH(""CDM CASH DEPOSIT"",$C174)),
      ISNUMBER(SEARCH(""CASH DEPOSIT"",$C17"&amp;"4)),
      COUNTIFS('SUMMARY DATA'!$D:$D,$C174,'SUMMARY DATA'!$B:$B,""RWS"")&lt;&gt;1
    ),
    """",
    IFERROR(TEXTJOIN(CHAR(10),TRUE,FILTER('SUMMARY DATA'!G:G,'SUMMARY DATA'!$D:$D=$C174,'SUMMARY DATA'!$B:$B=""RWS"")),"""")
  )
)"),"")</f>
      </c>
      <c r="H174" s="18" t="str">
        <f>IFERROR(__xludf.DUMMYFUNCTION("IFERROR(
  TEXTJOIN(CHAR(10),TRUE,FILTER('SUMMARY DATA'!H:H,'SUMMARY DATA'!$A:$A=$A174,'SUMMARY DATA'!$C:$C=$B174,'SUMMARY DATA'!$B:$B=""RWS"",'SUMMARY DATA'!$H:$H=$D174)),
  IF(
    OR(
      ISNUMBER(SEARCH(""CDM CASH DEPOSIT"",$C174)),
      ISNUMBER(S"&amp;"EARCH(""CASH DEPOSIT"",$C174))
    ),
    """",
    IFERROR(TEXTJOIN(CHAR(10),TRUE,FILTER('SUMMARY DATA'!H:H,'SUMMARY DATA'!$D:$D=$C174,'SUMMARY DATA'!$B:$B=""RWS"",'SUMMARY DATA'!$H:$H=$D174)),"""")
  )
)"),"")</f>
      </c>
      <c r="I174" s="18" t="str">
        <f>IFERROR(__xludf.DUMMYFUNCTION("IF(H174="""","""",
SUM(ARRAYFORMULA(VALUE(SPLIT(H174,CHAR(10)))))
)"),"")</f>
      </c>
      <c r="J174" s="17" t="str">
        <f>IFERROR(__xludf.DUMMYFUNCTION("IFERROR(
  TEXTJOIN(CHAR(10),TRUE,FILTER('SUMMARY DATA'!I:I,'SUMMARY DATA'!$A:$A=$A174,'SUMMARY DATA'!$C:$C=$B174,'SUMMARY DATA'!$B:$B=""RWS"")),
  IF(
    OR(
      ISNUMBER(SEARCH(""CDM CASH DEPOSIT"",$C174)),
      ISNUMBER(SEARCH(""CASH DEPOSIT"",$C17"&amp;"4)),
      COUNTIFS('SUMMARY DATA'!$D:$D,$C174,'SUMMARY DATA'!$B:$B,""RWS"")&lt;&gt;1
    ),
    """",
    IFERROR(TEXTJOIN(CHAR(10),TRUE,FILTER('SUMMARY DATA'!I:I,'SUMMARY DATA'!$D:$D=$C174,'SUMMARY DATA'!$B:$B=""RWS"")),"""")
  )
)"),"")</f>
      </c>
      <c r="K174" s="2"/>
      <c r="L174" s="2"/>
      <c r="M174" s="2"/>
      <c r="N174" s="2"/>
      <c r="O174" s="2"/>
      <c r="P174" s="2"/>
      <c r="Q174" s="2"/>
      <c r="R174" s="2"/>
      <c r="S174" s="2"/>
      <c r="T174" s="2"/>
      <c r="U174" s="2"/>
      <c r="V174" s="2"/>
      <c r="W174" s="2"/>
      <c r="X174" s="2"/>
      <c r="Y174" s="2"/>
      <c r="Z174" s="2"/>
      <c r="AA174" s="2"/>
      <c r="AB174" s="2"/>
    </row>
    <row r="175" spans="1:28" customHeight="true">
      <c r="A175" s="2"/>
      <c r="B175" s="15">
        <v>45953</v>
      </c>
      <c r="C175" s="2" t="s">
        <v>265</v>
      </c>
      <c r="D175" s="3">
        <v>247</v>
      </c>
      <c r="E175" s="16" t="str">
        <f>IFERROR(__xludf.DUMMYFUNCTION("IFERROR(
  TEXTJOIN(CHAR(10),TRUE,FILTER('SUMMARY DATA'!E:E,'SUMMARY DATA'!$A:$A=$A175,'SUMMARY DATA'!$C:$C=$B175,'SUMMARY DATA'!$B:$B=""RWS"")),
  IF(
    OR(
      ISNUMBER(SEARCH(""CDM CASH DEPOSIT"",$C175)),
      ISNUMBER(SEARCH(""CASH DEPOSIT"",$C17"&amp;"5)),
      COUNTIFS('SUMMARY DATA'!$D:$D,$C175,'SUMMARY DATA'!$B:$B,""RWS"")&lt;&gt;1
    ),
    """",
    IFERROR(TEXTJOIN(CHAR(10),TRUE,FILTER('SUMMARY DATA'!E:E,'SUMMARY DATA'!$D:$D=$C175,'SUMMARY DATA'!$B:$B=""RWS"")),"""")
  )
)"),"")</f>
      </c>
      <c r="F175" s="17" t="str">
        <f>IFERROR(__xludf.DUMMYFUNCTION("IFERROR(
  TEXTJOIN(CHAR(10),TRUE,FILTER('SUMMARY DATA'!F:F,'SUMMARY DATA'!$A:$A=$A175,'SUMMARY DATA'!$C:$C=$B175,'SUMMARY DATA'!$B:$B=""RWS"")),
  IF(
    OR(
      ISNUMBER(SEARCH(""CDM CASH DEPOSIT"",$C175)),
      ISNUMBER(SEARCH(""CASH DEPOSIT"",$C17"&amp;"5)),
      COUNTIFS('SUMMARY DATA'!$D:$D,$C175,'SUMMARY DATA'!$B:$B,""RWS"")&lt;&gt;1
    ),
    """",
    IFERROR(TEXTJOIN(CHAR(10),TRUE,FILTER('SUMMARY DATA'!F:F,'SUMMARY DATA'!$D:$D=$C175,'SUMMARY DATA'!$B:$B=""RWS"")),"""")
  )
)"),"")</f>
      </c>
      <c r="G175" s="17" t="str">
        <f>IFERROR(__xludf.DUMMYFUNCTION("IFERROR(
  TEXTJOIN(CHAR(10),TRUE,FILTER('SUMMARY DATA'!G:G,'SUMMARY DATA'!$A:$A=$A175,'SUMMARY DATA'!$C:$C=$B175,'SUMMARY DATA'!$B:$B=""RWS"")),
  IF(
    OR(
      ISNUMBER(SEARCH(""CDM CASH DEPOSIT"",$C175)),
      ISNUMBER(SEARCH(""CASH DEPOSIT"",$C17"&amp;"5)),
      COUNTIFS('SUMMARY DATA'!$D:$D,$C175,'SUMMARY DATA'!$B:$B,""RWS"")&lt;&gt;1
    ),
    """",
    IFERROR(TEXTJOIN(CHAR(10),TRUE,FILTER('SUMMARY DATA'!G:G,'SUMMARY DATA'!$D:$D=$C175,'SUMMARY DATA'!$B:$B=""RWS"")),"""")
  )
)"),"")</f>
      </c>
      <c r="H175" s="18" t="str">
        <f>IFERROR(__xludf.DUMMYFUNCTION("IFERROR(
  TEXTJOIN(CHAR(10),TRUE,FILTER('SUMMARY DATA'!H:H,'SUMMARY DATA'!$A:$A=$A175,'SUMMARY DATA'!$C:$C=$B175,'SUMMARY DATA'!$B:$B=""RWS"",'SUMMARY DATA'!$H:$H=$D175)),
  IF(
    OR(
      ISNUMBER(SEARCH(""CDM CASH DEPOSIT"",$C175)),
      ISNUMBER(S"&amp;"EARCH(""CASH DEPOSIT"",$C175))
    ),
    """",
    IFERROR(TEXTJOIN(CHAR(10),TRUE,FILTER('SUMMARY DATA'!H:H,'SUMMARY DATA'!$D:$D=$C175,'SUMMARY DATA'!$B:$B=""RWS"",'SUMMARY DATA'!$H:$H=$D175)),"""")
  )
)"),"")</f>
      </c>
      <c r="I175" s="18" t="str">
        <f>IFERROR(__xludf.DUMMYFUNCTION("IF(H175="""","""",
SUM(ARRAYFORMULA(VALUE(SPLIT(H175,CHAR(10)))))
)"),"")</f>
      </c>
      <c r="J175" s="17" t="str">
        <f>IFERROR(__xludf.DUMMYFUNCTION("IFERROR(
  TEXTJOIN(CHAR(10),TRUE,FILTER('SUMMARY DATA'!I:I,'SUMMARY DATA'!$A:$A=$A175,'SUMMARY DATA'!$C:$C=$B175,'SUMMARY DATA'!$B:$B=""RWS"")),
  IF(
    OR(
      ISNUMBER(SEARCH(""CDM CASH DEPOSIT"",$C175)),
      ISNUMBER(SEARCH(""CASH DEPOSIT"",$C17"&amp;"5)),
      COUNTIFS('SUMMARY DATA'!$D:$D,$C175,'SUMMARY DATA'!$B:$B,""RWS"")&lt;&gt;1
    ),
    """",
    IFERROR(TEXTJOIN(CHAR(10),TRUE,FILTER('SUMMARY DATA'!I:I,'SUMMARY DATA'!$D:$D=$C175,'SUMMARY DATA'!$B:$B=""RWS"")),"""")
  )
)"),"")</f>
      </c>
      <c r="K175" s="2"/>
      <c r="L175" s="2"/>
      <c r="M175" s="2"/>
      <c r="N175" s="2"/>
      <c r="O175" s="2"/>
      <c r="P175" s="2"/>
      <c r="Q175" s="2"/>
      <c r="R175" s="2"/>
      <c r="S175" s="2"/>
      <c r="T175" s="2"/>
      <c r="U175" s="2"/>
      <c r="V175" s="2"/>
      <c r="W175" s="2"/>
      <c r="X175" s="2"/>
      <c r="Y175" s="2"/>
      <c r="Z175" s="2"/>
      <c r="AA175" s="2"/>
      <c r="AB175" s="2"/>
    </row>
    <row r="176" spans="1:28" customHeight="true">
      <c r="A176" s="2"/>
      <c r="B176" s="15">
        <v>45953</v>
      </c>
      <c r="C176" s="2" t="s">
        <v>48</v>
      </c>
      <c r="D176" s="3">
        <v>321.78</v>
      </c>
      <c r="E176" s="16" t="str">
        <f>IFERROR(__xludf.DUMMYFUNCTION("IFERROR(
  TEXTJOIN(CHAR(10),TRUE,FILTER('SUMMARY DATA'!E:E,'SUMMARY DATA'!$A:$A=$A176,'SUMMARY DATA'!$C:$C=$B176,'SUMMARY DATA'!$B:$B=""RWS"")),
  IF(
    OR(
      ISNUMBER(SEARCH(""CDM CASH DEPOSIT"",$C176)),
      ISNUMBER(SEARCH(""CASH DEPOSIT"",$C17"&amp;"6)),
      COUNTIFS('SUMMARY DATA'!$D:$D,$C176,'SUMMARY DATA'!$B:$B,""RWS"")&lt;&gt;1
    ),
    """",
    IFERROR(TEXTJOIN(CHAR(10),TRUE,FILTER('SUMMARY DATA'!E:E,'SUMMARY DATA'!$D:$D=$C176,'SUMMARY DATA'!$B:$B=""RWS"")),"""")
  )
)"),"")</f>
      </c>
      <c r="F176" s="17" t="str">
        <f>IFERROR(__xludf.DUMMYFUNCTION("IFERROR(
  TEXTJOIN(CHAR(10),TRUE,FILTER('SUMMARY DATA'!F:F,'SUMMARY DATA'!$A:$A=$A176,'SUMMARY DATA'!$C:$C=$B176,'SUMMARY DATA'!$B:$B=""RWS"")),
  IF(
    OR(
      ISNUMBER(SEARCH(""CDM CASH DEPOSIT"",$C176)),
      ISNUMBER(SEARCH(""CASH DEPOSIT"",$C17"&amp;"6)),
      COUNTIFS('SUMMARY DATA'!$D:$D,$C176,'SUMMARY DATA'!$B:$B,""RWS"")&lt;&gt;1
    ),
    """",
    IFERROR(TEXTJOIN(CHAR(10),TRUE,FILTER('SUMMARY DATA'!F:F,'SUMMARY DATA'!$D:$D=$C176,'SUMMARY DATA'!$B:$B=""RWS"")),"""")
  )
)"),"")</f>
      </c>
      <c r="G176" s="17" t="str">
        <f>IFERROR(__xludf.DUMMYFUNCTION("IFERROR(
  TEXTJOIN(CHAR(10),TRUE,FILTER('SUMMARY DATA'!G:G,'SUMMARY DATA'!$A:$A=$A176,'SUMMARY DATA'!$C:$C=$B176,'SUMMARY DATA'!$B:$B=""RWS"")),
  IF(
    OR(
      ISNUMBER(SEARCH(""CDM CASH DEPOSIT"",$C176)),
      ISNUMBER(SEARCH(""CASH DEPOSIT"",$C17"&amp;"6)),
      COUNTIFS('SUMMARY DATA'!$D:$D,$C176,'SUMMARY DATA'!$B:$B,""RWS"")&lt;&gt;1
    ),
    """",
    IFERROR(TEXTJOIN(CHAR(10),TRUE,FILTER('SUMMARY DATA'!G:G,'SUMMARY DATA'!$D:$D=$C176,'SUMMARY DATA'!$B:$B=""RWS"")),"""")
  )
)"),"")</f>
      </c>
      <c r="H176" s="18" t="str">
        <f>IFERROR(__xludf.DUMMYFUNCTION("IFERROR(
  TEXTJOIN(CHAR(10),TRUE,FILTER('SUMMARY DATA'!H:H,'SUMMARY DATA'!$A:$A=$A176,'SUMMARY DATA'!$C:$C=$B176,'SUMMARY DATA'!$B:$B=""RWS"",'SUMMARY DATA'!$H:$H=$D176)),
  IF(
    OR(
      ISNUMBER(SEARCH(""CDM CASH DEPOSIT"",$C176)),
      ISNUMBER(S"&amp;"EARCH(""CASH DEPOSIT"",$C176))
    ),
    """",
    IFERROR(TEXTJOIN(CHAR(10),TRUE,FILTER('SUMMARY DATA'!H:H,'SUMMARY DATA'!$D:$D=$C176,'SUMMARY DATA'!$B:$B=""RWS"",'SUMMARY DATA'!$H:$H=$D176)),"""")
  )
)"),"")</f>
      </c>
      <c r="I176" s="18" t="str">
        <f>IFERROR(__xludf.DUMMYFUNCTION("IF(H176="""","""",
SUM(ARRAYFORMULA(VALUE(SPLIT(H176,CHAR(10)))))
)"),"")</f>
      </c>
      <c r="J176" s="17" t="str">
        <f>IFERROR(__xludf.DUMMYFUNCTION("IFERROR(
  TEXTJOIN(CHAR(10),TRUE,FILTER('SUMMARY DATA'!I:I,'SUMMARY DATA'!$A:$A=$A176,'SUMMARY DATA'!$C:$C=$B176,'SUMMARY DATA'!$B:$B=""RWS"")),
  IF(
    OR(
      ISNUMBER(SEARCH(""CDM CASH DEPOSIT"",$C176)),
      ISNUMBER(SEARCH(""CASH DEPOSIT"",$C17"&amp;"6)),
      COUNTIFS('SUMMARY DATA'!$D:$D,$C176,'SUMMARY DATA'!$B:$B,""RWS"")&lt;&gt;1
    ),
    """",
    IFERROR(TEXTJOIN(CHAR(10),TRUE,FILTER('SUMMARY DATA'!I:I,'SUMMARY DATA'!$D:$D=$C176,'SUMMARY DATA'!$B:$B=""RWS"")),"""")
  )
)"),"")</f>
      </c>
      <c r="K176" s="2"/>
      <c r="L176" s="2"/>
      <c r="M176" s="2"/>
      <c r="N176" s="2"/>
      <c r="O176" s="2"/>
      <c r="P176" s="2"/>
      <c r="Q176" s="2"/>
      <c r="R176" s="2"/>
      <c r="S176" s="2"/>
      <c r="T176" s="2"/>
      <c r="U176" s="2"/>
      <c r="V176" s="2"/>
      <c r="W176" s="2"/>
      <c r="X176" s="2"/>
      <c r="Y176" s="2"/>
      <c r="Z176" s="2"/>
      <c r="AA176" s="2"/>
      <c r="AB176" s="2"/>
    </row>
    <row r="177" spans="1:28" customHeight="true">
      <c r="A177" s="2"/>
      <c r="B177" s="15">
        <v>45953</v>
      </c>
      <c r="C177" s="2" t="s">
        <v>48</v>
      </c>
      <c r="D177" s="3">
        <v>1178.22</v>
      </c>
      <c r="E177" s="16" t="str">
        <f>IFERROR(__xludf.DUMMYFUNCTION("IFERROR(
  TEXTJOIN(CHAR(10),TRUE,FILTER('SUMMARY DATA'!E:E,'SUMMARY DATA'!$A:$A=$A177,'SUMMARY DATA'!$C:$C=$B177,'SUMMARY DATA'!$B:$B=""RWS"")),
  IF(
    OR(
      ISNUMBER(SEARCH(""CDM CASH DEPOSIT"",$C177)),
      ISNUMBER(SEARCH(""CASH DEPOSIT"",$C17"&amp;"7)),
      COUNTIFS('SUMMARY DATA'!$D:$D,$C177,'SUMMARY DATA'!$B:$B,""RWS"")&lt;&gt;1
    ),
    """",
    IFERROR(TEXTJOIN(CHAR(10),TRUE,FILTER('SUMMARY DATA'!E:E,'SUMMARY DATA'!$D:$D=$C177,'SUMMARY DATA'!$B:$B=""RWS"")),"""")
  )
)"),"")</f>
      </c>
      <c r="F177" s="17" t="str">
        <f>IFERROR(__xludf.DUMMYFUNCTION("IFERROR(
  TEXTJOIN(CHAR(10),TRUE,FILTER('SUMMARY DATA'!F:F,'SUMMARY DATA'!$A:$A=$A177,'SUMMARY DATA'!$C:$C=$B177,'SUMMARY DATA'!$B:$B=""RWS"")),
  IF(
    OR(
      ISNUMBER(SEARCH(""CDM CASH DEPOSIT"",$C177)),
      ISNUMBER(SEARCH(""CASH DEPOSIT"",$C17"&amp;"7)),
      COUNTIFS('SUMMARY DATA'!$D:$D,$C177,'SUMMARY DATA'!$B:$B,""RWS"")&lt;&gt;1
    ),
    """",
    IFERROR(TEXTJOIN(CHAR(10),TRUE,FILTER('SUMMARY DATA'!F:F,'SUMMARY DATA'!$D:$D=$C177,'SUMMARY DATA'!$B:$B=""RWS"")),"""")
  )
)"),"")</f>
      </c>
      <c r="G177" s="17" t="str">
        <f>IFERROR(__xludf.DUMMYFUNCTION("IFERROR(
  TEXTJOIN(CHAR(10),TRUE,FILTER('SUMMARY DATA'!G:G,'SUMMARY DATA'!$A:$A=$A177,'SUMMARY DATA'!$C:$C=$B177,'SUMMARY DATA'!$B:$B=""RWS"")),
  IF(
    OR(
      ISNUMBER(SEARCH(""CDM CASH DEPOSIT"",$C177)),
      ISNUMBER(SEARCH(""CASH DEPOSIT"",$C17"&amp;"7)),
      COUNTIFS('SUMMARY DATA'!$D:$D,$C177,'SUMMARY DATA'!$B:$B,""RWS"")&lt;&gt;1
    ),
    """",
    IFERROR(TEXTJOIN(CHAR(10),TRUE,FILTER('SUMMARY DATA'!G:G,'SUMMARY DATA'!$D:$D=$C177,'SUMMARY DATA'!$B:$B=""RWS"")),"""")
  )
)"),"")</f>
      </c>
      <c r="H177" s="18" t="str">
        <f>IFERROR(__xludf.DUMMYFUNCTION("IFERROR(
  TEXTJOIN(CHAR(10),TRUE,FILTER('SUMMARY DATA'!H:H,'SUMMARY DATA'!$A:$A=$A177,'SUMMARY DATA'!$C:$C=$B177,'SUMMARY DATA'!$B:$B=""RWS"",'SUMMARY DATA'!$H:$H=$D177)),
  IF(
    OR(
      ISNUMBER(SEARCH(""CDM CASH DEPOSIT"",$C177)),
      ISNUMBER(S"&amp;"EARCH(""CASH DEPOSIT"",$C177))
    ),
    """",
    IFERROR(TEXTJOIN(CHAR(10),TRUE,FILTER('SUMMARY DATA'!H:H,'SUMMARY DATA'!$D:$D=$C177,'SUMMARY DATA'!$B:$B=""RWS"",'SUMMARY DATA'!$H:$H=$D177)),"""")
  )
)"),"")</f>
      </c>
      <c r="I177" s="18" t="str">
        <f>IFERROR(__xludf.DUMMYFUNCTION("IF(H177="""","""",
SUM(ARRAYFORMULA(VALUE(SPLIT(H177,CHAR(10)))))
)"),"")</f>
      </c>
      <c r="J177" s="17" t="str">
        <f>IFERROR(__xludf.DUMMYFUNCTION("IFERROR(
  TEXTJOIN(CHAR(10),TRUE,FILTER('SUMMARY DATA'!I:I,'SUMMARY DATA'!$A:$A=$A177,'SUMMARY DATA'!$C:$C=$B177,'SUMMARY DATA'!$B:$B=""RWS"")),
  IF(
    OR(
      ISNUMBER(SEARCH(""CDM CASH DEPOSIT"",$C177)),
      ISNUMBER(SEARCH(""CASH DEPOSIT"",$C17"&amp;"7)),
      COUNTIFS('SUMMARY DATA'!$D:$D,$C177,'SUMMARY DATA'!$B:$B,""RWS"")&lt;&gt;1
    ),
    """",
    IFERROR(TEXTJOIN(CHAR(10),TRUE,FILTER('SUMMARY DATA'!I:I,'SUMMARY DATA'!$D:$D=$C177,'SUMMARY DATA'!$B:$B=""RWS"")),"""")
  )
)"),"")</f>
      </c>
      <c r="K177" s="2"/>
      <c r="L177" s="2"/>
      <c r="M177" s="2"/>
      <c r="N177" s="2"/>
      <c r="O177" s="2"/>
      <c r="P177" s="2"/>
      <c r="Q177" s="2"/>
      <c r="R177" s="2"/>
      <c r="S177" s="2"/>
      <c r="T177" s="2"/>
      <c r="U177" s="2"/>
      <c r="V177" s="2"/>
      <c r="W177" s="2"/>
      <c r="X177" s="2"/>
      <c r="Y177" s="2"/>
      <c r="Z177" s="2"/>
      <c r="AA177" s="2"/>
      <c r="AB177" s="2"/>
    </row>
    <row r="178" spans="1:28" customHeight="true">
      <c r="A178" s="2"/>
      <c r="B178" s="15">
        <v>45953</v>
      </c>
      <c r="C178" s="2" t="s">
        <v>266</v>
      </c>
      <c r="D178" s="3">
        <v>188</v>
      </c>
      <c r="E178" s="16" t="str">
        <f>IFERROR(__xludf.DUMMYFUNCTION("IFERROR(
  TEXTJOIN(CHAR(10),TRUE,FILTER('SUMMARY DATA'!E:E,'SUMMARY DATA'!$A:$A=$A178,'SUMMARY DATA'!$C:$C=$B178,'SUMMARY DATA'!$B:$B=""RWS"")),
  IF(
    OR(
      ISNUMBER(SEARCH(""CDM CASH DEPOSIT"",$C178)),
      ISNUMBER(SEARCH(""CASH DEPOSIT"",$C17"&amp;"8)),
      COUNTIFS('SUMMARY DATA'!$D:$D,$C178,'SUMMARY DATA'!$B:$B,""RWS"")&lt;&gt;1
    ),
    """",
    IFERROR(TEXTJOIN(CHAR(10),TRUE,FILTER('SUMMARY DATA'!E:E,'SUMMARY DATA'!$D:$D=$C178,'SUMMARY DATA'!$B:$B=""RWS"")),"""")
  )
)"),"")</f>
      </c>
      <c r="F178" s="17" t="str">
        <f>IFERROR(__xludf.DUMMYFUNCTION("IFERROR(
  TEXTJOIN(CHAR(10),TRUE,FILTER('SUMMARY DATA'!F:F,'SUMMARY DATA'!$A:$A=$A178,'SUMMARY DATA'!$C:$C=$B178,'SUMMARY DATA'!$B:$B=""RWS"")),
  IF(
    OR(
      ISNUMBER(SEARCH(""CDM CASH DEPOSIT"",$C178)),
      ISNUMBER(SEARCH(""CASH DEPOSIT"",$C17"&amp;"8)),
      COUNTIFS('SUMMARY DATA'!$D:$D,$C178,'SUMMARY DATA'!$B:$B,""RWS"")&lt;&gt;1
    ),
    """",
    IFERROR(TEXTJOIN(CHAR(10),TRUE,FILTER('SUMMARY DATA'!F:F,'SUMMARY DATA'!$D:$D=$C178,'SUMMARY DATA'!$B:$B=""RWS"")),"""")
  )
)"),"")</f>
      </c>
      <c r="G178" s="17" t="str">
        <f>IFERROR(__xludf.DUMMYFUNCTION("IFERROR(
  TEXTJOIN(CHAR(10),TRUE,FILTER('SUMMARY DATA'!G:G,'SUMMARY DATA'!$A:$A=$A178,'SUMMARY DATA'!$C:$C=$B178,'SUMMARY DATA'!$B:$B=""RWS"")),
  IF(
    OR(
      ISNUMBER(SEARCH(""CDM CASH DEPOSIT"",$C178)),
      ISNUMBER(SEARCH(""CASH DEPOSIT"",$C17"&amp;"8)),
      COUNTIFS('SUMMARY DATA'!$D:$D,$C178,'SUMMARY DATA'!$B:$B,""RWS"")&lt;&gt;1
    ),
    """",
    IFERROR(TEXTJOIN(CHAR(10),TRUE,FILTER('SUMMARY DATA'!G:G,'SUMMARY DATA'!$D:$D=$C178,'SUMMARY DATA'!$B:$B=""RWS"")),"""")
  )
)"),"")</f>
      </c>
      <c r="H178" s="18" t="str">
        <f>IFERROR(__xludf.DUMMYFUNCTION("IFERROR(
  TEXTJOIN(CHAR(10),TRUE,FILTER('SUMMARY DATA'!H:H,'SUMMARY DATA'!$A:$A=$A178,'SUMMARY DATA'!$C:$C=$B178,'SUMMARY DATA'!$B:$B=""RWS"",'SUMMARY DATA'!$H:$H=$D178)),
  IF(
    OR(
      ISNUMBER(SEARCH(""CDM CASH DEPOSIT"",$C178)),
      ISNUMBER(S"&amp;"EARCH(""CASH DEPOSIT"",$C178))
    ),
    """",
    IFERROR(TEXTJOIN(CHAR(10),TRUE,FILTER('SUMMARY DATA'!H:H,'SUMMARY DATA'!$D:$D=$C178,'SUMMARY DATA'!$B:$B=""RWS"",'SUMMARY DATA'!$H:$H=$D178)),"""")
  )
)"),"")</f>
      </c>
      <c r="I178" s="18" t="str">
        <f>IFERROR(__xludf.DUMMYFUNCTION("IF(H178="""","""",
SUM(ARRAYFORMULA(VALUE(SPLIT(H178,CHAR(10)))))
)"),"")</f>
      </c>
      <c r="J178" s="17" t="str">
        <f>IFERROR(__xludf.DUMMYFUNCTION("IFERROR(
  TEXTJOIN(CHAR(10),TRUE,FILTER('SUMMARY DATA'!I:I,'SUMMARY DATA'!$A:$A=$A178,'SUMMARY DATA'!$C:$C=$B178,'SUMMARY DATA'!$B:$B=""RWS"")),
  IF(
    OR(
      ISNUMBER(SEARCH(""CDM CASH DEPOSIT"",$C178)),
      ISNUMBER(SEARCH(""CASH DEPOSIT"",$C17"&amp;"8)),
      COUNTIFS('SUMMARY DATA'!$D:$D,$C178,'SUMMARY DATA'!$B:$B,""RWS"")&lt;&gt;1
    ),
    """",
    IFERROR(TEXTJOIN(CHAR(10),TRUE,FILTER('SUMMARY DATA'!I:I,'SUMMARY DATA'!$D:$D=$C178,'SUMMARY DATA'!$B:$B=""RWS"")),"""")
  )
)"),"")</f>
      </c>
      <c r="K178" s="2"/>
      <c r="L178" s="2"/>
      <c r="M178" s="2"/>
      <c r="N178" s="2"/>
      <c r="O178" s="2"/>
      <c r="P178" s="2"/>
      <c r="Q178" s="2"/>
      <c r="R178" s="2"/>
      <c r="S178" s="2"/>
      <c r="T178" s="2"/>
      <c r="U178" s="2"/>
      <c r="V178" s="2"/>
      <c r="W178" s="2"/>
      <c r="X178" s="2"/>
      <c r="Y178" s="2"/>
      <c r="Z178" s="2"/>
      <c r="AA178" s="2"/>
      <c r="AB178" s="2"/>
    </row>
    <row r="179" spans="1:28" customHeight="true">
      <c r="A179" s="2"/>
      <c r="B179" s="15">
        <v>45952</v>
      </c>
      <c r="C179" s="2" t="s">
        <v>267</v>
      </c>
      <c r="D179" s="3">
        <v>178</v>
      </c>
      <c r="E179" s="16" t="str">
        <f>IFERROR(__xludf.DUMMYFUNCTION("IFERROR(
  TEXTJOIN(CHAR(10),TRUE,FILTER('SUMMARY DATA'!E:E,'SUMMARY DATA'!$A:$A=$A179,'SUMMARY DATA'!$C:$C=$B179,'SUMMARY DATA'!$B:$B=""RWS"")),
  IF(
    OR(
      ISNUMBER(SEARCH(""CDM CASH DEPOSIT"",$C179)),
      ISNUMBER(SEARCH(""CASH DEPOSIT"",$C17"&amp;"9)),
      COUNTIFS('SUMMARY DATA'!$D:$D,$C179,'SUMMARY DATA'!$B:$B,""RWS"")&lt;&gt;1
    ),
    """",
    IFERROR(TEXTJOIN(CHAR(10),TRUE,FILTER('SUMMARY DATA'!E:E,'SUMMARY DATA'!$D:$D=$C179,'SUMMARY DATA'!$B:$B=""RWS"")),"""")
  )
)"),"")</f>
      </c>
      <c r="F179" s="17" t="str">
        <f>IFERROR(__xludf.DUMMYFUNCTION("IFERROR(
  TEXTJOIN(CHAR(10),TRUE,FILTER('SUMMARY DATA'!F:F,'SUMMARY DATA'!$A:$A=$A179,'SUMMARY DATA'!$C:$C=$B179,'SUMMARY DATA'!$B:$B=""RWS"")),
  IF(
    OR(
      ISNUMBER(SEARCH(""CDM CASH DEPOSIT"",$C179)),
      ISNUMBER(SEARCH(""CASH DEPOSIT"",$C17"&amp;"9)),
      COUNTIFS('SUMMARY DATA'!$D:$D,$C179,'SUMMARY DATA'!$B:$B,""RWS"")&lt;&gt;1
    ),
    """",
    IFERROR(TEXTJOIN(CHAR(10),TRUE,FILTER('SUMMARY DATA'!F:F,'SUMMARY DATA'!$D:$D=$C179,'SUMMARY DATA'!$B:$B=""RWS"")),"""")
  )
)"),"")</f>
      </c>
      <c r="G179" s="17" t="str">
        <f>IFERROR(__xludf.DUMMYFUNCTION("IFERROR(
  TEXTJOIN(CHAR(10),TRUE,FILTER('SUMMARY DATA'!G:G,'SUMMARY DATA'!$A:$A=$A179,'SUMMARY DATA'!$C:$C=$B179,'SUMMARY DATA'!$B:$B=""RWS"")),
  IF(
    OR(
      ISNUMBER(SEARCH(""CDM CASH DEPOSIT"",$C179)),
      ISNUMBER(SEARCH(""CASH DEPOSIT"",$C17"&amp;"9)),
      COUNTIFS('SUMMARY DATA'!$D:$D,$C179,'SUMMARY DATA'!$B:$B,""RWS"")&lt;&gt;1
    ),
    """",
    IFERROR(TEXTJOIN(CHAR(10),TRUE,FILTER('SUMMARY DATA'!G:G,'SUMMARY DATA'!$D:$D=$C179,'SUMMARY DATA'!$B:$B=""RWS"")),"""")
  )
)"),"")</f>
      </c>
      <c r="H179" s="18" t="str">
        <f>IFERROR(__xludf.DUMMYFUNCTION("IFERROR(
  TEXTJOIN(CHAR(10),TRUE,FILTER('SUMMARY DATA'!H:H,'SUMMARY DATA'!$A:$A=$A179,'SUMMARY DATA'!$C:$C=$B179,'SUMMARY DATA'!$B:$B=""RWS"",'SUMMARY DATA'!$H:$H=$D179)),
  IF(
    OR(
      ISNUMBER(SEARCH(""CDM CASH DEPOSIT"",$C179)),
      ISNUMBER(S"&amp;"EARCH(""CASH DEPOSIT"",$C179))
    ),
    """",
    IFERROR(TEXTJOIN(CHAR(10),TRUE,FILTER('SUMMARY DATA'!H:H,'SUMMARY DATA'!$D:$D=$C179,'SUMMARY DATA'!$B:$B=""RWS"",'SUMMARY DATA'!$H:$H=$D179)),"""")
  )
)"),"")</f>
      </c>
      <c r="I179" s="18" t="str">
        <f>IFERROR(__xludf.DUMMYFUNCTION("IF(H179="""","""",
SUM(ARRAYFORMULA(VALUE(SPLIT(H179,CHAR(10)))))
)"),"")</f>
      </c>
      <c r="J179" s="17" t="str">
        <f>IFERROR(__xludf.DUMMYFUNCTION("IFERROR(
  TEXTJOIN(CHAR(10),TRUE,FILTER('SUMMARY DATA'!I:I,'SUMMARY DATA'!$A:$A=$A179,'SUMMARY DATA'!$C:$C=$B179,'SUMMARY DATA'!$B:$B=""RWS"")),
  IF(
    OR(
      ISNUMBER(SEARCH(""CDM CASH DEPOSIT"",$C179)),
      ISNUMBER(SEARCH(""CASH DEPOSIT"",$C17"&amp;"9)),
      COUNTIFS('SUMMARY DATA'!$D:$D,$C179,'SUMMARY DATA'!$B:$B,""RWS"")&lt;&gt;1
    ),
    """",
    IFERROR(TEXTJOIN(CHAR(10),TRUE,FILTER('SUMMARY DATA'!I:I,'SUMMARY DATA'!$D:$D=$C179,'SUMMARY DATA'!$B:$B=""RWS"")),"""")
  )
)"),"")</f>
      </c>
      <c r="K179" s="2"/>
      <c r="L179" s="2"/>
      <c r="M179" s="2"/>
      <c r="N179" s="2"/>
      <c r="O179" s="2"/>
      <c r="P179" s="2"/>
      <c r="Q179" s="2"/>
      <c r="R179" s="2"/>
      <c r="S179" s="2"/>
      <c r="T179" s="2"/>
      <c r="U179" s="2"/>
      <c r="V179" s="2"/>
      <c r="W179" s="2"/>
      <c r="X179" s="2"/>
      <c r="Y179" s="2"/>
      <c r="Z179" s="2"/>
      <c r="AA179" s="2"/>
      <c r="AB179" s="2"/>
    </row>
    <row r="180" spans="1:28" customHeight="true">
      <c r="A180" s="2"/>
      <c r="B180" s="15">
        <v>45952</v>
      </c>
      <c r="C180" s="2" t="s">
        <v>268</v>
      </c>
      <c r="D180" s="3">
        <v>178</v>
      </c>
      <c r="E180" s="16" t="str">
        <f>IFERROR(__xludf.DUMMYFUNCTION("IFERROR(
  TEXTJOIN(CHAR(10),TRUE,FILTER('SUMMARY DATA'!E:E,'SUMMARY DATA'!$A:$A=$A180,'SUMMARY DATA'!$C:$C=$B180,'SUMMARY DATA'!$B:$B=""RWS"")),
  IF(
    OR(
      ISNUMBER(SEARCH(""CDM CASH DEPOSIT"",$C180)),
      ISNUMBER(SEARCH(""CASH DEPOSIT"",$C18"&amp;"0)),
      COUNTIFS('SUMMARY DATA'!$D:$D,$C180,'SUMMARY DATA'!$B:$B,""RWS"")&lt;&gt;1
    ),
    """",
    IFERROR(TEXTJOIN(CHAR(10),TRUE,FILTER('SUMMARY DATA'!E:E,'SUMMARY DATA'!$D:$D=$C180,'SUMMARY DATA'!$B:$B=""RWS"")),"""")
  )
)"),"")</f>
      </c>
      <c r="F180" s="17" t="str">
        <f>IFERROR(__xludf.DUMMYFUNCTION("IFERROR(
  TEXTJOIN(CHAR(10),TRUE,FILTER('SUMMARY DATA'!F:F,'SUMMARY DATA'!$A:$A=$A180,'SUMMARY DATA'!$C:$C=$B180,'SUMMARY DATA'!$B:$B=""RWS"")),
  IF(
    OR(
      ISNUMBER(SEARCH(""CDM CASH DEPOSIT"",$C180)),
      ISNUMBER(SEARCH(""CASH DEPOSIT"",$C18"&amp;"0)),
      COUNTIFS('SUMMARY DATA'!$D:$D,$C180,'SUMMARY DATA'!$B:$B,""RWS"")&lt;&gt;1
    ),
    """",
    IFERROR(TEXTJOIN(CHAR(10),TRUE,FILTER('SUMMARY DATA'!F:F,'SUMMARY DATA'!$D:$D=$C180,'SUMMARY DATA'!$B:$B=""RWS"")),"""")
  )
)"),"")</f>
      </c>
      <c r="G180" s="17" t="str">
        <f>IFERROR(__xludf.DUMMYFUNCTION("IFERROR(
  TEXTJOIN(CHAR(10),TRUE,FILTER('SUMMARY DATA'!G:G,'SUMMARY DATA'!$A:$A=$A180,'SUMMARY DATA'!$C:$C=$B180,'SUMMARY DATA'!$B:$B=""RWS"")),
  IF(
    OR(
      ISNUMBER(SEARCH(""CDM CASH DEPOSIT"",$C180)),
      ISNUMBER(SEARCH(""CASH DEPOSIT"",$C18"&amp;"0)),
      COUNTIFS('SUMMARY DATA'!$D:$D,$C180,'SUMMARY DATA'!$B:$B,""RWS"")&lt;&gt;1
    ),
    """",
    IFERROR(TEXTJOIN(CHAR(10),TRUE,FILTER('SUMMARY DATA'!G:G,'SUMMARY DATA'!$D:$D=$C180,'SUMMARY DATA'!$B:$B=""RWS"")),"""")
  )
)"),"")</f>
      </c>
      <c r="H180" s="18" t="str">
        <f>IFERROR(__xludf.DUMMYFUNCTION("IFERROR(
  TEXTJOIN(CHAR(10),TRUE,FILTER('SUMMARY DATA'!H:H,'SUMMARY DATA'!$A:$A=$A180,'SUMMARY DATA'!$C:$C=$B180,'SUMMARY DATA'!$B:$B=""RWS"",'SUMMARY DATA'!$H:$H=$D180)),
  IF(
    OR(
      ISNUMBER(SEARCH(""CDM CASH DEPOSIT"",$C180)),
      ISNUMBER(S"&amp;"EARCH(""CASH DEPOSIT"",$C180))
    ),
    """",
    IFERROR(TEXTJOIN(CHAR(10),TRUE,FILTER('SUMMARY DATA'!H:H,'SUMMARY DATA'!$D:$D=$C180,'SUMMARY DATA'!$B:$B=""RWS"",'SUMMARY DATA'!$H:$H=$D180)),"""")
  )
)"),"")</f>
      </c>
      <c r="I180" s="18" t="str">
        <f>IFERROR(__xludf.DUMMYFUNCTION("IF(H180="""","""",
SUM(ARRAYFORMULA(VALUE(SPLIT(H180,CHAR(10)))))
)"),"")</f>
      </c>
      <c r="J180" s="17" t="str">
        <f>IFERROR(__xludf.DUMMYFUNCTION("IFERROR(
  TEXTJOIN(CHAR(10),TRUE,FILTER('SUMMARY DATA'!I:I,'SUMMARY DATA'!$A:$A=$A180,'SUMMARY DATA'!$C:$C=$B180,'SUMMARY DATA'!$B:$B=""RWS"")),
  IF(
    OR(
      ISNUMBER(SEARCH(""CDM CASH DEPOSIT"",$C180)),
      ISNUMBER(SEARCH(""CASH DEPOSIT"",$C18"&amp;"0)),
      COUNTIFS('SUMMARY DATA'!$D:$D,$C180,'SUMMARY DATA'!$B:$B,""RWS"")&lt;&gt;1
    ),
    """",
    IFERROR(TEXTJOIN(CHAR(10),TRUE,FILTER('SUMMARY DATA'!I:I,'SUMMARY DATA'!$D:$D=$C180,'SUMMARY DATA'!$B:$B=""RWS"")),"""")
  )
)"),"")</f>
      </c>
      <c r="K180" s="2"/>
      <c r="L180" s="2"/>
      <c r="M180" s="2"/>
      <c r="N180" s="2"/>
      <c r="O180" s="2"/>
      <c r="P180" s="2"/>
      <c r="Q180" s="2"/>
      <c r="R180" s="2"/>
      <c r="S180" s="2"/>
      <c r="T180" s="2"/>
      <c r="U180" s="2"/>
      <c r="V180" s="2"/>
      <c r="W180" s="2"/>
      <c r="X180" s="2"/>
      <c r="Y180" s="2"/>
      <c r="Z180" s="2"/>
      <c r="AA180" s="2"/>
      <c r="AB180" s="2"/>
    </row>
    <row r="181" spans="1:28" customHeight="true">
      <c r="A181" s="2"/>
      <c r="B181" s="15">
        <v>45951</v>
      </c>
      <c r="C181" s="2" t="s">
        <v>269</v>
      </c>
      <c r="D181" s="3">
        <v>333.8</v>
      </c>
      <c r="E181" s="16" t="str">
        <f>IFERROR(__xludf.DUMMYFUNCTION("IFERROR(
  TEXTJOIN(CHAR(10),TRUE,FILTER('SUMMARY DATA'!E:E,'SUMMARY DATA'!$A:$A=$A181,'SUMMARY DATA'!$C:$C=$B181,'SUMMARY DATA'!$B:$B=""RWS"")),
  IF(
    OR(
      ISNUMBER(SEARCH(""CDM CASH DEPOSIT"",$C181)),
      ISNUMBER(SEARCH(""CASH DEPOSIT"",$C18"&amp;"1)),
      COUNTIFS('SUMMARY DATA'!$D:$D,$C181,'SUMMARY DATA'!$B:$B,""RWS"")&lt;&gt;1
    ),
    """",
    IFERROR(TEXTJOIN(CHAR(10),TRUE,FILTER('SUMMARY DATA'!E:E,'SUMMARY DATA'!$D:$D=$C181,'SUMMARY DATA'!$B:$B=""RWS"")),"""")
  )
)"),"")</f>
      </c>
      <c r="F181" s="17" t="str">
        <f>IFERROR(__xludf.DUMMYFUNCTION("IFERROR(
  TEXTJOIN(CHAR(10),TRUE,FILTER('SUMMARY DATA'!F:F,'SUMMARY DATA'!$A:$A=$A181,'SUMMARY DATA'!$C:$C=$B181,'SUMMARY DATA'!$B:$B=""RWS"")),
  IF(
    OR(
      ISNUMBER(SEARCH(""CDM CASH DEPOSIT"",$C181)),
      ISNUMBER(SEARCH(""CASH DEPOSIT"",$C18"&amp;"1)),
      COUNTIFS('SUMMARY DATA'!$D:$D,$C181,'SUMMARY DATA'!$B:$B,""RWS"")&lt;&gt;1
    ),
    """",
    IFERROR(TEXTJOIN(CHAR(10),TRUE,FILTER('SUMMARY DATA'!F:F,'SUMMARY DATA'!$D:$D=$C181,'SUMMARY DATA'!$B:$B=""RWS"")),"""")
  )
)"),"")</f>
      </c>
      <c r="G181" s="17" t="str">
        <f>IFERROR(__xludf.DUMMYFUNCTION("IFERROR(
  TEXTJOIN(CHAR(10),TRUE,FILTER('SUMMARY DATA'!G:G,'SUMMARY DATA'!$A:$A=$A181,'SUMMARY DATA'!$C:$C=$B181,'SUMMARY DATA'!$B:$B=""RWS"")),
  IF(
    OR(
      ISNUMBER(SEARCH(""CDM CASH DEPOSIT"",$C181)),
      ISNUMBER(SEARCH(""CASH DEPOSIT"",$C18"&amp;"1)),
      COUNTIFS('SUMMARY DATA'!$D:$D,$C181,'SUMMARY DATA'!$B:$B,""RWS"")&lt;&gt;1
    ),
    """",
    IFERROR(TEXTJOIN(CHAR(10),TRUE,FILTER('SUMMARY DATA'!G:G,'SUMMARY DATA'!$D:$D=$C181,'SUMMARY DATA'!$B:$B=""RWS"")),"""")
  )
)"),"")</f>
      </c>
      <c r="H181" s="18" t="str">
        <f>IFERROR(__xludf.DUMMYFUNCTION("IFERROR(
  TEXTJOIN(CHAR(10),TRUE,FILTER('SUMMARY DATA'!H:H,'SUMMARY DATA'!$A:$A=$A181,'SUMMARY DATA'!$C:$C=$B181,'SUMMARY DATA'!$B:$B=""RWS"",'SUMMARY DATA'!$H:$H=$D181)),
  IF(
    OR(
      ISNUMBER(SEARCH(""CDM CASH DEPOSIT"",$C181)),
      ISNUMBER(S"&amp;"EARCH(""CASH DEPOSIT"",$C181))
    ),
    """",
    IFERROR(TEXTJOIN(CHAR(10),TRUE,FILTER('SUMMARY DATA'!H:H,'SUMMARY DATA'!$D:$D=$C181,'SUMMARY DATA'!$B:$B=""RWS"",'SUMMARY DATA'!$H:$H=$D181)),"""")
  )
)"),"")</f>
      </c>
      <c r="I181" s="18" t="str">
        <f>IFERROR(__xludf.DUMMYFUNCTION("IF(H181="""","""",
SUM(ARRAYFORMULA(VALUE(SPLIT(H181,CHAR(10)))))
)"),"")</f>
      </c>
      <c r="J181" s="17" t="str">
        <f>IFERROR(__xludf.DUMMYFUNCTION("IFERROR(
  TEXTJOIN(CHAR(10),TRUE,FILTER('SUMMARY DATA'!I:I,'SUMMARY DATA'!$A:$A=$A181,'SUMMARY DATA'!$C:$C=$B181,'SUMMARY DATA'!$B:$B=""RWS"")),
  IF(
    OR(
      ISNUMBER(SEARCH(""CDM CASH DEPOSIT"",$C181)),
      ISNUMBER(SEARCH(""CASH DEPOSIT"",$C18"&amp;"1)),
      COUNTIFS('SUMMARY DATA'!$D:$D,$C181,'SUMMARY DATA'!$B:$B,""RWS"")&lt;&gt;1
    ),
    """",
    IFERROR(TEXTJOIN(CHAR(10),TRUE,FILTER('SUMMARY DATA'!I:I,'SUMMARY DATA'!$D:$D=$C181,'SUMMARY DATA'!$B:$B=""RWS"")),"""")
  )
)"),"")</f>
      </c>
      <c r="K181" s="2"/>
      <c r="L181" s="2"/>
      <c r="M181" s="2"/>
      <c r="N181" s="2"/>
      <c r="O181" s="2"/>
      <c r="P181" s="2"/>
      <c r="Q181" s="2"/>
      <c r="R181" s="2"/>
      <c r="S181" s="2"/>
      <c r="T181" s="2"/>
      <c r="U181" s="2"/>
      <c r="V181" s="2"/>
      <c r="W181" s="2"/>
      <c r="X181" s="2"/>
      <c r="Y181" s="2"/>
      <c r="Z181" s="2"/>
      <c r="AA181" s="2"/>
      <c r="AB181" s="2"/>
    </row>
    <row r="182" spans="1:28" customHeight="true">
      <c r="A182" s="2" t="s">
        <v>270</v>
      </c>
      <c r="B182" s="15">
        <v>45951</v>
      </c>
      <c r="C182" s="2" t="s">
        <v>271</v>
      </c>
      <c r="D182" s="3">
        <v>99</v>
      </c>
      <c r="E182" s="16" t="str">
        <f>IFERROR(__xludf.DUMMYFUNCTION("IFERROR(
  TEXTJOIN(CHAR(10),TRUE,FILTER('SUMMARY DATA'!E:E,'SUMMARY DATA'!$A:$A=$A182,'SUMMARY DATA'!$C:$C=$B182,'SUMMARY DATA'!$B:$B=""RWS"")),
  IF(
    OR(
      ISNUMBER(SEARCH(""CDM CASH DEPOSIT"",$C182)),
      ISNUMBER(SEARCH(""CASH DEPOSIT"",$C18"&amp;"2)),
      COUNTIFS('SUMMARY DATA'!$D:$D,$C182,'SUMMARY DATA'!$B:$B,""RWS"")&lt;&gt;1
    ),
    """",
    IFERROR(TEXTJOIN(CHAR(10),TRUE,FILTER('SUMMARY DATA'!E:E,'SUMMARY DATA'!$D:$D=$C182,'SUMMARY DATA'!$B:$B=""RWS"")),"""")
  )
)"),"")</f>
      </c>
      <c r="F182" s="17" t="str">
        <f>IFERROR(__xludf.DUMMYFUNCTION("IFERROR(
  TEXTJOIN(CHAR(10),TRUE,FILTER('SUMMARY DATA'!F:F,'SUMMARY DATA'!$A:$A=$A182,'SUMMARY DATA'!$C:$C=$B182,'SUMMARY DATA'!$B:$B=""RWS"")),
  IF(
    OR(
      ISNUMBER(SEARCH(""CDM CASH DEPOSIT"",$C182)),
      ISNUMBER(SEARCH(""CASH DEPOSIT"",$C18"&amp;"2)),
      COUNTIFS('SUMMARY DATA'!$D:$D,$C182,'SUMMARY DATA'!$B:$B,""RWS"")&lt;&gt;1
    ),
    """",
    IFERROR(TEXTJOIN(CHAR(10),TRUE,FILTER('SUMMARY DATA'!F:F,'SUMMARY DATA'!$D:$D=$C182,'SUMMARY DATA'!$B:$B=""RWS"")),"""")
  )
)"),"")</f>
      </c>
      <c r="G182" s="17" t="str">
        <f>IFERROR(__xludf.DUMMYFUNCTION("IFERROR(
  TEXTJOIN(CHAR(10),TRUE,FILTER('SUMMARY DATA'!G:G,'SUMMARY DATA'!$A:$A=$A182,'SUMMARY DATA'!$C:$C=$B182,'SUMMARY DATA'!$B:$B=""RWS"")),
  IF(
    OR(
      ISNUMBER(SEARCH(""CDM CASH DEPOSIT"",$C182)),
      ISNUMBER(SEARCH(""CASH DEPOSIT"",$C18"&amp;"2)),
      COUNTIFS('SUMMARY DATA'!$D:$D,$C182,'SUMMARY DATA'!$B:$B,""RWS"")&lt;&gt;1
    ),
    """",
    IFERROR(TEXTJOIN(CHAR(10),TRUE,FILTER('SUMMARY DATA'!G:G,'SUMMARY DATA'!$D:$D=$C182,'SUMMARY DATA'!$B:$B=""RWS"")),"""")
  )
)"),"")</f>
      </c>
      <c r="H182" s="18" t="str">
        <f>IFERROR(__xludf.DUMMYFUNCTION("IFERROR(
  TEXTJOIN(CHAR(10),TRUE,FILTER('SUMMARY DATA'!H:H,'SUMMARY DATA'!$A:$A=$A182,'SUMMARY DATA'!$C:$C=$B182,'SUMMARY DATA'!$B:$B=""RWS"",'SUMMARY DATA'!$H:$H=$D182)),
  IF(
    OR(
      ISNUMBER(SEARCH(""CDM CASH DEPOSIT"",$C182)),
      ISNUMBER(S"&amp;"EARCH(""CASH DEPOSIT"",$C182))
    ),
    """",
    IFERROR(TEXTJOIN(CHAR(10),TRUE,FILTER('SUMMARY DATA'!H:H,'SUMMARY DATA'!$D:$D=$C182,'SUMMARY DATA'!$B:$B=""RWS"",'SUMMARY DATA'!$H:$H=$D182)),"""")
  )
)"),"")</f>
      </c>
      <c r="I182" s="18" t="str">
        <f>IFERROR(__xludf.DUMMYFUNCTION("IF(H182="""","""",
SUM(ARRAYFORMULA(VALUE(SPLIT(H182,CHAR(10)))))
)"),"")</f>
      </c>
      <c r="J182" s="17" t="str">
        <f>IFERROR(__xludf.DUMMYFUNCTION("IFERROR(
  TEXTJOIN(CHAR(10),TRUE,FILTER('SUMMARY DATA'!I:I,'SUMMARY DATA'!$A:$A=$A182,'SUMMARY DATA'!$C:$C=$B182,'SUMMARY DATA'!$B:$B=""RWS"")),
  IF(
    OR(
      ISNUMBER(SEARCH(""CDM CASH DEPOSIT"",$C182)),
      ISNUMBER(SEARCH(""CASH DEPOSIT"",$C18"&amp;"2)),
      COUNTIFS('SUMMARY DATA'!$D:$D,$C182,'SUMMARY DATA'!$B:$B,""RWS"")&lt;&gt;1
    ),
    """",
    IFERROR(TEXTJOIN(CHAR(10),TRUE,FILTER('SUMMARY DATA'!I:I,'SUMMARY DATA'!$D:$D=$C182,'SUMMARY DATA'!$B:$B=""RWS"")),"""")
  )
)"),"")</f>
      </c>
      <c r="K182" s="2"/>
      <c r="L182" s="2"/>
      <c r="M182" s="2"/>
      <c r="N182" s="2"/>
      <c r="O182" s="2"/>
      <c r="P182" s="2"/>
      <c r="Q182" s="2"/>
      <c r="R182" s="2"/>
      <c r="S182" s="2"/>
      <c r="T182" s="2"/>
      <c r="U182" s="2"/>
      <c r="V182" s="2"/>
      <c r="W182" s="2"/>
      <c r="X182" s="2"/>
      <c r="Y182" s="2"/>
      <c r="Z182" s="2"/>
      <c r="AA182" s="2"/>
      <c r="AB182" s="2"/>
    </row>
    <row r="183" spans="1:28" customHeight="true">
      <c r="A183" s="2"/>
      <c r="B183" s="15">
        <v>45951</v>
      </c>
      <c r="C183" s="2" t="s">
        <v>272</v>
      </c>
      <c r="D183" s="3">
        <v>113.9</v>
      </c>
      <c r="E183" s="16" t="str">
        <f>IFERROR(__xludf.DUMMYFUNCTION("IFERROR(
  TEXTJOIN(CHAR(10),TRUE,FILTER('SUMMARY DATA'!E:E,'SUMMARY DATA'!$A:$A=$A183,'SUMMARY DATA'!$C:$C=$B183,'SUMMARY DATA'!$B:$B=""RWS"")),
  IF(
    OR(
      ISNUMBER(SEARCH(""CDM CASH DEPOSIT"",$C183)),
      ISNUMBER(SEARCH(""CASH DEPOSIT"",$C18"&amp;"3)),
      COUNTIFS('SUMMARY DATA'!$D:$D,$C183,'SUMMARY DATA'!$B:$B,""RWS"")&lt;&gt;1
    ),
    """",
    IFERROR(TEXTJOIN(CHAR(10),TRUE,FILTER('SUMMARY DATA'!E:E,'SUMMARY DATA'!$D:$D=$C183,'SUMMARY DATA'!$B:$B=""RWS"")),"""")
  )
)"),"")</f>
      </c>
      <c r="F183" s="17" t="str">
        <f>IFERROR(__xludf.DUMMYFUNCTION("IFERROR(
  TEXTJOIN(CHAR(10),TRUE,FILTER('SUMMARY DATA'!F:F,'SUMMARY DATA'!$A:$A=$A183,'SUMMARY DATA'!$C:$C=$B183,'SUMMARY DATA'!$B:$B=""RWS"")),
  IF(
    OR(
      ISNUMBER(SEARCH(""CDM CASH DEPOSIT"",$C183)),
      ISNUMBER(SEARCH(""CASH DEPOSIT"",$C18"&amp;"3)),
      COUNTIFS('SUMMARY DATA'!$D:$D,$C183,'SUMMARY DATA'!$B:$B,""RWS"")&lt;&gt;1
    ),
    """",
    IFERROR(TEXTJOIN(CHAR(10),TRUE,FILTER('SUMMARY DATA'!F:F,'SUMMARY DATA'!$D:$D=$C183,'SUMMARY DATA'!$B:$B=""RWS"")),"""")
  )
)"),"")</f>
      </c>
      <c r="G183" s="17" t="str">
        <f>IFERROR(__xludf.DUMMYFUNCTION("IFERROR(
  TEXTJOIN(CHAR(10),TRUE,FILTER('SUMMARY DATA'!G:G,'SUMMARY DATA'!$A:$A=$A183,'SUMMARY DATA'!$C:$C=$B183,'SUMMARY DATA'!$B:$B=""RWS"")),
  IF(
    OR(
      ISNUMBER(SEARCH(""CDM CASH DEPOSIT"",$C183)),
      ISNUMBER(SEARCH(""CASH DEPOSIT"",$C18"&amp;"3)),
      COUNTIFS('SUMMARY DATA'!$D:$D,$C183,'SUMMARY DATA'!$B:$B,""RWS"")&lt;&gt;1
    ),
    """",
    IFERROR(TEXTJOIN(CHAR(10),TRUE,FILTER('SUMMARY DATA'!G:G,'SUMMARY DATA'!$D:$D=$C183,'SUMMARY DATA'!$B:$B=""RWS"")),"""")
  )
)"),"")</f>
      </c>
      <c r="H183" s="18" t="str">
        <f>IFERROR(__xludf.DUMMYFUNCTION("IFERROR(
  TEXTJOIN(CHAR(10),TRUE,FILTER('SUMMARY DATA'!H:H,'SUMMARY DATA'!$A:$A=$A183,'SUMMARY DATA'!$C:$C=$B183,'SUMMARY DATA'!$B:$B=""RWS"",'SUMMARY DATA'!$H:$H=$D183)),
  IF(
    OR(
      ISNUMBER(SEARCH(""CDM CASH DEPOSIT"",$C183)),
      ISNUMBER(S"&amp;"EARCH(""CASH DEPOSIT"",$C183))
    ),
    """",
    IFERROR(TEXTJOIN(CHAR(10),TRUE,FILTER('SUMMARY DATA'!H:H,'SUMMARY DATA'!$D:$D=$C183,'SUMMARY DATA'!$B:$B=""RWS"",'SUMMARY DATA'!$H:$H=$D183)),"""")
  )
)"),"")</f>
      </c>
      <c r="I183" s="18" t="str">
        <f>IFERROR(__xludf.DUMMYFUNCTION("IF(H183="""","""",
SUM(ARRAYFORMULA(VALUE(SPLIT(H183,CHAR(10)))))
)"),"")</f>
      </c>
      <c r="J183" s="17" t="str">
        <f>IFERROR(__xludf.DUMMYFUNCTION("IFERROR(
  TEXTJOIN(CHAR(10),TRUE,FILTER('SUMMARY DATA'!I:I,'SUMMARY DATA'!$A:$A=$A183,'SUMMARY DATA'!$C:$C=$B183,'SUMMARY DATA'!$B:$B=""RWS"")),
  IF(
    OR(
      ISNUMBER(SEARCH(""CDM CASH DEPOSIT"",$C183)),
      ISNUMBER(SEARCH(""CASH DEPOSIT"",$C18"&amp;"3)),
      COUNTIFS('SUMMARY DATA'!$D:$D,$C183,'SUMMARY DATA'!$B:$B,""RWS"")&lt;&gt;1
    ),
    """",
    IFERROR(TEXTJOIN(CHAR(10),TRUE,FILTER('SUMMARY DATA'!I:I,'SUMMARY DATA'!$D:$D=$C183,'SUMMARY DATA'!$B:$B=""RWS"")),"""")
  )
)"),"")</f>
      </c>
      <c r="K183" s="2"/>
      <c r="L183" s="2"/>
      <c r="M183" s="2"/>
      <c r="N183" s="2"/>
      <c r="O183" s="2"/>
      <c r="P183" s="2"/>
      <c r="Q183" s="2"/>
      <c r="R183" s="2"/>
      <c r="S183" s="2"/>
      <c r="T183" s="2"/>
      <c r="U183" s="2"/>
      <c r="V183" s="2"/>
      <c r="W183" s="2"/>
      <c r="X183" s="2"/>
      <c r="Y183" s="2"/>
      <c r="Z183" s="2"/>
      <c r="AA183" s="2"/>
      <c r="AB183" s="2"/>
    </row>
    <row r="184" spans="1:28" customHeight="true">
      <c r="A184" s="2" t="s">
        <v>273</v>
      </c>
      <c r="B184" s="15">
        <v>45951</v>
      </c>
      <c r="C184" s="2" t="s">
        <v>274</v>
      </c>
      <c r="D184" s="3">
        <v>337.8</v>
      </c>
      <c r="E184" s="16" t="s">
        <v>2421</v>
      </c>
      <c r="F184" s="17" t="s">
        <v>2425</v>
      </c>
      <c r="G184" s="17" t="s">
        <v>2393</v>
      </c>
      <c r="H184" s="18">
        <v>337.8</v>
      </c>
      <c r="I184" s="18">
        <v>337.8</v>
      </c>
      <c r="J184" s="17" t="s">
        <v>2394</v>
      </c>
      <c r="K184" s="2" t="s">
        <v>2395</v>
      </c>
      <c r="L184" s="2"/>
      <c r="M184" s="2"/>
      <c r="N184" s="2"/>
      <c r="O184" s="2"/>
      <c r="P184" s="2"/>
      <c r="Q184" s="2"/>
      <c r="R184" s="2"/>
      <c r="S184" s="2"/>
      <c r="T184" s="2"/>
      <c r="U184" s="2"/>
      <c r="V184" s="2"/>
      <c r="W184" s="2"/>
      <c r="X184" s="2"/>
      <c r="Y184" s="2"/>
      <c r="Z184" s="2"/>
      <c r="AA184" s="2"/>
      <c r="AB184" s="2"/>
    </row>
    <row r="185" spans="1:28" customHeight="true">
      <c r="A185" s="2"/>
      <c r="B185" s="15">
        <v>45951</v>
      </c>
      <c r="C185" s="2" t="s">
        <v>275</v>
      </c>
      <c r="D185" s="3">
        <v>73.7</v>
      </c>
      <c r="E185" s="16" t="str">
        <f>IFERROR(__xludf.DUMMYFUNCTION("IFERROR(
  TEXTJOIN(CHAR(10),TRUE,FILTER('SUMMARY DATA'!E:E,'SUMMARY DATA'!$A:$A=$A185,'SUMMARY DATA'!$C:$C=$B185,'SUMMARY DATA'!$B:$B=""RWS"")),
  IF(
    OR(
      ISNUMBER(SEARCH(""CDM CASH DEPOSIT"",$C185)),
      ISNUMBER(SEARCH(""CASH DEPOSIT"",$C18"&amp;"5)),
      COUNTIFS('SUMMARY DATA'!$D:$D,$C185,'SUMMARY DATA'!$B:$B,""RWS"")&lt;&gt;1
    ),
    """",
    IFERROR(TEXTJOIN(CHAR(10),TRUE,FILTER('SUMMARY DATA'!E:E,'SUMMARY DATA'!$D:$D=$C185,'SUMMARY DATA'!$B:$B=""RWS"")),"""")
  )
)"),"")</f>
      </c>
      <c r="F185" s="17" t="str">
        <f>IFERROR(__xludf.DUMMYFUNCTION("IFERROR(
  TEXTJOIN(CHAR(10),TRUE,FILTER('SUMMARY DATA'!F:F,'SUMMARY DATA'!$A:$A=$A185,'SUMMARY DATA'!$C:$C=$B185,'SUMMARY DATA'!$B:$B=""RWS"")),
  IF(
    OR(
      ISNUMBER(SEARCH(""CDM CASH DEPOSIT"",$C185)),
      ISNUMBER(SEARCH(""CASH DEPOSIT"",$C18"&amp;"5)),
      COUNTIFS('SUMMARY DATA'!$D:$D,$C185,'SUMMARY DATA'!$B:$B,""RWS"")&lt;&gt;1
    ),
    """",
    IFERROR(TEXTJOIN(CHAR(10),TRUE,FILTER('SUMMARY DATA'!F:F,'SUMMARY DATA'!$D:$D=$C185,'SUMMARY DATA'!$B:$B=""RWS"")),"""")
  )
)"),"")</f>
      </c>
      <c r="G185" s="17" t="str">
        <f>IFERROR(__xludf.DUMMYFUNCTION("IFERROR(
  TEXTJOIN(CHAR(10),TRUE,FILTER('SUMMARY DATA'!G:G,'SUMMARY DATA'!$A:$A=$A185,'SUMMARY DATA'!$C:$C=$B185,'SUMMARY DATA'!$B:$B=""RWS"")),
  IF(
    OR(
      ISNUMBER(SEARCH(""CDM CASH DEPOSIT"",$C185)),
      ISNUMBER(SEARCH(""CASH DEPOSIT"",$C18"&amp;"5)),
      COUNTIFS('SUMMARY DATA'!$D:$D,$C185,'SUMMARY DATA'!$B:$B,""RWS"")&lt;&gt;1
    ),
    """",
    IFERROR(TEXTJOIN(CHAR(10),TRUE,FILTER('SUMMARY DATA'!G:G,'SUMMARY DATA'!$D:$D=$C185,'SUMMARY DATA'!$B:$B=""RWS"")),"""")
  )
)"),"")</f>
      </c>
      <c r="H185" s="18" t="str">
        <f>IFERROR(__xludf.DUMMYFUNCTION("IFERROR(
  TEXTJOIN(CHAR(10),TRUE,FILTER('SUMMARY DATA'!H:H,'SUMMARY DATA'!$A:$A=$A185,'SUMMARY DATA'!$C:$C=$B185,'SUMMARY DATA'!$B:$B=""RWS"",'SUMMARY DATA'!$H:$H=$D185)),
  IF(
    OR(
      ISNUMBER(SEARCH(""CDM CASH DEPOSIT"",$C185)),
      ISNUMBER(S"&amp;"EARCH(""CASH DEPOSIT"",$C185))
    ),
    """",
    IFERROR(TEXTJOIN(CHAR(10),TRUE,FILTER('SUMMARY DATA'!H:H,'SUMMARY DATA'!$D:$D=$C185,'SUMMARY DATA'!$B:$B=""RWS"",'SUMMARY DATA'!$H:$H=$D185)),"""")
  )
)"),"")</f>
      </c>
      <c r="I185" s="18" t="str">
        <f>IFERROR(__xludf.DUMMYFUNCTION("IF(H185="""","""",
SUM(ARRAYFORMULA(VALUE(SPLIT(H185,CHAR(10)))))
)"),"")</f>
      </c>
      <c r="J185" s="17" t="str">
        <f>IFERROR(__xludf.DUMMYFUNCTION("IFERROR(
  TEXTJOIN(CHAR(10),TRUE,FILTER('SUMMARY DATA'!I:I,'SUMMARY DATA'!$A:$A=$A185,'SUMMARY DATA'!$C:$C=$B185,'SUMMARY DATA'!$B:$B=""RWS"")),
  IF(
    OR(
      ISNUMBER(SEARCH(""CDM CASH DEPOSIT"",$C185)),
      ISNUMBER(SEARCH(""CASH DEPOSIT"",$C18"&amp;"5)),
      COUNTIFS('SUMMARY DATA'!$D:$D,$C185,'SUMMARY DATA'!$B:$B,""RWS"")&lt;&gt;1
    ),
    """",
    IFERROR(TEXTJOIN(CHAR(10),TRUE,FILTER('SUMMARY DATA'!I:I,'SUMMARY DATA'!$D:$D=$C185,'SUMMARY DATA'!$B:$B=""RWS"")),"""")
  )
)"),"")</f>
      </c>
      <c r="K185" s="2"/>
      <c r="L185" s="2"/>
      <c r="M185" s="2"/>
      <c r="N185" s="2"/>
      <c r="O185" s="2"/>
      <c r="P185" s="2"/>
      <c r="Q185" s="2"/>
      <c r="R185" s="2"/>
      <c r="S185" s="2"/>
      <c r="T185" s="2"/>
      <c r="U185" s="2"/>
      <c r="V185" s="2"/>
      <c r="W185" s="2"/>
      <c r="X185" s="2"/>
      <c r="Y185" s="2"/>
      <c r="Z185" s="2"/>
      <c r="AA185" s="2"/>
      <c r="AB185" s="2"/>
    </row>
    <row r="186" spans="1:28" customHeight="true">
      <c r="A186" s="2"/>
      <c r="B186" s="15">
        <v>45951</v>
      </c>
      <c r="C186" s="2" t="s">
        <v>276</v>
      </c>
      <c r="D186" s="3">
        <v>128</v>
      </c>
      <c r="E186" s="16" t="str">
        <f>IFERROR(__xludf.DUMMYFUNCTION("IFERROR(
  TEXTJOIN(CHAR(10),TRUE,FILTER('SUMMARY DATA'!E:E,'SUMMARY DATA'!$A:$A=$A186,'SUMMARY DATA'!$C:$C=$B186,'SUMMARY DATA'!$B:$B=""RWS"")),
  IF(
    OR(
      ISNUMBER(SEARCH(""CDM CASH DEPOSIT"",$C186)),
      ISNUMBER(SEARCH(""CASH DEPOSIT"",$C18"&amp;"6)),
      COUNTIFS('SUMMARY DATA'!$D:$D,$C186,'SUMMARY DATA'!$B:$B,""RWS"")&lt;&gt;1
    ),
    """",
    IFERROR(TEXTJOIN(CHAR(10),TRUE,FILTER('SUMMARY DATA'!E:E,'SUMMARY DATA'!$D:$D=$C186,'SUMMARY DATA'!$B:$B=""RWS"")),"""")
  )
)"),"")</f>
      </c>
      <c r="F186" s="17" t="str">
        <f>IFERROR(__xludf.DUMMYFUNCTION("IFERROR(
  TEXTJOIN(CHAR(10),TRUE,FILTER('SUMMARY DATA'!F:F,'SUMMARY DATA'!$A:$A=$A186,'SUMMARY DATA'!$C:$C=$B186,'SUMMARY DATA'!$B:$B=""RWS"")),
  IF(
    OR(
      ISNUMBER(SEARCH(""CDM CASH DEPOSIT"",$C186)),
      ISNUMBER(SEARCH(""CASH DEPOSIT"",$C18"&amp;"6)),
      COUNTIFS('SUMMARY DATA'!$D:$D,$C186,'SUMMARY DATA'!$B:$B,""RWS"")&lt;&gt;1
    ),
    """",
    IFERROR(TEXTJOIN(CHAR(10),TRUE,FILTER('SUMMARY DATA'!F:F,'SUMMARY DATA'!$D:$D=$C186,'SUMMARY DATA'!$B:$B=""RWS"")),"""")
  )
)"),"")</f>
      </c>
      <c r="G186" s="17" t="str">
        <f>IFERROR(__xludf.DUMMYFUNCTION("IFERROR(
  TEXTJOIN(CHAR(10),TRUE,FILTER('SUMMARY DATA'!G:G,'SUMMARY DATA'!$A:$A=$A186,'SUMMARY DATA'!$C:$C=$B186,'SUMMARY DATA'!$B:$B=""RWS"")),
  IF(
    OR(
      ISNUMBER(SEARCH(""CDM CASH DEPOSIT"",$C186)),
      ISNUMBER(SEARCH(""CASH DEPOSIT"",$C18"&amp;"6)),
      COUNTIFS('SUMMARY DATA'!$D:$D,$C186,'SUMMARY DATA'!$B:$B,""RWS"")&lt;&gt;1
    ),
    """",
    IFERROR(TEXTJOIN(CHAR(10),TRUE,FILTER('SUMMARY DATA'!G:G,'SUMMARY DATA'!$D:$D=$C186,'SUMMARY DATA'!$B:$B=""RWS"")),"""")
  )
)"),"")</f>
      </c>
      <c r="H186" s="18" t="str">
        <f>IFERROR(__xludf.DUMMYFUNCTION("IFERROR(
  TEXTJOIN(CHAR(10),TRUE,FILTER('SUMMARY DATA'!H:H,'SUMMARY DATA'!$A:$A=$A186,'SUMMARY DATA'!$C:$C=$B186,'SUMMARY DATA'!$B:$B=""RWS"",'SUMMARY DATA'!$H:$H=$D186)),
  IF(
    OR(
      ISNUMBER(SEARCH(""CDM CASH DEPOSIT"",$C186)),
      ISNUMBER(S"&amp;"EARCH(""CASH DEPOSIT"",$C186))
    ),
    """",
    IFERROR(TEXTJOIN(CHAR(10),TRUE,FILTER('SUMMARY DATA'!H:H,'SUMMARY DATA'!$D:$D=$C186,'SUMMARY DATA'!$B:$B=""RWS"",'SUMMARY DATA'!$H:$H=$D186)),"""")
  )
)"),"")</f>
      </c>
      <c r="I186" s="18" t="str">
        <f>IFERROR(__xludf.DUMMYFUNCTION("IF(H186="""","""",
SUM(ARRAYFORMULA(VALUE(SPLIT(H186,CHAR(10)))))
)"),"")</f>
      </c>
      <c r="J186" s="17" t="str">
        <f>IFERROR(__xludf.DUMMYFUNCTION("IFERROR(
  TEXTJOIN(CHAR(10),TRUE,FILTER('SUMMARY DATA'!I:I,'SUMMARY DATA'!$A:$A=$A186,'SUMMARY DATA'!$C:$C=$B186,'SUMMARY DATA'!$B:$B=""RWS"")),
  IF(
    OR(
      ISNUMBER(SEARCH(""CDM CASH DEPOSIT"",$C186)),
      ISNUMBER(SEARCH(""CASH DEPOSIT"",$C18"&amp;"6)),
      COUNTIFS('SUMMARY DATA'!$D:$D,$C186,'SUMMARY DATA'!$B:$B,""RWS"")&lt;&gt;1
    ),
    """",
    IFERROR(TEXTJOIN(CHAR(10),TRUE,FILTER('SUMMARY DATA'!I:I,'SUMMARY DATA'!$D:$D=$C186,'SUMMARY DATA'!$B:$B=""RWS"")),"""")
  )
)"),"")</f>
      </c>
      <c r="K186" s="2"/>
      <c r="L186" s="2"/>
      <c r="M186" s="2"/>
      <c r="N186" s="2"/>
      <c r="O186" s="2"/>
      <c r="P186" s="2"/>
      <c r="Q186" s="2"/>
      <c r="R186" s="2"/>
      <c r="S186" s="2"/>
      <c r="T186" s="2"/>
      <c r="U186" s="2"/>
      <c r="V186" s="2"/>
      <c r="W186" s="2"/>
      <c r="X186" s="2"/>
      <c r="Y186" s="2"/>
      <c r="Z186" s="2"/>
      <c r="AA186" s="2"/>
      <c r="AB186" s="2"/>
    </row>
    <row r="187" spans="1:28" customHeight="true">
      <c r="A187" s="2"/>
      <c r="B187" s="15">
        <v>45951</v>
      </c>
      <c r="C187" s="2" t="s">
        <v>277</v>
      </c>
      <c r="D187" s="3">
        <v>10.91</v>
      </c>
      <c r="E187" s="16" t="str">
        <f>IFERROR(__xludf.DUMMYFUNCTION("IFERROR(
  TEXTJOIN(CHAR(10),TRUE,FILTER('SUMMARY DATA'!E:E,'SUMMARY DATA'!$A:$A=$A187,'SUMMARY DATA'!$C:$C=$B187,'SUMMARY DATA'!$B:$B=""RWS"")),
  IF(
    OR(
      ISNUMBER(SEARCH(""CDM CASH DEPOSIT"",$C187)),
      ISNUMBER(SEARCH(""CASH DEPOSIT"",$C18"&amp;"7)),
      COUNTIFS('SUMMARY DATA'!$D:$D,$C187,'SUMMARY DATA'!$B:$B,""RWS"")&lt;&gt;1
    ),
    """",
    IFERROR(TEXTJOIN(CHAR(10),TRUE,FILTER('SUMMARY DATA'!E:E,'SUMMARY DATA'!$D:$D=$C187,'SUMMARY DATA'!$B:$B=""RWS"")),"""")
  )
)"),"")</f>
      </c>
      <c r="F187" s="17" t="str">
        <f>IFERROR(__xludf.DUMMYFUNCTION("IFERROR(
  TEXTJOIN(CHAR(10),TRUE,FILTER('SUMMARY DATA'!F:F,'SUMMARY DATA'!$A:$A=$A187,'SUMMARY DATA'!$C:$C=$B187,'SUMMARY DATA'!$B:$B=""RWS"")),
  IF(
    OR(
      ISNUMBER(SEARCH(""CDM CASH DEPOSIT"",$C187)),
      ISNUMBER(SEARCH(""CASH DEPOSIT"",$C18"&amp;"7)),
      COUNTIFS('SUMMARY DATA'!$D:$D,$C187,'SUMMARY DATA'!$B:$B,""RWS"")&lt;&gt;1
    ),
    """",
    IFERROR(TEXTJOIN(CHAR(10),TRUE,FILTER('SUMMARY DATA'!F:F,'SUMMARY DATA'!$D:$D=$C187,'SUMMARY DATA'!$B:$B=""RWS"")),"""")
  )
)"),"")</f>
      </c>
      <c r="G187" s="17" t="str">
        <f>IFERROR(__xludf.DUMMYFUNCTION("IFERROR(
  TEXTJOIN(CHAR(10),TRUE,FILTER('SUMMARY DATA'!G:G,'SUMMARY DATA'!$A:$A=$A187,'SUMMARY DATA'!$C:$C=$B187,'SUMMARY DATA'!$B:$B=""RWS"")),
  IF(
    OR(
      ISNUMBER(SEARCH(""CDM CASH DEPOSIT"",$C187)),
      ISNUMBER(SEARCH(""CASH DEPOSIT"",$C18"&amp;"7)),
      COUNTIFS('SUMMARY DATA'!$D:$D,$C187,'SUMMARY DATA'!$B:$B,""RWS"")&lt;&gt;1
    ),
    """",
    IFERROR(TEXTJOIN(CHAR(10),TRUE,FILTER('SUMMARY DATA'!G:G,'SUMMARY DATA'!$D:$D=$C187,'SUMMARY DATA'!$B:$B=""RWS"")),"""")
  )
)"),"")</f>
      </c>
      <c r="H187" s="18" t="str">
        <f>IFERROR(__xludf.DUMMYFUNCTION("IFERROR(
  TEXTJOIN(CHAR(10),TRUE,FILTER('SUMMARY DATA'!H:H,'SUMMARY DATA'!$A:$A=$A187,'SUMMARY DATA'!$C:$C=$B187,'SUMMARY DATA'!$B:$B=""RWS"",'SUMMARY DATA'!$H:$H=$D187)),
  IF(
    OR(
      ISNUMBER(SEARCH(""CDM CASH DEPOSIT"",$C187)),
      ISNUMBER(S"&amp;"EARCH(""CASH DEPOSIT"",$C187))
    ),
    """",
    IFERROR(TEXTJOIN(CHAR(10),TRUE,FILTER('SUMMARY DATA'!H:H,'SUMMARY DATA'!$D:$D=$C187,'SUMMARY DATA'!$B:$B=""RWS"",'SUMMARY DATA'!$H:$H=$D187)),"""")
  )
)"),"")</f>
      </c>
      <c r="I187" s="18" t="str">
        <f>IFERROR(__xludf.DUMMYFUNCTION("IF(H187="""","""",
SUM(ARRAYFORMULA(VALUE(SPLIT(H187,CHAR(10)))))
)"),"")</f>
      </c>
      <c r="J187" s="17" t="str">
        <f>IFERROR(__xludf.DUMMYFUNCTION("IFERROR(
  TEXTJOIN(CHAR(10),TRUE,FILTER('SUMMARY DATA'!I:I,'SUMMARY DATA'!$A:$A=$A187,'SUMMARY DATA'!$C:$C=$B187,'SUMMARY DATA'!$B:$B=""RWS"")),
  IF(
    OR(
      ISNUMBER(SEARCH(""CDM CASH DEPOSIT"",$C187)),
      ISNUMBER(SEARCH(""CASH DEPOSIT"",$C18"&amp;"7)),
      COUNTIFS('SUMMARY DATA'!$D:$D,$C187,'SUMMARY DATA'!$B:$B,""RWS"")&lt;&gt;1
    ),
    """",
    IFERROR(TEXTJOIN(CHAR(10),TRUE,FILTER('SUMMARY DATA'!I:I,'SUMMARY DATA'!$D:$D=$C187,'SUMMARY DATA'!$B:$B=""RWS"")),"""")
  )
)"),"")</f>
      </c>
      <c r="K187" s="2"/>
      <c r="L187" s="2"/>
      <c r="M187" s="2"/>
      <c r="N187" s="2"/>
      <c r="O187" s="2"/>
      <c r="P187" s="2"/>
      <c r="Q187" s="2"/>
      <c r="R187" s="2"/>
      <c r="S187" s="2"/>
      <c r="T187" s="2"/>
      <c r="U187" s="2"/>
      <c r="V187" s="2"/>
      <c r="W187" s="2"/>
      <c r="X187" s="2"/>
      <c r="Y187" s="2"/>
      <c r="Z187" s="2"/>
      <c r="AA187" s="2"/>
      <c r="AB187" s="2"/>
    </row>
    <row r="188" spans="1:28" customHeight="true">
      <c r="A188" s="2"/>
      <c r="B188" s="15">
        <v>45951</v>
      </c>
      <c r="C188" s="2" t="s">
        <v>278</v>
      </c>
      <c r="D188" s="3">
        <v>116.85</v>
      </c>
      <c r="E188" s="16" t="str">
        <f>IFERROR(__xludf.DUMMYFUNCTION("IFERROR(
  TEXTJOIN(CHAR(10),TRUE,FILTER('SUMMARY DATA'!E:E,'SUMMARY DATA'!$A:$A=$A188,'SUMMARY DATA'!$C:$C=$B188,'SUMMARY DATA'!$B:$B=""RWS"")),
  IF(
    OR(
      ISNUMBER(SEARCH(""CDM CASH DEPOSIT"",$C188)),
      ISNUMBER(SEARCH(""CASH DEPOSIT"",$C18"&amp;"8)),
      COUNTIFS('SUMMARY DATA'!$D:$D,$C188,'SUMMARY DATA'!$B:$B,""RWS"")&lt;&gt;1
    ),
    """",
    IFERROR(TEXTJOIN(CHAR(10),TRUE,FILTER('SUMMARY DATA'!E:E,'SUMMARY DATA'!$D:$D=$C188,'SUMMARY DATA'!$B:$B=""RWS"")),"""")
  )
)"),"")</f>
      </c>
      <c r="F188" s="17" t="str">
        <f>IFERROR(__xludf.DUMMYFUNCTION("IFERROR(
  TEXTJOIN(CHAR(10),TRUE,FILTER('SUMMARY DATA'!F:F,'SUMMARY DATA'!$A:$A=$A188,'SUMMARY DATA'!$C:$C=$B188,'SUMMARY DATA'!$B:$B=""RWS"")),
  IF(
    OR(
      ISNUMBER(SEARCH(""CDM CASH DEPOSIT"",$C188)),
      ISNUMBER(SEARCH(""CASH DEPOSIT"",$C18"&amp;"8)),
      COUNTIFS('SUMMARY DATA'!$D:$D,$C188,'SUMMARY DATA'!$B:$B,""RWS"")&lt;&gt;1
    ),
    """",
    IFERROR(TEXTJOIN(CHAR(10),TRUE,FILTER('SUMMARY DATA'!F:F,'SUMMARY DATA'!$D:$D=$C188,'SUMMARY DATA'!$B:$B=""RWS"")),"""")
  )
)"),"")</f>
      </c>
      <c r="G188" s="17" t="str">
        <f>IFERROR(__xludf.DUMMYFUNCTION("IFERROR(
  TEXTJOIN(CHAR(10),TRUE,FILTER('SUMMARY DATA'!G:G,'SUMMARY DATA'!$A:$A=$A188,'SUMMARY DATA'!$C:$C=$B188,'SUMMARY DATA'!$B:$B=""RWS"")),
  IF(
    OR(
      ISNUMBER(SEARCH(""CDM CASH DEPOSIT"",$C188)),
      ISNUMBER(SEARCH(""CASH DEPOSIT"",$C18"&amp;"8)),
      COUNTIFS('SUMMARY DATA'!$D:$D,$C188,'SUMMARY DATA'!$B:$B,""RWS"")&lt;&gt;1
    ),
    """",
    IFERROR(TEXTJOIN(CHAR(10),TRUE,FILTER('SUMMARY DATA'!G:G,'SUMMARY DATA'!$D:$D=$C188,'SUMMARY DATA'!$B:$B=""RWS"")),"""")
  )
)"),"")</f>
      </c>
      <c r="H188" s="18" t="str">
        <f>IFERROR(__xludf.DUMMYFUNCTION("IFERROR(
  TEXTJOIN(CHAR(10),TRUE,FILTER('SUMMARY DATA'!H:H,'SUMMARY DATA'!$A:$A=$A188,'SUMMARY DATA'!$C:$C=$B188,'SUMMARY DATA'!$B:$B=""RWS"",'SUMMARY DATA'!$H:$H=$D188)),
  IF(
    OR(
      ISNUMBER(SEARCH(""CDM CASH DEPOSIT"",$C188)),
      ISNUMBER(S"&amp;"EARCH(""CASH DEPOSIT"",$C188))
    ),
    """",
    IFERROR(TEXTJOIN(CHAR(10),TRUE,FILTER('SUMMARY DATA'!H:H,'SUMMARY DATA'!$D:$D=$C188,'SUMMARY DATA'!$B:$B=""RWS"",'SUMMARY DATA'!$H:$H=$D188)),"""")
  )
)"),"")</f>
      </c>
      <c r="I188" s="18" t="str">
        <f>IFERROR(__xludf.DUMMYFUNCTION("IF(H188="""","""",
SUM(ARRAYFORMULA(VALUE(SPLIT(H188,CHAR(10)))))
)"),"")</f>
      </c>
      <c r="J188" s="17" t="str">
        <f>IFERROR(__xludf.DUMMYFUNCTION("IFERROR(
  TEXTJOIN(CHAR(10),TRUE,FILTER('SUMMARY DATA'!I:I,'SUMMARY DATA'!$A:$A=$A188,'SUMMARY DATA'!$C:$C=$B188,'SUMMARY DATA'!$B:$B=""RWS"")),
  IF(
    OR(
      ISNUMBER(SEARCH(""CDM CASH DEPOSIT"",$C188)),
      ISNUMBER(SEARCH(""CASH DEPOSIT"",$C18"&amp;"8)),
      COUNTIFS('SUMMARY DATA'!$D:$D,$C188,'SUMMARY DATA'!$B:$B,""RWS"")&lt;&gt;1
    ),
    """",
    IFERROR(TEXTJOIN(CHAR(10),TRUE,FILTER('SUMMARY DATA'!I:I,'SUMMARY DATA'!$D:$D=$C188,'SUMMARY DATA'!$B:$B=""RWS"")),"""")
  )
)"),"")</f>
      </c>
      <c r="K188" s="2"/>
      <c r="L188" s="2"/>
      <c r="M188" s="2"/>
      <c r="N188" s="2"/>
      <c r="O188" s="2"/>
      <c r="P188" s="2"/>
      <c r="Q188" s="2"/>
      <c r="R188" s="2"/>
      <c r="S188" s="2"/>
      <c r="T188" s="2"/>
      <c r="U188" s="2"/>
      <c r="V188" s="2"/>
      <c r="W188" s="2"/>
      <c r="X188" s="2"/>
      <c r="Y188" s="2"/>
      <c r="Z188" s="2"/>
      <c r="AA188" s="2"/>
      <c r="AB188" s="2"/>
    </row>
    <row r="189" spans="1:28" customHeight="true">
      <c r="A189" s="2" t="s">
        <v>279</v>
      </c>
      <c r="B189" s="15">
        <v>45950</v>
      </c>
      <c r="C189" s="2" t="s">
        <v>280</v>
      </c>
      <c r="D189" s="3">
        <v>340</v>
      </c>
      <c r="E189" s="16" t="s">
        <v>2426</v>
      </c>
      <c r="F189" s="17" t="s">
        <v>2427</v>
      </c>
      <c r="G189" s="17" t="s">
        <v>2393</v>
      </c>
      <c r="H189" s="18">
        <v>340</v>
      </c>
      <c r="I189" s="18">
        <v>340</v>
      </c>
      <c r="J189" s="17" t="s">
        <v>2394</v>
      </c>
      <c r="K189" s="2" t="s">
        <v>2395</v>
      </c>
      <c r="L189" s="2"/>
      <c r="M189" s="2"/>
      <c r="N189" s="2"/>
      <c r="O189" s="2"/>
      <c r="P189" s="2"/>
      <c r="Q189" s="2"/>
      <c r="R189" s="2"/>
      <c r="S189" s="2"/>
      <c r="T189" s="2"/>
      <c r="U189" s="2"/>
      <c r="V189" s="2"/>
      <c r="W189" s="2"/>
      <c r="X189" s="2"/>
      <c r="Y189" s="2"/>
      <c r="Z189" s="2"/>
      <c r="AA189" s="2"/>
      <c r="AB189" s="2"/>
    </row>
    <row r="190" spans="1:28" customHeight="true">
      <c r="A190" s="2"/>
      <c r="B190" s="15">
        <v>45950</v>
      </c>
      <c r="C190" s="2" t="s">
        <v>281</v>
      </c>
      <c r="D190" s="3">
        <v>149</v>
      </c>
      <c r="E190" s="16" t="str">
        <f>IFERROR(__xludf.DUMMYFUNCTION("IFERROR(
  TEXTJOIN(CHAR(10),TRUE,FILTER('SUMMARY DATA'!E:E,'SUMMARY DATA'!$A:$A=$A190,'SUMMARY DATA'!$C:$C=$B190,'SUMMARY DATA'!$B:$B=""RWS"")),
  IF(
    OR(
      ISNUMBER(SEARCH(""CDM CASH DEPOSIT"",$C190)),
      ISNUMBER(SEARCH(""CASH DEPOSIT"",$C19"&amp;"0)),
      COUNTIFS('SUMMARY DATA'!$D:$D,$C190,'SUMMARY DATA'!$B:$B,""RWS"")&lt;&gt;1
    ),
    """",
    IFERROR(TEXTJOIN(CHAR(10),TRUE,FILTER('SUMMARY DATA'!E:E,'SUMMARY DATA'!$D:$D=$C190,'SUMMARY DATA'!$B:$B=""RWS"")),"""")
  )
)"),"")</f>
      </c>
      <c r="F190" s="17" t="str">
        <f>IFERROR(__xludf.DUMMYFUNCTION("IFERROR(
  TEXTJOIN(CHAR(10),TRUE,FILTER('SUMMARY DATA'!F:F,'SUMMARY DATA'!$A:$A=$A190,'SUMMARY DATA'!$C:$C=$B190,'SUMMARY DATA'!$B:$B=""RWS"")),
  IF(
    OR(
      ISNUMBER(SEARCH(""CDM CASH DEPOSIT"",$C190)),
      ISNUMBER(SEARCH(""CASH DEPOSIT"",$C19"&amp;"0)),
      COUNTIFS('SUMMARY DATA'!$D:$D,$C190,'SUMMARY DATA'!$B:$B,""RWS"")&lt;&gt;1
    ),
    """",
    IFERROR(TEXTJOIN(CHAR(10),TRUE,FILTER('SUMMARY DATA'!F:F,'SUMMARY DATA'!$D:$D=$C190,'SUMMARY DATA'!$B:$B=""RWS"")),"""")
  )
)"),"")</f>
      </c>
      <c r="G190" s="17" t="str">
        <f>IFERROR(__xludf.DUMMYFUNCTION("IFERROR(
  TEXTJOIN(CHAR(10),TRUE,FILTER('SUMMARY DATA'!G:G,'SUMMARY DATA'!$A:$A=$A190,'SUMMARY DATA'!$C:$C=$B190,'SUMMARY DATA'!$B:$B=""RWS"")),
  IF(
    OR(
      ISNUMBER(SEARCH(""CDM CASH DEPOSIT"",$C190)),
      ISNUMBER(SEARCH(""CASH DEPOSIT"",$C19"&amp;"0)),
      COUNTIFS('SUMMARY DATA'!$D:$D,$C190,'SUMMARY DATA'!$B:$B,""RWS"")&lt;&gt;1
    ),
    """",
    IFERROR(TEXTJOIN(CHAR(10),TRUE,FILTER('SUMMARY DATA'!G:G,'SUMMARY DATA'!$D:$D=$C190,'SUMMARY DATA'!$B:$B=""RWS"")),"""")
  )
)"),"")</f>
      </c>
      <c r="H190" s="18" t="str">
        <f>IFERROR(__xludf.DUMMYFUNCTION("IFERROR(
  TEXTJOIN(CHAR(10),TRUE,FILTER('SUMMARY DATA'!H:H,'SUMMARY DATA'!$A:$A=$A190,'SUMMARY DATA'!$C:$C=$B190,'SUMMARY DATA'!$B:$B=""RWS"",'SUMMARY DATA'!$H:$H=$D190)),
  IF(
    OR(
      ISNUMBER(SEARCH(""CDM CASH DEPOSIT"",$C190)),
      ISNUMBER(S"&amp;"EARCH(""CASH DEPOSIT"",$C190))
    ),
    """",
    IFERROR(TEXTJOIN(CHAR(10),TRUE,FILTER('SUMMARY DATA'!H:H,'SUMMARY DATA'!$D:$D=$C190,'SUMMARY DATA'!$B:$B=""RWS"",'SUMMARY DATA'!$H:$H=$D190)),"""")
  )
)"),"")</f>
      </c>
      <c r="I190" s="18" t="str">
        <f>IFERROR(__xludf.DUMMYFUNCTION("IF(H190="""","""",
SUM(ARRAYFORMULA(VALUE(SPLIT(H190,CHAR(10)))))
)"),"")</f>
      </c>
      <c r="J190" s="17" t="str">
        <f>IFERROR(__xludf.DUMMYFUNCTION("IFERROR(
  TEXTJOIN(CHAR(10),TRUE,FILTER('SUMMARY DATA'!I:I,'SUMMARY DATA'!$A:$A=$A190,'SUMMARY DATA'!$C:$C=$B190,'SUMMARY DATA'!$B:$B=""RWS"")),
  IF(
    OR(
      ISNUMBER(SEARCH(""CDM CASH DEPOSIT"",$C190)),
      ISNUMBER(SEARCH(""CASH DEPOSIT"",$C19"&amp;"0)),
      COUNTIFS('SUMMARY DATA'!$D:$D,$C190,'SUMMARY DATA'!$B:$B,""RWS"")&lt;&gt;1
    ),
    """",
    IFERROR(TEXTJOIN(CHAR(10),TRUE,FILTER('SUMMARY DATA'!I:I,'SUMMARY DATA'!$D:$D=$C190,'SUMMARY DATA'!$B:$B=""RWS"")),"""")
  )
)"),"")</f>
      </c>
      <c r="K190" s="2"/>
      <c r="L190" s="2"/>
      <c r="M190" s="2"/>
      <c r="N190" s="2"/>
      <c r="O190" s="2"/>
      <c r="P190" s="2"/>
      <c r="Q190" s="2"/>
      <c r="R190" s="2"/>
      <c r="S190" s="2"/>
      <c r="T190" s="2"/>
      <c r="U190" s="2"/>
      <c r="V190" s="2"/>
      <c r="W190" s="2"/>
      <c r="X190" s="2"/>
      <c r="Y190" s="2"/>
      <c r="Z190" s="2"/>
      <c r="AA190" s="2"/>
      <c r="AB190" s="2"/>
    </row>
    <row r="191" spans="1:28" customHeight="true">
      <c r="A191" s="2" t="s">
        <v>282</v>
      </c>
      <c r="B191" s="15">
        <v>45950</v>
      </c>
      <c r="C191" s="2" t="s">
        <v>283</v>
      </c>
      <c r="D191" s="3">
        <v>93.6</v>
      </c>
      <c r="E191" s="16" t="s">
        <v>2396</v>
      </c>
      <c r="F191" s="17" t="s">
        <v>2428</v>
      </c>
      <c r="G191" s="17" t="s">
        <v>2393</v>
      </c>
      <c r="H191" s="18">
        <v>93.6</v>
      </c>
      <c r="I191" s="18">
        <v>93.6</v>
      </c>
      <c r="J191" s="17" t="s">
        <v>2394</v>
      </c>
      <c r="K191" s="2" t="s">
        <v>2395</v>
      </c>
      <c r="L191" s="2"/>
      <c r="M191" s="2"/>
      <c r="N191" s="2"/>
      <c r="O191" s="2"/>
      <c r="P191" s="2"/>
      <c r="Q191" s="2"/>
      <c r="R191" s="2"/>
      <c r="S191" s="2"/>
      <c r="T191" s="2"/>
      <c r="U191" s="2"/>
      <c r="V191" s="2"/>
      <c r="W191" s="2"/>
      <c r="X191" s="2"/>
      <c r="Y191" s="2"/>
      <c r="Z191" s="2"/>
      <c r="AA191" s="2"/>
      <c r="AB191" s="2"/>
    </row>
    <row r="192" spans="1:28" customHeight="true">
      <c r="A192" s="2"/>
      <c r="B192" s="15">
        <v>45950</v>
      </c>
      <c r="C192" s="2" t="s">
        <v>284</v>
      </c>
      <c r="D192" s="3">
        <v>39.94</v>
      </c>
      <c r="E192" s="16" t="str">
        <f>IFERROR(__xludf.DUMMYFUNCTION("IFERROR(
  TEXTJOIN(CHAR(10),TRUE,FILTER('SUMMARY DATA'!E:E,'SUMMARY DATA'!$A:$A=$A192,'SUMMARY DATA'!$C:$C=$B192,'SUMMARY DATA'!$B:$B=""RWS"")),
  IF(
    OR(
      ISNUMBER(SEARCH(""CDM CASH DEPOSIT"",$C192)),
      ISNUMBER(SEARCH(""CASH DEPOSIT"",$C19"&amp;"2)),
      COUNTIFS('SUMMARY DATA'!$D:$D,$C192,'SUMMARY DATA'!$B:$B,""RWS"")&lt;&gt;1
    ),
    """",
    IFERROR(TEXTJOIN(CHAR(10),TRUE,FILTER('SUMMARY DATA'!E:E,'SUMMARY DATA'!$D:$D=$C192,'SUMMARY DATA'!$B:$B=""RWS"")),"""")
  )
)"),"")</f>
      </c>
      <c r="F192" s="17" t="str">
        <f>IFERROR(__xludf.DUMMYFUNCTION("IFERROR(
  TEXTJOIN(CHAR(10),TRUE,FILTER('SUMMARY DATA'!F:F,'SUMMARY DATA'!$A:$A=$A192,'SUMMARY DATA'!$C:$C=$B192,'SUMMARY DATA'!$B:$B=""RWS"")),
  IF(
    OR(
      ISNUMBER(SEARCH(""CDM CASH DEPOSIT"",$C192)),
      ISNUMBER(SEARCH(""CASH DEPOSIT"",$C19"&amp;"2)),
      COUNTIFS('SUMMARY DATA'!$D:$D,$C192,'SUMMARY DATA'!$B:$B,""RWS"")&lt;&gt;1
    ),
    """",
    IFERROR(TEXTJOIN(CHAR(10),TRUE,FILTER('SUMMARY DATA'!F:F,'SUMMARY DATA'!$D:$D=$C192,'SUMMARY DATA'!$B:$B=""RWS"")),"""")
  )
)"),"")</f>
      </c>
      <c r="G192" s="17" t="str">
        <f>IFERROR(__xludf.DUMMYFUNCTION("IFERROR(
  TEXTJOIN(CHAR(10),TRUE,FILTER('SUMMARY DATA'!G:G,'SUMMARY DATA'!$A:$A=$A192,'SUMMARY DATA'!$C:$C=$B192,'SUMMARY DATA'!$B:$B=""RWS"")),
  IF(
    OR(
      ISNUMBER(SEARCH(""CDM CASH DEPOSIT"",$C192)),
      ISNUMBER(SEARCH(""CASH DEPOSIT"",$C19"&amp;"2)),
      COUNTIFS('SUMMARY DATA'!$D:$D,$C192,'SUMMARY DATA'!$B:$B,""RWS"")&lt;&gt;1
    ),
    """",
    IFERROR(TEXTJOIN(CHAR(10),TRUE,FILTER('SUMMARY DATA'!G:G,'SUMMARY DATA'!$D:$D=$C192,'SUMMARY DATA'!$B:$B=""RWS"")),"""")
  )
)"),"")</f>
      </c>
      <c r="H192" s="18" t="str">
        <f>IFERROR(__xludf.DUMMYFUNCTION("IFERROR(
  TEXTJOIN(CHAR(10),TRUE,FILTER('SUMMARY DATA'!H:H,'SUMMARY DATA'!$A:$A=$A192,'SUMMARY DATA'!$C:$C=$B192,'SUMMARY DATA'!$B:$B=""RWS"",'SUMMARY DATA'!$H:$H=$D192)),
  IF(
    OR(
      ISNUMBER(SEARCH(""CDM CASH DEPOSIT"",$C192)),
      ISNUMBER(S"&amp;"EARCH(""CASH DEPOSIT"",$C192))
    ),
    """",
    IFERROR(TEXTJOIN(CHAR(10),TRUE,FILTER('SUMMARY DATA'!H:H,'SUMMARY DATA'!$D:$D=$C192,'SUMMARY DATA'!$B:$B=""RWS"",'SUMMARY DATA'!$H:$H=$D192)),"""")
  )
)"),"")</f>
      </c>
      <c r="I192" s="18" t="str">
        <f>IFERROR(__xludf.DUMMYFUNCTION("IF(H192="""","""",
SUM(ARRAYFORMULA(VALUE(SPLIT(H192,CHAR(10)))))
)"),"")</f>
      </c>
      <c r="J192" s="17" t="str">
        <f>IFERROR(__xludf.DUMMYFUNCTION("IFERROR(
  TEXTJOIN(CHAR(10),TRUE,FILTER('SUMMARY DATA'!I:I,'SUMMARY DATA'!$A:$A=$A192,'SUMMARY DATA'!$C:$C=$B192,'SUMMARY DATA'!$B:$B=""RWS"")),
  IF(
    OR(
      ISNUMBER(SEARCH(""CDM CASH DEPOSIT"",$C192)),
      ISNUMBER(SEARCH(""CASH DEPOSIT"",$C19"&amp;"2)),
      COUNTIFS('SUMMARY DATA'!$D:$D,$C192,'SUMMARY DATA'!$B:$B,""RWS"")&lt;&gt;1
    ),
    """",
    IFERROR(TEXTJOIN(CHAR(10),TRUE,FILTER('SUMMARY DATA'!I:I,'SUMMARY DATA'!$D:$D=$C192,'SUMMARY DATA'!$B:$B=""RWS"")),"""")
  )
)"),"")</f>
      </c>
      <c r="K192" s="2"/>
      <c r="L192" s="2"/>
      <c r="M192" s="2"/>
      <c r="N192" s="2"/>
      <c r="O192" s="2"/>
      <c r="P192" s="2"/>
      <c r="Q192" s="2"/>
      <c r="R192" s="2"/>
      <c r="S192" s="2"/>
      <c r="T192" s="2"/>
      <c r="U192" s="2"/>
      <c r="V192" s="2"/>
      <c r="W192" s="2"/>
      <c r="X192" s="2"/>
      <c r="Y192" s="2"/>
      <c r="Z192" s="2"/>
      <c r="AA192" s="2"/>
      <c r="AB192" s="2"/>
    </row>
    <row r="193" spans="1:28" customHeight="true">
      <c r="A193" s="2" t="s">
        <v>285</v>
      </c>
      <c r="B193" s="15">
        <v>45950</v>
      </c>
      <c r="C193" s="2" t="s">
        <v>286</v>
      </c>
      <c r="D193" s="3">
        <v>20</v>
      </c>
      <c r="E193" s="16" t="str">
        <f>IFERROR(__xludf.DUMMYFUNCTION("IFERROR(
  TEXTJOIN(CHAR(10),TRUE,FILTER('SUMMARY DATA'!E:E,'SUMMARY DATA'!$A:$A=$A193,'SUMMARY DATA'!$C:$C=$B193,'SUMMARY DATA'!$B:$B=""RWS"")),
  IF(
    OR(
      ISNUMBER(SEARCH(""CDM CASH DEPOSIT"",$C193)),
      ISNUMBER(SEARCH(""CASH DEPOSIT"",$C19"&amp;"3)),
      COUNTIFS('SUMMARY DATA'!$D:$D,$C193,'SUMMARY DATA'!$B:$B,""RWS"")&lt;&gt;1
    ),
    """",
    IFERROR(TEXTJOIN(CHAR(10),TRUE,FILTER('SUMMARY DATA'!E:E,'SUMMARY DATA'!$D:$D=$C193,'SUMMARY DATA'!$B:$B=""RWS"")),"""")
  )
)"),"")</f>
      </c>
      <c r="F193" s="17" t="str">
        <f>IFERROR(__xludf.DUMMYFUNCTION("IFERROR(
  TEXTJOIN(CHAR(10),TRUE,FILTER('SUMMARY DATA'!F:F,'SUMMARY DATA'!$A:$A=$A193,'SUMMARY DATA'!$C:$C=$B193,'SUMMARY DATA'!$B:$B=""RWS"")),
  IF(
    OR(
      ISNUMBER(SEARCH(""CDM CASH DEPOSIT"",$C193)),
      ISNUMBER(SEARCH(""CASH DEPOSIT"",$C19"&amp;"3)),
      COUNTIFS('SUMMARY DATA'!$D:$D,$C193,'SUMMARY DATA'!$B:$B,""RWS"")&lt;&gt;1
    ),
    """",
    IFERROR(TEXTJOIN(CHAR(10),TRUE,FILTER('SUMMARY DATA'!F:F,'SUMMARY DATA'!$D:$D=$C193,'SUMMARY DATA'!$B:$B=""RWS"")),"""")
  )
)"),"")</f>
      </c>
      <c r="G193" s="17" t="str">
        <f>IFERROR(__xludf.DUMMYFUNCTION("IFERROR(
  TEXTJOIN(CHAR(10),TRUE,FILTER('SUMMARY DATA'!G:G,'SUMMARY DATA'!$A:$A=$A193,'SUMMARY DATA'!$C:$C=$B193,'SUMMARY DATA'!$B:$B=""RWS"")),
  IF(
    OR(
      ISNUMBER(SEARCH(""CDM CASH DEPOSIT"",$C193)),
      ISNUMBER(SEARCH(""CASH DEPOSIT"",$C19"&amp;"3)),
      COUNTIFS('SUMMARY DATA'!$D:$D,$C193,'SUMMARY DATA'!$B:$B,""RWS"")&lt;&gt;1
    ),
    """",
    IFERROR(TEXTJOIN(CHAR(10),TRUE,FILTER('SUMMARY DATA'!G:G,'SUMMARY DATA'!$D:$D=$C193,'SUMMARY DATA'!$B:$B=""RWS"")),"""")
  )
)"),"")</f>
      </c>
      <c r="H193" s="18" t="str">
        <f>IFERROR(__xludf.DUMMYFUNCTION("IFERROR(
  TEXTJOIN(CHAR(10),TRUE,FILTER('SUMMARY DATA'!H:H,'SUMMARY DATA'!$A:$A=$A193,'SUMMARY DATA'!$C:$C=$B193,'SUMMARY DATA'!$B:$B=""RWS"",'SUMMARY DATA'!$H:$H=$D193)),
  IF(
    OR(
      ISNUMBER(SEARCH(""CDM CASH DEPOSIT"",$C193)),
      ISNUMBER(S"&amp;"EARCH(""CASH DEPOSIT"",$C193))
    ),
    """",
    IFERROR(TEXTJOIN(CHAR(10),TRUE,FILTER('SUMMARY DATA'!H:H,'SUMMARY DATA'!$D:$D=$C193,'SUMMARY DATA'!$B:$B=""RWS"",'SUMMARY DATA'!$H:$H=$D193)),"""")
  )
)"),"")</f>
      </c>
      <c r="I193" s="18" t="str">
        <f>IFERROR(__xludf.DUMMYFUNCTION("IF(H193="""","""",
SUM(ARRAYFORMULA(VALUE(SPLIT(H193,CHAR(10)))))
)"),"")</f>
      </c>
      <c r="J193" s="17" t="str">
        <f>IFERROR(__xludf.DUMMYFUNCTION("IFERROR(
  TEXTJOIN(CHAR(10),TRUE,FILTER('SUMMARY DATA'!I:I,'SUMMARY DATA'!$A:$A=$A193,'SUMMARY DATA'!$C:$C=$B193,'SUMMARY DATA'!$B:$B=""RWS"")),
  IF(
    OR(
      ISNUMBER(SEARCH(""CDM CASH DEPOSIT"",$C193)),
      ISNUMBER(SEARCH(""CASH DEPOSIT"",$C19"&amp;"3)),
      COUNTIFS('SUMMARY DATA'!$D:$D,$C193,'SUMMARY DATA'!$B:$B,""RWS"")&lt;&gt;1
    ),
    """",
    IFERROR(TEXTJOIN(CHAR(10),TRUE,FILTER('SUMMARY DATA'!I:I,'SUMMARY DATA'!$D:$D=$C193,'SUMMARY DATA'!$B:$B=""RWS"")),"""")
  )
)"),"")</f>
      </c>
      <c r="K193" s="2"/>
      <c r="L193" s="2"/>
      <c r="M193" s="2"/>
      <c r="N193" s="2"/>
      <c r="O193" s="2"/>
      <c r="P193" s="2"/>
      <c r="Q193" s="2"/>
      <c r="R193" s="2"/>
      <c r="S193" s="2"/>
      <c r="T193" s="2"/>
      <c r="U193" s="2"/>
      <c r="V193" s="2"/>
      <c r="W193" s="2"/>
      <c r="X193" s="2"/>
      <c r="Y193" s="2"/>
      <c r="Z193" s="2"/>
      <c r="AA193" s="2"/>
      <c r="AB193" s="2"/>
    </row>
    <row r="194" spans="1:28" customHeight="true">
      <c r="A194" s="2" t="s">
        <v>287</v>
      </c>
      <c r="B194" s="15">
        <v>45950</v>
      </c>
      <c r="C194" s="2" t="s">
        <v>288</v>
      </c>
      <c r="D194" s="3">
        <v>10</v>
      </c>
      <c r="E194" s="16" t="str">
        <f>IFERROR(__xludf.DUMMYFUNCTION("IFERROR(
  TEXTJOIN(CHAR(10),TRUE,FILTER('SUMMARY DATA'!E:E,'SUMMARY DATA'!$A:$A=$A194,'SUMMARY DATA'!$C:$C=$B194,'SUMMARY DATA'!$B:$B=""RWS"")),
  IF(
    OR(
      ISNUMBER(SEARCH(""CDM CASH DEPOSIT"",$C194)),
      ISNUMBER(SEARCH(""CASH DEPOSIT"",$C19"&amp;"4)),
      COUNTIFS('SUMMARY DATA'!$D:$D,$C194,'SUMMARY DATA'!$B:$B,""RWS"")&lt;&gt;1
    ),
    """",
    IFERROR(TEXTJOIN(CHAR(10),TRUE,FILTER('SUMMARY DATA'!E:E,'SUMMARY DATA'!$D:$D=$C194,'SUMMARY DATA'!$B:$B=""RWS"")),"""")
  )
)"),"")</f>
      </c>
      <c r="F194" s="17" t="str">
        <f>IFERROR(__xludf.DUMMYFUNCTION("IFERROR(
  TEXTJOIN(CHAR(10),TRUE,FILTER('SUMMARY DATA'!F:F,'SUMMARY DATA'!$A:$A=$A194,'SUMMARY DATA'!$C:$C=$B194,'SUMMARY DATA'!$B:$B=""RWS"")),
  IF(
    OR(
      ISNUMBER(SEARCH(""CDM CASH DEPOSIT"",$C194)),
      ISNUMBER(SEARCH(""CASH DEPOSIT"",$C19"&amp;"4)),
      COUNTIFS('SUMMARY DATA'!$D:$D,$C194,'SUMMARY DATA'!$B:$B,""RWS"")&lt;&gt;1
    ),
    """",
    IFERROR(TEXTJOIN(CHAR(10),TRUE,FILTER('SUMMARY DATA'!F:F,'SUMMARY DATA'!$D:$D=$C194,'SUMMARY DATA'!$B:$B=""RWS"")),"""")
  )
)"),"")</f>
      </c>
      <c r="G194" s="17" t="str">
        <f>IFERROR(__xludf.DUMMYFUNCTION("IFERROR(
  TEXTJOIN(CHAR(10),TRUE,FILTER('SUMMARY DATA'!G:G,'SUMMARY DATA'!$A:$A=$A194,'SUMMARY DATA'!$C:$C=$B194,'SUMMARY DATA'!$B:$B=""RWS"")),
  IF(
    OR(
      ISNUMBER(SEARCH(""CDM CASH DEPOSIT"",$C194)),
      ISNUMBER(SEARCH(""CASH DEPOSIT"",$C19"&amp;"4)),
      COUNTIFS('SUMMARY DATA'!$D:$D,$C194,'SUMMARY DATA'!$B:$B,""RWS"")&lt;&gt;1
    ),
    """",
    IFERROR(TEXTJOIN(CHAR(10),TRUE,FILTER('SUMMARY DATA'!G:G,'SUMMARY DATA'!$D:$D=$C194,'SUMMARY DATA'!$B:$B=""RWS"")),"""")
  )
)"),"")</f>
      </c>
      <c r="H194" s="18" t="str">
        <f>IFERROR(__xludf.DUMMYFUNCTION("IFERROR(
  TEXTJOIN(CHAR(10),TRUE,FILTER('SUMMARY DATA'!H:H,'SUMMARY DATA'!$A:$A=$A194,'SUMMARY DATA'!$C:$C=$B194,'SUMMARY DATA'!$B:$B=""RWS"",'SUMMARY DATA'!$H:$H=$D194)),
  IF(
    OR(
      ISNUMBER(SEARCH(""CDM CASH DEPOSIT"",$C194)),
      ISNUMBER(S"&amp;"EARCH(""CASH DEPOSIT"",$C194))
    ),
    """",
    IFERROR(TEXTJOIN(CHAR(10),TRUE,FILTER('SUMMARY DATA'!H:H,'SUMMARY DATA'!$D:$D=$C194,'SUMMARY DATA'!$B:$B=""RWS"",'SUMMARY DATA'!$H:$H=$D194)),"""")
  )
)"),"")</f>
      </c>
      <c r="I194" s="18" t="str">
        <f>IFERROR(__xludf.DUMMYFUNCTION("IF(H194="""","""",
SUM(ARRAYFORMULA(VALUE(SPLIT(H194,CHAR(10)))))
)"),"")</f>
      </c>
      <c r="J194" s="17" t="str">
        <f>IFERROR(__xludf.DUMMYFUNCTION("IFERROR(
  TEXTJOIN(CHAR(10),TRUE,FILTER('SUMMARY DATA'!I:I,'SUMMARY DATA'!$A:$A=$A194,'SUMMARY DATA'!$C:$C=$B194,'SUMMARY DATA'!$B:$B=""RWS"")),
  IF(
    OR(
      ISNUMBER(SEARCH(""CDM CASH DEPOSIT"",$C194)),
      ISNUMBER(SEARCH(""CASH DEPOSIT"",$C19"&amp;"4)),
      COUNTIFS('SUMMARY DATA'!$D:$D,$C194,'SUMMARY DATA'!$B:$B,""RWS"")&lt;&gt;1
    ),
    """",
    IFERROR(TEXTJOIN(CHAR(10),TRUE,FILTER('SUMMARY DATA'!I:I,'SUMMARY DATA'!$D:$D=$C194,'SUMMARY DATA'!$B:$B=""RWS"")),"""")
  )
)"),"")</f>
      </c>
      <c r="K194" s="2"/>
      <c r="L194" s="2"/>
      <c r="M194" s="2"/>
      <c r="N194" s="2"/>
      <c r="O194" s="2"/>
      <c r="P194" s="2"/>
      <c r="Q194" s="2"/>
      <c r="R194" s="2"/>
      <c r="S194" s="2"/>
      <c r="T194" s="2"/>
      <c r="U194" s="2"/>
      <c r="V194" s="2"/>
      <c r="W194" s="2"/>
      <c r="X194" s="2"/>
      <c r="Y194" s="2"/>
      <c r="Z194" s="2"/>
      <c r="AA194" s="2"/>
      <c r="AB194" s="2"/>
    </row>
    <row r="195" spans="1:28" customHeight="true">
      <c r="A195" s="2" t="s">
        <v>289</v>
      </c>
      <c r="B195" s="15">
        <v>45950</v>
      </c>
      <c r="C195" s="2" t="s">
        <v>290</v>
      </c>
      <c r="D195" s="3">
        <v>196.66</v>
      </c>
      <c r="E195" s="16" t="s">
        <v>2429</v>
      </c>
      <c r="F195" s="17" t="s">
        <v>2430</v>
      </c>
      <c r="G195" s="17" t="s">
        <v>2393</v>
      </c>
      <c r="H195" s="18">
        <v>196.66</v>
      </c>
      <c r="I195" s="18">
        <v>196.66</v>
      </c>
      <c r="J195" s="17" t="s">
        <v>2394</v>
      </c>
      <c r="K195" s="2" t="s">
        <v>2395</v>
      </c>
      <c r="L195" s="2"/>
      <c r="M195" s="2"/>
      <c r="N195" s="2"/>
      <c r="O195" s="2"/>
      <c r="P195" s="2"/>
      <c r="Q195" s="2"/>
      <c r="R195" s="2"/>
      <c r="S195" s="2"/>
      <c r="T195" s="2"/>
      <c r="U195" s="2"/>
      <c r="V195" s="2"/>
      <c r="W195" s="2"/>
      <c r="X195" s="2"/>
      <c r="Y195" s="2"/>
      <c r="Z195" s="2"/>
      <c r="AA195" s="2"/>
      <c r="AB195" s="2"/>
    </row>
    <row r="196" spans="1:28" customHeight="true">
      <c r="A196" s="2" t="s">
        <v>291</v>
      </c>
      <c r="B196" s="15">
        <v>45949</v>
      </c>
      <c r="C196" s="2" t="s">
        <v>292</v>
      </c>
      <c r="D196" s="3">
        <v>486.59</v>
      </c>
      <c r="E196" s="16" t="str">
        <f>IFERROR(__xludf.DUMMYFUNCTION("IFERROR(
  TEXTJOIN(CHAR(10),TRUE,FILTER('SUMMARY DATA'!E:E,'SUMMARY DATA'!$A:$A=$A196,'SUMMARY DATA'!$C:$C=$B196,'SUMMARY DATA'!$B:$B=""RWS"")),
  IF(
    OR(
      ISNUMBER(SEARCH(""CDM CASH DEPOSIT"",$C196)),
      ISNUMBER(SEARCH(""CASH DEPOSIT"",$C19"&amp;"6)),
      COUNTIFS('SUMMARY DATA'!$D:$D,$C196,'SUMMARY DATA'!$B:$B,""RWS"")&lt;&gt;1
    ),
    """",
    IFERROR(TEXTJOIN(CHAR(10),TRUE,FILTER('SUMMARY DATA'!E:E,'SUMMARY DATA'!$D:$D=$C196,'SUMMARY DATA'!$B:$B=""RWS"")),"""")
  )
)"),"")</f>
      </c>
      <c r="F196" s="17" t="str">
        <f>IFERROR(__xludf.DUMMYFUNCTION("IFERROR(
  TEXTJOIN(CHAR(10),TRUE,FILTER('SUMMARY DATA'!F:F,'SUMMARY DATA'!$A:$A=$A196,'SUMMARY DATA'!$C:$C=$B196,'SUMMARY DATA'!$B:$B=""RWS"")),
  IF(
    OR(
      ISNUMBER(SEARCH(""CDM CASH DEPOSIT"",$C196)),
      ISNUMBER(SEARCH(""CASH DEPOSIT"",$C19"&amp;"6)),
      COUNTIFS('SUMMARY DATA'!$D:$D,$C196,'SUMMARY DATA'!$B:$B,""RWS"")&lt;&gt;1
    ),
    """",
    IFERROR(TEXTJOIN(CHAR(10),TRUE,FILTER('SUMMARY DATA'!F:F,'SUMMARY DATA'!$D:$D=$C196,'SUMMARY DATA'!$B:$B=""RWS"")),"""")
  )
)"),"")</f>
      </c>
      <c r="G196" s="17" t="str">
        <f>IFERROR(__xludf.DUMMYFUNCTION("IFERROR(
  TEXTJOIN(CHAR(10),TRUE,FILTER('SUMMARY DATA'!G:G,'SUMMARY DATA'!$A:$A=$A196,'SUMMARY DATA'!$C:$C=$B196,'SUMMARY DATA'!$B:$B=""RWS"")),
  IF(
    OR(
      ISNUMBER(SEARCH(""CDM CASH DEPOSIT"",$C196)),
      ISNUMBER(SEARCH(""CASH DEPOSIT"",$C19"&amp;"6)),
      COUNTIFS('SUMMARY DATA'!$D:$D,$C196,'SUMMARY DATA'!$B:$B,""RWS"")&lt;&gt;1
    ),
    """",
    IFERROR(TEXTJOIN(CHAR(10),TRUE,FILTER('SUMMARY DATA'!G:G,'SUMMARY DATA'!$D:$D=$C196,'SUMMARY DATA'!$B:$B=""RWS"")),"""")
  )
)"),"")</f>
      </c>
      <c r="H196" s="18" t="str">
        <f>IFERROR(__xludf.DUMMYFUNCTION("IFERROR(
  TEXTJOIN(CHAR(10),TRUE,FILTER('SUMMARY DATA'!H:H,'SUMMARY DATA'!$A:$A=$A196,'SUMMARY DATA'!$C:$C=$B196,'SUMMARY DATA'!$B:$B=""RWS"",'SUMMARY DATA'!$H:$H=$D196)),
  IF(
    OR(
      ISNUMBER(SEARCH(""CDM CASH DEPOSIT"",$C196)),
      ISNUMBER(S"&amp;"EARCH(""CASH DEPOSIT"",$C196))
    ),
    """",
    IFERROR(TEXTJOIN(CHAR(10),TRUE,FILTER('SUMMARY DATA'!H:H,'SUMMARY DATA'!$D:$D=$C196,'SUMMARY DATA'!$B:$B=""RWS"",'SUMMARY DATA'!$H:$H=$D196)),"""")
  )
)"),"")</f>
      </c>
      <c r="I196" s="18" t="str">
        <f>IFERROR(__xludf.DUMMYFUNCTION("IF(H196="""","""",
SUM(ARRAYFORMULA(VALUE(SPLIT(H196,CHAR(10)))))
)"),"")</f>
      </c>
      <c r="J196" s="17" t="str">
        <f>IFERROR(__xludf.DUMMYFUNCTION("IFERROR(
  TEXTJOIN(CHAR(10),TRUE,FILTER('SUMMARY DATA'!I:I,'SUMMARY DATA'!$A:$A=$A196,'SUMMARY DATA'!$C:$C=$B196,'SUMMARY DATA'!$B:$B=""RWS"")),
  IF(
    OR(
      ISNUMBER(SEARCH(""CDM CASH DEPOSIT"",$C196)),
      ISNUMBER(SEARCH(""CASH DEPOSIT"",$C19"&amp;"6)),
      COUNTIFS('SUMMARY DATA'!$D:$D,$C196,'SUMMARY DATA'!$B:$B,""RWS"")&lt;&gt;1
    ),
    """",
    IFERROR(TEXTJOIN(CHAR(10),TRUE,FILTER('SUMMARY DATA'!I:I,'SUMMARY DATA'!$D:$D=$C196,'SUMMARY DATA'!$B:$B=""RWS"")),"""")
  )
)"),"")</f>
      </c>
      <c r="K196" s="2"/>
      <c r="L196" s="2"/>
      <c r="M196" s="2"/>
      <c r="N196" s="2"/>
      <c r="O196" s="2"/>
      <c r="P196" s="2"/>
      <c r="Q196" s="2"/>
      <c r="R196" s="2"/>
      <c r="S196" s="2"/>
      <c r="T196" s="2"/>
      <c r="U196" s="2"/>
      <c r="V196" s="2"/>
      <c r="W196" s="2"/>
      <c r="X196" s="2"/>
      <c r="Y196" s="2"/>
      <c r="Z196" s="2"/>
      <c r="AA196" s="2"/>
      <c r="AB196" s="2"/>
    </row>
    <row r="197" spans="1:28" customHeight="true">
      <c r="A197" s="2"/>
      <c r="B197" s="15">
        <v>45949</v>
      </c>
      <c r="C197" s="2" t="s">
        <v>293</v>
      </c>
      <c r="D197" s="3">
        <v>159</v>
      </c>
      <c r="E197" s="16" t="str">
        <f>IFERROR(__xludf.DUMMYFUNCTION("IFERROR(
  TEXTJOIN(CHAR(10),TRUE,FILTER('SUMMARY DATA'!E:E,'SUMMARY DATA'!$A:$A=$A197,'SUMMARY DATA'!$C:$C=$B197,'SUMMARY DATA'!$B:$B=""RWS"")),
  IF(
    OR(
      ISNUMBER(SEARCH(""CDM CASH DEPOSIT"",$C197)),
      ISNUMBER(SEARCH(""CASH DEPOSIT"",$C19"&amp;"7)),
      COUNTIFS('SUMMARY DATA'!$D:$D,$C197,'SUMMARY DATA'!$B:$B,""RWS"")&lt;&gt;1
    ),
    """",
    IFERROR(TEXTJOIN(CHAR(10),TRUE,FILTER('SUMMARY DATA'!E:E,'SUMMARY DATA'!$D:$D=$C197,'SUMMARY DATA'!$B:$B=""RWS"")),"""")
  )
)"),"")</f>
      </c>
      <c r="F197" s="17" t="str">
        <f>IFERROR(__xludf.DUMMYFUNCTION("IFERROR(
  TEXTJOIN(CHAR(10),TRUE,FILTER('SUMMARY DATA'!F:F,'SUMMARY DATA'!$A:$A=$A197,'SUMMARY DATA'!$C:$C=$B197,'SUMMARY DATA'!$B:$B=""RWS"")),
  IF(
    OR(
      ISNUMBER(SEARCH(""CDM CASH DEPOSIT"",$C197)),
      ISNUMBER(SEARCH(""CASH DEPOSIT"",$C19"&amp;"7)),
      COUNTIFS('SUMMARY DATA'!$D:$D,$C197,'SUMMARY DATA'!$B:$B,""RWS"")&lt;&gt;1
    ),
    """",
    IFERROR(TEXTJOIN(CHAR(10),TRUE,FILTER('SUMMARY DATA'!F:F,'SUMMARY DATA'!$D:$D=$C197,'SUMMARY DATA'!$B:$B=""RWS"")),"""")
  )
)"),"")</f>
      </c>
      <c r="G197" s="17" t="str">
        <f>IFERROR(__xludf.DUMMYFUNCTION("IFERROR(
  TEXTJOIN(CHAR(10),TRUE,FILTER('SUMMARY DATA'!G:G,'SUMMARY DATA'!$A:$A=$A197,'SUMMARY DATA'!$C:$C=$B197,'SUMMARY DATA'!$B:$B=""RWS"")),
  IF(
    OR(
      ISNUMBER(SEARCH(""CDM CASH DEPOSIT"",$C197)),
      ISNUMBER(SEARCH(""CASH DEPOSIT"",$C19"&amp;"7)),
      COUNTIFS('SUMMARY DATA'!$D:$D,$C197,'SUMMARY DATA'!$B:$B,""RWS"")&lt;&gt;1
    ),
    """",
    IFERROR(TEXTJOIN(CHAR(10),TRUE,FILTER('SUMMARY DATA'!G:G,'SUMMARY DATA'!$D:$D=$C197,'SUMMARY DATA'!$B:$B=""RWS"")),"""")
  )
)"),"")</f>
      </c>
      <c r="H197" s="18" t="str">
        <f>IFERROR(__xludf.DUMMYFUNCTION("IFERROR(
  TEXTJOIN(CHAR(10),TRUE,FILTER('SUMMARY DATA'!H:H,'SUMMARY DATA'!$A:$A=$A197,'SUMMARY DATA'!$C:$C=$B197,'SUMMARY DATA'!$B:$B=""RWS"",'SUMMARY DATA'!$H:$H=$D197)),
  IF(
    OR(
      ISNUMBER(SEARCH(""CDM CASH DEPOSIT"",$C197)),
      ISNUMBER(S"&amp;"EARCH(""CASH DEPOSIT"",$C197))
    ),
    """",
    IFERROR(TEXTJOIN(CHAR(10),TRUE,FILTER('SUMMARY DATA'!H:H,'SUMMARY DATA'!$D:$D=$C197,'SUMMARY DATA'!$B:$B=""RWS"",'SUMMARY DATA'!$H:$H=$D197)),"""")
  )
)"),"")</f>
      </c>
      <c r="I197" s="18" t="str">
        <f>IFERROR(__xludf.DUMMYFUNCTION("IF(H197="""","""",
SUM(ARRAYFORMULA(VALUE(SPLIT(H197,CHAR(10)))))
)"),"")</f>
      </c>
      <c r="J197" s="17" t="str">
        <f>IFERROR(__xludf.DUMMYFUNCTION("IFERROR(
  TEXTJOIN(CHAR(10),TRUE,FILTER('SUMMARY DATA'!I:I,'SUMMARY DATA'!$A:$A=$A197,'SUMMARY DATA'!$C:$C=$B197,'SUMMARY DATA'!$B:$B=""RWS"")),
  IF(
    OR(
      ISNUMBER(SEARCH(""CDM CASH DEPOSIT"",$C197)),
      ISNUMBER(SEARCH(""CASH DEPOSIT"",$C19"&amp;"7)),
      COUNTIFS('SUMMARY DATA'!$D:$D,$C197,'SUMMARY DATA'!$B:$B,""RWS"")&lt;&gt;1
    ),
    """",
    IFERROR(TEXTJOIN(CHAR(10),TRUE,FILTER('SUMMARY DATA'!I:I,'SUMMARY DATA'!$D:$D=$C197,'SUMMARY DATA'!$B:$B=""RWS"")),"""")
  )
)"),"")</f>
      </c>
      <c r="K197" s="2"/>
      <c r="L197" s="2"/>
      <c r="M197" s="2"/>
      <c r="N197" s="2"/>
      <c r="O197" s="2"/>
      <c r="P197" s="2"/>
      <c r="Q197" s="2"/>
      <c r="R197" s="2"/>
      <c r="S197" s="2"/>
      <c r="T197" s="2"/>
      <c r="U197" s="2"/>
      <c r="V197" s="2"/>
      <c r="W197" s="2"/>
      <c r="X197" s="2"/>
      <c r="Y197" s="2"/>
      <c r="Z197" s="2"/>
      <c r="AA197" s="2"/>
      <c r="AB197" s="2"/>
    </row>
    <row r="198" spans="1:28" customHeight="true">
      <c r="A198" s="2" t="s">
        <v>294</v>
      </c>
      <c r="B198" s="15">
        <v>45948</v>
      </c>
      <c r="C198" s="2" t="s">
        <v>295</v>
      </c>
      <c r="D198" s="3">
        <v>10</v>
      </c>
      <c r="E198" s="16" t="str">
        <f>IFERROR(__xludf.DUMMYFUNCTION("IFERROR(
  TEXTJOIN(CHAR(10),TRUE,FILTER('SUMMARY DATA'!E:E,'SUMMARY DATA'!$A:$A=$A198,'SUMMARY DATA'!$C:$C=$B198,'SUMMARY DATA'!$B:$B=""RWS"")),
  IF(
    OR(
      ISNUMBER(SEARCH(""CDM CASH DEPOSIT"",$C198)),
      ISNUMBER(SEARCH(""CASH DEPOSIT"",$C19"&amp;"8)),
      COUNTIFS('SUMMARY DATA'!$D:$D,$C198,'SUMMARY DATA'!$B:$B,""RWS"")&lt;&gt;1
    ),
    """",
    IFERROR(TEXTJOIN(CHAR(10),TRUE,FILTER('SUMMARY DATA'!E:E,'SUMMARY DATA'!$D:$D=$C198,'SUMMARY DATA'!$B:$B=""RWS"")),"""")
  )
)"),"")</f>
      </c>
      <c r="F198" s="17" t="str">
        <f>IFERROR(__xludf.DUMMYFUNCTION("IFERROR(
  TEXTJOIN(CHAR(10),TRUE,FILTER('SUMMARY DATA'!F:F,'SUMMARY DATA'!$A:$A=$A198,'SUMMARY DATA'!$C:$C=$B198,'SUMMARY DATA'!$B:$B=""RWS"")),
  IF(
    OR(
      ISNUMBER(SEARCH(""CDM CASH DEPOSIT"",$C198)),
      ISNUMBER(SEARCH(""CASH DEPOSIT"",$C19"&amp;"8)),
      COUNTIFS('SUMMARY DATA'!$D:$D,$C198,'SUMMARY DATA'!$B:$B,""RWS"")&lt;&gt;1
    ),
    """",
    IFERROR(TEXTJOIN(CHAR(10),TRUE,FILTER('SUMMARY DATA'!F:F,'SUMMARY DATA'!$D:$D=$C198,'SUMMARY DATA'!$B:$B=""RWS"")),"""")
  )
)"),"")</f>
      </c>
      <c r="G198" s="17" t="str">
        <f>IFERROR(__xludf.DUMMYFUNCTION("IFERROR(
  TEXTJOIN(CHAR(10),TRUE,FILTER('SUMMARY DATA'!G:G,'SUMMARY DATA'!$A:$A=$A198,'SUMMARY DATA'!$C:$C=$B198,'SUMMARY DATA'!$B:$B=""RWS"")),
  IF(
    OR(
      ISNUMBER(SEARCH(""CDM CASH DEPOSIT"",$C198)),
      ISNUMBER(SEARCH(""CASH DEPOSIT"",$C19"&amp;"8)),
      COUNTIFS('SUMMARY DATA'!$D:$D,$C198,'SUMMARY DATA'!$B:$B,""RWS"")&lt;&gt;1
    ),
    """",
    IFERROR(TEXTJOIN(CHAR(10),TRUE,FILTER('SUMMARY DATA'!G:G,'SUMMARY DATA'!$D:$D=$C198,'SUMMARY DATA'!$B:$B=""RWS"")),"""")
  )
)"),"")</f>
      </c>
      <c r="H198" s="18" t="str">
        <f>IFERROR(__xludf.DUMMYFUNCTION("IFERROR(
  TEXTJOIN(CHAR(10),TRUE,FILTER('SUMMARY DATA'!H:H,'SUMMARY DATA'!$A:$A=$A198,'SUMMARY DATA'!$C:$C=$B198,'SUMMARY DATA'!$B:$B=""RWS"",'SUMMARY DATA'!$H:$H=$D198)),
  IF(
    OR(
      ISNUMBER(SEARCH(""CDM CASH DEPOSIT"",$C198)),
      ISNUMBER(S"&amp;"EARCH(""CASH DEPOSIT"",$C198))
    ),
    """",
    IFERROR(TEXTJOIN(CHAR(10),TRUE,FILTER('SUMMARY DATA'!H:H,'SUMMARY DATA'!$D:$D=$C198,'SUMMARY DATA'!$B:$B=""RWS"",'SUMMARY DATA'!$H:$H=$D198)),"""")
  )
)"),"")</f>
      </c>
      <c r="I198" s="18" t="str">
        <f>IFERROR(__xludf.DUMMYFUNCTION("IF(H198="""","""",
SUM(ARRAYFORMULA(VALUE(SPLIT(H198,CHAR(10)))))
)"),"")</f>
      </c>
      <c r="J198" s="17" t="str">
        <f>IFERROR(__xludf.DUMMYFUNCTION("IFERROR(
  TEXTJOIN(CHAR(10),TRUE,FILTER('SUMMARY DATA'!I:I,'SUMMARY DATA'!$A:$A=$A198,'SUMMARY DATA'!$C:$C=$B198,'SUMMARY DATA'!$B:$B=""RWS"")),
  IF(
    OR(
      ISNUMBER(SEARCH(""CDM CASH DEPOSIT"",$C198)),
      ISNUMBER(SEARCH(""CASH DEPOSIT"",$C19"&amp;"8)),
      COUNTIFS('SUMMARY DATA'!$D:$D,$C198,'SUMMARY DATA'!$B:$B,""RWS"")&lt;&gt;1
    ),
    """",
    IFERROR(TEXTJOIN(CHAR(10),TRUE,FILTER('SUMMARY DATA'!I:I,'SUMMARY DATA'!$D:$D=$C198,'SUMMARY DATA'!$B:$B=""RWS"")),"""")
  )
)"),"")</f>
      </c>
      <c r="K198" s="2"/>
      <c r="L198" s="2"/>
      <c r="M198" s="2"/>
      <c r="N198" s="2"/>
      <c r="O198" s="2"/>
      <c r="P198" s="2"/>
      <c r="Q198" s="2"/>
      <c r="R198" s="2"/>
      <c r="S198" s="2"/>
      <c r="T198" s="2"/>
      <c r="U198" s="2"/>
      <c r="V198" s="2"/>
      <c r="W198" s="2"/>
      <c r="X198" s="2"/>
      <c r="Y198" s="2"/>
      <c r="Z198" s="2"/>
      <c r="AA198" s="2"/>
      <c r="AB198" s="2"/>
    </row>
    <row r="199" spans="1:28" customHeight="true">
      <c r="A199" s="2"/>
      <c r="B199" s="15">
        <v>45948</v>
      </c>
      <c r="C199" s="2" t="s">
        <v>296</v>
      </c>
      <c r="D199" s="3">
        <v>277</v>
      </c>
      <c r="E199" s="16" t="str">
        <f>IFERROR(__xludf.DUMMYFUNCTION("IFERROR(
  TEXTJOIN(CHAR(10),TRUE,FILTER('SUMMARY DATA'!E:E,'SUMMARY DATA'!$A:$A=$A199,'SUMMARY DATA'!$C:$C=$B199,'SUMMARY DATA'!$B:$B=""RWS"")),
  IF(
    OR(
      ISNUMBER(SEARCH(""CDM CASH DEPOSIT"",$C199)),
      ISNUMBER(SEARCH(""CASH DEPOSIT"",$C19"&amp;"9)),
      COUNTIFS('SUMMARY DATA'!$D:$D,$C199,'SUMMARY DATA'!$B:$B,""RWS"")&lt;&gt;1
    ),
    """",
    IFERROR(TEXTJOIN(CHAR(10),TRUE,FILTER('SUMMARY DATA'!E:E,'SUMMARY DATA'!$D:$D=$C199,'SUMMARY DATA'!$B:$B=""RWS"")),"""")
  )
)"),"")</f>
      </c>
      <c r="F199" s="17" t="str">
        <f>IFERROR(__xludf.DUMMYFUNCTION("IFERROR(
  TEXTJOIN(CHAR(10),TRUE,FILTER('SUMMARY DATA'!F:F,'SUMMARY DATA'!$A:$A=$A199,'SUMMARY DATA'!$C:$C=$B199,'SUMMARY DATA'!$B:$B=""RWS"")),
  IF(
    OR(
      ISNUMBER(SEARCH(""CDM CASH DEPOSIT"",$C199)),
      ISNUMBER(SEARCH(""CASH DEPOSIT"",$C19"&amp;"9)),
      COUNTIFS('SUMMARY DATA'!$D:$D,$C199,'SUMMARY DATA'!$B:$B,""RWS"")&lt;&gt;1
    ),
    """",
    IFERROR(TEXTJOIN(CHAR(10),TRUE,FILTER('SUMMARY DATA'!F:F,'SUMMARY DATA'!$D:$D=$C199,'SUMMARY DATA'!$B:$B=""RWS"")),"""")
  )
)"),"")</f>
      </c>
      <c r="G199" s="17" t="str">
        <f>IFERROR(__xludf.DUMMYFUNCTION("IFERROR(
  TEXTJOIN(CHAR(10),TRUE,FILTER('SUMMARY DATA'!G:G,'SUMMARY DATA'!$A:$A=$A199,'SUMMARY DATA'!$C:$C=$B199,'SUMMARY DATA'!$B:$B=""RWS"")),
  IF(
    OR(
      ISNUMBER(SEARCH(""CDM CASH DEPOSIT"",$C199)),
      ISNUMBER(SEARCH(""CASH DEPOSIT"",$C19"&amp;"9)),
      COUNTIFS('SUMMARY DATA'!$D:$D,$C199,'SUMMARY DATA'!$B:$B,""RWS"")&lt;&gt;1
    ),
    """",
    IFERROR(TEXTJOIN(CHAR(10),TRUE,FILTER('SUMMARY DATA'!G:G,'SUMMARY DATA'!$D:$D=$C199,'SUMMARY DATA'!$B:$B=""RWS"")),"""")
  )
)"),"")</f>
      </c>
      <c r="H199" s="18" t="str">
        <f>IFERROR(__xludf.DUMMYFUNCTION("IFERROR(
  TEXTJOIN(CHAR(10),TRUE,FILTER('SUMMARY DATA'!H:H,'SUMMARY DATA'!$A:$A=$A199,'SUMMARY DATA'!$C:$C=$B199,'SUMMARY DATA'!$B:$B=""RWS"",'SUMMARY DATA'!$H:$H=$D199)),
  IF(
    OR(
      ISNUMBER(SEARCH(""CDM CASH DEPOSIT"",$C199)),
      ISNUMBER(S"&amp;"EARCH(""CASH DEPOSIT"",$C199))
    ),
    """",
    IFERROR(TEXTJOIN(CHAR(10),TRUE,FILTER('SUMMARY DATA'!H:H,'SUMMARY DATA'!$D:$D=$C199,'SUMMARY DATA'!$B:$B=""RWS"",'SUMMARY DATA'!$H:$H=$D199)),"""")
  )
)"),"")</f>
      </c>
      <c r="I199" s="18" t="str">
        <f>IFERROR(__xludf.DUMMYFUNCTION("IF(H199="""","""",
SUM(ARRAYFORMULA(VALUE(SPLIT(H199,CHAR(10)))))
)"),"")</f>
      </c>
      <c r="J199" s="17" t="str">
        <f>IFERROR(__xludf.DUMMYFUNCTION("IFERROR(
  TEXTJOIN(CHAR(10),TRUE,FILTER('SUMMARY DATA'!I:I,'SUMMARY DATA'!$A:$A=$A199,'SUMMARY DATA'!$C:$C=$B199,'SUMMARY DATA'!$B:$B=""RWS"")),
  IF(
    OR(
      ISNUMBER(SEARCH(""CDM CASH DEPOSIT"",$C199)),
      ISNUMBER(SEARCH(""CASH DEPOSIT"",$C19"&amp;"9)),
      COUNTIFS('SUMMARY DATA'!$D:$D,$C199,'SUMMARY DATA'!$B:$B,""RWS"")&lt;&gt;1
    ),
    """",
    IFERROR(TEXTJOIN(CHAR(10),TRUE,FILTER('SUMMARY DATA'!I:I,'SUMMARY DATA'!$D:$D=$C199,'SUMMARY DATA'!$B:$B=""RWS"")),"""")
  )
)"),"")</f>
      </c>
      <c r="K199" s="2"/>
      <c r="L199" s="2"/>
      <c r="M199" s="2"/>
      <c r="N199" s="2"/>
      <c r="O199" s="2"/>
      <c r="P199" s="2"/>
      <c r="Q199" s="2"/>
      <c r="R199" s="2"/>
      <c r="S199" s="2"/>
      <c r="T199" s="2"/>
      <c r="U199" s="2"/>
      <c r="V199" s="2"/>
      <c r="W199" s="2"/>
      <c r="X199" s="2"/>
      <c r="Y199" s="2"/>
      <c r="Z199" s="2"/>
      <c r="AA199" s="2"/>
      <c r="AB199" s="2"/>
    </row>
    <row r="200" spans="1:28" customHeight="true">
      <c r="A200" s="2" t="s">
        <v>297</v>
      </c>
      <c r="B200" s="15">
        <v>45948</v>
      </c>
      <c r="C200" s="2" t="s">
        <v>298</v>
      </c>
      <c r="D200" s="3">
        <v>302</v>
      </c>
      <c r="E200" s="16" t="str">
        <f>IFERROR(__xludf.DUMMYFUNCTION("IFERROR(
  TEXTJOIN(CHAR(10),TRUE,FILTER('SUMMARY DATA'!E:E,'SUMMARY DATA'!$A:$A=$A200,'SUMMARY DATA'!$C:$C=$B200,'SUMMARY DATA'!$B:$B=""RWS"")),
  IF(
    OR(
      ISNUMBER(SEARCH(""CDM CASH DEPOSIT"",$C200)),
      ISNUMBER(SEARCH(""CASH DEPOSIT"",$C20"&amp;"0)),
      COUNTIFS('SUMMARY DATA'!$D:$D,$C200,'SUMMARY DATA'!$B:$B,""RWS"")&lt;&gt;1
    ),
    """",
    IFERROR(TEXTJOIN(CHAR(10),TRUE,FILTER('SUMMARY DATA'!E:E,'SUMMARY DATA'!$D:$D=$C200,'SUMMARY DATA'!$B:$B=""RWS"")),"""")
  )
)"),"")</f>
      </c>
      <c r="F200" s="17" t="str">
        <f>IFERROR(__xludf.DUMMYFUNCTION("IFERROR(
  TEXTJOIN(CHAR(10),TRUE,FILTER('SUMMARY DATA'!F:F,'SUMMARY DATA'!$A:$A=$A200,'SUMMARY DATA'!$C:$C=$B200,'SUMMARY DATA'!$B:$B=""RWS"")),
  IF(
    OR(
      ISNUMBER(SEARCH(""CDM CASH DEPOSIT"",$C200)),
      ISNUMBER(SEARCH(""CASH DEPOSIT"",$C20"&amp;"0)),
      COUNTIFS('SUMMARY DATA'!$D:$D,$C200,'SUMMARY DATA'!$B:$B,""RWS"")&lt;&gt;1
    ),
    """",
    IFERROR(TEXTJOIN(CHAR(10),TRUE,FILTER('SUMMARY DATA'!F:F,'SUMMARY DATA'!$D:$D=$C200,'SUMMARY DATA'!$B:$B=""RWS"")),"""")
  )
)"),"")</f>
      </c>
      <c r="G200" s="17" t="str">
        <f>IFERROR(__xludf.DUMMYFUNCTION("IFERROR(
  TEXTJOIN(CHAR(10),TRUE,FILTER('SUMMARY DATA'!G:G,'SUMMARY DATA'!$A:$A=$A200,'SUMMARY DATA'!$C:$C=$B200,'SUMMARY DATA'!$B:$B=""RWS"")),
  IF(
    OR(
      ISNUMBER(SEARCH(""CDM CASH DEPOSIT"",$C200)),
      ISNUMBER(SEARCH(""CASH DEPOSIT"",$C20"&amp;"0)),
      COUNTIFS('SUMMARY DATA'!$D:$D,$C200,'SUMMARY DATA'!$B:$B,""RWS"")&lt;&gt;1
    ),
    """",
    IFERROR(TEXTJOIN(CHAR(10),TRUE,FILTER('SUMMARY DATA'!G:G,'SUMMARY DATA'!$D:$D=$C200,'SUMMARY DATA'!$B:$B=""RWS"")),"""")
  )
)"),"")</f>
      </c>
      <c r="H200" s="18" t="str">
        <f>IFERROR(__xludf.DUMMYFUNCTION("IFERROR(
  TEXTJOIN(CHAR(10),TRUE,FILTER('SUMMARY DATA'!H:H,'SUMMARY DATA'!$A:$A=$A200,'SUMMARY DATA'!$C:$C=$B200,'SUMMARY DATA'!$B:$B=""RWS"",'SUMMARY DATA'!$H:$H=$D200)),
  IF(
    OR(
      ISNUMBER(SEARCH(""CDM CASH DEPOSIT"",$C200)),
      ISNUMBER(S"&amp;"EARCH(""CASH DEPOSIT"",$C200))
    ),
    """",
    IFERROR(TEXTJOIN(CHAR(10),TRUE,FILTER('SUMMARY DATA'!H:H,'SUMMARY DATA'!$D:$D=$C200,'SUMMARY DATA'!$B:$B=""RWS"",'SUMMARY DATA'!$H:$H=$D200)),"""")
  )
)"),"")</f>
      </c>
      <c r="I200" s="18" t="str">
        <f>IFERROR(__xludf.DUMMYFUNCTION("IF(H200="""","""",
SUM(ARRAYFORMULA(VALUE(SPLIT(H200,CHAR(10)))))
)"),"")</f>
      </c>
      <c r="J200" s="17" t="str">
        <f>IFERROR(__xludf.DUMMYFUNCTION("IFERROR(
  TEXTJOIN(CHAR(10),TRUE,FILTER('SUMMARY DATA'!I:I,'SUMMARY DATA'!$A:$A=$A200,'SUMMARY DATA'!$C:$C=$B200,'SUMMARY DATA'!$B:$B=""RWS"")),
  IF(
    OR(
      ISNUMBER(SEARCH(""CDM CASH DEPOSIT"",$C200)),
      ISNUMBER(SEARCH(""CASH DEPOSIT"",$C20"&amp;"0)),
      COUNTIFS('SUMMARY DATA'!$D:$D,$C200,'SUMMARY DATA'!$B:$B,""RWS"")&lt;&gt;1
    ),
    """",
    IFERROR(TEXTJOIN(CHAR(10),TRUE,FILTER('SUMMARY DATA'!I:I,'SUMMARY DATA'!$D:$D=$C200,'SUMMARY DATA'!$B:$B=""RWS"")),"""")
  )
)"),"")</f>
      </c>
      <c r="K200" s="2"/>
      <c r="L200" s="2"/>
      <c r="M200" s="2"/>
      <c r="N200" s="2"/>
      <c r="O200" s="2"/>
      <c r="P200" s="2"/>
      <c r="Q200" s="2"/>
      <c r="R200" s="2"/>
      <c r="S200" s="2"/>
      <c r="T200" s="2"/>
      <c r="U200" s="2"/>
      <c r="V200" s="2"/>
      <c r="W200" s="2"/>
      <c r="X200" s="2"/>
      <c r="Y200" s="2"/>
      <c r="Z200" s="2"/>
      <c r="AA200" s="2"/>
      <c r="AB200" s="2"/>
    </row>
    <row r="201" spans="1:28" customHeight="true">
      <c r="A201" s="2"/>
      <c r="B201" s="15">
        <v>45948</v>
      </c>
      <c r="C201" s="2" t="s">
        <v>299</v>
      </c>
      <c r="D201" s="3">
        <v>89</v>
      </c>
      <c r="E201" s="16" t="str">
        <f>IFERROR(__xludf.DUMMYFUNCTION("IFERROR(
  TEXTJOIN(CHAR(10),TRUE,FILTER('SUMMARY DATA'!E:E,'SUMMARY DATA'!$A:$A=$A201,'SUMMARY DATA'!$C:$C=$B201,'SUMMARY DATA'!$B:$B=""RWS"")),
  IF(
    OR(
      ISNUMBER(SEARCH(""CDM CASH DEPOSIT"",$C201)),
      ISNUMBER(SEARCH(""CASH DEPOSIT"",$C20"&amp;"1)),
      COUNTIFS('SUMMARY DATA'!$D:$D,$C201,'SUMMARY DATA'!$B:$B,""RWS"")&lt;&gt;1
    ),
    """",
    IFERROR(TEXTJOIN(CHAR(10),TRUE,FILTER('SUMMARY DATA'!E:E,'SUMMARY DATA'!$D:$D=$C201,'SUMMARY DATA'!$B:$B=""RWS"")),"""")
  )
)"),"")</f>
      </c>
      <c r="F201" s="17" t="str">
        <f>IFERROR(__xludf.DUMMYFUNCTION("IFERROR(
  TEXTJOIN(CHAR(10),TRUE,FILTER('SUMMARY DATA'!F:F,'SUMMARY DATA'!$A:$A=$A201,'SUMMARY DATA'!$C:$C=$B201,'SUMMARY DATA'!$B:$B=""RWS"")),
  IF(
    OR(
      ISNUMBER(SEARCH(""CDM CASH DEPOSIT"",$C201)),
      ISNUMBER(SEARCH(""CASH DEPOSIT"",$C20"&amp;"1)),
      COUNTIFS('SUMMARY DATA'!$D:$D,$C201,'SUMMARY DATA'!$B:$B,""RWS"")&lt;&gt;1
    ),
    """",
    IFERROR(TEXTJOIN(CHAR(10),TRUE,FILTER('SUMMARY DATA'!F:F,'SUMMARY DATA'!$D:$D=$C201,'SUMMARY DATA'!$B:$B=""RWS"")),"""")
  )
)"),"")</f>
      </c>
      <c r="G201" s="17" t="str">
        <f>IFERROR(__xludf.DUMMYFUNCTION("IFERROR(
  TEXTJOIN(CHAR(10),TRUE,FILTER('SUMMARY DATA'!G:G,'SUMMARY DATA'!$A:$A=$A201,'SUMMARY DATA'!$C:$C=$B201,'SUMMARY DATA'!$B:$B=""RWS"")),
  IF(
    OR(
      ISNUMBER(SEARCH(""CDM CASH DEPOSIT"",$C201)),
      ISNUMBER(SEARCH(""CASH DEPOSIT"",$C20"&amp;"1)),
      COUNTIFS('SUMMARY DATA'!$D:$D,$C201,'SUMMARY DATA'!$B:$B,""RWS"")&lt;&gt;1
    ),
    """",
    IFERROR(TEXTJOIN(CHAR(10),TRUE,FILTER('SUMMARY DATA'!G:G,'SUMMARY DATA'!$D:$D=$C201,'SUMMARY DATA'!$B:$B=""RWS"")),"""")
  )
)"),"")</f>
      </c>
      <c r="H201" s="18" t="str">
        <f>IFERROR(__xludf.DUMMYFUNCTION("IFERROR(
  TEXTJOIN(CHAR(10),TRUE,FILTER('SUMMARY DATA'!H:H,'SUMMARY DATA'!$A:$A=$A201,'SUMMARY DATA'!$C:$C=$B201,'SUMMARY DATA'!$B:$B=""RWS"",'SUMMARY DATA'!$H:$H=$D201)),
  IF(
    OR(
      ISNUMBER(SEARCH(""CDM CASH DEPOSIT"",$C201)),
      ISNUMBER(S"&amp;"EARCH(""CASH DEPOSIT"",$C201))
    ),
    """",
    IFERROR(TEXTJOIN(CHAR(10),TRUE,FILTER('SUMMARY DATA'!H:H,'SUMMARY DATA'!$D:$D=$C201,'SUMMARY DATA'!$B:$B=""RWS"",'SUMMARY DATA'!$H:$H=$D201)),"""")
  )
)"),"")</f>
      </c>
      <c r="I201" s="18" t="str">
        <f>IFERROR(__xludf.DUMMYFUNCTION("IF(H201="""","""",
SUM(ARRAYFORMULA(VALUE(SPLIT(H201,CHAR(10)))))
)"),"")</f>
      </c>
      <c r="J201" s="17" t="str">
        <f>IFERROR(__xludf.DUMMYFUNCTION("IFERROR(
  TEXTJOIN(CHAR(10),TRUE,FILTER('SUMMARY DATA'!I:I,'SUMMARY DATA'!$A:$A=$A201,'SUMMARY DATA'!$C:$C=$B201,'SUMMARY DATA'!$B:$B=""RWS"")),
  IF(
    OR(
      ISNUMBER(SEARCH(""CDM CASH DEPOSIT"",$C201)),
      ISNUMBER(SEARCH(""CASH DEPOSIT"",$C20"&amp;"1)),
      COUNTIFS('SUMMARY DATA'!$D:$D,$C201,'SUMMARY DATA'!$B:$B,""RWS"")&lt;&gt;1
    ),
    """",
    IFERROR(TEXTJOIN(CHAR(10),TRUE,FILTER('SUMMARY DATA'!I:I,'SUMMARY DATA'!$D:$D=$C201,'SUMMARY DATA'!$B:$B=""RWS"")),"""")
  )
)"),"")</f>
      </c>
      <c r="K201" s="2"/>
      <c r="L201" s="2"/>
      <c r="M201" s="2"/>
      <c r="N201" s="2"/>
      <c r="O201" s="2"/>
      <c r="P201" s="2"/>
      <c r="Q201" s="2"/>
      <c r="R201" s="2"/>
      <c r="S201" s="2"/>
      <c r="T201" s="2"/>
      <c r="U201" s="2"/>
      <c r="V201" s="2"/>
      <c r="W201" s="2"/>
      <c r="X201" s="2"/>
      <c r="Y201" s="2"/>
      <c r="Z201" s="2"/>
      <c r="AA201" s="2"/>
      <c r="AB201" s="2"/>
    </row>
    <row r="202" spans="1:28" customHeight="true">
      <c r="A202" s="2"/>
      <c r="B202" s="15">
        <v>45948</v>
      </c>
      <c r="C202" s="2" t="s">
        <v>300</v>
      </c>
      <c r="D202" s="3">
        <v>328</v>
      </c>
      <c r="E202" s="16" t="str">
        <f>IFERROR(__xludf.DUMMYFUNCTION("IFERROR(
  TEXTJOIN(CHAR(10),TRUE,FILTER('SUMMARY DATA'!E:E,'SUMMARY DATA'!$A:$A=$A202,'SUMMARY DATA'!$C:$C=$B202,'SUMMARY DATA'!$B:$B=""RWS"")),
  IF(
    OR(
      ISNUMBER(SEARCH(""CDM CASH DEPOSIT"",$C202)),
      ISNUMBER(SEARCH(""CASH DEPOSIT"",$C20"&amp;"2)),
      COUNTIFS('SUMMARY DATA'!$D:$D,$C202,'SUMMARY DATA'!$B:$B,""RWS"")&lt;&gt;1
    ),
    """",
    IFERROR(TEXTJOIN(CHAR(10),TRUE,FILTER('SUMMARY DATA'!E:E,'SUMMARY DATA'!$D:$D=$C202,'SUMMARY DATA'!$B:$B=""RWS"")),"""")
  )
)"),"")</f>
      </c>
      <c r="F202" s="17" t="str">
        <f>IFERROR(__xludf.DUMMYFUNCTION("IFERROR(
  TEXTJOIN(CHAR(10),TRUE,FILTER('SUMMARY DATA'!F:F,'SUMMARY DATA'!$A:$A=$A202,'SUMMARY DATA'!$C:$C=$B202,'SUMMARY DATA'!$B:$B=""RWS"")),
  IF(
    OR(
      ISNUMBER(SEARCH(""CDM CASH DEPOSIT"",$C202)),
      ISNUMBER(SEARCH(""CASH DEPOSIT"",$C20"&amp;"2)),
      COUNTIFS('SUMMARY DATA'!$D:$D,$C202,'SUMMARY DATA'!$B:$B,""RWS"")&lt;&gt;1
    ),
    """",
    IFERROR(TEXTJOIN(CHAR(10),TRUE,FILTER('SUMMARY DATA'!F:F,'SUMMARY DATA'!$D:$D=$C202,'SUMMARY DATA'!$B:$B=""RWS"")),"""")
  )
)"),"")</f>
      </c>
      <c r="G202" s="17" t="str">
        <f>IFERROR(__xludf.DUMMYFUNCTION("IFERROR(
  TEXTJOIN(CHAR(10),TRUE,FILTER('SUMMARY DATA'!G:G,'SUMMARY DATA'!$A:$A=$A202,'SUMMARY DATA'!$C:$C=$B202,'SUMMARY DATA'!$B:$B=""RWS"")),
  IF(
    OR(
      ISNUMBER(SEARCH(""CDM CASH DEPOSIT"",$C202)),
      ISNUMBER(SEARCH(""CASH DEPOSIT"",$C20"&amp;"2)),
      COUNTIFS('SUMMARY DATA'!$D:$D,$C202,'SUMMARY DATA'!$B:$B,""RWS"")&lt;&gt;1
    ),
    """",
    IFERROR(TEXTJOIN(CHAR(10),TRUE,FILTER('SUMMARY DATA'!G:G,'SUMMARY DATA'!$D:$D=$C202,'SUMMARY DATA'!$B:$B=""RWS"")),"""")
  )
)"),"")</f>
      </c>
      <c r="H202" s="18" t="str">
        <f>IFERROR(__xludf.DUMMYFUNCTION("IFERROR(
  TEXTJOIN(CHAR(10),TRUE,FILTER('SUMMARY DATA'!H:H,'SUMMARY DATA'!$A:$A=$A202,'SUMMARY DATA'!$C:$C=$B202,'SUMMARY DATA'!$B:$B=""RWS"",'SUMMARY DATA'!$H:$H=$D202)),
  IF(
    OR(
      ISNUMBER(SEARCH(""CDM CASH DEPOSIT"",$C202)),
      ISNUMBER(S"&amp;"EARCH(""CASH DEPOSIT"",$C202))
    ),
    """",
    IFERROR(TEXTJOIN(CHAR(10),TRUE,FILTER('SUMMARY DATA'!H:H,'SUMMARY DATA'!$D:$D=$C202,'SUMMARY DATA'!$B:$B=""RWS"",'SUMMARY DATA'!$H:$H=$D202)),"""")
  )
)"),"")</f>
      </c>
      <c r="I202" s="18" t="str">
        <f>IFERROR(__xludf.DUMMYFUNCTION("IF(H202="""","""",
SUM(ARRAYFORMULA(VALUE(SPLIT(H202,CHAR(10)))))
)"),"")</f>
      </c>
      <c r="J202" s="17" t="str">
        <f>IFERROR(__xludf.DUMMYFUNCTION("IFERROR(
  TEXTJOIN(CHAR(10),TRUE,FILTER('SUMMARY DATA'!I:I,'SUMMARY DATA'!$A:$A=$A202,'SUMMARY DATA'!$C:$C=$B202,'SUMMARY DATA'!$B:$B=""RWS"")),
  IF(
    OR(
      ISNUMBER(SEARCH(""CDM CASH DEPOSIT"",$C202)),
      ISNUMBER(SEARCH(""CASH DEPOSIT"",$C20"&amp;"2)),
      COUNTIFS('SUMMARY DATA'!$D:$D,$C202,'SUMMARY DATA'!$B:$B,""RWS"")&lt;&gt;1
    ),
    """",
    IFERROR(TEXTJOIN(CHAR(10),TRUE,FILTER('SUMMARY DATA'!I:I,'SUMMARY DATA'!$D:$D=$C202,'SUMMARY DATA'!$B:$B=""RWS"")),"""")
  )
)"),"")</f>
      </c>
      <c r="K202" s="2"/>
      <c r="L202" s="2"/>
      <c r="M202" s="2"/>
      <c r="N202" s="2"/>
      <c r="O202" s="2"/>
      <c r="P202" s="2"/>
      <c r="Q202" s="2"/>
      <c r="R202" s="2"/>
      <c r="S202" s="2"/>
      <c r="T202" s="2"/>
      <c r="U202" s="2"/>
      <c r="V202" s="2"/>
      <c r="W202" s="2"/>
      <c r="X202" s="2"/>
      <c r="Y202" s="2"/>
      <c r="Z202" s="2"/>
      <c r="AA202" s="2"/>
      <c r="AB202" s="2"/>
    </row>
    <row r="203" spans="1:28" customHeight="true">
      <c r="A203" s="2"/>
      <c r="B203" s="15">
        <v>45948</v>
      </c>
      <c r="C203" s="2" t="s">
        <v>301</v>
      </c>
      <c r="D203" s="3">
        <v>10</v>
      </c>
      <c r="E203" s="16" t="str">
        <f>IFERROR(__xludf.DUMMYFUNCTION("IFERROR(
  TEXTJOIN(CHAR(10),TRUE,FILTER('SUMMARY DATA'!E:E,'SUMMARY DATA'!$A:$A=$A203,'SUMMARY DATA'!$C:$C=$B203,'SUMMARY DATA'!$B:$B=""RWS"")),
  IF(
    OR(
      ISNUMBER(SEARCH(""CDM CASH DEPOSIT"",$C203)),
      ISNUMBER(SEARCH(""CASH DEPOSIT"",$C20"&amp;"3)),
      COUNTIFS('SUMMARY DATA'!$D:$D,$C203,'SUMMARY DATA'!$B:$B,""RWS"")&lt;&gt;1
    ),
    """",
    IFERROR(TEXTJOIN(CHAR(10),TRUE,FILTER('SUMMARY DATA'!E:E,'SUMMARY DATA'!$D:$D=$C203,'SUMMARY DATA'!$B:$B=""RWS"")),"""")
  )
)"),"")</f>
      </c>
      <c r="F203" s="17" t="str">
        <f>IFERROR(__xludf.DUMMYFUNCTION("IFERROR(
  TEXTJOIN(CHAR(10),TRUE,FILTER('SUMMARY DATA'!F:F,'SUMMARY DATA'!$A:$A=$A203,'SUMMARY DATA'!$C:$C=$B203,'SUMMARY DATA'!$B:$B=""RWS"")),
  IF(
    OR(
      ISNUMBER(SEARCH(""CDM CASH DEPOSIT"",$C203)),
      ISNUMBER(SEARCH(""CASH DEPOSIT"",$C20"&amp;"3)),
      COUNTIFS('SUMMARY DATA'!$D:$D,$C203,'SUMMARY DATA'!$B:$B,""RWS"")&lt;&gt;1
    ),
    """",
    IFERROR(TEXTJOIN(CHAR(10),TRUE,FILTER('SUMMARY DATA'!F:F,'SUMMARY DATA'!$D:$D=$C203,'SUMMARY DATA'!$B:$B=""RWS"")),"""")
  )
)"),"")</f>
      </c>
      <c r="G203" s="17" t="str">
        <f>IFERROR(__xludf.DUMMYFUNCTION("IFERROR(
  TEXTJOIN(CHAR(10),TRUE,FILTER('SUMMARY DATA'!G:G,'SUMMARY DATA'!$A:$A=$A203,'SUMMARY DATA'!$C:$C=$B203,'SUMMARY DATA'!$B:$B=""RWS"")),
  IF(
    OR(
      ISNUMBER(SEARCH(""CDM CASH DEPOSIT"",$C203)),
      ISNUMBER(SEARCH(""CASH DEPOSIT"",$C20"&amp;"3)),
      COUNTIFS('SUMMARY DATA'!$D:$D,$C203,'SUMMARY DATA'!$B:$B,""RWS"")&lt;&gt;1
    ),
    """",
    IFERROR(TEXTJOIN(CHAR(10),TRUE,FILTER('SUMMARY DATA'!G:G,'SUMMARY DATA'!$D:$D=$C203,'SUMMARY DATA'!$B:$B=""RWS"")),"""")
  )
)"),"")</f>
      </c>
      <c r="H203" s="18" t="str">
        <f>IFERROR(__xludf.DUMMYFUNCTION("IFERROR(
  TEXTJOIN(CHAR(10),TRUE,FILTER('SUMMARY DATA'!H:H,'SUMMARY DATA'!$A:$A=$A203,'SUMMARY DATA'!$C:$C=$B203,'SUMMARY DATA'!$B:$B=""RWS"",'SUMMARY DATA'!$H:$H=$D203)),
  IF(
    OR(
      ISNUMBER(SEARCH(""CDM CASH DEPOSIT"",$C203)),
      ISNUMBER(S"&amp;"EARCH(""CASH DEPOSIT"",$C203))
    ),
    """",
    IFERROR(TEXTJOIN(CHAR(10),TRUE,FILTER('SUMMARY DATA'!H:H,'SUMMARY DATA'!$D:$D=$C203,'SUMMARY DATA'!$B:$B=""RWS"",'SUMMARY DATA'!$H:$H=$D203)),"""")
  )
)"),"")</f>
      </c>
      <c r="I203" s="18" t="str">
        <f>IFERROR(__xludf.DUMMYFUNCTION("IF(H203="""","""",
SUM(ARRAYFORMULA(VALUE(SPLIT(H203,CHAR(10)))))
)"),"")</f>
      </c>
      <c r="J203" s="17" t="str">
        <f>IFERROR(__xludf.DUMMYFUNCTION("IFERROR(
  TEXTJOIN(CHAR(10),TRUE,FILTER('SUMMARY DATA'!I:I,'SUMMARY DATA'!$A:$A=$A203,'SUMMARY DATA'!$C:$C=$B203,'SUMMARY DATA'!$B:$B=""RWS"")),
  IF(
    OR(
      ISNUMBER(SEARCH(""CDM CASH DEPOSIT"",$C203)),
      ISNUMBER(SEARCH(""CASH DEPOSIT"",$C20"&amp;"3)),
      COUNTIFS('SUMMARY DATA'!$D:$D,$C203,'SUMMARY DATA'!$B:$B,""RWS"")&lt;&gt;1
    ),
    """",
    IFERROR(TEXTJOIN(CHAR(10),TRUE,FILTER('SUMMARY DATA'!I:I,'SUMMARY DATA'!$D:$D=$C203,'SUMMARY DATA'!$B:$B=""RWS"")),"""")
  )
)"),"")</f>
      </c>
      <c r="K203" s="2"/>
      <c r="L203" s="2"/>
      <c r="M203" s="2"/>
      <c r="N203" s="2"/>
      <c r="O203" s="2"/>
      <c r="P203" s="2"/>
      <c r="Q203" s="2"/>
      <c r="R203" s="2"/>
      <c r="S203" s="2"/>
      <c r="T203" s="2"/>
      <c r="U203" s="2"/>
      <c r="V203" s="2"/>
      <c r="W203" s="2"/>
      <c r="X203" s="2"/>
      <c r="Y203" s="2"/>
      <c r="Z203" s="2"/>
      <c r="AA203" s="2"/>
      <c r="AB203" s="2"/>
    </row>
    <row r="204" spans="1:28" customHeight="true">
      <c r="A204" s="2"/>
      <c r="B204" s="15">
        <v>45948</v>
      </c>
      <c r="C204" s="2" t="s">
        <v>302</v>
      </c>
      <c r="D204" s="3">
        <v>1200</v>
      </c>
      <c r="E204" s="16" t="str">
        <f>IFERROR(__xludf.DUMMYFUNCTION("IFERROR(
  TEXTJOIN(CHAR(10),TRUE,FILTER('SUMMARY DATA'!E:E,'SUMMARY DATA'!$A:$A=$A204,'SUMMARY DATA'!$C:$C=$B204,'SUMMARY DATA'!$B:$B=""RWS"")),
  IF(
    OR(
      ISNUMBER(SEARCH(""CDM CASH DEPOSIT"",$C204)),
      ISNUMBER(SEARCH(""CASH DEPOSIT"",$C20"&amp;"4)),
      COUNTIFS('SUMMARY DATA'!$D:$D,$C204,'SUMMARY DATA'!$B:$B,""RWS"")&lt;&gt;1
    ),
    """",
    IFERROR(TEXTJOIN(CHAR(10),TRUE,FILTER('SUMMARY DATA'!E:E,'SUMMARY DATA'!$D:$D=$C204,'SUMMARY DATA'!$B:$B=""RWS"")),"""")
  )
)"),"")</f>
      </c>
      <c r="F204" s="17" t="str">
        <f>IFERROR(__xludf.DUMMYFUNCTION("IFERROR(
  TEXTJOIN(CHAR(10),TRUE,FILTER('SUMMARY DATA'!F:F,'SUMMARY DATA'!$A:$A=$A204,'SUMMARY DATA'!$C:$C=$B204,'SUMMARY DATA'!$B:$B=""RWS"")),
  IF(
    OR(
      ISNUMBER(SEARCH(""CDM CASH DEPOSIT"",$C204)),
      ISNUMBER(SEARCH(""CASH DEPOSIT"",$C20"&amp;"4)),
      COUNTIFS('SUMMARY DATA'!$D:$D,$C204,'SUMMARY DATA'!$B:$B,""RWS"")&lt;&gt;1
    ),
    """",
    IFERROR(TEXTJOIN(CHAR(10),TRUE,FILTER('SUMMARY DATA'!F:F,'SUMMARY DATA'!$D:$D=$C204,'SUMMARY DATA'!$B:$B=""RWS"")),"""")
  )
)"),"")</f>
      </c>
      <c r="G204" s="17" t="str">
        <f>IFERROR(__xludf.DUMMYFUNCTION("IFERROR(
  TEXTJOIN(CHAR(10),TRUE,FILTER('SUMMARY DATA'!G:G,'SUMMARY DATA'!$A:$A=$A204,'SUMMARY DATA'!$C:$C=$B204,'SUMMARY DATA'!$B:$B=""RWS"")),
  IF(
    OR(
      ISNUMBER(SEARCH(""CDM CASH DEPOSIT"",$C204)),
      ISNUMBER(SEARCH(""CASH DEPOSIT"",$C20"&amp;"4)),
      COUNTIFS('SUMMARY DATA'!$D:$D,$C204,'SUMMARY DATA'!$B:$B,""RWS"")&lt;&gt;1
    ),
    """",
    IFERROR(TEXTJOIN(CHAR(10),TRUE,FILTER('SUMMARY DATA'!G:G,'SUMMARY DATA'!$D:$D=$C204,'SUMMARY DATA'!$B:$B=""RWS"")),"""")
  )
)"),"")</f>
      </c>
      <c r="H204" s="18" t="str">
        <f>IFERROR(__xludf.DUMMYFUNCTION("IFERROR(
  TEXTJOIN(CHAR(10),TRUE,FILTER('SUMMARY DATA'!H:H,'SUMMARY DATA'!$A:$A=$A204,'SUMMARY DATA'!$C:$C=$B204,'SUMMARY DATA'!$B:$B=""RWS"",'SUMMARY DATA'!$H:$H=$D204)),
  IF(
    OR(
      ISNUMBER(SEARCH(""CDM CASH DEPOSIT"",$C204)),
      ISNUMBER(S"&amp;"EARCH(""CASH DEPOSIT"",$C204))
    ),
    """",
    IFERROR(TEXTJOIN(CHAR(10),TRUE,FILTER('SUMMARY DATA'!H:H,'SUMMARY DATA'!$D:$D=$C204,'SUMMARY DATA'!$B:$B=""RWS"",'SUMMARY DATA'!$H:$H=$D204)),"""")
  )
)"),"")</f>
      </c>
      <c r="I204" s="18" t="str">
        <f>IFERROR(__xludf.DUMMYFUNCTION("IF(H204="""","""",
SUM(ARRAYFORMULA(VALUE(SPLIT(H204,CHAR(10)))))
)"),"")</f>
      </c>
      <c r="J204" s="17" t="str">
        <f>IFERROR(__xludf.DUMMYFUNCTION("IFERROR(
  TEXTJOIN(CHAR(10),TRUE,FILTER('SUMMARY DATA'!I:I,'SUMMARY DATA'!$A:$A=$A204,'SUMMARY DATA'!$C:$C=$B204,'SUMMARY DATA'!$B:$B=""RWS"")),
  IF(
    OR(
      ISNUMBER(SEARCH(""CDM CASH DEPOSIT"",$C204)),
      ISNUMBER(SEARCH(""CASH DEPOSIT"",$C20"&amp;"4)),
      COUNTIFS('SUMMARY DATA'!$D:$D,$C204,'SUMMARY DATA'!$B:$B,""RWS"")&lt;&gt;1
    ),
    """",
    IFERROR(TEXTJOIN(CHAR(10),TRUE,FILTER('SUMMARY DATA'!I:I,'SUMMARY DATA'!$D:$D=$C204,'SUMMARY DATA'!$B:$B=""RWS"")),"""")
  )
)"),"")</f>
      </c>
      <c r="K204" s="2"/>
      <c r="L204" s="2"/>
      <c r="M204" s="2"/>
      <c r="N204" s="2"/>
      <c r="O204" s="2"/>
      <c r="P204" s="2"/>
      <c r="Q204" s="2"/>
      <c r="R204" s="2"/>
      <c r="S204" s="2"/>
      <c r="T204" s="2"/>
      <c r="U204" s="2"/>
      <c r="V204" s="2"/>
      <c r="W204" s="2"/>
      <c r="X204" s="2"/>
      <c r="Y204" s="2"/>
      <c r="Z204" s="2"/>
      <c r="AA204" s="2"/>
      <c r="AB204" s="2"/>
    </row>
    <row r="205" spans="1:28" customHeight="true">
      <c r="A205" s="2" t="s">
        <v>303</v>
      </c>
      <c r="B205" s="15">
        <v>45948</v>
      </c>
      <c r="C205" s="2" t="s">
        <v>304</v>
      </c>
      <c r="D205" s="3">
        <v>164</v>
      </c>
      <c r="E205" s="16" t="str">
        <f>IFERROR(__xludf.DUMMYFUNCTION("IFERROR(
  TEXTJOIN(CHAR(10),TRUE,FILTER('SUMMARY DATA'!E:E,'SUMMARY DATA'!$A:$A=$A205,'SUMMARY DATA'!$C:$C=$B205,'SUMMARY DATA'!$B:$B=""RWS"")),
  IF(
    OR(
      ISNUMBER(SEARCH(""CDM CASH DEPOSIT"",$C205)),
      ISNUMBER(SEARCH(""CASH DEPOSIT"",$C20"&amp;"5)),
      COUNTIFS('SUMMARY DATA'!$D:$D,$C205,'SUMMARY DATA'!$B:$B,""RWS"")&lt;&gt;1
    ),
    """",
    IFERROR(TEXTJOIN(CHAR(10),TRUE,FILTER('SUMMARY DATA'!E:E,'SUMMARY DATA'!$D:$D=$C205,'SUMMARY DATA'!$B:$B=""RWS"")),"""")
  )
)"),"")</f>
      </c>
      <c r="F205" s="17" t="str">
        <f>IFERROR(__xludf.DUMMYFUNCTION("IFERROR(
  TEXTJOIN(CHAR(10),TRUE,FILTER('SUMMARY DATA'!F:F,'SUMMARY DATA'!$A:$A=$A205,'SUMMARY DATA'!$C:$C=$B205,'SUMMARY DATA'!$B:$B=""RWS"")),
  IF(
    OR(
      ISNUMBER(SEARCH(""CDM CASH DEPOSIT"",$C205)),
      ISNUMBER(SEARCH(""CASH DEPOSIT"",$C20"&amp;"5)),
      COUNTIFS('SUMMARY DATA'!$D:$D,$C205,'SUMMARY DATA'!$B:$B,""RWS"")&lt;&gt;1
    ),
    """",
    IFERROR(TEXTJOIN(CHAR(10),TRUE,FILTER('SUMMARY DATA'!F:F,'SUMMARY DATA'!$D:$D=$C205,'SUMMARY DATA'!$B:$B=""RWS"")),"""")
  )
)"),"")</f>
      </c>
      <c r="G205" s="17" t="str">
        <f>IFERROR(__xludf.DUMMYFUNCTION("IFERROR(
  TEXTJOIN(CHAR(10),TRUE,FILTER('SUMMARY DATA'!G:G,'SUMMARY DATA'!$A:$A=$A205,'SUMMARY DATA'!$C:$C=$B205,'SUMMARY DATA'!$B:$B=""RWS"")),
  IF(
    OR(
      ISNUMBER(SEARCH(""CDM CASH DEPOSIT"",$C205)),
      ISNUMBER(SEARCH(""CASH DEPOSIT"",$C20"&amp;"5)),
      COUNTIFS('SUMMARY DATA'!$D:$D,$C205,'SUMMARY DATA'!$B:$B,""RWS"")&lt;&gt;1
    ),
    """",
    IFERROR(TEXTJOIN(CHAR(10),TRUE,FILTER('SUMMARY DATA'!G:G,'SUMMARY DATA'!$D:$D=$C205,'SUMMARY DATA'!$B:$B=""RWS"")),"""")
  )
)"),"")</f>
      </c>
      <c r="H205" s="18" t="str">
        <f>IFERROR(__xludf.DUMMYFUNCTION("IFERROR(
  TEXTJOIN(CHAR(10),TRUE,FILTER('SUMMARY DATA'!H:H,'SUMMARY DATA'!$A:$A=$A205,'SUMMARY DATA'!$C:$C=$B205,'SUMMARY DATA'!$B:$B=""RWS"",'SUMMARY DATA'!$H:$H=$D205)),
  IF(
    OR(
      ISNUMBER(SEARCH(""CDM CASH DEPOSIT"",$C205)),
      ISNUMBER(S"&amp;"EARCH(""CASH DEPOSIT"",$C205))
    ),
    """",
    IFERROR(TEXTJOIN(CHAR(10),TRUE,FILTER('SUMMARY DATA'!H:H,'SUMMARY DATA'!$D:$D=$C205,'SUMMARY DATA'!$B:$B=""RWS"",'SUMMARY DATA'!$H:$H=$D205)),"""")
  )
)"),"")</f>
      </c>
      <c r="I205" s="18" t="str">
        <f>IFERROR(__xludf.DUMMYFUNCTION("IF(H205="""","""",
SUM(ARRAYFORMULA(VALUE(SPLIT(H205,CHAR(10)))))
)"),"")</f>
      </c>
      <c r="J205" s="17" t="str">
        <f>IFERROR(__xludf.DUMMYFUNCTION("IFERROR(
  TEXTJOIN(CHAR(10),TRUE,FILTER('SUMMARY DATA'!I:I,'SUMMARY DATA'!$A:$A=$A205,'SUMMARY DATA'!$C:$C=$B205,'SUMMARY DATA'!$B:$B=""RWS"")),
  IF(
    OR(
      ISNUMBER(SEARCH(""CDM CASH DEPOSIT"",$C205)),
      ISNUMBER(SEARCH(""CASH DEPOSIT"",$C20"&amp;"5)),
      COUNTIFS('SUMMARY DATA'!$D:$D,$C205,'SUMMARY DATA'!$B:$B,""RWS"")&lt;&gt;1
    ),
    """",
    IFERROR(TEXTJOIN(CHAR(10),TRUE,FILTER('SUMMARY DATA'!I:I,'SUMMARY DATA'!$D:$D=$C205,'SUMMARY DATA'!$B:$B=""RWS"")),"""")
  )
)"),"")</f>
      </c>
      <c r="K205" s="2"/>
      <c r="L205" s="2"/>
      <c r="M205" s="2"/>
      <c r="N205" s="2"/>
      <c r="O205" s="2"/>
      <c r="P205" s="2"/>
      <c r="Q205" s="2"/>
      <c r="R205" s="2"/>
      <c r="S205" s="2"/>
      <c r="T205" s="2"/>
      <c r="U205" s="2"/>
      <c r="V205" s="2"/>
      <c r="W205" s="2"/>
      <c r="X205" s="2"/>
      <c r="Y205" s="2"/>
      <c r="Z205" s="2"/>
      <c r="AA205" s="2"/>
      <c r="AB205" s="2"/>
    </row>
    <row r="206" spans="1:28" customHeight="true">
      <c r="A206" s="2"/>
      <c r="B206" s="15">
        <v>45948</v>
      </c>
      <c r="C206" s="2" t="s">
        <v>305</v>
      </c>
      <c r="D206" s="3">
        <v>398</v>
      </c>
      <c r="E206" s="16" t="str">
        <f>IFERROR(__xludf.DUMMYFUNCTION("IFERROR(
  TEXTJOIN(CHAR(10),TRUE,FILTER('SUMMARY DATA'!E:E,'SUMMARY DATA'!$A:$A=$A206,'SUMMARY DATA'!$C:$C=$B206,'SUMMARY DATA'!$B:$B=""RWS"")),
  IF(
    OR(
      ISNUMBER(SEARCH(""CDM CASH DEPOSIT"",$C206)),
      ISNUMBER(SEARCH(""CASH DEPOSIT"",$C20"&amp;"6)),
      COUNTIFS('SUMMARY DATA'!$D:$D,$C206,'SUMMARY DATA'!$B:$B,""RWS"")&lt;&gt;1
    ),
    """",
    IFERROR(TEXTJOIN(CHAR(10),TRUE,FILTER('SUMMARY DATA'!E:E,'SUMMARY DATA'!$D:$D=$C206,'SUMMARY DATA'!$B:$B=""RWS"")),"""")
  )
)"),"")</f>
      </c>
      <c r="F206" s="17" t="str">
        <f>IFERROR(__xludf.DUMMYFUNCTION("IFERROR(
  TEXTJOIN(CHAR(10),TRUE,FILTER('SUMMARY DATA'!F:F,'SUMMARY DATA'!$A:$A=$A206,'SUMMARY DATA'!$C:$C=$B206,'SUMMARY DATA'!$B:$B=""RWS"")),
  IF(
    OR(
      ISNUMBER(SEARCH(""CDM CASH DEPOSIT"",$C206)),
      ISNUMBER(SEARCH(""CASH DEPOSIT"",$C20"&amp;"6)),
      COUNTIFS('SUMMARY DATA'!$D:$D,$C206,'SUMMARY DATA'!$B:$B,""RWS"")&lt;&gt;1
    ),
    """",
    IFERROR(TEXTJOIN(CHAR(10),TRUE,FILTER('SUMMARY DATA'!F:F,'SUMMARY DATA'!$D:$D=$C206,'SUMMARY DATA'!$B:$B=""RWS"")),"""")
  )
)"),"")</f>
      </c>
      <c r="G206" s="17" t="str">
        <f>IFERROR(__xludf.DUMMYFUNCTION("IFERROR(
  TEXTJOIN(CHAR(10),TRUE,FILTER('SUMMARY DATA'!G:G,'SUMMARY DATA'!$A:$A=$A206,'SUMMARY DATA'!$C:$C=$B206,'SUMMARY DATA'!$B:$B=""RWS"")),
  IF(
    OR(
      ISNUMBER(SEARCH(""CDM CASH DEPOSIT"",$C206)),
      ISNUMBER(SEARCH(""CASH DEPOSIT"",$C20"&amp;"6)),
      COUNTIFS('SUMMARY DATA'!$D:$D,$C206,'SUMMARY DATA'!$B:$B,""RWS"")&lt;&gt;1
    ),
    """",
    IFERROR(TEXTJOIN(CHAR(10),TRUE,FILTER('SUMMARY DATA'!G:G,'SUMMARY DATA'!$D:$D=$C206,'SUMMARY DATA'!$B:$B=""RWS"")),"""")
  )
)"),"")</f>
      </c>
      <c r="H206" s="18" t="str">
        <f>IFERROR(__xludf.DUMMYFUNCTION("IFERROR(
  TEXTJOIN(CHAR(10),TRUE,FILTER('SUMMARY DATA'!H:H,'SUMMARY DATA'!$A:$A=$A206,'SUMMARY DATA'!$C:$C=$B206,'SUMMARY DATA'!$B:$B=""RWS"",'SUMMARY DATA'!$H:$H=$D206)),
  IF(
    OR(
      ISNUMBER(SEARCH(""CDM CASH DEPOSIT"",$C206)),
      ISNUMBER(S"&amp;"EARCH(""CASH DEPOSIT"",$C206))
    ),
    """",
    IFERROR(TEXTJOIN(CHAR(10),TRUE,FILTER('SUMMARY DATA'!H:H,'SUMMARY DATA'!$D:$D=$C206,'SUMMARY DATA'!$B:$B=""RWS"",'SUMMARY DATA'!$H:$H=$D206)),"""")
  )
)"),"")</f>
      </c>
      <c r="I206" s="18" t="str">
        <f>IFERROR(__xludf.DUMMYFUNCTION("IF(H206="""","""",
SUM(ARRAYFORMULA(VALUE(SPLIT(H206,CHAR(10)))))
)"),"")</f>
      </c>
      <c r="J206" s="17" t="str">
        <f>IFERROR(__xludf.DUMMYFUNCTION("IFERROR(
  TEXTJOIN(CHAR(10),TRUE,FILTER('SUMMARY DATA'!I:I,'SUMMARY DATA'!$A:$A=$A206,'SUMMARY DATA'!$C:$C=$B206,'SUMMARY DATA'!$B:$B=""RWS"")),
  IF(
    OR(
      ISNUMBER(SEARCH(""CDM CASH DEPOSIT"",$C206)),
      ISNUMBER(SEARCH(""CASH DEPOSIT"",$C20"&amp;"6)),
      COUNTIFS('SUMMARY DATA'!$D:$D,$C206,'SUMMARY DATA'!$B:$B,""RWS"")&lt;&gt;1
    ),
    """",
    IFERROR(TEXTJOIN(CHAR(10),TRUE,FILTER('SUMMARY DATA'!I:I,'SUMMARY DATA'!$D:$D=$C206,'SUMMARY DATA'!$B:$B=""RWS"")),"""")
  )
)"),"")</f>
      </c>
      <c r="K206" s="2"/>
      <c r="L206" s="2"/>
      <c r="M206" s="2"/>
      <c r="N206" s="2"/>
      <c r="O206" s="2"/>
      <c r="P206" s="2"/>
      <c r="Q206" s="2"/>
      <c r="R206" s="2"/>
      <c r="S206" s="2"/>
      <c r="T206" s="2"/>
      <c r="U206" s="2"/>
      <c r="V206" s="2"/>
      <c r="W206" s="2"/>
      <c r="X206" s="2"/>
      <c r="Y206" s="2"/>
      <c r="Z206" s="2"/>
      <c r="AA206" s="2"/>
      <c r="AB206" s="2"/>
    </row>
    <row r="207" spans="1:28" customHeight="true">
      <c r="A207" s="2" t="s">
        <v>306</v>
      </c>
      <c r="B207" s="15">
        <v>45948</v>
      </c>
      <c r="C207" s="2" t="s">
        <v>307</v>
      </c>
      <c r="D207" s="3">
        <v>68.59</v>
      </c>
      <c r="E207" s="16" t="str">
        <f>IFERROR(__xludf.DUMMYFUNCTION("IFERROR(
  TEXTJOIN(CHAR(10),TRUE,FILTER('SUMMARY DATA'!E:E,'SUMMARY DATA'!$A:$A=$A207,'SUMMARY DATA'!$C:$C=$B207,'SUMMARY DATA'!$B:$B=""RWS"")),
  IF(
    OR(
      ISNUMBER(SEARCH(""CDM CASH DEPOSIT"",$C207)),
      ISNUMBER(SEARCH(""CASH DEPOSIT"",$C20"&amp;"7)),
      COUNTIFS('SUMMARY DATA'!$D:$D,$C207,'SUMMARY DATA'!$B:$B,""RWS"")&lt;&gt;1
    ),
    """",
    IFERROR(TEXTJOIN(CHAR(10),TRUE,FILTER('SUMMARY DATA'!E:E,'SUMMARY DATA'!$D:$D=$C207,'SUMMARY DATA'!$B:$B=""RWS"")),"""")
  )
)"),"")</f>
      </c>
      <c r="F207" s="17" t="str">
        <f>IFERROR(__xludf.DUMMYFUNCTION("IFERROR(
  TEXTJOIN(CHAR(10),TRUE,FILTER('SUMMARY DATA'!F:F,'SUMMARY DATA'!$A:$A=$A207,'SUMMARY DATA'!$C:$C=$B207,'SUMMARY DATA'!$B:$B=""RWS"")),
  IF(
    OR(
      ISNUMBER(SEARCH(""CDM CASH DEPOSIT"",$C207)),
      ISNUMBER(SEARCH(""CASH DEPOSIT"",$C20"&amp;"7)),
      COUNTIFS('SUMMARY DATA'!$D:$D,$C207,'SUMMARY DATA'!$B:$B,""RWS"")&lt;&gt;1
    ),
    """",
    IFERROR(TEXTJOIN(CHAR(10),TRUE,FILTER('SUMMARY DATA'!F:F,'SUMMARY DATA'!$D:$D=$C207,'SUMMARY DATA'!$B:$B=""RWS"")),"""")
  )
)"),"")</f>
      </c>
      <c r="G207" s="17" t="str">
        <f>IFERROR(__xludf.DUMMYFUNCTION("IFERROR(
  TEXTJOIN(CHAR(10),TRUE,FILTER('SUMMARY DATA'!G:G,'SUMMARY DATA'!$A:$A=$A207,'SUMMARY DATA'!$C:$C=$B207,'SUMMARY DATA'!$B:$B=""RWS"")),
  IF(
    OR(
      ISNUMBER(SEARCH(""CDM CASH DEPOSIT"",$C207)),
      ISNUMBER(SEARCH(""CASH DEPOSIT"",$C20"&amp;"7)),
      COUNTIFS('SUMMARY DATA'!$D:$D,$C207,'SUMMARY DATA'!$B:$B,""RWS"")&lt;&gt;1
    ),
    """",
    IFERROR(TEXTJOIN(CHAR(10),TRUE,FILTER('SUMMARY DATA'!G:G,'SUMMARY DATA'!$D:$D=$C207,'SUMMARY DATA'!$B:$B=""RWS"")),"""")
  )
)"),"")</f>
      </c>
      <c r="H207" s="18" t="str">
        <f>IFERROR(__xludf.DUMMYFUNCTION("IFERROR(
  TEXTJOIN(CHAR(10),TRUE,FILTER('SUMMARY DATA'!H:H,'SUMMARY DATA'!$A:$A=$A207,'SUMMARY DATA'!$C:$C=$B207,'SUMMARY DATA'!$B:$B=""RWS"",'SUMMARY DATA'!$H:$H=$D207)),
  IF(
    OR(
      ISNUMBER(SEARCH(""CDM CASH DEPOSIT"",$C207)),
      ISNUMBER(S"&amp;"EARCH(""CASH DEPOSIT"",$C207))
    ),
    """",
    IFERROR(TEXTJOIN(CHAR(10),TRUE,FILTER('SUMMARY DATA'!H:H,'SUMMARY DATA'!$D:$D=$C207,'SUMMARY DATA'!$B:$B=""RWS"",'SUMMARY DATA'!$H:$H=$D207)),"""")
  )
)"),"")</f>
      </c>
      <c r="I207" s="18" t="str">
        <f>IFERROR(__xludf.DUMMYFUNCTION("IF(H207="""","""",
SUM(ARRAYFORMULA(VALUE(SPLIT(H207,CHAR(10)))))
)"),"")</f>
      </c>
      <c r="J207" s="17" t="str">
        <f>IFERROR(__xludf.DUMMYFUNCTION("IFERROR(
  TEXTJOIN(CHAR(10),TRUE,FILTER('SUMMARY DATA'!I:I,'SUMMARY DATA'!$A:$A=$A207,'SUMMARY DATA'!$C:$C=$B207,'SUMMARY DATA'!$B:$B=""RWS"")),
  IF(
    OR(
      ISNUMBER(SEARCH(""CDM CASH DEPOSIT"",$C207)),
      ISNUMBER(SEARCH(""CASH DEPOSIT"",$C20"&amp;"7)),
      COUNTIFS('SUMMARY DATA'!$D:$D,$C207,'SUMMARY DATA'!$B:$B,""RWS"")&lt;&gt;1
    ),
    """",
    IFERROR(TEXTJOIN(CHAR(10),TRUE,FILTER('SUMMARY DATA'!I:I,'SUMMARY DATA'!$D:$D=$C207,'SUMMARY DATA'!$B:$B=""RWS"")),"""")
  )
)"),"")</f>
      </c>
      <c r="K207" s="2"/>
      <c r="L207" s="2"/>
      <c r="M207" s="2"/>
      <c r="N207" s="2"/>
      <c r="O207" s="2"/>
      <c r="P207" s="2"/>
      <c r="Q207" s="2"/>
      <c r="R207" s="2"/>
      <c r="S207" s="2"/>
      <c r="T207" s="2"/>
      <c r="U207" s="2"/>
      <c r="V207" s="2"/>
      <c r="W207" s="2"/>
      <c r="X207" s="2"/>
      <c r="Y207" s="2"/>
      <c r="Z207" s="2"/>
      <c r="AA207" s="2"/>
      <c r="AB207" s="2"/>
    </row>
    <row r="208" spans="1:28" customHeight="true">
      <c r="A208" s="2"/>
      <c r="B208" s="15">
        <v>45948</v>
      </c>
      <c r="C208" s="2" t="s">
        <v>308</v>
      </c>
      <c r="D208" s="3">
        <v>535.9</v>
      </c>
      <c r="E208" s="16" t="str">
        <f>IFERROR(__xludf.DUMMYFUNCTION("IFERROR(
  TEXTJOIN(CHAR(10),TRUE,FILTER('SUMMARY DATA'!E:E,'SUMMARY DATA'!$A:$A=$A208,'SUMMARY DATA'!$C:$C=$B208,'SUMMARY DATA'!$B:$B=""RWS"")),
  IF(
    OR(
      ISNUMBER(SEARCH(""CDM CASH DEPOSIT"",$C208)),
      ISNUMBER(SEARCH(""CASH DEPOSIT"",$C20"&amp;"8)),
      COUNTIFS('SUMMARY DATA'!$D:$D,$C208,'SUMMARY DATA'!$B:$B,""RWS"")&lt;&gt;1
    ),
    """",
    IFERROR(TEXTJOIN(CHAR(10),TRUE,FILTER('SUMMARY DATA'!E:E,'SUMMARY DATA'!$D:$D=$C208,'SUMMARY DATA'!$B:$B=""RWS"")),"""")
  )
)"),"")</f>
      </c>
      <c r="F208" s="17" t="str">
        <f>IFERROR(__xludf.DUMMYFUNCTION("IFERROR(
  TEXTJOIN(CHAR(10),TRUE,FILTER('SUMMARY DATA'!F:F,'SUMMARY DATA'!$A:$A=$A208,'SUMMARY DATA'!$C:$C=$B208,'SUMMARY DATA'!$B:$B=""RWS"")),
  IF(
    OR(
      ISNUMBER(SEARCH(""CDM CASH DEPOSIT"",$C208)),
      ISNUMBER(SEARCH(""CASH DEPOSIT"",$C20"&amp;"8)),
      COUNTIFS('SUMMARY DATA'!$D:$D,$C208,'SUMMARY DATA'!$B:$B,""RWS"")&lt;&gt;1
    ),
    """",
    IFERROR(TEXTJOIN(CHAR(10),TRUE,FILTER('SUMMARY DATA'!F:F,'SUMMARY DATA'!$D:$D=$C208,'SUMMARY DATA'!$B:$B=""RWS"")),"""")
  )
)"),"")</f>
      </c>
      <c r="G208" s="17" t="str">
        <f>IFERROR(__xludf.DUMMYFUNCTION("IFERROR(
  TEXTJOIN(CHAR(10),TRUE,FILTER('SUMMARY DATA'!G:G,'SUMMARY DATA'!$A:$A=$A208,'SUMMARY DATA'!$C:$C=$B208,'SUMMARY DATA'!$B:$B=""RWS"")),
  IF(
    OR(
      ISNUMBER(SEARCH(""CDM CASH DEPOSIT"",$C208)),
      ISNUMBER(SEARCH(""CASH DEPOSIT"",$C20"&amp;"8)),
      COUNTIFS('SUMMARY DATA'!$D:$D,$C208,'SUMMARY DATA'!$B:$B,""RWS"")&lt;&gt;1
    ),
    """",
    IFERROR(TEXTJOIN(CHAR(10),TRUE,FILTER('SUMMARY DATA'!G:G,'SUMMARY DATA'!$D:$D=$C208,'SUMMARY DATA'!$B:$B=""RWS"")),"""")
  )
)"),"")</f>
      </c>
      <c r="H208" s="18" t="str">
        <f>IFERROR(__xludf.DUMMYFUNCTION("IFERROR(
  TEXTJOIN(CHAR(10),TRUE,FILTER('SUMMARY DATA'!H:H,'SUMMARY DATA'!$A:$A=$A208,'SUMMARY DATA'!$C:$C=$B208,'SUMMARY DATA'!$B:$B=""RWS"",'SUMMARY DATA'!$H:$H=$D208)),
  IF(
    OR(
      ISNUMBER(SEARCH(""CDM CASH DEPOSIT"",$C208)),
      ISNUMBER(S"&amp;"EARCH(""CASH DEPOSIT"",$C208))
    ),
    """",
    IFERROR(TEXTJOIN(CHAR(10),TRUE,FILTER('SUMMARY DATA'!H:H,'SUMMARY DATA'!$D:$D=$C208,'SUMMARY DATA'!$B:$B=""RWS"",'SUMMARY DATA'!$H:$H=$D208)),"""")
  )
)"),"")</f>
      </c>
      <c r="I208" s="18" t="str">
        <f>IFERROR(__xludf.DUMMYFUNCTION("IF(H208="""","""",
SUM(ARRAYFORMULA(VALUE(SPLIT(H208,CHAR(10)))))
)"),"")</f>
      </c>
      <c r="J208" s="17" t="str">
        <f>IFERROR(__xludf.DUMMYFUNCTION("IFERROR(
  TEXTJOIN(CHAR(10),TRUE,FILTER('SUMMARY DATA'!I:I,'SUMMARY DATA'!$A:$A=$A208,'SUMMARY DATA'!$C:$C=$B208,'SUMMARY DATA'!$B:$B=""RWS"")),
  IF(
    OR(
      ISNUMBER(SEARCH(""CDM CASH DEPOSIT"",$C208)),
      ISNUMBER(SEARCH(""CASH DEPOSIT"",$C20"&amp;"8)),
      COUNTIFS('SUMMARY DATA'!$D:$D,$C208,'SUMMARY DATA'!$B:$B,""RWS"")&lt;&gt;1
    ),
    """",
    IFERROR(TEXTJOIN(CHAR(10),TRUE,FILTER('SUMMARY DATA'!I:I,'SUMMARY DATA'!$D:$D=$C208,'SUMMARY DATA'!$B:$B=""RWS"")),"""")
  )
)"),"")</f>
      </c>
      <c r="K208" s="2"/>
      <c r="L208" s="2"/>
      <c r="M208" s="2"/>
      <c r="N208" s="2"/>
      <c r="O208" s="2"/>
      <c r="P208" s="2"/>
      <c r="Q208" s="2"/>
      <c r="R208" s="2"/>
      <c r="S208" s="2"/>
      <c r="T208" s="2"/>
      <c r="U208" s="2"/>
      <c r="V208" s="2"/>
      <c r="W208" s="2"/>
      <c r="X208" s="2"/>
      <c r="Y208" s="2"/>
      <c r="Z208" s="2"/>
      <c r="AA208" s="2"/>
      <c r="AB208" s="2"/>
    </row>
    <row r="209" spans="1:28" customHeight="true">
      <c r="A209" s="2"/>
      <c r="B209" s="15">
        <v>45947</v>
      </c>
      <c r="C209" s="2" t="s">
        <v>309</v>
      </c>
      <c r="D209" s="3">
        <v>27</v>
      </c>
      <c r="E209" s="16" t="str">
        <f>IFERROR(__xludf.DUMMYFUNCTION("IFERROR(
  TEXTJOIN(CHAR(10),TRUE,FILTER('SUMMARY DATA'!E:E,'SUMMARY DATA'!$A:$A=$A209,'SUMMARY DATA'!$C:$C=$B209,'SUMMARY DATA'!$B:$B=""RWS"")),
  IF(
    OR(
      ISNUMBER(SEARCH(""CDM CASH DEPOSIT"",$C209)),
      ISNUMBER(SEARCH(""CASH DEPOSIT"",$C20"&amp;"9)),
      COUNTIFS('SUMMARY DATA'!$D:$D,$C209,'SUMMARY DATA'!$B:$B,""RWS"")&lt;&gt;1
    ),
    """",
    IFERROR(TEXTJOIN(CHAR(10),TRUE,FILTER('SUMMARY DATA'!E:E,'SUMMARY DATA'!$D:$D=$C209,'SUMMARY DATA'!$B:$B=""RWS"")),"""")
  )
)"),"")</f>
      </c>
      <c r="F209" s="17" t="str">
        <f>IFERROR(__xludf.DUMMYFUNCTION("IFERROR(
  TEXTJOIN(CHAR(10),TRUE,FILTER('SUMMARY DATA'!F:F,'SUMMARY DATA'!$A:$A=$A209,'SUMMARY DATA'!$C:$C=$B209,'SUMMARY DATA'!$B:$B=""RWS"")),
  IF(
    OR(
      ISNUMBER(SEARCH(""CDM CASH DEPOSIT"",$C209)),
      ISNUMBER(SEARCH(""CASH DEPOSIT"",$C20"&amp;"9)),
      COUNTIFS('SUMMARY DATA'!$D:$D,$C209,'SUMMARY DATA'!$B:$B,""RWS"")&lt;&gt;1
    ),
    """",
    IFERROR(TEXTJOIN(CHAR(10),TRUE,FILTER('SUMMARY DATA'!F:F,'SUMMARY DATA'!$D:$D=$C209,'SUMMARY DATA'!$B:$B=""RWS"")),"""")
  )
)"),"")</f>
      </c>
      <c r="G209" s="17" t="str">
        <f>IFERROR(__xludf.DUMMYFUNCTION("IFERROR(
  TEXTJOIN(CHAR(10),TRUE,FILTER('SUMMARY DATA'!G:G,'SUMMARY DATA'!$A:$A=$A209,'SUMMARY DATA'!$C:$C=$B209,'SUMMARY DATA'!$B:$B=""RWS"")),
  IF(
    OR(
      ISNUMBER(SEARCH(""CDM CASH DEPOSIT"",$C209)),
      ISNUMBER(SEARCH(""CASH DEPOSIT"",$C20"&amp;"9)),
      COUNTIFS('SUMMARY DATA'!$D:$D,$C209,'SUMMARY DATA'!$B:$B,""RWS"")&lt;&gt;1
    ),
    """",
    IFERROR(TEXTJOIN(CHAR(10),TRUE,FILTER('SUMMARY DATA'!G:G,'SUMMARY DATA'!$D:$D=$C209,'SUMMARY DATA'!$B:$B=""RWS"")),"""")
  )
)"),"")</f>
      </c>
      <c r="H209" s="18" t="str">
        <f>IFERROR(__xludf.DUMMYFUNCTION("IFERROR(
  TEXTJOIN(CHAR(10),TRUE,FILTER('SUMMARY DATA'!H:H,'SUMMARY DATA'!$A:$A=$A209,'SUMMARY DATA'!$C:$C=$B209,'SUMMARY DATA'!$B:$B=""RWS"",'SUMMARY DATA'!$H:$H=$D209)),
  IF(
    OR(
      ISNUMBER(SEARCH(""CDM CASH DEPOSIT"",$C209)),
      ISNUMBER(S"&amp;"EARCH(""CASH DEPOSIT"",$C209))
    ),
    """",
    IFERROR(TEXTJOIN(CHAR(10),TRUE,FILTER('SUMMARY DATA'!H:H,'SUMMARY DATA'!$D:$D=$C209,'SUMMARY DATA'!$B:$B=""RWS"",'SUMMARY DATA'!$H:$H=$D209)),"""")
  )
)"),"")</f>
      </c>
      <c r="I209" s="18" t="str">
        <f>IFERROR(__xludf.DUMMYFUNCTION("IF(H209="""","""",
SUM(ARRAYFORMULA(VALUE(SPLIT(H209,CHAR(10)))))
)"),"")</f>
      </c>
      <c r="J209" s="17" t="str">
        <f>IFERROR(__xludf.DUMMYFUNCTION("IFERROR(
  TEXTJOIN(CHAR(10),TRUE,FILTER('SUMMARY DATA'!I:I,'SUMMARY DATA'!$A:$A=$A209,'SUMMARY DATA'!$C:$C=$B209,'SUMMARY DATA'!$B:$B=""RWS"")),
  IF(
    OR(
      ISNUMBER(SEARCH(""CDM CASH DEPOSIT"",$C209)),
      ISNUMBER(SEARCH(""CASH DEPOSIT"",$C20"&amp;"9)),
      COUNTIFS('SUMMARY DATA'!$D:$D,$C209,'SUMMARY DATA'!$B:$B,""RWS"")&lt;&gt;1
    ),
    """",
    IFERROR(TEXTJOIN(CHAR(10),TRUE,FILTER('SUMMARY DATA'!I:I,'SUMMARY DATA'!$D:$D=$C209,'SUMMARY DATA'!$B:$B=""RWS"")),"""")
  )
)"),"")</f>
      </c>
      <c r="K209" s="2"/>
      <c r="L209" s="2"/>
      <c r="M209" s="2"/>
      <c r="N209" s="2"/>
      <c r="O209" s="2"/>
      <c r="P209" s="2"/>
      <c r="Q209" s="2"/>
      <c r="R209" s="2"/>
      <c r="S209" s="2"/>
      <c r="T209" s="2"/>
      <c r="U209" s="2"/>
      <c r="V209" s="2"/>
      <c r="W209" s="2"/>
      <c r="X209" s="2"/>
      <c r="Y209" s="2"/>
      <c r="Z209" s="2"/>
      <c r="AA209" s="2"/>
      <c r="AB209" s="2"/>
    </row>
    <row r="210" spans="1:28" customHeight="true">
      <c r="A210" s="2"/>
      <c r="B210" s="15">
        <v>45947</v>
      </c>
      <c r="C210" s="2" t="s">
        <v>310</v>
      </c>
      <c r="D210" s="3">
        <v>525</v>
      </c>
      <c r="E210" s="16" t="str">
        <f>IFERROR(__xludf.DUMMYFUNCTION("IFERROR(
  TEXTJOIN(CHAR(10),TRUE,FILTER('SUMMARY DATA'!E:E,'SUMMARY DATA'!$A:$A=$A210,'SUMMARY DATA'!$C:$C=$B210,'SUMMARY DATA'!$B:$B=""RWS"")),
  IF(
    OR(
      ISNUMBER(SEARCH(""CDM CASH DEPOSIT"",$C210)),
      ISNUMBER(SEARCH(""CASH DEPOSIT"",$C21"&amp;"0)),
      COUNTIFS('SUMMARY DATA'!$D:$D,$C210,'SUMMARY DATA'!$B:$B,""RWS"")&lt;&gt;1
    ),
    """",
    IFERROR(TEXTJOIN(CHAR(10),TRUE,FILTER('SUMMARY DATA'!E:E,'SUMMARY DATA'!$D:$D=$C210,'SUMMARY DATA'!$B:$B=""RWS"")),"""")
  )
)"),"")</f>
      </c>
      <c r="F210" s="17" t="str">
        <f>IFERROR(__xludf.DUMMYFUNCTION("IFERROR(
  TEXTJOIN(CHAR(10),TRUE,FILTER('SUMMARY DATA'!F:F,'SUMMARY DATA'!$A:$A=$A210,'SUMMARY DATA'!$C:$C=$B210,'SUMMARY DATA'!$B:$B=""RWS"")),
  IF(
    OR(
      ISNUMBER(SEARCH(""CDM CASH DEPOSIT"",$C210)),
      ISNUMBER(SEARCH(""CASH DEPOSIT"",$C21"&amp;"0)),
      COUNTIFS('SUMMARY DATA'!$D:$D,$C210,'SUMMARY DATA'!$B:$B,""RWS"")&lt;&gt;1
    ),
    """",
    IFERROR(TEXTJOIN(CHAR(10),TRUE,FILTER('SUMMARY DATA'!F:F,'SUMMARY DATA'!$D:$D=$C210,'SUMMARY DATA'!$B:$B=""RWS"")),"""")
  )
)"),"")</f>
      </c>
      <c r="G210" s="17" t="str">
        <f>IFERROR(__xludf.DUMMYFUNCTION("IFERROR(
  TEXTJOIN(CHAR(10),TRUE,FILTER('SUMMARY DATA'!G:G,'SUMMARY DATA'!$A:$A=$A210,'SUMMARY DATA'!$C:$C=$B210,'SUMMARY DATA'!$B:$B=""RWS"")),
  IF(
    OR(
      ISNUMBER(SEARCH(""CDM CASH DEPOSIT"",$C210)),
      ISNUMBER(SEARCH(""CASH DEPOSIT"",$C21"&amp;"0)),
      COUNTIFS('SUMMARY DATA'!$D:$D,$C210,'SUMMARY DATA'!$B:$B,""RWS"")&lt;&gt;1
    ),
    """",
    IFERROR(TEXTJOIN(CHAR(10),TRUE,FILTER('SUMMARY DATA'!G:G,'SUMMARY DATA'!$D:$D=$C210,'SUMMARY DATA'!$B:$B=""RWS"")),"""")
  )
)"),"")</f>
      </c>
      <c r="H210" s="18" t="str">
        <f>IFERROR(__xludf.DUMMYFUNCTION("IFERROR(
  TEXTJOIN(CHAR(10),TRUE,FILTER('SUMMARY DATA'!H:H,'SUMMARY DATA'!$A:$A=$A210,'SUMMARY DATA'!$C:$C=$B210,'SUMMARY DATA'!$B:$B=""RWS"",'SUMMARY DATA'!$H:$H=$D210)),
  IF(
    OR(
      ISNUMBER(SEARCH(""CDM CASH DEPOSIT"",$C210)),
      ISNUMBER(S"&amp;"EARCH(""CASH DEPOSIT"",$C210))
    ),
    """",
    IFERROR(TEXTJOIN(CHAR(10),TRUE,FILTER('SUMMARY DATA'!H:H,'SUMMARY DATA'!$D:$D=$C210,'SUMMARY DATA'!$B:$B=""RWS"",'SUMMARY DATA'!$H:$H=$D210)),"""")
  )
)"),"")</f>
      </c>
      <c r="I210" s="18" t="str">
        <f>IFERROR(__xludf.DUMMYFUNCTION("IF(H210="""","""",
SUM(ARRAYFORMULA(VALUE(SPLIT(H210,CHAR(10)))))
)"),"")</f>
      </c>
      <c r="J210" s="17" t="str">
        <f>IFERROR(__xludf.DUMMYFUNCTION("IFERROR(
  TEXTJOIN(CHAR(10),TRUE,FILTER('SUMMARY DATA'!I:I,'SUMMARY DATA'!$A:$A=$A210,'SUMMARY DATA'!$C:$C=$B210,'SUMMARY DATA'!$B:$B=""RWS"")),
  IF(
    OR(
      ISNUMBER(SEARCH(""CDM CASH DEPOSIT"",$C210)),
      ISNUMBER(SEARCH(""CASH DEPOSIT"",$C21"&amp;"0)),
      COUNTIFS('SUMMARY DATA'!$D:$D,$C210,'SUMMARY DATA'!$B:$B,""RWS"")&lt;&gt;1
    ),
    """",
    IFERROR(TEXTJOIN(CHAR(10),TRUE,FILTER('SUMMARY DATA'!I:I,'SUMMARY DATA'!$D:$D=$C210,'SUMMARY DATA'!$B:$B=""RWS"")),"""")
  )
)"),"")</f>
      </c>
      <c r="K210" s="2"/>
      <c r="L210" s="2"/>
      <c r="M210" s="2"/>
      <c r="N210" s="2"/>
      <c r="O210" s="2"/>
      <c r="P210" s="2"/>
      <c r="Q210" s="2"/>
      <c r="R210" s="2"/>
      <c r="S210" s="2"/>
      <c r="T210" s="2"/>
      <c r="U210" s="2"/>
      <c r="V210" s="2"/>
      <c r="W210" s="2"/>
      <c r="X210" s="2"/>
      <c r="Y210" s="2"/>
      <c r="Z210" s="2"/>
      <c r="AA210" s="2"/>
      <c r="AB210" s="2"/>
    </row>
    <row r="211" spans="1:28" customHeight="true">
      <c r="A211" s="2" t="s">
        <v>311</v>
      </c>
      <c r="B211" s="15">
        <v>45947</v>
      </c>
      <c r="C211" s="2" t="s">
        <v>312</v>
      </c>
      <c r="D211" s="3">
        <v>264.94</v>
      </c>
      <c r="E211" s="16" t="str">
        <f>IFERROR(__xludf.DUMMYFUNCTION("IFERROR(
  TEXTJOIN(CHAR(10),TRUE,FILTER('SUMMARY DATA'!E:E,'SUMMARY DATA'!$A:$A=$A211,'SUMMARY DATA'!$C:$C=$B211,'SUMMARY DATA'!$B:$B=""RWS"")),
  IF(
    OR(
      ISNUMBER(SEARCH(""CDM CASH DEPOSIT"",$C211)),
      ISNUMBER(SEARCH(""CASH DEPOSIT"",$C21"&amp;"1)),
      COUNTIFS('SUMMARY DATA'!$D:$D,$C211,'SUMMARY DATA'!$B:$B,""RWS"")&lt;&gt;1
    ),
    """",
    IFERROR(TEXTJOIN(CHAR(10),TRUE,FILTER('SUMMARY DATA'!E:E,'SUMMARY DATA'!$D:$D=$C211,'SUMMARY DATA'!$B:$B=""RWS"")),"""")
  )
)"),"")</f>
      </c>
      <c r="F211" s="17" t="str">
        <f>IFERROR(__xludf.DUMMYFUNCTION("IFERROR(
  TEXTJOIN(CHAR(10),TRUE,FILTER('SUMMARY DATA'!F:F,'SUMMARY DATA'!$A:$A=$A211,'SUMMARY DATA'!$C:$C=$B211,'SUMMARY DATA'!$B:$B=""RWS"")),
  IF(
    OR(
      ISNUMBER(SEARCH(""CDM CASH DEPOSIT"",$C211)),
      ISNUMBER(SEARCH(""CASH DEPOSIT"",$C21"&amp;"1)),
      COUNTIFS('SUMMARY DATA'!$D:$D,$C211,'SUMMARY DATA'!$B:$B,""RWS"")&lt;&gt;1
    ),
    """",
    IFERROR(TEXTJOIN(CHAR(10),TRUE,FILTER('SUMMARY DATA'!F:F,'SUMMARY DATA'!$D:$D=$C211,'SUMMARY DATA'!$B:$B=""RWS"")),"""")
  )
)"),"")</f>
      </c>
      <c r="G211" s="17" t="str">
        <f>IFERROR(__xludf.DUMMYFUNCTION("IFERROR(
  TEXTJOIN(CHAR(10),TRUE,FILTER('SUMMARY DATA'!G:G,'SUMMARY DATA'!$A:$A=$A211,'SUMMARY DATA'!$C:$C=$B211,'SUMMARY DATA'!$B:$B=""RWS"")),
  IF(
    OR(
      ISNUMBER(SEARCH(""CDM CASH DEPOSIT"",$C211)),
      ISNUMBER(SEARCH(""CASH DEPOSIT"",$C21"&amp;"1)),
      COUNTIFS('SUMMARY DATA'!$D:$D,$C211,'SUMMARY DATA'!$B:$B,""RWS"")&lt;&gt;1
    ),
    """",
    IFERROR(TEXTJOIN(CHAR(10),TRUE,FILTER('SUMMARY DATA'!G:G,'SUMMARY DATA'!$D:$D=$C211,'SUMMARY DATA'!$B:$B=""RWS"")),"""")
  )
)"),"")</f>
      </c>
      <c r="H211" s="18" t="str">
        <f>IFERROR(__xludf.DUMMYFUNCTION("IFERROR(
  TEXTJOIN(CHAR(10),TRUE,FILTER('SUMMARY DATA'!H:H,'SUMMARY DATA'!$A:$A=$A211,'SUMMARY DATA'!$C:$C=$B211,'SUMMARY DATA'!$B:$B=""RWS"",'SUMMARY DATA'!$H:$H=$D211)),
  IF(
    OR(
      ISNUMBER(SEARCH(""CDM CASH DEPOSIT"",$C211)),
      ISNUMBER(S"&amp;"EARCH(""CASH DEPOSIT"",$C211))
    ),
    """",
    IFERROR(TEXTJOIN(CHAR(10),TRUE,FILTER('SUMMARY DATA'!H:H,'SUMMARY DATA'!$D:$D=$C211,'SUMMARY DATA'!$B:$B=""RWS"",'SUMMARY DATA'!$H:$H=$D211)),"""")
  )
)"),"")</f>
      </c>
      <c r="I211" s="18" t="str">
        <f>IFERROR(__xludf.DUMMYFUNCTION("IF(H211="""","""",
SUM(ARRAYFORMULA(VALUE(SPLIT(H211,CHAR(10)))))
)"),"")</f>
      </c>
      <c r="J211" s="17" t="str">
        <f>IFERROR(__xludf.DUMMYFUNCTION("IFERROR(
  TEXTJOIN(CHAR(10),TRUE,FILTER('SUMMARY DATA'!I:I,'SUMMARY DATA'!$A:$A=$A211,'SUMMARY DATA'!$C:$C=$B211,'SUMMARY DATA'!$B:$B=""RWS"")),
  IF(
    OR(
      ISNUMBER(SEARCH(""CDM CASH DEPOSIT"",$C211)),
      ISNUMBER(SEARCH(""CASH DEPOSIT"",$C21"&amp;"1)),
      COUNTIFS('SUMMARY DATA'!$D:$D,$C211,'SUMMARY DATA'!$B:$B,""RWS"")&lt;&gt;1
    ),
    """",
    IFERROR(TEXTJOIN(CHAR(10),TRUE,FILTER('SUMMARY DATA'!I:I,'SUMMARY DATA'!$D:$D=$C211,'SUMMARY DATA'!$B:$B=""RWS"")),"""")
  )
)"),"")</f>
      </c>
      <c r="K211" s="2"/>
      <c r="L211" s="2"/>
      <c r="M211" s="2"/>
      <c r="N211" s="2"/>
      <c r="O211" s="2"/>
      <c r="P211" s="2"/>
      <c r="Q211" s="2"/>
      <c r="R211" s="2"/>
      <c r="S211" s="2"/>
      <c r="T211" s="2"/>
      <c r="U211" s="2"/>
      <c r="V211" s="2"/>
      <c r="W211" s="2"/>
      <c r="X211" s="2"/>
      <c r="Y211" s="2"/>
      <c r="Z211" s="2"/>
      <c r="AA211" s="2"/>
      <c r="AB211" s="2"/>
    </row>
    <row r="212" spans="1:28" customHeight="true">
      <c r="A212" s="2" t="s">
        <v>313</v>
      </c>
      <c r="B212" s="15">
        <v>45947</v>
      </c>
      <c r="C212" s="2" t="s">
        <v>314</v>
      </c>
      <c r="D212" s="3">
        <v>123.35</v>
      </c>
      <c r="E212" s="16" t="str">
        <f>IFERROR(__xludf.DUMMYFUNCTION("IFERROR(
  TEXTJOIN(CHAR(10),TRUE,FILTER('SUMMARY DATA'!E:E,'SUMMARY DATA'!$A:$A=$A212,'SUMMARY DATA'!$C:$C=$B212,'SUMMARY DATA'!$B:$B=""RWS"")),
  IF(
    OR(
      ISNUMBER(SEARCH(""CDM CASH DEPOSIT"",$C212)),
      ISNUMBER(SEARCH(""CASH DEPOSIT"",$C21"&amp;"2)),
      COUNTIFS('SUMMARY DATA'!$D:$D,$C212,'SUMMARY DATA'!$B:$B,""RWS"")&lt;&gt;1
    ),
    """",
    IFERROR(TEXTJOIN(CHAR(10),TRUE,FILTER('SUMMARY DATA'!E:E,'SUMMARY DATA'!$D:$D=$C212,'SUMMARY DATA'!$B:$B=""RWS"")),"""")
  )
)"),"")</f>
      </c>
      <c r="F212" s="17" t="str">
        <f>IFERROR(__xludf.DUMMYFUNCTION("IFERROR(
  TEXTJOIN(CHAR(10),TRUE,FILTER('SUMMARY DATA'!F:F,'SUMMARY DATA'!$A:$A=$A212,'SUMMARY DATA'!$C:$C=$B212,'SUMMARY DATA'!$B:$B=""RWS"")),
  IF(
    OR(
      ISNUMBER(SEARCH(""CDM CASH DEPOSIT"",$C212)),
      ISNUMBER(SEARCH(""CASH DEPOSIT"",$C21"&amp;"2)),
      COUNTIFS('SUMMARY DATA'!$D:$D,$C212,'SUMMARY DATA'!$B:$B,""RWS"")&lt;&gt;1
    ),
    """",
    IFERROR(TEXTJOIN(CHAR(10),TRUE,FILTER('SUMMARY DATA'!F:F,'SUMMARY DATA'!$D:$D=$C212,'SUMMARY DATA'!$B:$B=""RWS"")),"""")
  )
)"),"")</f>
      </c>
      <c r="G212" s="17" t="str">
        <f>IFERROR(__xludf.DUMMYFUNCTION("IFERROR(
  TEXTJOIN(CHAR(10),TRUE,FILTER('SUMMARY DATA'!G:G,'SUMMARY DATA'!$A:$A=$A212,'SUMMARY DATA'!$C:$C=$B212,'SUMMARY DATA'!$B:$B=""RWS"")),
  IF(
    OR(
      ISNUMBER(SEARCH(""CDM CASH DEPOSIT"",$C212)),
      ISNUMBER(SEARCH(""CASH DEPOSIT"",$C21"&amp;"2)),
      COUNTIFS('SUMMARY DATA'!$D:$D,$C212,'SUMMARY DATA'!$B:$B,""RWS"")&lt;&gt;1
    ),
    """",
    IFERROR(TEXTJOIN(CHAR(10),TRUE,FILTER('SUMMARY DATA'!G:G,'SUMMARY DATA'!$D:$D=$C212,'SUMMARY DATA'!$B:$B=""RWS"")),"""")
  )
)"),"")</f>
      </c>
      <c r="H212" s="18" t="str">
        <f>IFERROR(__xludf.DUMMYFUNCTION("IFERROR(
  TEXTJOIN(CHAR(10),TRUE,FILTER('SUMMARY DATA'!H:H,'SUMMARY DATA'!$A:$A=$A212,'SUMMARY DATA'!$C:$C=$B212,'SUMMARY DATA'!$B:$B=""RWS"",'SUMMARY DATA'!$H:$H=$D212)),
  IF(
    OR(
      ISNUMBER(SEARCH(""CDM CASH DEPOSIT"",$C212)),
      ISNUMBER(S"&amp;"EARCH(""CASH DEPOSIT"",$C212))
    ),
    """",
    IFERROR(TEXTJOIN(CHAR(10),TRUE,FILTER('SUMMARY DATA'!H:H,'SUMMARY DATA'!$D:$D=$C212,'SUMMARY DATA'!$B:$B=""RWS"",'SUMMARY DATA'!$H:$H=$D212)),"""")
  )
)"),"")</f>
      </c>
      <c r="I212" s="18" t="str">
        <f>IFERROR(__xludf.DUMMYFUNCTION("IF(H212="""","""",
SUM(ARRAYFORMULA(VALUE(SPLIT(H212,CHAR(10)))))
)"),"")</f>
      </c>
      <c r="J212" s="17" t="str">
        <f>IFERROR(__xludf.DUMMYFUNCTION("IFERROR(
  TEXTJOIN(CHAR(10),TRUE,FILTER('SUMMARY DATA'!I:I,'SUMMARY DATA'!$A:$A=$A212,'SUMMARY DATA'!$C:$C=$B212,'SUMMARY DATA'!$B:$B=""RWS"")),
  IF(
    OR(
      ISNUMBER(SEARCH(""CDM CASH DEPOSIT"",$C212)),
      ISNUMBER(SEARCH(""CASH DEPOSIT"",$C21"&amp;"2)),
      COUNTIFS('SUMMARY DATA'!$D:$D,$C212,'SUMMARY DATA'!$B:$B,""RWS"")&lt;&gt;1
    ),
    """",
    IFERROR(TEXTJOIN(CHAR(10),TRUE,FILTER('SUMMARY DATA'!I:I,'SUMMARY DATA'!$D:$D=$C212,'SUMMARY DATA'!$B:$B=""RWS"")),"""")
  )
)"),"")</f>
      </c>
      <c r="K212" s="2"/>
      <c r="L212" s="2"/>
      <c r="M212" s="2"/>
      <c r="N212" s="2"/>
      <c r="O212" s="2"/>
      <c r="P212" s="2"/>
      <c r="Q212" s="2"/>
      <c r="R212" s="2"/>
      <c r="S212" s="2"/>
      <c r="T212" s="2"/>
      <c r="U212" s="2"/>
      <c r="V212" s="2"/>
      <c r="W212" s="2"/>
      <c r="X212" s="2"/>
      <c r="Y212" s="2"/>
      <c r="Z212" s="2"/>
      <c r="AA212" s="2"/>
      <c r="AB212" s="2"/>
    </row>
    <row r="213" spans="1:28" customHeight="true">
      <c r="A213" s="2" t="s">
        <v>315</v>
      </c>
      <c r="B213" s="15">
        <v>45947</v>
      </c>
      <c r="C213" s="2" t="s">
        <v>316</v>
      </c>
      <c r="D213" s="3">
        <v>379.77</v>
      </c>
      <c r="E213" s="16" t="s">
        <v>2408</v>
      </c>
      <c r="F213" s="17" t="s">
        <v>2431</v>
      </c>
      <c r="G213" s="17" t="s">
        <v>2393</v>
      </c>
      <c r="H213" s="18">
        <v>379.77</v>
      </c>
      <c r="I213" s="18">
        <v>379.77</v>
      </c>
      <c r="J213" s="17" t="s">
        <v>2394</v>
      </c>
      <c r="K213" s="2" t="s">
        <v>2395</v>
      </c>
      <c r="L213" s="2"/>
      <c r="M213" s="2"/>
      <c r="N213" s="2"/>
      <c r="O213" s="2"/>
      <c r="P213" s="2"/>
      <c r="Q213" s="2"/>
      <c r="R213" s="2"/>
      <c r="S213" s="2"/>
      <c r="T213" s="2"/>
      <c r="U213" s="2"/>
      <c r="V213" s="2"/>
      <c r="W213" s="2"/>
      <c r="X213" s="2"/>
      <c r="Y213" s="2"/>
      <c r="Z213" s="2"/>
      <c r="AA213" s="2"/>
      <c r="AB213" s="2"/>
    </row>
    <row r="214" spans="1:28" customHeight="true">
      <c r="A214" s="2"/>
      <c r="B214" s="15">
        <v>45946</v>
      </c>
      <c r="C214" s="2" t="s">
        <v>317</v>
      </c>
      <c r="D214" s="3">
        <v>0.02</v>
      </c>
      <c r="E214" s="16" t="str">
        <f>IFERROR(__xludf.DUMMYFUNCTION("IFERROR(
  TEXTJOIN(CHAR(10),TRUE,FILTER('SUMMARY DATA'!E:E,'SUMMARY DATA'!$A:$A=$A214,'SUMMARY DATA'!$C:$C=$B214,'SUMMARY DATA'!$B:$B=""RWS"")),
  IF(
    OR(
      ISNUMBER(SEARCH(""CDM CASH DEPOSIT"",$C214)),
      ISNUMBER(SEARCH(""CASH DEPOSIT"",$C21"&amp;"4)),
      COUNTIFS('SUMMARY DATA'!$D:$D,$C214,'SUMMARY DATA'!$B:$B,""RWS"")&lt;&gt;1
    ),
    """",
    IFERROR(TEXTJOIN(CHAR(10),TRUE,FILTER('SUMMARY DATA'!E:E,'SUMMARY DATA'!$D:$D=$C214,'SUMMARY DATA'!$B:$B=""RWS"")),"""")
  )
)"),"")</f>
      </c>
      <c r="F214" s="17" t="str">
        <f>IFERROR(__xludf.DUMMYFUNCTION("IFERROR(
  TEXTJOIN(CHAR(10),TRUE,FILTER('SUMMARY DATA'!F:F,'SUMMARY DATA'!$A:$A=$A214,'SUMMARY DATA'!$C:$C=$B214,'SUMMARY DATA'!$B:$B=""RWS"")),
  IF(
    OR(
      ISNUMBER(SEARCH(""CDM CASH DEPOSIT"",$C214)),
      ISNUMBER(SEARCH(""CASH DEPOSIT"",$C21"&amp;"4)),
      COUNTIFS('SUMMARY DATA'!$D:$D,$C214,'SUMMARY DATA'!$B:$B,""RWS"")&lt;&gt;1
    ),
    """",
    IFERROR(TEXTJOIN(CHAR(10),TRUE,FILTER('SUMMARY DATA'!F:F,'SUMMARY DATA'!$D:$D=$C214,'SUMMARY DATA'!$B:$B=""RWS"")),"""")
  )
)"),"")</f>
      </c>
      <c r="G214" s="17" t="str">
        <f>IFERROR(__xludf.DUMMYFUNCTION("IFERROR(
  TEXTJOIN(CHAR(10),TRUE,FILTER('SUMMARY DATA'!G:G,'SUMMARY DATA'!$A:$A=$A214,'SUMMARY DATA'!$C:$C=$B214,'SUMMARY DATA'!$B:$B=""RWS"")),
  IF(
    OR(
      ISNUMBER(SEARCH(""CDM CASH DEPOSIT"",$C214)),
      ISNUMBER(SEARCH(""CASH DEPOSIT"",$C21"&amp;"4)),
      COUNTIFS('SUMMARY DATA'!$D:$D,$C214,'SUMMARY DATA'!$B:$B,""RWS"")&lt;&gt;1
    ),
    """",
    IFERROR(TEXTJOIN(CHAR(10),TRUE,FILTER('SUMMARY DATA'!G:G,'SUMMARY DATA'!$D:$D=$C214,'SUMMARY DATA'!$B:$B=""RWS"")),"""")
  )
)"),"")</f>
      </c>
      <c r="H214" s="18" t="str">
        <f>IFERROR(__xludf.DUMMYFUNCTION("IFERROR(
  TEXTJOIN(CHAR(10),TRUE,FILTER('SUMMARY DATA'!H:H,'SUMMARY DATA'!$A:$A=$A214,'SUMMARY DATA'!$C:$C=$B214,'SUMMARY DATA'!$B:$B=""RWS"",'SUMMARY DATA'!$H:$H=$D214)),
  IF(
    OR(
      ISNUMBER(SEARCH(""CDM CASH DEPOSIT"",$C214)),
      ISNUMBER(S"&amp;"EARCH(""CASH DEPOSIT"",$C214))
    ),
    """",
    IFERROR(TEXTJOIN(CHAR(10),TRUE,FILTER('SUMMARY DATA'!H:H,'SUMMARY DATA'!$D:$D=$C214,'SUMMARY DATA'!$B:$B=""RWS"",'SUMMARY DATA'!$H:$H=$D214)),"""")
  )
)"),"")</f>
      </c>
      <c r="I214" s="18" t="str">
        <f>IFERROR(__xludf.DUMMYFUNCTION("IF(H214="""","""",
SUM(ARRAYFORMULA(VALUE(SPLIT(H214,CHAR(10)))))
)"),"")</f>
      </c>
      <c r="J214" s="17" t="str">
        <f>IFERROR(__xludf.DUMMYFUNCTION("IFERROR(
  TEXTJOIN(CHAR(10),TRUE,FILTER('SUMMARY DATA'!I:I,'SUMMARY DATA'!$A:$A=$A214,'SUMMARY DATA'!$C:$C=$B214,'SUMMARY DATA'!$B:$B=""RWS"")),
  IF(
    OR(
      ISNUMBER(SEARCH(""CDM CASH DEPOSIT"",$C214)),
      ISNUMBER(SEARCH(""CASH DEPOSIT"",$C21"&amp;"4)),
      COUNTIFS('SUMMARY DATA'!$D:$D,$C214,'SUMMARY DATA'!$B:$B,""RWS"")&lt;&gt;1
    ),
    """",
    IFERROR(TEXTJOIN(CHAR(10),TRUE,FILTER('SUMMARY DATA'!I:I,'SUMMARY DATA'!$D:$D=$C214,'SUMMARY DATA'!$B:$B=""RWS"")),"""")
  )
)"),"")</f>
      </c>
      <c r="K214" s="2"/>
      <c r="L214" s="2"/>
      <c r="M214" s="2"/>
      <c r="N214" s="2"/>
      <c r="O214" s="2"/>
      <c r="P214" s="2"/>
      <c r="Q214" s="2"/>
      <c r="R214" s="2"/>
      <c r="S214" s="2"/>
      <c r="T214" s="2"/>
      <c r="U214" s="2"/>
      <c r="V214" s="2"/>
      <c r="W214" s="2"/>
      <c r="X214" s="2"/>
      <c r="Y214" s="2"/>
      <c r="Z214" s="2"/>
      <c r="AA214" s="2"/>
      <c r="AB214" s="2"/>
    </row>
    <row r="215" spans="1:28" customHeight="true">
      <c r="A215" s="2"/>
      <c r="B215" s="15">
        <v>45946</v>
      </c>
      <c r="C215" s="2" t="s">
        <v>317</v>
      </c>
      <c r="D215" s="3">
        <v>3.88</v>
      </c>
      <c r="E215" s="16" t="str">
        <f>IFERROR(__xludf.DUMMYFUNCTION("IFERROR(
  TEXTJOIN(CHAR(10),TRUE,FILTER('SUMMARY DATA'!E:E,'SUMMARY DATA'!$A:$A=$A215,'SUMMARY DATA'!$C:$C=$B215,'SUMMARY DATA'!$B:$B=""RWS"")),
  IF(
    OR(
      ISNUMBER(SEARCH(""CDM CASH DEPOSIT"",$C215)),
      ISNUMBER(SEARCH(""CASH DEPOSIT"",$C21"&amp;"5)),
      COUNTIFS('SUMMARY DATA'!$D:$D,$C215,'SUMMARY DATA'!$B:$B,""RWS"")&lt;&gt;1
    ),
    """",
    IFERROR(TEXTJOIN(CHAR(10),TRUE,FILTER('SUMMARY DATA'!E:E,'SUMMARY DATA'!$D:$D=$C215,'SUMMARY DATA'!$B:$B=""RWS"")),"""")
  )
)"),"")</f>
      </c>
      <c r="F215" s="17" t="str">
        <f>IFERROR(__xludf.DUMMYFUNCTION("IFERROR(
  TEXTJOIN(CHAR(10),TRUE,FILTER('SUMMARY DATA'!F:F,'SUMMARY DATA'!$A:$A=$A215,'SUMMARY DATA'!$C:$C=$B215,'SUMMARY DATA'!$B:$B=""RWS"")),
  IF(
    OR(
      ISNUMBER(SEARCH(""CDM CASH DEPOSIT"",$C215)),
      ISNUMBER(SEARCH(""CASH DEPOSIT"",$C21"&amp;"5)),
      COUNTIFS('SUMMARY DATA'!$D:$D,$C215,'SUMMARY DATA'!$B:$B,""RWS"")&lt;&gt;1
    ),
    """",
    IFERROR(TEXTJOIN(CHAR(10),TRUE,FILTER('SUMMARY DATA'!F:F,'SUMMARY DATA'!$D:$D=$C215,'SUMMARY DATA'!$B:$B=""RWS"")),"""")
  )
)"),"")</f>
      </c>
      <c r="G215" s="17" t="str">
        <f>IFERROR(__xludf.DUMMYFUNCTION("IFERROR(
  TEXTJOIN(CHAR(10),TRUE,FILTER('SUMMARY DATA'!G:G,'SUMMARY DATA'!$A:$A=$A215,'SUMMARY DATA'!$C:$C=$B215,'SUMMARY DATA'!$B:$B=""RWS"")),
  IF(
    OR(
      ISNUMBER(SEARCH(""CDM CASH DEPOSIT"",$C215)),
      ISNUMBER(SEARCH(""CASH DEPOSIT"",$C21"&amp;"5)),
      COUNTIFS('SUMMARY DATA'!$D:$D,$C215,'SUMMARY DATA'!$B:$B,""RWS"")&lt;&gt;1
    ),
    """",
    IFERROR(TEXTJOIN(CHAR(10),TRUE,FILTER('SUMMARY DATA'!G:G,'SUMMARY DATA'!$D:$D=$C215,'SUMMARY DATA'!$B:$B=""RWS"")),"""")
  )
)"),"")</f>
      </c>
      <c r="H215" s="18" t="str">
        <f>IFERROR(__xludf.DUMMYFUNCTION("IFERROR(
  TEXTJOIN(CHAR(10),TRUE,FILTER('SUMMARY DATA'!H:H,'SUMMARY DATA'!$A:$A=$A215,'SUMMARY DATA'!$C:$C=$B215,'SUMMARY DATA'!$B:$B=""RWS"",'SUMMARY DATA'!$H:$H=$D215)),
  IF(
    OR(
      ISNUMBER(SEARCH(""CDM CASH DEPOSIT"",$C215)),
      ISNUMBER(S"&amp;"EARCH(""CASH DEPOSIT"",$C215))
    ),
    """",
    IFERROR(TEXTJOIN(CHAR(10),TRUE,FILTER('SUMMARY DATA'!H:H,'SUMMARY DATA'!$D:$D=$C215,'SUMMARY DATA'!$B:$B=""RWS"",'SUMMARY DATA'!$H:$H=$D215)),"""")
  )
)"),"")</f>
      </c>
      <c r="I215" s="18" t="str">
        <f>IFERROR(__xludf.DUMMYFUNCTION("IF(H215="""","""",
SUM(ARRAYFORMULA(VALUE(SPLIT(H215,CHAR(10)))))
)"),"")</f>
      </c>
      <c r="J215" s="17" t="str">
        <f>IFERROR(__xludf.DUMMYFUNCTION("IFERROR(
  TEXTJOIN(CHAR(10),TRUE,FILTER('SUMMARY DATA'!I:I,'SUMMARY DATA'!$A:$A=$A215,'SUMMARY DATA'!$C:$C=$B215,'SUMMARY DATA'!$B:$B=""RWS"")),
  IF(
    OR(
      ISNUMBER(SEARCH(""CDM CASH DEPOSIT"",$C215)),
      ISNUMBER(SEARCH(""CASH DEPOSIT"",$C21"&amp;"5)),
      COUNTIFS('SUMMARY DATA'!$D:$D,$C215,'SUMMARY DATA'!$B:$B,""RWS"")&lt;&gt;1
    ),
    """",
    IFERROR(TEXTJOIN(CHAR(10),TRUE,FILTER('SUMMARY DATA'!I:I,'SUMMARY DATA'!$D:$D=$C215,'SUMMARY DATA'!$B:$B=""RWS"")),"""")
  )
)"),"")</f>
      </c>
      <c r="K215" s="2"/>
      <c r="L215" s="2"/>
      <c r="M215" s="2"/>
      <c r="N215" s="2"/>
      <c r="O215" s="2"/>
      <c r="P215" s="2"/>
      <c r="Q215" s="2"/>
      <c r="R215" s="2"/>
      <c r="S215" s="2"/>
      <c r="T215" s="2"/>
      <c r="U215" s="2"/>
      <c r="V215" s="2"/>
      <c r="W215" s="2"/>
      <c r="X215" s="2"/>
      <c r="Y215" s="2"/>
      <c r="Z215" s="2"/>
      <c r="AA215" s="2"/>
      <c r="AB215" s="2"/>
    </row>
    <row r="216" spans="1:28" customHeight="true">
      <c r="A216" s="2" t="s">
        <v>318</v>
      </c>
      <c r="B216" s="15">
        <v>45946</v>
      </c>
      <c r="C216" s="2" t="s">
        <v>319</v>
      </c>
      <c r="D216" s="3">
        <v>83.86</v>
      </c>
      <c r="E216" s="16" t="s">
        <v>2396</v>
      </c>
      <c r="F216" s="17" t="s">
        <v>2432</v>
      </c>
      <c r="G216" s="17" t="s">
        <v>2393</v>
      </c>
      <c r="H216" s="18">
        <v>83.86</v>
      </c>
      <c r="I216" s="18">
        <v>83.86</v>
      </c>
      <c r="J216" s="17" t="s">
        <v>2394</v>
      </c>
      <c r="K216" s="2" t="s">
        <v>2395</v>
      </c>
      <c r="L216" s="2"/>
      <c r="M216" s="2"/>
      <c r="N216" s="2"/>
      <c r="O216" s="2"/>
      <c r="P216" s="2"/>
      <c r="Q216" s="2"/>
      <c r="R216" s="2"/>
      <c r="S216" s="2"/>
      <c r="T216" s="2"/>
      <c r="U216" s="2"/>
      <c r="V216" s="2"/>
      <c r="W216" s="2"/>
      <c r="X216" s="2"/>
      <c r="Y216" s="2"/>
      <c r="Z216" s="2"/>
      <c r="AA216" s="2"/>
      <c r="AB216" s="2"/>
    </row>
    <row r="217" spans="1:28" customHeight="true">
      <c r="A217" s="2" t="s">
        <v>320</v>
      </c>
      <c r="B217" s="15">
        <v>45946</v>
      </c>
      <c r="C217" s="2" t="s">
        <v>321</v>
      </c>
      <c r="D217" s="3">
        <v>3</v>
      </c>
      <c r="E217" s="16" t="str">
        <f>IFERROR(__xludf.DUMMYFUNCTION("IFERROR(
  TEXTJOIN(CHAR(10),TRUE,FILTER('SUMMARY DATA'!E:E,'SUMMARY DATA'!$A:$A=$A217,'SUMMARY DATA'!$C:$C=$B217,'SUMMARY DATA'!$B:$B=""RWS"")),
  IF(
    OR(
      ISNUMBER(SEARCH(""CDM CASH DEPOSIT"",$C217)),
      ISNUMBER(SEARCH(""CASH DEPOSIT"",$C21"&amp;"7)),
      COUNTIFS('SUMMARY DATA'!$D:$D,$C217,'SUMMARY DATA'!$B:$B,""RWS"")&lt;&gt;1
    ),
    """",
    IFERROR(TEXTJOIN(CHAR(10),TRUE,FILTER('SUMMARY DATA'!E:E,'SUMMARY DATA'!$D:$D=$C217,'SUMMARY DATA'!$B:$B=""RWS"")),"""")
  )
)"),"")</f>
      </c>
      <c r="F217" s="17" t="str">
        <f>IFERROR(__xludf.DUMMYFUNCTION("IFERROR(
  TEXTJOIN(CHAR(10),TRUE,FILTER('SUMMARY DATA'!F:F,'SUMMARY DATA'!$A:$A=$A217,'SUMMARY DATA'!$C:$C=$B217,'SUMMARY DATA'!$B:$B=""RWS"")),
  IF(
    OR(
      ISNUMBER(SEARCH(""CDM CASH DEPOSIT"",$C217)),
      ISNUMBER(SEARCH(""CASH DEPOSIT"",$C21"&amp;"7)),
      COUNTIFS('SUMMARY DATA'!$D:$D,$C217,'SUMMARY DATA'!$B:$B,""RWS"")&lt;&gt;1
    ),
    """",
    IFERROR(TEXTJOIN(CHAR(10),TRUE,FILTER('SUMMARY DATA'!F:F,'SUMMARY DATA'!$D:$D=$C217,'SUMMARY DATA'!$B:$B=""RWS"")),"""")
  )
)"),"")</f>
      </c>
      <c r="G217" s="17" t="str">
        <f>IFERROR(__xludf.DUMMYFUNCTION("IFERROR(
  TEXTJOIN(CHAR(10),TRUE,FILTER('SUMMARY DATA'!G:G,'SUMMARY DATA'!$A:$A=$A217,'SUMMARY DATA'!$C:$C=$B217,'SUMMARY DATA'!$B:$B=""RWS"")),
  IF(
    OR(
      ISNUMBER(SEARCH(""CDM CASH DEPOSIT"",$C217)),
      ISNUMBER(SEARCH(""CASH DEPOSIT"",$C21"&amp;"7)),
      COUNTIFS('SUMMARY DATA'!$D:$D,$C217,'SUMMARY DATA'!$B:$B,""RWS"")&lt;&gt;1
    ),
    """",
    IFERROR(TEXTJOIN(CHAR(10),TRUE,FILTER('SUMMARY DATA'!G:G,'SUMMARY DATA'!$D:$D=$C217,'SUMMARY DATA'!$B:$B=""RWS"")),"""")
  )
)"),"")</f>
      </c>
      <c r="H217" s="18" t="str">
        <f>IFERROR(__xludf.DUMMYFUNCTION("IFERROR(
  TEXTJOIN(CHAR(10),TRUE,FILTER('SUMMARY DATA'!H:H,'SUMMARY DATA'!$A:$A=$A217,'SUMMARY DATA'!$C:$C=$B217,'SUMMARY DATA'!$B:$B=""RWS"",'SUMMARY DATA'!$H:$H=$D217)),
  IF(
    OR(
      ISNUMBER(SEARCH(""CDM CASH DEPOSIT"",$C217)),
      ISNUMBER(S"&amp;"EARCH(""CASH DEPOSIT"",$C217))
    ),
    """",
    IFERROR(TEXTJOIN(CHAR(10),TRUE,FILTER('SUMMARY DATA'!H:H,'SUMMARY DATA'!$D:$D=$C217,'SUMMARY DATA'!$B:$B=""RWS"",'SUMMARY DATA'!$H:$H=$D217)),"""")
  )
)"),"")</f>
      </c>
      <c r="I217" s="18" t="str">
        <f>IFERROR(__xludf.DUMMYFUNCTION("IF(H217="""","""",
SUM(ARRAYFORMULA(VALUE(SPLIT(H217,CHAR(10)))))
)"),"")</f>
      </c>
      <c r="J217" s="17" t="str">
        <f>IFERROR(__xludf.DUMMYFUNCTION("IFERROR(
  TEXTJOIN(CHAR(10),TRUE,FILTER('SUMMARY DATA'!I:I,'SUMMARY DATA'!$A:$A=$A217,'SUMMARY DATA'!$C:$C=$B217,'SUMMARY DATA'!$B:$B=""RWS"")),
  IF(
    OR(
      ISNUMBER(SEARCH(""CDM CASH DEPOSIT"",$C217)),
      ISNUMBER(SEARCH(""CASH DEPOSIT"",$C21"&amp;"7)),
      COUNTIFS('SUMMARY DATA'!$D:$D,$C217,'SUMMARY DATA'!$B:$B,""RWS"")&lt;&gt;1
    ),
    """",
    IFERROR(TEXTJOIN(CHAR(10),TRUE,FILTER('SUMMARY DATA'!I:I,'SUMMARY DATA'!$D:$D=$C217,'SUMMARY DATA'!$B:$B=""RWS"")),"""")
  )
)"),"")</f>
      </c>
      <c r="K217" s="2"/>
      <c r="L217" s="2"/>
      <c r="M217" s="2"/>
      <c r="N217" s="2"/>
      <c r="O217" s="2"/>
      <c r="P217" s="2"/>
      <c r="Q217" s="2"/>
      <c r="R217" s="2"/>
      <c r="S217" s="2"/>
      <c r="T217" s="2"/>
      <c r="U217" s="2"/>
      <c r="V217" s="2"/>
      <c r="W217" s="2"/>
      <c r="X217" s="2"/>
      <c r="Y217" s="2"/>
      <c r="Z217" s="2"/>
      <c r="AA217" s="2"/>
      <c r="AB217" s="2"/>
    </row>
    <row r="218" spans="1:28" customHeight="true">
      <c r="A218" s="2" t="s">
        <v>322</v>
      </c>
      <c r="B218" s="15">
        <v>45946</v>
      </c>
      <c r="C218" s="2" t="s">
        <v>323</v>
      </c>
      <c r="D218" s="3">
        <v>12.72</v>
      </c>
      <c r="E218" s="16" t="str">
        <f>IFERROR(__xludf.DUMMYFUNCTION("IFERROR(
  TEXTJOIN(CHAR(10),TRUE,FILTER('SUMMARY DATA'!E:E,'SUMMARY DATA'!$A:$A=$A218,'SUMMARY DATA'!$C:$C=$B218,'SUMMARY DATA'!$B:$B=""RWS"")),
  IF(
    OR(
      ISNUMBER(SEARCH(""CDM CASH DEPOSIT"",$C218)),
      ISNUMBER(SEARCH(""CASH DEPOSIT"",$C21"&amp;"8)),
      COUNTIFS('SUMMARY DATA'!$D:$D,$C218,'SUMMARY DATA'!$B:$B,""RWS"")&lt;&gt;1
    ),
    """",
    IFERROR(TEXTJOIN(CHAR(10),TRUE,FILTER('SUMMARY DATA'!E:E,'SUMMARY DATA'!$D:$D=$C218,'SUMMARY DATA'!$B:$B=""RWS"")),"""")
  )
)"),"")</f>
      </c>
      <c r="F218" s="17" t="str">
        <f>IFERROR(__xludf.DUMMYFUNCTION("IFERROR(
  TEXTJOIN(CHAR(10),TRUE,FILTER('SUMMARY DATA'!F:F,'SUMMARY DATA'!$A:$A=$A218,'SUMMARY DATA'!$C:$C=$B218,'SUMMARY DATA'!$B:$B=""RWS"")),
  IF(
    OR(
      ISNUMBER(SEARCH(""CDM CASH DEPOSIT"",$C218)),
      ISNUMBER(SEARCH(""CASH DEPOSIT"",$C21"&amp;"8)),
      COUNTIFS('SUMMARY DATA'!$D:$D,$C218,'SUMMARY DATA'!$B:$B,""RWS"")&lt;&gt;1
    ),
    """",
    IFERROR(TEXTJOIN(CHAR(10),TRUE,FILTER('SUMMARY DATA'!F:F,'SUMMARY DATA'!$D:$D=$C218,'SUMMARY DATA'!$B:$B=""RWS"")),"""")
  )
)"),"")</f>
      </c>
      <c r="G218" s="17" t="str">
        <f>IFERROR(__xludf.DUMMYFUNCTION("IFERROR(
  TEXTJOIN(CHAR(10),TRUE,FILTER('SUMMARY DATA'!G:G,'SUMMARY DATA'!$A:$A=$A218,'SUMMARY DATA'!$C:$C=$B218,'SUMMARY DATA'!$B:$B=""RWS"")),
  IF(
    OR(
      ISNUMBER(SEARCH(""CDM CASH DEPOSIT"",$C218)),
      ISNUMBER(SEARCH(""CASH DEPOSIT"",$C21"&amp;"8)),
      COUNTIFS('SUMMARY DATA'!$D:$D,$C218,'SUMMARY DATA'!$B:$B,""RWS"")&lt;&gt;1
    ),
    """",
    IFERROR(TEXTJOIN(CHAR(10),TRUE,FILTER('SUMMARY DATA'!G:G,'SUMMARY DATA'!$D:$D=$C218,'SUMMARY DATA'!$B:$B=""RWS"")),"""")
  )
)"),"")</f>
      </c>
      <c r="H218" s="18" t="str">
        <f>IFERROR(__xludf.DUMMYFUNCTION("IFERROR(
  TEXTJOIN(CHAR(10),TRUE,FILTER('SUMMARY DATA'!H:H,'SUMMARY DATA'!$A:$A=$A218,'SUMMARY DATA'!$C:$C=$B218,'SUMMARY DATA'!$B:$B=""RWS"",'SUMMARY DATA'!$H:$H=$D218)),
  IF(
    OR(
      ISNUMBER(SEARCH(""CDM CASH DEPOSIT"",$C218)),
      ISNUMBER(S"&amp;"EARCH(""CASH DEPOSIT"",$C218))
    ),
    """",
    IFERROR(TEXTJOIN(CHAR(10),TRUE,FILTER('SUMMARY DATA'!H:H,'SUMMARY DATA'!$D:$D=$C218,'SUMMARY DATA'!$B:$B=""RWS"",'SUMMARY DATA'!$H:$H=$D218)),"""")
  )
)"),"")</f>
      </c>
      <c r="I218" s="18" t="str">
        <f>IFERROR(__xludf.DUMMYFUNCTION("IF(H218="""","""",
SUM(ARRAYFORMULA(VALUE(SPLIT(H218,CHAR(10)))))
)"),"")</f>
      </c>
      <c r="J218" s="17" t="str">
        <f>IFERROR(__xludf.DUMMYFUNCTION("IFERROR(
  TEXTJOIN(CHAR(10),TRUE,FILTER('SUMMARY DATA'!I:I,'SUMMARY DATA'!$A:$A=$A218,'SUMMARY DATA'!$C:$C=$B218,'SUMMARY DATA'!$B:$B=""RWS"")),
  IF(
    OR(
      ISNUMBER(SEARCH(""CDM CASH DEPOSIT"",$C218)),
      ISNUMBER(SEARCH(""CASH DEPOSIT"",$C21"&amp;"8)),
      COUNTIFS('SUMMARY DATA'!$D:$D,$C218,'SUMMARY DATA'!$B:$B,""RWS"")&lt;&gt;1
    ),
    """",
    IFERROR(TEXTJOIN(CHAR(10),TRUE,FILTER('SUMMARY DATA'!I:I,'SUMMARY DATA'!$D:$D=$C218,'SUMMARY DATA'!$B:$B=""RWS"")),"""")
  )
)"),"")</f>
      </c>
      <c r="K218" s="2"/>
      <c r="L218" s="2"/>
      <c r="M218" s="2"/>
      <c r="N218" s="2"/>
      <c r="O218" s="2"/>
      <c r="P218" s="2"/>
      <c r="Q218" s="2"/>
      <c r="R218" s="2"/>
      <c r="S218" s="2"/>
      <c r="T218" s="2"/>
      <c r="U218" s="2"/>
      <c r="V218" s="2"/>
      <c r="W218" s="2"/>
      <c r="X218" s="2"/>
      <c r="Y218" s="2"/>
      <c r="Z218" s="2"/>
      <c r="AA218" s="2"/>
      <c r="AB218" s="2"/>
    </row>
    <row r="219" spans="1:28" customHeight="true">
      <c r="A219" s="2" t="s">
        <v>322</v>
      </c>
      <c r="B219" s="15">
        <v>45946</v>
      </c>
      <c r="C219" s="2" t="s">
        <v>48</v>
      </c>
      <c r="D219" s="3">
        <v>280</v>
      </c>
      <c r="E219" s="16" t="str">
        <f>IFERROR(__xludf.DUMMYFUNCTION("IFERROR(
  TEXTJOIN(CHAR(10),TRUE,FILTER('SUMMARY DATA'!E:E,'SUMMARY DATA'!$A:$A=$A219,'SUMMARY DATA'!$C:$C=$B219,'SUMMARY DATA'!$B:$B=""RWS"")),
  IF(
    OR(
      ISNUMBER(SEARCH(""CDM CASH DEPOSIT"",$C219)),
      ISNUMBER(SEARCH(""CASH DEPOSIT"",$C21"&amp;"9)),
      COUNTIFS('SUMMARY DATA'!$D:$D,$C219,'SUMMARY DATA'!$B:$B,""RWS"")&lt;&gt;1
    ),
    """",
    IFERROR(TEXTJOIN(CHAR(10),TRUE,FILTER('SUMMARY DATA'!E:E,'SUMMARY DATA'!$D:$D=$C219,'SUMMARY DATA'!$B:$B=""RWS"")),"""")
  )
)"),"")</f>
      </c>
      <c r="F219" s="17" t="str">
        <f>IFERROR(__xludf.DUMMYFUNCTION("IFERROR(
  TEXTJOIN(CHAR(10),TRUE,FILTER('SUMMARY DATA'!F:F,'SUMMARY DATA'!$A:$A=$A219,'SUMMARY DATA'!$C:$C=$B219,'SUMMARY DATA'!$B:$B=""RWS"")),
  IF(
    OR(
      ISNUMBER(SEARCH(""CDM CASH DEPOSIT"",$C219)),
      ISNUMBER(SEARCH(""CASH DEPOSIT"",$C21"&amp;"9)),
      COUNTIFS('SUMMARY DATA'!$D:$D,$C219,'SUMMARY DATA'!$B:$B,""RWS"")&lt;&gt;1
    ),
    """",
    IFERROR(TEXTJOIN(CHAR(10),TRUE,FILTER('SUMMARY DATA'!F:F,'SUMMARY DATA'!$D:$D=$C219,'SUMMARY DATA'!$B:$B=""RWS"")),"""")
  )
)"),"")</f>
      </c>
      <c r="G219" s="17" t="str">
        <f>IFERROR(__xludf.DUMMYFUNCTION("IFERROR(
  TEXTJOIN(CHAR(10),TRUE,FILTER('SUMMARY DATA'!G:G,'SUMMARY DATA'!$A:$A=$A219,'SUMMARY DATA'!$C:$C=$B219,'SUMMARY DATA'!$B:$B=""RWS"")),
  IF(
    OR(
      ISNUMBER(SEARCH(""CDM CASH DEPOSIT"",$C219)),
      ISNUMBER(SEARCH(""CASH DEPOSIT"",$C21"&amp;"9)),
      COUNTIFS('SUMMARY DATA'!$D:$D,$C219,'SUMMARY DATA'!$B:$B,""RWS"")&lt;&gt;1
    ),
    """",
    IFERROR(TEXTJOIN(CHAR(10),TRUE,FILTER('SUMMARY DATA'!G:G,'SUMMARY DATA'!$D:$D=$C219,'SUMMARY DATA'!$B:$B=""RWS"")),"""")
  )
)"),"")</f>
      </c>
      <c r="H219" s="18" t="str">
        <f>IFERROR(__xludf.DUMMYFUNCTION("IFERROR(
  TEXTJOIN(CHAR(10),TRUE,FILTER('SUMMARY DATA'!H:H,'SUMMARY DATA'!$A:$A=$A219,'SUMMARY DATA'!$C:$C=$B219,'SUMMARY DATA'!$B:$B=""RWS"",'SUMMARY DATA'!$H:$H=$D219)),
  IF(
    OR(
      ISNUMBER(SEARCH(""CDM CASH DEPOSIT"",$C219)),
      ISNUMBER(S"&amp;"EARCH(""CASH DEPOSIT"",$C219))
    ),
    """",
    IFERROR(TEXTJOIN(CHAR(10),TRUE,FILTER('SUMMARY DATA'!H:H,'SUMMARY DATA'!$D:$D=$C219,'SUMMARY DATA'!$B:$B=""RWS"",'SUMMARY DATA'!$H:$H=$D219)),"""")
  )
)"),"")</f>
      </c>
      <c r="I219" s="18" t="str">
        <f>IFERROR(__xludf.DUMMYFUNCTION("IF(H219="""","""",
SUM(ARRAYFORMULA(VALUE(SPLIT(H219,CHAR(10)))))
)"),"")</f>
      </c>
      <c r="J219" s="17" t="str">
        <f>IFERROR(__xludf.DUMMYFUNCTION("IFERROR(
  TEXTJOIN(CHAR(10),TRUE,FILTER('SUMMARY DATA'!I:I,'SUMMARY DATA'!$A:$A=$A219,'SUMMARY DATA'!$C:$C=$B219,'SUMMARY DATA'!$B:$B=""RWS"")),
  IF(
    OR(
      ISNUMBER(SEARCH(""CDM CASH DEPOSIT"",$C219)),
      ISNUMBER(SEARCH(""CASH DEPOSIT"",$C21"&amp;"9)),
      COUNTIFS('SUMMARY DATA'!$D:$D,$C219,'SUMMARY DATA'!$B:$B,""RWS"")&lt;&gt;1
    ),
    """",
    IFERROR(TEXTJOIN(CHAR(10),TRUE,FILTER('SUMMARY DATA'!I:I,'SUMMARY DATA'!$D:$D=$C219,'SUMMARY DATA'!$B:$B=""RWS"")),"""")
  )
)"),"")</f>
      </c>
      <c r="K219" s="2"/>
      <c r="L219" s="2"/>
      <c r="M219" s="2"/>
      <c r="N219" s="2"/>
      <c r="O219" s="2"/>
      <c r="P219" s="2"/>
      <c r="Q219" s="2"/>
      <c r="R219" s="2"/>
      <c r="S219" s="2"/>
      <c r="T219" s="2"/>
      <c r="U219" s="2"/>
      <c r="V219" s="2"/>
      <c r="W219" s="2"/>
      <c r="X219" s="2"/>
      <c r="Y219" s="2"/>
      <c r="Z219" s="2"/>
      <c r="AA219" s="2"/>
      <c r="AB219" s="2"/>
    </row>
    <row r="220" spans="1:28" customHeight="true">
      <c r="A220" s="2" t="s">
        <v>324</v>
      </c>
      <c r="B220" s="15">
        <v>45946</v>
      </c>
      <c r="C220" s="2" t="s">
        <v>325</v>
      </c>
      <c r="D220" s="3">
        <v>69.9</v>
      </c>
      <c r="E220" s="16" t="str">
        <f>IFERROR(__xludf.DUMMYFUNCTION("IFERROR(
  TEXTJOIN(CHAR(10),TRUE,FILTER('SUMMARY DATA'!E:E,'SUMMARY DATA'!$A:$A=$A220,'SUMMARY DATA'!$C:$C=$B220,'SUMMARY DATA'!$B:$B=""RWS"")),
  IF(
    OR(
      ISNUMBER(SEARCH(""CDM CASH DEPOSIT"",$C220)),
      ISNUMBER(SEARCH(""CASH DEPOSIT"",$C22"&amp;"0)),
      COUNTIFS('SUMMARY DATA'!$D:$D,$C220,'SUMMARY DATA'!$B:$B,""RWS"")&lt;&gt;1
    ),
    """",
    IFERROR(TEXTJOIN(CHAR(10),TRUE,FILTER('SUMMARY DATA'!E:E,'SUMMARY DATA'!$D:$D=$C220,'SUMMARY DATA'!$B:$B=""RWS"")),"""")
  )
)"),"")</f>
      </c>
      <c r="F220" s="17" t="str">
        <f>IFERROR(__xludf.DUMMYFUNCTION("IFERROR(
  TEXTJOIN(CHAR(10),TRUE,FILTER('SUMMARY DATA'!F:F,'SUMMARY DATA'!$A:$A=$A220,'SUMMARY DATA'!$C:$C=$B220,'SUMMARY DATA'!$B:$B=""RWS"")),
  IF(
    OR(
      ISNUMBER(SEARCH(""CDM CASH DEPOSIT"",$C220)),
      ISNUMBER(SEARCH(""CASH DEPOSIT"",$C22"&amp;"0)),
      COUNTIFS('SUMMARY DATA'!$D:$D,$C220,'SUMMARY DATA'!$B:$B,""RWS"")&lt;&gt;1
    ),
    """",
    IFERROR(TEXTJOIN(CHAR(10),TRUE,FILTER('SUMMARY DATA'!F:F,'SUMMARY DATA'!$D:$D=$C220,'SUMMARY DATA'!$B:$B=""RWS"")),"""")
  )
)"),"")</f>
      </c>
      <c r="G220" s="17" t="str">
        <f>IFERROR(__xludf.DUMMYFUNCTION("IFERROR(
  TEXTJOIN(CHAR(10),TRUE,FILTER('SUMMARY DATA'!G:G,'SUMMARY DATA'!$A:$A=$A220,'SUMMARY DATA'!$C:$C=$B220,'SUMMARY DATA'!$B:$B=""RWS"")),
  IF(
    OR(
      ISNUMBER(SEARCH(""CDM CASH DEPOSIT"",$C220)),
      ISNUMBER(SEARCH(""CASH DEPOSIT"",$C22"&amp;"0)),
      COUNTIFS('SUMMARY DATA'!$D:$D,$C220,'SUMMARY DATA'!$B:$B,""RWS"")&lt;&gt;1
    ),
    """",
    IFERROR(TEXTJOIN(CHAR(10),TRUE,FILTER('SUMMARY DATA'!G:G,'SUMMARY DATA'!$D:$D=$C220,'SUMMARY DATA'!$B:$B=""RWS"")),"""")
  )
)"),"")</f>
      </c>
      <c r="H220" s="18" t="str">
        <f>IFERROR(__xludf.DUMMYFUNCTION("IFERROR(
  TEXTJOIN(CHAR(10),TRUE,FILTER('SUMMARY DATA'!H:H,'SUMMARY DATA'!$A:$A=$A220,'SUMMARY DATA'!$C:$C=$B220,'SUMMARY DATA'!$B:$B=""RWS"",'SUMMARY DATA'!$H:$H=$D220)),
  IF(
    OR(
      ISNUMBER(SEARCH(""CDM CASH DEPOSIT"",$C220)),
      ISNUMBER(S"&amp;"EARCH(""CASH DEPOSIT"",$C220))
    ),
    """",
    IFERROR(TEXTJOIN(CHAR(10),TRUE,FILTER('SUMMARY DATA'!H:H,'SUMMARY DATA'!$D:$D=$C220,'SUMMARY DATA'!$B:$B=""RWS"",'SUMMARY DATA'!$H:$H=$D220)),"""")
  )
)"),"")</f>
      </c>
      <c r="I220" s="18" t="str">
        <f>IFERROR(__xludf.DUMMYFUNCTION("IF(H220="""","""",
SUM(ARRAYFORMULA(VALUE(SPLIT(H220,CHAR(10)))))
)"),"")</f>
      </c>
      <c r="J220" s="17" t="str">
        <f>IFERROR(__xludf.DUMMYFUNCTION("IFERROR(
  TEXTJOIN(CHAR(10),TRUE,FILTER('SUMMARY DATA'!I:I,'SUMMARY DATA'!$A:$A=$A220,'SUMMARY DATA'!$C:$C=$B220,'SUMMARY DATA'!$B:$B=""RWS"")),
  IF(
    OR(
      ISNUMBER(SEARCH(""CDM CASH DEPOSIT"",$C220)),
      ISNUMBER(SEARCH(""CASH DEPOSIT"",$C22"&amp;"0)),
      COUNTIFS('SUMMARY DATA'!$D:$D,$C220,'SUMMARY DATA'!$B:$B,""RWS"")&lt;&gt;1
    ),
    """",
    IFERROR(TEXTJOIN(CHAR(10),TRUE,FILTER('SUMMARY DATA'!I:I,'SUMMARY DATA'!$D:$D=$C220,'SUMMARY DATA'!$B:$B=""RWS"")),"""")
  )
)"),"")</f>
      </c>
      <c r="K220" s="2"/>
      <c r="L220" s="2"/>
      <c r="M220" s="2"/>
      <c r="N220" s="2"/>
      <c r="O220" s="2"/>
      <c r="P220" s="2"/>
      <c r="Q220" s="2"/>
      <c r="R220" s="2"/>
      <c r="S220" s="2"/>
      <c r="T220" s="2"/>
      <c r="U220" s="2"/>
      <c r="V220" s="2"/>
      <c r="W220" s="2"/>
      <c r="X220" s="2"/>
      <c r="Y220" s="2"/>
      <c r="Z220" s="2"/>
      <c r="AA220" s="2"/>
      <c r="AB220" s="2"/>
    </row>
    <row r="221" spans="1:28" customHeight="true">
      <c r="A221" s="2" t="s">
        <v>326</v>
      </c>
      <c r="B221" s="15">
        <v>45946</v>
      </c>
      <c r="C221" s="2" t="s">
        <v>327</v>
      </c>
      <c r="D221" s="3">
        <v>36.39</v>
      </c>
      <c r="E221" s="16" t="str">
        <f>IFERROR(__xludf.DUMMYFUNCTION("IFERROR(
  TEXTJOIN(CHAR(10),TRUE,FILTER('SUMMARY DATA'!E:E,'SUMMARY DATA'!$A:$A=$A221,'SUMMARY DATA'!$C:$C=$B221,'SUMMARY DATA'!$B:$B=""RWS"")),
  IF(
    OR(
      ISNUMBER(SEARCH(""CDM CASH DEPOSIT"",$C221)),
      ISNUMBER(SEARCH(""CASH DEPOSIT"",$C22"&amp;"1)),
      COUNTIFS('SUMMARY DATA'!$D:$D,$C221,'SUMMARY DATA'!$B:$B,""RWS"")&lt;&gt;1
    ),
    """",
    IFERROR(TEXTJOIN(CHAR(10),TRUE,FILTER('SUMMARY DATA'!E:E,'SUMMARY DATA'!$D:$D=$C221,'SUMMARY DATA'!$B:$B=""RWS"")),"""")
  )
)"),"")</f>
      </c>
      <c r="F221" s="17" t="str">
        <f>IFERROR(__xludf.DUMMYFUNCTION("IFERROR(
  TEXTJOIN(CHAR(10),TRUE,FILTER('SUMMARY DATA'!F:F,'SUMMARY DATA'!$A:$A=$A221,'SUMMARY DATA'!$C:$C=$B221,'SUMMARY DATA'!$B:$B=""RWS"")),
  IF(
    OR(
      ISNUMBER(SEARCH(""CDM CASH DEPOSIT"",$C221)),
      ISNUMBER(SEARCH(""CASH DEPOSIT"",$C22"&amp;"1)),
      COUNTIFS('SUMMARY DATA'!$D:$D,$C221,'SUMMARY DATA'!$B:$B,""RWS"")&lt;&gt;1
    ),
    """",
    IFERROR(TEXTJOIN(CHAR(10),TRUE,FILTER('SUMMARY DATA'!F:F,'SUMMARY DATA'!$D:$D=$C221,'SUMMARY DATA'!$B:$B=""RWS"")),"""")
  )
)"),"")</f>
      </c>
      <c r="G221" s="17" t="str">
        <f>IFERROR(__xludf.DUMMYFUNCTION("IFERROR(
  TEXTJOIN(CHAR(10),TRUE,FILTER('SUMMARY DATA'!G:G,'SUMMARY DATA'!$A:$A=$A221,'SUMMARY DATA'!$C:$C=$B221,'SUMMARY DATA'!$B:$B=""RWS"")),
  IF(
    OR(
      ISNUMBER(SEARCH(""CDM CASH DEPOSIT"",$C221)),
      ISNUMBER(SEARCH(""CASH DEPOSIT"",$C22"&amp;"1)),
      COUNTIFS('SUMMARY DATA'!$D:$D,$C221,'SUMMARY DATA'!$B:$B,""RWS"")&lt;&gt;1
    ),
    """",
    IFERROR(TEXTJOIN(CHAR(10),TRUE,FILTER('SUMMARY DATA'!G:G,'SUMMARY DATA'!$D:$D=$C221,'SUMMARY DATA'!$B:$B=""RWS"")),"""")
  )
)"),"")</f>
      </c>
      <c r="H221" s="18" t="str">
        <f>IFERROR(__xludf.DUMMYFUNCTION("IFERROR(
  TEXTJOIN(CHAR(10),TRUE,FILTER('SUMMARY DATA'!H:H,'SUMMARY DATA'!$A:$A=$A221,'SUMMARY DATA'!$C:$C=$B221,'SUMMARY DATA'!$B:$B=""RWS"",'SUMMARY DATA'!$H:$H=$D221)),
  IF(
    OR(
      ISNUMBER(SEARCH(""CDM CASH DEPOSIT"",$C221)),
      ISNUMBER(S"&amp;"EARCH(""CASH DEPOSIT"",$C221))
    ),
    """",
    IFERROR(TEXTJOIN(CHAR(10),TRUE,FILTER('SUMMARY DATA'!H:H,'SUMMARY DATA'!$D:$D=$C221,'SUMMARY DATA'!$B:$B=""RWS"",'SUMMARY DATA'!$H:$H=$D221)),"""")
  )
)"),"")</f>
      </c>
      <c r="I221" s="18" t="str">
        <f>IFERROR(__xludf.DUMMYFUNCTION("IF(H221="""","""",
SUM(ARRAYFORMULA(VALUE(SPLIT(H221,CHAR(10)))))
)"),"")</f>
      </c>
      <c r="J221" s="17" t="str">
        <f>IFERROR(__xludf.DUMMYFUNCTION("IFERROR(
  TEXTJOIN(CHAR(10),TRUE,FILTER('SUMMARY DATA'!I:I,'SUMMARY DATA'!$A:$A=$A221,'SUMMARY DATA'!$C:$C=$B221,'SUMMARY DATA'!$B:$B=""RWS"")),
  IF(
    OR(
      ISNUMBER(SEARCH(""CDM CASH DEPOSIT"",$C221)),
      ISNUMBER(SEARCH(""CASH DEPOSIT"",$C22"&amp;"1)),
      COUNTIFS('SUMMARY DATA'!$D:$D,$C221,'SUMMARY DATA'!$B:$B,""RWS"")&lt;&gt;1
    ),
    """",
    IFERROR(TEXTJOIN(CHAR(10),TRUE,FILTER('SUMMARY DATA'!I:I,'SUMMARY DATA'!$D:$D=$C221,'SUMMARY DATA'!$B:$B=""RWS"")),"""")
  )
)"),"")</f>
      </c>
      <c r="K221" s="2"/>
      <c r="L221" s="2"/>
      <c r="M221" s="2"/>
      <c r="N221" s="2"/>
      <c r="O221" s="2"/>
      <c r="P221" s="2"/>
      <c r="Q221" s="2"/>
      <c r="R221" s="2"/>
      <c r="S221" s="2"/>
      <c r="T221" s="2"/>
      <c r="U221" s="2"/>
      <c r="V221" s="2"/>
      <c r="W221" s="2"/>
      <c r="X221" s="2"/>
      <c r="Y221" s="2"/>
      <c r="Z221" s="2"/>
      <c r="AA221" s="2"/>
      <c r="AB221" s="2"/>
    </row>
    <row r="222" spans="1:28" customHeight="true">
      <c r="A222" s="2"/>
      <c r="B222" s="15">
        <v>45946</v>
      </c>
      <c r="C222" s="2" t="s">
        <v>328</v>
      </c>
      <c r="D222" s="3">
        <v>11</v>
      </c>
      <c r="E222" s="16" t="str">
        <f>IFERROR(__xludf.DUMMYFUNCTION("IFERROR(
  TEXTJOIN(CHAR(10),TRUE,FILTER('SUMMARY DATA'!E:E,'SUMMARY DATA'!$A:$A=$A222,'SUMMARY DATA'!$C:$C=$B222,'SUMMARY DATA'!$B:$B=""RWS"")),
  IF(
    OR(
      ISNUMBER(SEARCH(""CDM CASH DEPOSIT"",$C222)),
      ISNUMBER(SEARCH(""CASH DEPOSIT"",$C22"&amp;"2)),
      COUNTIFS('SUMMARY DATA'!$D:$D,$C222,'SUMMARY DATA'!$B:$B,""RWS"")&lt;&gt;1
    ),
    """",
    IFERROR(TEXTJOIN(CHAR(10),TRUE,FILTER('SUMMARY DATA'!E:E,'SUMMARY DATA'!$D:$D=$C222,'SUMMARY DATA'!$B:$B=""RWS"")),"""")
  )
)"),"")</f>
      </c>
      <c r="F222" s="17" t="str">
        <f>IFERROR(__xludf.DUMMYFUNCTION("IFERROR(
  TEXTJOIN(CHAR(10),TRUE,FILTER('SUMMARY DATA'!F:F,'SUMMARY DATA'!$A:$A=$A222,'SUMMARY DATA'!$C:$C=$B222,'SUMMARY DATA'!$B:$B=""RWS"")),
  IF(
    OR(
      ISNUMBER(SEARCH(""CDM CASH DEPOSIT"",$C222)),
      ISNUMBER(SEARCH(""CASH DEPOSIT"",$C22"&amp;"2)),
      COUNTIFS('SUMMARY DATA'!$D:$D,$C222,'SUMMARY DATA'!$B:$B,""RWS"")&lt;&gt;1
    ),
    """",
    IFERROR(TEXTJOIN(CHAR(10),TRUE,FILTER('SUMMARY DATA'!F:F,'SUMMARY DATA'!$D:$D=$C222,'SUMMARY DATA'!$B:$B=""RWS"")),"""")
  )
)"),"")</f>
      </c>
      <c r="G222" s="17" t="str">
        <f>IFERROR(__xludf.DUMMYFUNCTION("IFERROR(
  TEXTJOIN(CHAR(10),TRUE,FILTER('SUMMARY DATA'!G:G,'SUMMARY DATA'!$A:$A=$A222,'SUMMARY DATA'!$C:$C=$B222,'SUMMARY DATA'!$B:$B=""RWS"")),
  IF(
    OR(
      ISNUMBER(SEARCH(""CDM CASH DEPOSIT"",$C222)),
      ISNUMBER(SEARCH(""CASH DEPOSIT"",$C22"&amp;"2)),
      COUNTIFS('SUMMARY DATA'!$D:$D,$C222,'SUMMARY DATA'!$B:$B,""RWS"")&lt;&gt;1
    ),
    """",
    IFERROR(TEXTJOIN(CHAR(10),TRUE,FILTER('SUMMARY DATA'!G:G,'SUMMARY DATA'!$D:$D=$C222,'SUMMARY DATA'!$B:$B=""RWS"")),"""")
  )
)"),"")</f>
      </c>
      <c r="H222" s="18" t="str">
        <f>IFERROR(__xludf.DUMMYFUNCTION("IFERROR(
  TEXTJOIN(CHAR(10),TRUE,FILTER('SUMMARY DATA'!H:H,'SUMMARY DATA'!$A:$A=$A222,'SUMMARY DATA'!$C:$C=$B222,'SUMMARY DATA'!$B:$B=""RWS"",'SUMMARY DATA'!$H:$H=$D222)),
  IF(
    OR(
      ISNUMBER(SEARCH(""CDM CASH DEPOSIT"",$C222)),
      ISNUMBER(S"&amp;"EARCH(""CASH DEPOSIT"",$C222))
    ),
    """",
    IFERROR(TEXTJOIN(CHAR(10),TRUE,FILTER('SUMMARY DATA'!H:H,'SUMMARY DATA'!$D:$D=$C222,'SUMMARY DATA'!$B:$B=""RWS"",'SUMMARY DATA'!$H:$H=$D222)),"""")
  )
)"),"")</f>
      </c>
      <c r="I222" s="18" t="str">
        <f>IFERROR(__xludf.DUMMYFUNCTION("IF(H222="""","""",
SUM(ARRAYFORMULA(VALUE(SPLIT(H222,CHAR(10)))))
)"),"")</f>
      </c>
      <c r="J222" s="17" t="str">
        <f>IFERROR(__xludf.DUMMYFUNCTION("IFERROR(
  TEXTJOIN(CHAR(10),TRUE,FILTER('SUMMARY DATA'!I:I,'SUMMARY DATA'!$A:$A=$A222,'SUMMARY DATA'!$C:$C=$B222,'SUMMARY DATA'!$B:$B=""RWS"")),
  IF(
    OR(
      ISNUMBER(SEARCH(""CDM CASH DEPOSIT"",$C222)),
      ISNUMBER(SEARCH(""CASH DEPOSIT"",$C22"&amp;"2)),
      COUNTIFS('SUMMARY DATA'!$D:$D,$C222,'SUMMARY DATA'!$B:$B,""RWS"")&lt;&gt;1
    ),
    """",
    IFERROR(TEXTJOIN(CHAR(10),TRUE,FILTER('SUMMARY DATA'!I:I,'SUMMARY DATA'!$D:$D=$C222,'SUMMARY DATA'!$B:$B=""RWS"")),"""")
  )
)"),"")</f>
      </c>
      <c r="K222" s="2"/>
      <c r="L222" s="2"/>
      <c r="M222" s="2"/>
      <c r="N222" s="2"/>
      <c r="O222" s="2"/>
      <c r="P222" s="2"/>
      <c r="Q222" s="2"/>
      <c r="R222" s="2"/>
      <c r="S222" s="2"/>
      <c r="T222" s="2"/>
      <c r="U222" s="2"/>
      <c r="V222" s="2"/>
      <c r="W222" s="2"/>
      <c r="X222" s="2"/>
      <c r="Y222" s="2"/>
      <c r="Z222" s="2"/>
      <c r="AA222" s="2"/>
      <c r="AB222" s="2"/>
    </row>
    <row r="223" spans="1:28" customHeight="true">
      <c r="A223" s="2" t="s">
        <v>329</v>
      </c>
      <c r="B223" s="15">
        <v>45945</v>
      </c>
      <c r="C223" s="2" t="s">
        <v>330</v>
      </c>
      <c r="D223" s="3">
        <v>10</v>
      </c>
      <c r="E223" s="16" t="str">
        <f>IFERROR(__xludf.DUMMYFUNCTION("IFERROR(
  TEXTJOIN(CHAR(10),TRUE,FILTER('SUMMARY DATA'!E:E,'SUMMARY DATA'!$A:$A=$A223,'SUMMARY DATA'!$C:$C=$B223,'SUMMARY DATA'!$B:$B=""RWS"")),
  IF(
    OR(
      ISNUMBER(SEARCH(""CDM CASH DEPOSIT"",$C223)),
      ISNUMBER(SEARCH(""CASH DEPOSIT"",$C22"&amp;"3)),
      COUNTIFS('SUMMARY DATA'!$D:$D,$C223,'SUMMARY DATA'!$B:$B,""RWS"")&lt;&gt;1
    ),
    """",
    IFERROR(TEXTJOIN(CHAR(10),TRUE,FILTER('SUMMARY DATA'!E:E,'SUMMARY DATA'!$D:$D=$C223,'SUMMARY DATA'!$B:$B=""RWS"")),"""")
  )
)"),"")</f>
      </c>
      <c r="F223" s="17" t="str">
        <f>IFERROR(__xludf.DUMMYFUNCTION("IFERROR(
  TEXTJOIN(CHAR(10),TRUE,FILTER('SUMMARY DATA'!F:F,'SUMMARY DATA'!$A:$A=$A223,'SUMMARY DATA'!$C:$C=$B223,'SUMMARY DATA'!$B:$B=""RWS"")),
  IF(
    OR(
      ISNUMBER(SEARCH(""CDM CASH DEPOSIT"",$C223)),
      ISNUMBER(SEARCH(""CASH DEPOSIT"",$C22"&amp;"3)),
      COUNTIFS('SUMMARY DATA'!$D:$D,$C223,'SUMMARY DATA'!$B:$B,""RWS"")&lt;&gt;1
    ),
    """",
    IFERROR(TEXTJOIN(CHAR(10),TRUE,FILTER('SUMMARY DATA'!F:F,'SUMMARY DATA'!$D:$D=$C223,'SUMMARY DATA'!$B:$B=""RWS"")),"""")
  )
)"),"")</f>
      </c>
      <c r="G223" s="17" t="str">
        <f>IFERROR(__xludf.DUMMYFUNCTION("IFERROR(
  TEXTJOIN(CHAR(10),TRUE,FILTER('SUMMARY DATA'!G:G,'SUMMARY DATA'!$A:$A=$A223,'SUMMARY DATA'!$C:$C=$B223,'SUMMARY DATA'!$B:$B=""RWS"")),
  IF(
    OR(
      ISNUMBER(SEARCH(""CDM CASH DEPOSIT"",$C223)),
      ISNUMBER(SEARCH(""CASH DEPOSIT"",$C22"&amp;"3)),
      COUNTIFS('SUMMARY DATA'!$D:$D,$C223,'SUMMARY DATA'!$B:$B,""RWS"")&lt;&gt;1
    ),
    """",
    IFERROR(TEXTJOIN(CHAR(10),TRUE,FILTER('SUMMARY DATA'!G:G,'SUMMARY DATA'!$D:$D=$C223,'SUMMARY DATA'!$B:$B=""RWS"")),"""")
  )
)"),"")</f>
      </c>
      <c r="H223" s="18" t="str">
        <f>IFERROR(__xludf.DUMMYFUNCTION("IFERROR(
  TEXTJOIN(CHAR(10),TRUE,FILTER('SUMMARY DATA'!H:H,'SUMMARY DATA'!$A:$A=$A223,'SUMMARY DATA'!$C:$C=$B223,'SUMMARY DATA'!$B:$B=""RWS"",'SUMMARY DATA'!$H:$H=$D223)),
  IF(
    OR(
      ISNUMBER(SEARCH(""CDM CASH DEPOSIT"",$C223)),
      ISNUMBER(S"&amp;"EARCH(""CASH DEPOSIT"",$C223))
    ),
    """",
    IFERROR(TEXTJOIN(CHAR(10),TRUE,FILTER('SUMMARY DATA'!H:H,'SUMMARY DATA'!$D:$D=$C223,'SUMMARY DATA'!$B:$B=""RWS"",'SUMMARY DATA'!$H:$H=$D223)),"""")
  )
)"),"")</f>
      </c>
      <c r="I223" s="18" t="str">
        <f>IFERROR(__xludf.DUMMYFUNCTION("IF(H223="""","""",
SUM(ARRAYFORMULA(VALUE(SPLIT(H223,CHAR(10)))))
)"),"")</f>
      </c>
      <c r="J223" s="17" t="str">
        <f>IFERROR(__xludf.DUMMYFUNCTION("IFERROR(
  TEXTJOIN(CHAR(10),TRUE,FILTER('SUMMARY DATA'!I:I,'SUMMARY DATA'!$A:$A=$A223,'SUMMARY DATA'!$C:$C=$B223,'SUMMARY DATA'!$B:$B=""RWS"")),
  IF(
    OR(
      ISNUMBER(SEARCH(""CDM CASH DEPOSIT"",$C223)),
      ISNUMBER(SEARCH(""CASH DEPOSIT"",$C22"&amp;"3)),
      COUNTIFS('SUMMARY DATA'!$D:$D,$C223,'SUMMARY DATA'!$B:$B,""RWS"")&lt;&gt;1
    ),
    """",
    IFERROR(TEXTJOIN(CHAR(10),TRUE,FILTER('SUMMARY DATA'!I:I,'SUMMARY DATA'!$D:$D=$C223,'SUMMARY DATA'!$B:$B=""RWS"")),"""")
  )
)"),"")</f>
      </c>
      <c r="K223" s="2"/>
      <c r="L223" s="2"/>
      <c r="M223" s="2"/>
      <c r="N223" s="2"/>
      <c r="O223" s="2"/>
      <c r="P223" s="2"/>
      <c r="Q223" s="2"/>
      <c r="R223" s="2"/>
      <c r="S223" s="2"/>
      <c r="T223" s="2"/>
      <c r="U223" s="2"/>
      <c r="V223" s="2"/>
      <c r="W223" s="2"/>
      <c r="X223" s="2"/>
      <c r="Y223" s="2"/>
      <c r="Z223" s="2"/>
      <c r="AA223" s="2"/>
      <c r="AB223" s="2"/>
    </row>
    <row r="224" spans="1:28" customHeight="true">
      <c r="A224" s="2"/>
      <c r="B224" s="15">
        <v>45945</v>
      </c>
      <c r="C224" s="2" t="s">
        <v>331</v>
      </c>
      <c r="D224" s="3">
        <v>962</v>
      </c>
      <c r="E224" s="16" t="str">
        <f>IFERROR(__xludf.DUMMYFUNCTION("IFERROR(
  TEXTJOIN(CHAR(10),TRUE,FILTER('SUMMARY DATA'!E:E,'SUMMARY DATA'!$A:$A=$A224,'SUMMARY DATA'!$C:$C=$B224,'SUMMARY DATA'!$B:$B=""RWS"")),
  IF(
    OR(
      ISNUMBER(SEARCH(""CDM CASH DEPOSIT"",$C224)),
      ISNUMBER(SEARCH(""CASH DEPOSIT"",$C22"&amp;"4)),
      COUNTIFS('SUMMARY DATA'!$D:$D,$C224,'SUMMARY DATA'!$B:$B,""RWS"")&lt;&gt;1
    ),
    """",
    IFERROR(TEXTJOIN(CHAR(10),TRUE,FILTER('SUMMARY DATA'!E:E,'SUMMARY DATA'!$D:$D=$C224,'SUMMARY DATA'!$B:$B=""RWS"")),"""")
  )
)"),"")</f>
      </c>
      <c r="F224" s="17" t="str">
        <f>IFERROR(__xludf.DUMMYFUNCTION("IFERROR(
  TEXTJOIN(CHAR(10),TRUE,FILTER('SUMMARY DATA'!F:F,'SUMMARY DATA'!$A:$A=$A224,'SUMMARY DATA'!$C:$C=$B224,'SUMMARY DATA'!$B:$B=""RWS"")),
  IF(
    OR(
      ISNUMBER(SEARCH(""CDM CASH DEPOSIT"",$C224)),
      ISNUMBER(SEARCH(""CASH DEPOSIT"",$C22"&amp;"4)),
      COUNTIFS('SUMMARY DATA'!$D:$D,$C224,'SUMMARY DATA'!$B:$B,""RWS"")&lt;&gt;1
    ),
    """",
    IFERROR(TEXTJOIN(CHAR(10),TRUE,FILTER('SUMMARY DATA'!F:F,'SUMMARY DATA'!$D:$D=$C224,'SUMMARY DATA'!$B:$B=""RWS"")),"""")
  )
)"),"")</f>
      </c>
      <c r="G224" s="17" t="str">
        <f>IFERROR(__xludf.DUMMYFUNCTION("IFERROR(
  TEXTJOIN(CHAR(10),TRUE,FILTER('SUMMARY DATA'!G:G,'SUMMARY DATA'!$A:$A=$A224,'SUMMARY DATA'!$C:$C=$B224,'SUMMARY DATA'!$B:$B=""RWS"")),
  IF(
    OR(
      ISNUMBER(SEARCH(""CDM CASH DEPOSIT"",$C224)),
      ISNUMBER(SEARCH(""CASH DEPOSIT"",$C22"&amp;"4)),
      COUNTIFS('SUMMARY DATA'!$D:$D,$C224,'SUMMARY DATA'!$B:$B,""RWS"")&lt;&gt;1
    ),
    """",
    IFERROR(TEXTJOIN(CHAR(10),TRUE,FILTER('SUMMARY DATA'!G:G,'SUMMARY DATA'!$D:$D=$C224,'SUMMARY DATA'!$B:$B=""RWS"")),"""")
  )
)"),"")</f>
      </c>
      <c r="H224" s="18" t="str">
        <f>IFERROR(__xludf.DUMMYFUNCTION("IFERROR(
  TEXTJOIN(CHAR(10),TRUE,FILTER('SUMMARY DATA'!H:H,'SUMMARY DATA'!$A:$A=$A224,'SUMMARY DATA'!$C:$C=$B224,'SUMMARY DATA'!$B:$B=""RWS"",'SUMMARY DATA'!$H:$H=$D224)),
  IF(
    OR(
      ISNUMBER(SEARCH(""CDM CASH DEPOSIT"",$C224)),
      ISNUMBER(S"&amp;"EARCH(""CASH DEPOSIT"",$C224))
    ),
    """",
    IFERROR(TEXTJOIN(CHAR(10),TRUE,FILTER('SUMMARY DATA'!H:H,'SUMMARY DATA'!$D:$D=$C224,'SUMMARY DATA'!$B:$B=""RWS"",'SUMMARY DATA'!$H:$H=$D224)),"""")
  )
)"),"")</f>
      </c>
      <c r="I224" s="18" t="str">
        <f>IFERROR(__xludf.DUMMYFUNCTION("IF(H224="""","""",
SUM(ARRAYFORMULA(VALUE(SPLIT(H224,CHAR(10)))))
)"),"")</f>
      </c>
      <c r="J224" s="17" t="str">
        <f>IFERROR(__xludf.DUMMYFUNCTION("IFERROR(
  TEXTJOIN(CHAR(10),TRUE,FILTER('SUMMARY DATA'!I:I,'SUMMARY DATA'!$A:$A=$A224,'SUMMARY DATA'!$C:$C=$B224,'SUMMARY DATA'!$B:$B=""RWS"")),
  IF(
    OR(
      ISNUMBER(SEARCH(""CDM CASH DEPOSIT"",$C224)),
      ISNUMBER(SEARCH(""CASH DEPOSIT"",$C22"&amp;"4)),
      COUNTIFS('SUMMARY DATA'!$D:$D,$C224,'SUMMARY DATA'!$B:$B,""RWS"")&lt;&gt;1
    ),
    """",
    IFERROR(TEXTJOIN(CHAR(10),TRUE,FILTER('SUMMARY DATA'!I:I,'SUMMARY DATA'!$D:$D=$C224,'SUMMARY DATA'!$B:$B=""RWS"")),"""")
  )
)"),"")</f>
      </c>
      <c r="K224" s="2"/>
      <c r="L224" s="2"/>
      <c r="M224" s="2"/>
      <c r="N224" s="2"/>
      <c r="O224" s="2"/>
      <c r="P224" s="2"/>
      <c r="Q224" s="2"/>
      <c r="R224" s="2"/>
      <c r="S224" s="2"/>
      <c r="T224" s="2"/>
      <c r="U224" s="2"/>
      <c r="V224" s="2"/>
      <c r="W224" s="2"/>
      <c r="X224" s="2"/>
      <c r="Y224" s="2"/>
      <c r="Z224" s="2"/>
      <c r="AA224" s="2"/>
      <c r="AB224" s="2"/>
    </row>
    <row r="225" spans="1:28" customHeight="true">
      <c r="A225" s="2" t="s">
        <v>332</v>
      </c>
      <c r="B225" s="15">
        <v>45945</v>
      </c>
      <c r="C225" s="2" t="s">
        <v>333</v>
      </c>
      <c r="D225" s="3">
        <v>525</v>
      </c>
      <c r="E225" s="16" t="str">
        <f>IFERROR(__xludf.DUMMYFUNCTION("IFERROR(
  TEXTJOIN(CHAR(10),TRUE,FILTER('SUMMARY DATA'!E:E,'SUMMARY DATA'!$A:$A=$A225,'SUMMARY DATA'!$C:$C=$B225,'SUMMARY DATA'!$B:$B=""RWS"")),
  IF(
    OR(
      ISNUMBER(SEARCH(""CDM CASH DEPOSIT"",$C225)),
      ISNUMBER(SEARCH(""CASH DEPOSIT"",$C22"&amp;"5)),
      COUNTIFS('SUMMARY DATA'!$D:$D,$C225,'SUMMARY DATA'!$B:$B,""RWS"")&lt;&gt;1
    ),
    """",
    IFERROR(TEXTJOIN(CHAR(10),TRUE,FILTER('SUMMARY DATA'!E:E,'SUMMARY DATA'!$D:$D=$C225,'SUMMARY DATA'!$B:$B=""RWS"")),"""")
  )
)"),"")</f>
      </c>
      <c r="F225" s="17" t="str">
        <f>IFERROR(__xludf.DUMMYFUNCTION("IFERROR(
  TEXTJOIN(CHAR(10),TRUE,FILTER('SUMMARY DATA'!F:F,'SUMMARY DATA'!$A:$A=$A225,'SUMMARY DATA'!$C:$C=$B225,'SUMMARY DATA'!$B:$B=""RWS"")),
  IF(
    OR(
      ISNUMBER(SEARCH(""CDM CASH DEPOSIT"",$C225)),
      ISNUMBER(SEARCH(""CASH DEPOSIT"",$C22"&amp;"5)),
      COUNTIFS('SUMMARY DATA'!$D:$D,$C225,'SUMMARY DATA'!$B:$B,""RWS"")&lt;&gt;1
    ),
    """",
    IFERROR(TEXTJOIN(CHAR(10),TRUE,FILTER('SUMMARY DATA'!F:F,'SUMMARY DATA'!$D:$D=$C225,'SUMMARY DATA'!$B:$B=""RWS"")),"""")
  )
)"),"")</f>
      </c>
      <c r="G225" s="17" t="str">
        <f>IFERROR(__xludf.DUMMYFUNCTION("IFERROR(
  TEXTJOIN(CHAR(10),TRUE,FILTER('SUMMARY DATA'!G:G,'SUMMARY DATA'!$A:$A=$A225,'SUMMARY DATA'!$C:$C=$B225,'SUMMARY DATA'!$B:$B=""RWS"")),
  IF(
    OR(
      ISNUMBER(SEARCH(""CDM CASH DEPOSIT"",$C225)),
      ISNUMBER(SEARCH(""CASH DEPOSIT"",$C22"&amp;"5)),
      COUNTIFS('SUMMARY DATA'!$D:$D,$C225,'SUMMARY DATA'!$B:$B,""RWS"")&lt;&gt;1
    ),
    """",
    IFERROR(TEXTJOIN(CHAR(10),TRUE,FILTER('SUMMARY DATA'!G:G,'SUMMARY DATA'!$D:$D=$C225,'SUMMARY DATA'!$B:$B=""RWS"")),"""")
  )
)"),"")</f>
      </c>
      <c r="H225" s="18" t="str">
        <f>IFERROR(__xludf.DUMMYFUNCTION("IFERROR(
  TEXTJOIN(CHAR(10),TRUE,FILTER('SUMMARY DATA'!H:H,'SUMMARY DATA'!$A:$A=$A225,'SUMMARY DATA'!$C:$C=$B225,'SUMMARY DATA'!$B:$B=""RWS"",'SUMMARY DATA'!$H:$H=$D225)),
  IF(
    OR(
      ISNUMBER(SEARCH(""CDM CASH DEPOSIT"",$C225)),
      ISNUMBER(S"&amp;"EARCH(""CASH DEPOSIT"",$C225))
    ),
    """",
    IFERROR(TEXTJOIN(CHAR(10),TRUE,FILTER('SUMMARY DATA'!H:H,'SUMMARY DATA'!$D:$D=$C225,'SUMMARY DATA'!$B:$B=""RWS"",'SUMMARY DATA'!$H:$H=$D225)),"""")
  )
)"),"")</f>
      </c>
      <c r="I225" s="18" t="str">
        <f>IFERROR(__xludf.DUMMYFUNCTION("IF(H225="""","""",
SUM(ARRAYFORMULA(VALUE(SPLIT(H225,CHAR(10)))))
)"),"")</f>
      </c>
      <c r="J225" s="17" t="str">
        <f>IFERROR(__xludf.DUMMYFUNCTION("IFERROR(
  TEXTJOIN(CHAR(10),TRUE,FILTER('SUMMARY DATA'!I:I,'SUMMARY DATA'!$A:$A=$A225,'SUMMARY DATA'!$C:$C=$B225,'SUMMARY DATA'!$B:$B=""RWS"")),
  IF(
    OR(
      ISNUMBER(SEARCH(""CDM CASH DEPOSIT"",$C225)),
      ISNUMBER(SEARCH(""CASH DEPOSIT"",$C22"&amp;"5)),
      COUNTIFS('SUMMARY DATA'!$D:$D,$C225,'SUMMARY DATA'!$B:$B,""RWS"")&lt;&gt;1
    ),
    """",
    IFERROR(TEXTJOIN(CHAR(10),TRUE,FILTER('SUMMARY DATA'!I:I,'SUMMARY DATA'!$D:$D=$C225,'SUMMARY DATA'!$B:$B=""RWS"")),"""")
  )
)"),"")</f>
      </c>
      <c r="K225" s="2"/>
      <c r="L225" s="2"/>
      <c r="M225" s="2"/>
      <c r="N225" s="2"/>
      <c r="O225" s="2"/>
      <c r="P225" s="2"/>
      <c r="Q225" s="2"/>
      <c r="R225" s="2"/>
      <c r="S225" s="2"/>
      <c r="T225" s="2"/>
      <c r="U225" s="2"/>
      <c r="V225" s="2"/>
      <c r="W225" s="2"/>
      <c r="X225" s="2"/>
      <c r="Y225" s="2"/>
      <c r="Z225" s="2"/>
      <c r="AA225" s="2"/>
      <c r="AB225" s="2"/>
    </row>
    <row r="226" spans="1:28" customHeight="true">
      <c r="A226" s="2" t="s">
        <v>334</v>
      </c>
      <c r="B226" s="15">
        <v>45944</v>
      </c>
      <c r="C226" s="2" t="s">
        <v>335</v>
      </c>
      <c r="D226" s="3">
        <v>685.54</v>
      </c>
      <c r="E226" s="16" t="str">
        <f>IFERROR(__xludf.DUMMYFUNCTION("IFERROR(
  TEXTJOIN(CHAR(10),TRUE,FILTER('SUMMARY DATA'!E:E,'SUMMARY DATA'!$A:$A=$A226,'SUMMARY DATA'!$C:$C=$B226,'SUMMARY DATA'!$B:$B=""RWS"")),
  IF(
    OR(
      ISNUMBER(SEARCH(""CDM CASH DEPOSIT"",$C226)),
      ISNUMBER(SEARCH(""CASH DEPOSIT"",$C22"&amp;"6)),
      COUNTIFS('SUMMARY DATA'!$D:$D,$C226,'SUMMARY DATA'!$B:$B,""RWS"")&lt;&gt;1
    ),
    """",
    IFERROR(TEXTJOIN(CHAR(10),TRUE,FILTER('SUMMARY DATA'!E:E,'SUMMARY DATA'!$D:$D=$C226,'SUMMARY DATA'!$B:$B=""RWS"")),"""")
  )
)"),"")</f>
      </c>
      <c r="F226" s="17" t="str">
        <f>IFERROR(__xludf.DUMMYFUNCTION("IFERROR(
  TEXTJOIN(CHAR(10),TRUE,FILTER('SUMMARY DATA'!F:F,'SUMMARY DATA'!$A:$A=$A226,'SUMMARY DATA'!$C:$C=$B226,'SUMMARY DATA'!$B:$B=""RWS"")),
  IF(
    OR(
      ISNUMBER(SEARCH(""CDM CASH DEPOSIT"",$C226)),
      ISNUMBER(SEARCH(""CASH DEPOSIT"",$C22"&amp;"6)),
      COUNTIFS('SUMMARY DATA'!$D:$D,$C226,'SUMMARY DATA'!$B:$B,""RWS"")&lt;&gt;1
    ),
    """",
    IFERROR(TEXTJOIN(CHAR(10),TRUE,FILTER('SUMMARY DATA'!F:F,'SUMMARY DATA'!$D:$D=$C226,'SUMMARY DATA'!$B:$B=""RWS"")),"""")
  )
)"),"")</f>
      </c>
      <c r="G226" s="17" t="str">
        <f>IFERROR(__xludf.DUMMYFUNCTION("IFERROR(
  TEXTJOIN(CHAR(10),TRUE,FILTER('SUMMARY DATA'!G:G,'SUMMARY DATA'!$A:$A=$A226,'SUMMARY DATA'!$C:$C=$B226,'SUMMARY DATA'!$B:$B=""RWS"")),
  IF(
    OR(
      ISNUMBER(SEARCH(""CDM CASH DEPOSIT"",$C226)),
      ISNUMBER(SEARCH(""CASH DEPOSIT"",$C22"&amp;"6)),
      COUNTIFS('SUMMARY DATA'!$D:$D,$C226,'SUMMARY DATA'!$B:$B,""RWS"")&lt;&gt;1
    ),
    """",
    IFERROR(TEXTJOIN(CHAR(10),TRUE,FILTER('SUMMARY DATA'!G:G,'SUMMARY DATA'!$D:$D=$C226,'SUMMARY DATA'!$B:$B=""RWS"")),"""")
  )
)"),"")</f>
      </c>
      <c r="H226" s="18" t="str">
        <f>IFERROR(__xludf.DUMMYFUNCTION("IFERROR(
  TEXTJOIN(CHAR(10),TRUE,FILTER('SUMMARY DATA'!H:H,'SUMMARY DATA'!$A:$A=$A226,'SUMMARY DATA'!$C:$C=$B226,'SUMMARY DATA'!$B:$B=""RWS"",'SUMMARY DATA'!$H:$H=$D226)),
  IF(
    OR(
      ISNUMBER(SEARCH(""CDM CASH DEPOSIT"",$C226)),
      ISNUMBER(S"&amp;"EARCH(""CASH DEPOSIT"",$C226))
    ),
    """",
    IFERROR(TEXTJOIN(CHAR(10),TRUE,FILTER('SUMMARY DATA'!H:H,'SUMMARY DATA'!$D:$D=$C226,'SUMMARY DATA'!$B:$B=""RWS"",'SUMMARY DATA'!$H:$H=$D226)),"""")
  )
)"),"")</f>
      </c>
      <c r="I226" s="18" t="str">
        <f>IFERROR(__xludf.DUMMYFUNCTION("IF(H226="""","""",
SUM(ARRAYFORMULA(VALUE(SPLIT(H226,CHAR(10)))))
)"),"")</f>
      </c>
      <c r="J226" s="17" t="str">
        <f>IFERROR(__xludf.DUMMYFUNCTION("IFERROR(
  TEXTJOIN(CHAR(10),TRUE,FILTER('SUMMARY DATA'!I:I,'SUMMARY DATA'!$A:$A=$A226,'SUMMARY DATA'!$C:$C=$B226,'SUMMARY DATA'!$B:$B=""RWS"")),
  IF(
    OR(
      ISNUMBER(SEARCH(""CDM CASH DEPOSIT"",$C226)),
      ISNUMBER(SEARCH(""CASH DEPOSIT"",$C22"&amp;"6)),
      COUNTIFS('SUMMARY DATA'!$D:$D,$C226,'SUMMARY DATA'!$B:$B,""RWS"")&lt;&gt;1
    ),
    """",
    IFERROR(TEXTJOIN(CHAR(10),TRUE,FILTER('SUMMARY DATA'!I:I,'SUMMARY DATA'!$D:$D=$C226,'SUMMARY DATA'!$B:$B=""RWS"")),"""")
  )
)"),"")</f>
      </c>
      <c r="K226" s="2"/>
      <c r="L226" s="2"/>
      <c r="M226" s="2"/>
      <c r="N226" s="2"/>
      <c r="O226" s="2"/>
      <c r="P226" s="2"/>
      <c r="Q226" s="2"/>
      <c r="R226" s="2"/>
      <c r="S226" s="2"/>
      <c r="T226" s="2"/>
      <c r="U226" s="2"/>
      <c r="V226" s="2"/>
      <c r="W226" s="2"/>
      <c r="X226" s="2"/>
      <c r="Y226" s="2"/>
      <c r="Z226" s="2"/>
      <c r="AA226" s="2"/>
      <c r="AB226" s="2"/>
    </row>
    <row r="227" spans="1:28" customHeight="true">
      <c r="A227" s="2" t="s">
        <v>336</v>
      </c>
      <c r="B227" s="15">
        <v>45944</v>
      </c>
      <c r="C227" s="2" t="s">
        <v>337</v>
      </c>
      <c r="D227" s="3">
        <v>578.99</v>
      </c>
      <c r="E227" s="16" t="str">
        <f>IFERROR(__xludf.DUMMYFUNCTION("IFERROR(
  TEXTJOIN(CHAR(10),TRUE,FILTER('SUMMARY DATA'!E:E,'SUMMARY DATA'!$A:$A=$A227,'SUMMARY DATA'!$C:$C=$B227,'SUMMARY DATA'!$B:$B=""RWS"")),
  IF(
    OR(
      ISNUMBER(SEARCH(""CDM CASH DEPOSIT"",$C227)),
      ISNUMBER(SEARCH(""CASH DEPOSIT"",$C22"&amp;"7)),
      COUNTIFS('SUMMARY DATA'!$D:$D,$C227,'SUMMARY DATA'!$B:$B,""RWS"")&lt;&gt;1
    ),
    """",
    IFERROR(TEXTJOIN(CHAR(10),TRUE,FILTER('SUMMARY DATA'!E:E,'SUMMARY DATA'!$D:$D=$C227,'SUMMARY DATA'!$B:$B=""RWS"")),"""")
  )
)"),"")</f>
      </c>
      <c r="F227" s="17" t="str">
        <f>IFERROR(__xludf.DUMMYFUNCTION("IFERROR(
  TEXTJOIN(CHAR(10),TRUE,FILTER('SUMMARY DATA'!F:F,'SUMMARY DATA'!$A:$A=$A227,'SUMMARY DATA'!$C:$C=$B227,'SUMMARY DATA'!$B:$B=""RWS"")),
  IF(
    OR(
      ISNUMBER(SEARCH(""CDM CASH DEPOSIT"",$C227)),
      ISNUMBER(SEARCH(""CASH DEPOSIT"",$C22"&amp;"7)),
      COUNTIFS('SUMMARY DATA'!$D:$D,$C227,'SUMMARY DATA'!$B:$B,""RWS"")&lt;&gt;1
    ),
    """",
    IFERROR(TEXTJOIN(CHAR(10),TRUE,FILTER('SUMMARY DATA'!F:F,'SUMMARY DATA'!$D:$D=$C227,'SUMMARY DATA'!$B:$B=""RWS"")),"""")
  )
)"),"")</f>
      </c>
      <c r="G227" s="17" t="str">
        <f>IFERROR(__xludf.DUMMYFUNCTION("IFERROR(
  TEXTJOIN(CHAR(10),TRUE,FILTER('SUMMARY DATA'!G:G,'SUMMARY DATA'!$A:$A=$A227,'SUMMARY DATA'!$C:$C=$B227,'SUMMARY DATA'!$B:$B=""RWS"")),
  IF(
    OR(
      ISNUMBER(SEARCH(""CDM CASH DEPOSIT"",$C227)),
      ISNUMBER(SEARCH(""CASH DEPOSIT"",$C22"&amp;"7)),
      COUNTIFS('SUMMARY DATA'!$D:$D,$C227,'SUMMARY DATA'!$B:$B,""RWS"")&lt;&gt;1
    ),
    """",
    IFERROR(TEXTJOIN(CHAR(10),TRUE,FILTER('SUMMARY DATA'!G:G,'SUMMARY DATA'!$D:$D=$C227,'SUMMARY DATA'!$B:$B=""RWS"")),"""")
  )
)"),"")</f>
      </c>
      <c r="H227" s="18" t="str">
        <f>IFERROR(__xludf.DUMMYFUNCTION("IFERROR(
  TEXTJOIN(CHAR(10),TRUE,FILTER('SUMMARY DATA'!H:H,'SUMMARY DATA'!$A:$A=$A227,'SUMMARY DATA'!$C:$C=$B227,'SUMMARY DATA'!$B:$B=""RWS"",'SUMMARY DATA'!$H:$H=$D227)),
  IF(
    OR(
      ISNUMBER(SEARCH(""CDM CASH DEPOSIT"",$C227)),
      ISNUMBER(S"&amp;"EARCH(""CASH DEPOSIT"",$C227))
    ),
    """",
    IFERROR(TEXTJOIN(CHAR(10),TRUE,FILTER('SUMMARY DATA'!H:H,'SUMMARY DATA'!$D:$D=$C227,'SUMMARY DATA'!$B:$B=""RWS"",'SUMMARY DATA'!$H:$H=$D227)),"""")
  )
)"),"")</f>
      </c>
      <c r="I227" s="18" t="str">
        <f>IFERROR(__xludf.DUMMYFUNCTION("IF(H227="""","""",
SUM(ARRAYFORMULA(VALUE(SPLIT(H227,CHAR(10)))))
)"),"")</f>
      </c>
      <c r="J227" s="17" t="str">
        <f>IFERROR(__xludf.DUMMYFUNCTION("IFERROR(
  TEXTJOIN(CHAR(10),TRUE,FILTER('SUMMARY DATA'!I:I,'SUMMARY DATA'!$A:$A=$A227,'SUMMARY DATA'!$C:$C=$B227,'SUMMARY DATA'!$B:$B=""RWS"")),
  IF(
    OR(
      ISNUMBER(SEARCH(""CDM CASH DEPOSIT"",$C227)),
      ISNUMBER(SEARCH(""CASH DEPOSIT"",$C22"&amp;"7)),
      COUNTIFS('SUMMARY DATA'!$D:$D,$C227,'SUMMARY DATA'!$B:$B,""RWS"")&lt;&gt;1
    ),
    """",
    IFERROR(TEXTJOIN(CHAR(10),TRUE,FILTER('SUMMARY DATA'!I:I,'SUMMARY DATA'!$D:$D=$C227,'SUMMARY DATA'!$B:$B=""RWS"")),"""")
  )
)"),"")</f>
      </c>
      <c r="K227" s="2"/>
      <c r="L227" s="2"/>
      <c r="M227" s="2"/>
      <c r="N227" s="2"/>
      <c r="O227" s="2"/>
      <c r="P227" s="2"/>
      <c r="Q227" s="2"/>
      <c r="R227" s="2"/>
      <c r="S227" s="2"/>
      <c r="T227" s="2"/>
      <c r="U227" s="2"/>
      <c r="V227" s="2"/>
      <c r="W227" s="2"/>
      <c r="X227" s="2"/>
      <c r="Y227" s="2"/>
      <c r="Z227" s="2"/>
      <c r="AA227" s="2"/>
      <c r="AB227" s="2"/>
    </row>
    <row r="228" spans="1:28" customHeight="true">
      <c r="A228" s="2" t="s">
        <v>338</v>
      </c>
      <c r="B228" s="15">
        <v>45944</v>
      </c>
      <c r="C228" s="2" t="s">
        <v>339</v>
      </c>
      <c r="D228" s="3">
        <v>56.97</v>
      </c>
      <c r="E228" s="16" t="s">
        <v>2408</v>
      </c>
      <c r="F228" s="17" t="s">
        <v>2433</v>
      </c>
      <c r="G228" s="17" t="s">
        <v>2393</v>
      </c>
      <c r="H228" s="18">
        <v>56.97</v>
      </c>
      <c r="I228" s="18">
        <v>56.97</v>
      </c>
      <c r="J228" s="17" t="s">
        <v>2394</v>
      </c>
      <c r="K228" s="2" t="s">
        <v>2395</v>
      </c>
      <c r="L228" s="2"/>
      <c r="M228" s="2"/>
      <c r="N228" s="2"/>
      <c r="O228" s="2"/>
      <c r="P228" s="2"/>
      <c r="Q228" s="2"/>
      <c r="R228" s="2"/>
      <c r="S228" s="2"/>
      <c r="T228" s="2"/>
      <c r="U228" s="2"/>
      <c r="V228" s="2"/>
      <c r="W228" s="2"/>
      <c r="X228" s="2"/>
      <c r="Y228" s="2"/>
      <c r="Z228" s="2"/>
      <c r="AA228" s="2"/>
      <c r="AB228" s="2"/>
    </row>
    <row r="229" spans="1:28" customHeight="true">
      <c r="A229" s="2"/>
      <c r="B229" s="15">
        <v>45944</v>
      </c>
      <c r="C229" s="2" t="s">
        <v>340</v>
      </c>
      <c r="D229" s="3">
        <v>56.97</v>
      </c>
      <c r="E229" s="16" t="str">
        <f>IFERROR(__xludf.DUMMYFUNCTION("IFERROR(
  TEXTJOIN(CHAR(10),TRUE,FILTER('SUMMARY DATA'!E:E,'SUMMARY DATA'!$A:$A=$A229,'SUMMARY DATA'!$C:$C=$B229,'SUMMARY DATA'!$B:$B=""RWS"")),
  IF(
    OR(
      ISNUMBER(SEARCH(""CDM CASH DEPOSIT"",$C229)),
      ISNUMBER(SEARCH(""CASH DEPOSIT"",$C22"&amp;"9)),
      COUNTIFS('SUMMARY DATA'!$D:$D,$C229,'SUMMARY DATA'!$B:$B,""RWS"")&lt;&gt;1
    ),
    """",
    IFERROR(TEXTJOIN(CHAR(10),TRUE,FILTER('SUMMARY DATA'!E:E,'SUMMARY DATA'!$D:$D=$C229,'SUMMARY DATA'!$B:$B=""RWS"")),"""")
  )
)"),"")</f>
      </c>
      <c r="F229" s="17" t="str">
        <f>IFERROR(__xludf.DUMMYFUNCTION("IFERROR(
  TEXTJOIN(CHAR(10),TRUE,FILTER('SUMMARY DATA'!F:F,'SUMMARY DATA'!$A:$A=$A229,'SUMMARY DATA'!$C:$C=$B229,'SUMMARY DATA'!$B:$B=""RWS"")),
  IF(
    OR(
      ISNUMBER(SEARCH(""CDM CASH DEPOSIT"",$C229)),
      ISNUMBER(SEARCH(""CASH DEPOSIT"",$C22"&amp;"9)),
      COUNTIFS('SUMMARY DATA'!$D:$D,$C229,'SUMMARY DATA'!$B:$B,""RWS"")&lt;&gt;1
    ),
    """",
    IFERROR(TEXTJOIN(CHAR(10),TRUE,FILTER('SUMMARY DATA'!F:F,'SUMMARY DATA'!$D:$D=$C229,'SUMMARY DATA'!$B:$B=""RWS"")),"""")
  )
)"),"")</f>
      </c>
      <c r="G229" s="17" t="str">
        <f>IFERROR(__xludf.DUMMYFUNCTION("IFERROR(
  TEXTJOIN(CHAR(10),TRUE,FILTER('SUMMARY DATA'!G:G,'SUMMARY DATA'!$A:$A=$A229,'SUMMARY DATA'!$C:$C=$B229,'SUMMARY DATA'!$B:$B=""RWS"")),
  IF(
    OR(
      ISNUMBER(SEARCH(""CDM CASH DEPOSIT"",$C229)),
      ISNUMBER(SEARCH(""CASH DEPOSIT"",$C22"&amp;"9)),
      COUNTIFS('SUMMARY DATA'!$D:$D,$C229,'SUMMARY DATA'!$B:$B,""RWS"")&lt;&gt;1
    ),
    """",
    IFERROR(TEXTJOIN(CHAR(10),TRUE,FILTER('SUMMARY DATA'!G:G,'SUMMARY DATA'!$D:$D=$C229,'SUMMARY DATA'!$B:$B=""RWS"")),"""")
  )
)"),"")</f>
      </c>
      <c r="H229" s="18" t="str">
        <f>IFERROR(__xludf.DUMMYFUNCTION("IFERROR(
  TEXTJOIN(CHAR(10),TRUE,FILTER('SUMMARY DATA'!H:H,'SUMMARY DATA'!$A:$A=$A229,'SUMMARY DATA'!$C:$C=$B229,'SUMMARY DATA'!$B:$B=""RWS"",'SUMMARY DATA'!$H:$H=$D229)),
  IF(
    OR(
      ISNUMBER(SEARCH(""CDM CASH DEPOSIT"",$C229)),
      ISNUMBER(S"&amp;"EARCH(""CASH DEPOSIT"",$C229))
    ),
    """",
    IFERROR(TEXTJOIN(CHAR(10),TRUE,FILTER('SUMMARY DATA'!H:H,'SUMMARY DATA'!$D:$D=$C229,'SUMMARY DATA'!$B:$B=""RWS"",'SUMMARY DATA'!$H:$H=$D229)),"""")
  )
)"),"")</f>
      </c>
      <c r="I229" s="18" t="str">
        <f>IFERROR(__xludf.DUMMYFUNCTION("IF(H229="""","""",
SUM(ARRAYFORMULA(VALUE(SPLIT(H229,CHAR(10)))))
)"),"")</f>
      </c>
      <c r="J229" s="17" t="str">
        <f>IFERROR(__xludf.DUMMYFUNCTION("IFERROR(
  TEXTJOIN(CHAR(10),TRUE,FILTER('SUMMARY DATA'!I:I,'SUMMARY DATA'!$A:$A=$A229,'SUMMARY DATA'!$C:$C=$B229,'SUMMARY DATA'!$B:$B=""RWS"")),
  IF(
    OR(
      ISNUMBER(SEARCH(""CDM CASH DEPOSIT"",$C229)),
      ISNUMBER(SEARCH(""CASH DEPOSIT"",$C22"&amp;"9)),
      COUNTIFS('SUMMARY DATA'!$D:$D,$C229,'SUMMARY DATA'!$B:$B,""RWS"")&lt;&gt;1
    ),
    """",
    IFERROR(TEXTJOIN(CHAR(10),TRUE,FILTER('SUMMARY DATA'!I:I,'SUMMARY DATA'!$D:$D=$C229,'SUMMARY DATA'!$B:$B=""RWS"")),"""")
  )
)"),"")</f>
      </c>
      <c r="K229" s="2"/>
      <c r="L229" s="2"/>
      <c r="M229" s="2"/>
      <c r="N229" s="2"/>
      <c r="O229" s="2"/>
      <c r="P229" s="2"/>
      <c r="Q229" s="2"/>
      <c r="R229" s="2"/>
      <c r="S229" s="2"/>
      <c r="T229" s="2"/>
      <c r="U229" s="2"/>
      <c r="V229" s="2"/>
      <c r="W229" s="2"/>
      <c r="X229" s="2"/>
      <c r="Y229" s="2"/>
      <c r="Z229" s="2"/>
      <c r="AA229" s="2"/>
      <c r="AB229" s="2"/>
    </row>
    <row r="230" spans="1:28" customHeight="true">
      <c r="A230" s="2"/>
      <c r="B230" s="15">
        <v>45944</v>
      </c>
      <c r="C230" s="2" t="s">
        <v>341</v>
      </c>
      <c r="D230" s="3">
        <v>267</v>
      </c>
      <c r="E230" s="16" t="str">
        <f>IFERROR(__xludf.DUMMYFUNCTION("IFERROR(
  TEXTJOIN(CHAR(10),TRUE,FILTER('SUMMARY DATA'!E:E,'SUMMARY DATA'!$A:$A=$A230,'SUMMARY DATA'!$C:$C=$B230,'SUMMARY DATA'!$B:$B=""RWS"")),
  IF(
    OR(
      ISNUMBER(SEARCH(""CDM CASH DEPOSIT"",$C230)),
      ISNUMBER(SEARCH(""CASH DEPOSIT"",$C23"&amp;"0)),
      COUNTIFS('SUMMARY DATA'!$D:$D,$C230,'SUMMARY DATA'!$B:$B,""RWS"")&lt;&gt;1
    ),
    """",
    IFERROR(TEXTJOIN(CHAR(10),TRUE,FILTER('SUMMARY DATA'!E:E,'SUMMARY DATA'!$D:$D=$C230,'SUMMARY DATA'!$B:$B=""RWS"")),"""")
  )
)"),"")</f>
      </c>
      <c r="F230" s="17" t="str">
        <f>IFERROR(__xludf.DUMMYFUNCTION("IFERROR(
  TEXTJOIN(CHAR(10),TRUE,FILTER('SUMMARY DATA'!F:F,'SUMMARY DATA'!$A:$A=$A230,'SUMMARY DATA'!$C:$C=$B230,'SUMMARY DATA'!$B:$B=""RWS"")),
  IF(
    OR(
      ISNUMBER(SEARCH(""CDM CASH DEPOSIT"",$C230)),
      ISNUMBER(SEARCH(""CASH DEPOSIT"",$C23"&amp;"0)),
      COUNTIFS('SUMMARY DATA'!$D:$D,$C230,'SUMMARY DATA'!$B:$B,""RWS"")&lt;&gt;1
    ),
    """",
    IFERROR(TEXTJOIN(CHAR(10),TRUE,FILTER('SUMMARY DATA'!F:F,'SUMMARY DATA'!$D:$D=$C230,'SUMMARY DATA'!$B:$B=""RWS"")),"""")
  )
)"),"")</f>
      </c>
      <c r="G230" s="17" t="str">
        <f>IFERROR(__xludf.DUMMYFUNCTION("IFERROR(
  TEXTJOIN(CHAR(10),TRUE,FILTER('SUMMARY DATA'!G:G,'SUMMARY DATA'!$A:$A=$A230,'SUMMARY DATA'!$C:$C=$B230,'SUMMARY DATA'!$B:$B=""RWS"")),
  IF(
    OR(
      ISNUMBER(SEARCH(""CDM CASH DEPOSIT"",$C230)),
      ISNUMBER(SEARCH(""CASH DEPOSIT"",$C23"&amp;"0)),
      COUNTIFS('SUMMARY DATA'!$D:$D,$C230,'SUMMARY DATA'!$B:$B,""RWS"")&lt;&gt;1
    ),
    """",
    IFERROR(TEXTJOIN(CHAR(10),TRUE,FILTER('SUMMARY DATA'!G:G,'SUMMARY DATA'!$D:$D=$C230,'SUMMARY DATA'!$B:$B=""RWS"")),"""")
  )
)"),"")</f>
      </c>
      <c r="H230" s="18" t="str">
        <f>IFERROR(__xludf.DUMMYFUNCTION("IFERROR(
  TEXTJOIN(CHAR(10),TRUE,FILTER('SUMMARY DATA'!H:H,'SUMMARY DATA'!$A:$A=$A230,'SUMMARY DATA'!$C:$C=$B230,'SUMMARY DATA'!$B:$B=""RWS"",'SUMMARY DATA'!$H:$H=$D230)),
  IF(
    OR(
      ISNUMBER(SEARCH(""CDM CASH DEPOSIT"",$C230)),
      ISNUMBER(S"&amp;"EARCH(""CASH DEPOSIT"",$C230))
    ),
    """",
    IFERROR(TEXTJOIN(CHAR(10),TRUE,FILTER('SUMMARY DATA'!H:H,'SUMMARY DATA'!$D:$D=$C230,'SUMMARY DATA'!$B:$B=""RWS"",'SUMMARY DATA'!$H:$H=$D230)),"""")
  )
)"),"")</f>
      </c>
      <c r="I230" s="18" t="str">
        <f>IFERROR(__xludf.DUMMYFUNCTION("IF(H230="""","""",
SUM(ARRAYFORMULA(VALUE(SPLIT(H230,CHAR(10)))))
)"),"")</f>
      </c>
      <c r="J230" s="17" t="str">
        <f>IFERROR(__xludf.DUMMYFUNCTION("IFERROR(
  TEXTJOIN(CHAR(10),TRUE,FILTER('SUMMARY DATA'!I:I,'SUMMARY DATA'!$A:$A=$A230,'SUMMARY DATA'!$C:$C=$B230,'SUMMARY DATA'!$B:$B=""RWS"")),
  IF(
    OR(
      ISNUMBER(SEARCH(""CDM CASH DEPOSIT"",$C230)),
      ISNUMBER(SEARCH(""CASH DEPOSIT"",$C23"&amp;"0)),
      COUNTIFS('SUMMARY DATA'!$D:$D,$C230,'SUMMARY DATA'!$B:$B,""RWS"")&lt;&gt;1
    ),
    """",
    IFERROR(TEXTJOIN(CHAR(10),TRUE,FILTER('SUMMARY DATA'!I:I,'SUMMARY DATA'!$D:$D=$C230,'SUMMARY DATA'!$B:$B=""RWS"")),"""")
  )
)"),"")</f>
      </c>
      <c r="K230" s="2"/>
      <c r="L230" s="2"/>
      <c r="M230" s="2"/>
      <c r="N230" s="2"/>
      <c r="O230" s="2"/>
      <c r="P230" s="2"/>
      <c r="Q230" s="2"/>
      <c r="R230" s="2"/>
      <c r="S230" s="2"/>
      <c r="T230" s="2"/>
      <c r="U230" s="2"/>
      <c r="V230" s="2"/>
      <c r="W230" s="2"/>
      <c r="X230" s="2"/>
      <c r="Y230" s="2"/>
      <c r="Z230" s="2"/>
      <c r="AA230" s="2"/>
      <c r="AB230" s="2"/>
    </row>
    <row r="231" spans="1:28" customHeight="true">
      <c r="A231" s="2" t="s">
        <v>342</v>
      </c>
      <c r="B231" s="15">
        <v>45943</v>
      </c>
      <c r="C231" s="2" t="s">
        <v>343</v>
      </c>
      <c r="D231" s="3">
        <v>60.99</v>
      </c>
      <c r="E231" s="16" t="str">
        <f>IFERROR(__xludf.DUMMYFUNCTION("IFERROR(
  TEXTJOIN(CHAR(10),TRUE,FILTER('SUMMARY DATA'!E:E,'SUMMARY DATA'!$A:$A=$A231,'SUMMARY DATA'!$C:$C=$B231,'SUMMARY DATA'!$B:$B=""RWS"")),
  IF(
    OR(
      ISNUMBER(SEARCH(""CDM CASH DEPOSIT"",$C231)),
      ISNUMBER(SEARCH(""CASH DEPOSIT"",$C23"&amp;"1)),
      COUNTIFS('SUMMARY DATA'!$D:$D,$C231,'SUMMARY DATA'!$B:$B,""RWS"")&lt;&gt;1
    ),
    """",
    IFERROR(TEXTJOIN(CHAR(10),TRUE,FILTER('SUMMARY DATA'!E:E,'SUMMARY DATA'!$D:$D=$C231,'SUMMARY DATA'!$B:$B=""RWS"")),"""")
  )
)"),"")</f>
      </c>
      <c r="F231" s="17" t="str">
        <f>IFERROR(__xludf.DUMMYFUNCTION("IFERROR(
  TEXTJOIN(CHAR(10),TRUE,FILTER('SUMMARY DATA'!F:F,'SUMMARY DATA'!$A:$A=$A231,'SUMMARY DATA'!$C:$C=$B231,'SUMMARY DATA'!$B:$B=""RWS"")),
  IF(
    OR(
      ISNUMBER(SEARCH(""CDM CASH DEPOSIT"",$C231)),
      ISNUMBER(SEARCH(""CASH DEPOSIT"",$C23"&amp;"1)),
      COUNTIFS('SUMMARY DATA'!$D:$D,$C231,'SUMMARY DATA'!$B:$B,""RWS"")&lt;&gt;1
    ),
    """",
    IFERROR(TEXTJOIN(CHAR(10),TRUE,FILTER('SUMMARY DATA'!F:F,'SUMMARY DATA'!$D:$D=$C231,'SUMMARY DATA'!$B:$B=""RWS"")),"""")
  )
)"),"")</f>
      </c>
      <c r="G231" s="17" t="str">
        <f>IFERROR(__xludf.DUMMYFUNCTION("IFERROR(
  TEXTJOIN(CHAR(10),TRUE,FILTER('SUMMARY DATA'!G:G,'SUMMARY DATA'!$A:$A=$A231,'SUMMARY DATA'!$C:$C=$B231,'SUMMARY DATA'!$B:$B=""RWS"")),
  IF(
    OR(
      ISNUMBER(SEARCH(""CDM CASH DEPOSIT"",$C231)),
      ISNUMBER(SEARCH(""CASH DEPOSIT"",$C23"&amp;"1)),
      COUNTIFS('SUMMARY DATA'!$D:$D,$C231,'SUMMARY DATA'!$B:$B,""RWS"")&lt;&gt;1
    ),
    """",
    IFERROR(TEXTJOIN(CHAR(10),TRUE,FILTER('SUMMARY DATA'!G:G,'SUMMARY DATA'!$D:$D=$C231,'SUMMARY DATA'!$B:$B=""RWS"")),"""")
  )
)"),"")</f>
      </c>
      <c r="H231" s="18" t="str">
        <f>IFERROR(__xludf.DUMMYFUNCTION("IFERROR(
  TEXTJOIN(CHAR(10),TRUE,FILTER('SUMMARY DATA'!H:H,'SUMMARY DATA'!$A:$A=$A231,'SUMMARY DATA'!$C:$C=$B231,'SUMMARY DATA'!$B:$B=""RWS"",'SUMMARY DATA'!$H:$H=$D231)),
  IF(
    OR(
      ISNUMBER(SEARCH(""CDM CASH DEPOSIT"",$C231)),
      ISNUMBER(S"&amp;"EARCH(""CASH DEPOSIT"",$C231))
    ),
    """",
    IFERROR(TEXTJOIN(CHAR(10),TRUE,FILTER('SUMMARY DATA'!H:H,'SUMMARY DATA'!$D:$D=$C231,'SUMMARY DATA'!$B:$B=""RWS"",'SUMMARY DATA'!$H:$H=$D231)),"""")
  )
)"),"")</f>
      </c>
      <c r="I231" s="18" t="str">
        <f>IFERROR(__xludf.DUMMYFUNCTION("IF(H231="""","""",
SUM(ARRAYFORMULA(VALUE(SPLIT(H231,CHAR(10)))))
)"),"")</f>
      </c>
      <c r="J231" s="17" t="str">
        <f>IFERROR(__xludf.DUMMYFUNCTION("IFERROR(
  TEXTJOIN(CHAR(10),TRUE,FILTER('SUMMARY DATA'!I:I,'SUMMARY DATA'!$A:$A=$A231,'SUMMARY DATA'!$C:$C=$B231,'SUMMARY DATA'!$B:$B=""RWS"")),
  IF(
    OR(
      ISNUMBER(SEARCH(""CDM CASH DEPOSIT"",$C231)),
      ISNUMBER(SEARCH(""CASH DEPOSIT"",$C23"&amp;"1)),
      COUNTIFS('SUMMARY DATA'!$D:$D,$C231,'SUMMARY DATA'!$B:$B,""RWS"")&lt;&gt;1
    ),
    """",
    IFERROR(TEXTJOIN(CHAR(10),TRUE,FILTER('SUMMARY DATA'!I:I,'SUMMARY DATA'!$D:$D=$C231,'SUMMARY DATA'!$B:$B=""RWS"")),"""")
  )
)"),"")</f>
      </c>
      <c r="K231" s="2"/>
      <c r="L231" s="2"/>
      <c r="M231" s="2"/>
      <c r="N231" s="2"/>
      <c r="O231" s="2"/>
      <c r="P231" s="2"/>
      <c r="Q231" s="2"/>
      <c r="R231" s="2"/>
      <c r="S231" s="2"/>
      <c r="T231" s="2"/>
      <c r="U231" s="2"/>
      <c r="V231" s="2"/>
      <c r="W231" s="2"/>
      <c r="X231" s="2"/>
      <c r="Y231" s="2"/>
      <c r="Z231" s="2"/>
      <c r="AA231" s="2"/>
      <c r="AB231" s="2"/>
    </row>
    <row r="232" spans="1:28" customHeight="true">
      <c r="A232" s="2"/>
      <c r="B232" s="15">
        <v>45943</v>
      </c>
      <c r="C232" s="2" t="s">
        <v>344</v>
      </c>
      <c r="D232" s="3">
        <v>6.66</v>
      </c>
      <c r="E232" s="16" t="str">
        <f>IFERROR(__xludf.DUMMYFUNCTION("IFERROR(
  TEXTJOIN(CHAR(10),TRUE,FILTER('SUMMARY DATA'!E:E,'SUMMARY DATA'!$A:$A=$A232,'SUMMARY DATA'!$C:$C=$B232,'SUMMARY DATA'!$B:$B=""RWS"")),
  IF(
    OR(
      ISNUMBER(SEARCH(""CDM CASH DEPOSIT"",$C232)),
      ISNUMBER(SEARCH(""CASH DEPOSIT"",$C23"&amp;"2)),
      COUNTIFS('SUMMARY DATA'!$D:$D,$C232,'SUMMARY DATA'!$B:$B,""RWS"")&lt;&gt;1
    ),
    """",
    IFERROR(TEXTJOIN(CHAR(10),TRUE,FILTER('SUMMARY DATA'!E:E,'SUMMARY DATA'!$D:$D=$C232,'SUMMARY DATA'!$B:$B=""RWS"")),"""")
  )
)"),"")</f>
      </c>
      <c r="F232" s="17" t="str">
        <f>IFERROR(__xludf.DUMMYFUNCTION("IFERROR(
  TEXTJOIN(CHAR(10),TRUE,FILTER('SUMMARY DATA'!F:F,'SUMMARY DATA'!$A:$A=$A232,'SUMMARY DATA'!$C:$C=$B232,'SUMMARY DATA'!$B:$B=""RWS"")),
  IF(
    OR(
      ISNUMBER(SEARCH(""CDM CASH DEPOSIT"",$C232)),
      ISNUMBER(SEARCH(""CASH DEPOSIT"",$C23"&amp;"2)),
      COUNTIFS('SUMMARY DATA'!$D:$D,$C232,'SUMMARY DATA'!$B:$B,""RWS"")&lt;&gt;1
    ),
    """",
    IFERROR(TEXTJOIN(CHAR(10),TRUE,FILTER('SUMMARY DATA'!F:F,'SUMMARY DATA'!$D:$D=$C232,'SUMMARY DATA'!$B:$B=""RWS"")),"""")
  )
)"),"")</f>
      </c>
      <c r="G232" s="17" t="str">
        <f>IFERROR(__xludf.DUMMYFUNCTION("IFERROR(
  TEXTJOIN(CHAR(10),TRUE,FILTER('SUMMARY DATA'!G:G,'SUMMARY DATA'!$A:$A=$A232,'SUMMARY DATA'!$C:$C=$B232,'SUMMARY DATA'!$B:$B=""RWS"")),
  IF(
    OR(
      ISNUMBER(SEARCH(""CDM CASH DEPOSIT"",$C232)),
      ISNUMBER(SEARCH(""CASH DEPOSIT"",$C23"&amp;"2)),
      COUNTIFS('SUMMARY DATA'!$D:$D,$C232,'SUMMARY DATA'!$B:$B,""RWS"")&lt;&gt;1
    ),
    """",
    IFERROR(TEXTJOIN(CHAR(10),TRUE,FILTER('SUMMARY DATA'!G:G,'SUMMARY DATA'!$D:$D=$C232,'SUMMARY DATA'!$B:$B=""RWS"")),"""")
  )
)"),"")</f>
      </c>
      <c r="H232" s="18" t="str">
        <f>IFERROR(__xludf.DUMMYFUNCTION("IFERROR(
  TEXTJOIN(CHAR(10),TRUE,FILTER('SUMMARY DATA'!H:H,'SUMMARY DATA'!$A:$A=$A232,'SUMMARY DATA'!$C:$C=$B232,'SUMMARY DATA'!$B:$B=""RWS"",'SUMMARY DATA'!$H:$H=$D232)),
  IF(
    OR(
      ISNUMBER(SEARCH(""CDM CASH DEPOSIT"",$C232)),
      ISNUMBER(S"&amp;"EARCH(""CASH DEPOSIT"",$C232))
    ),
    """",
    IFERROR(TEXTJOIN(CHAR(10),TRUE,FILTER('SUMMARY DATA'!H:H,'SUMMARY DATA'!$D:$D=$C232,'SUMMARY DATA'!$B:$B=""RWS"",'SUMMARY DATA'!$H:$H=$D232)),"""")
  )
)"),"")</f>
      </c>
      <c r="I232" s="18" t="str">
        <f>IFERROR(__xludf.DUMMYFUNCTION("IF(H232="""","""",
SUM(ARRAYFORMULA(VALUE(SPLIT(H232,CHAR(10)))))
)"),"")</f>
      </c>
      <c r="J232" s="17" t="str">
        <f>IFERROR(__xludf.DUMMYFUNCTION("IFERROR(
  TEXTJOIN(CHAR(10),TRUE,FILTER('SUMMARY DATA'!I:I,'SUMMARY DATA'!$A:$A=$A232,'SUMMARY DATA'!$C:$C=$B232,'SUMMARY DATA'!$B:$B=""RWS"")),
  IF(
    OR(
      ISNUMBER(SEARCH(""CDM CASH DEPOSIT"",$C232)),
      ISNUMBER(SEARCH(""CASH DEPOSIT"",$C23"&amp;"2)),
      COUNTIFS('SUMMARY DATA'!$D:$D,$C232,'SUMMARY DATA'!$B:$B,""RWS"")&lt;&gt;1
    ),
    """",
    IFERROR(TEXTJOIN(CHAR(10),TRUE,FILTER('SUMMARY DATA'!I:I,'SUMMARY DATA'!$D:$D=$C232,'SUMMARY DATA'!$B:$B=""RWS"")),"""")
  )
)"),"")</f>
      </c>
      <c r="K232" s="2"/>
      <c r="L232" s="2"/>
      <c r="M232" s="2"/>
      <c r="N232" s="2"/>
      <c r="O232" s="2"/>
      <c r="P232" s="2"/>
      <c r="Q232" s="2"/>
      <c r="R232" s="2"/>
      <c r="S232" s="2"/>
      <c r="T232" s="2"/>
      <c r="U232" s="2"/>
      <c r="V232" s="2"/>
      <c r="W232" s="2"/>
      <c r="X232" s="2"/>
      <c r="Y232" s="2"/>
      <c r="Z232" s="2"/>
      <c r="AA232" s="2"/>
      <c r="AB232" s="2"/>
    </row>
    <row r="233" spans="1:28" customHeight="true">
      <c r="A233" s="2"/>
      <c r="B233" s="15">
        <v>45943</v>
      </c>
      <c r="C233" s="2" t="s">
        <v>86</v>
      </c>
      <c r="D233" s="3">
        <v>4</v>
      </c>
      <c r="E233" s="16" t="str">
        <f>IFERROR(__xludf.DUMMYFUNCTION("IFERROR(
  TEXTJOIN(CHAR(10),TRUE,FILTER('SUMMARY DATA'!E:E,'SUMMARY DATA'!$A:$A=$A233,'SUMMARY DATA'!$C:$C=$B233,'SUMMARY DATA'!$B:$B=""RWS"")),
  IF(
    OR(
      ISNUMBER(SEARCH(""CDM CASH DEPOSIT"",$C233)),
      ISNUMBER(SEARCH(""CASH DEPOSIT"",$C23"&amp;"3)),
      COUNTIFS('SUMMARY DATA'!$D:$D,$C233,'SUMMARY DATA'!$B:$B,""RWS"")&lt;&gt;1
    ),
    """",
    IFERROR(TEXTJOIN(CHAR(10),TRUE,FILTER('SUMMARY DATA'!E:E,'SUMMARY DATA'!$D:$D=$C233,'SUMMARY DATA'!$B:$B=""RWS"")),"""")
  )
)"),"")</f>
      </c>
      <c r="F233" s="17" t="str">
        <f>IFERROR(__xludf.DUMMYFUNCTION("IFERROR(
  TEXTJOIN(CHAR(10),TRUE,FILTER('SUMMARY DATA'!F:F,'SUMMARY DATA'!$A:$A=$A233,'SUMMARY DATA'!$C:$C=$B233,'SUMMARY DATA'!$B:$B=""RWS"")),
  IF(
    OR(
      ISNUMBER(SEARCH(""CDM CASH DEPOSIT"",$C233)),
      ISNUMBER(SEARCH(""CASH DEPOSIT"",$C23"&amp;"3)),
      COUNTIFS('SUMMARY DATA'!$D:$D,$C233,'SUMMARY DATA'!$B:$B,""RWS"")&lt;&gt;1
    ),
    """",
    IFERROR(TEXTJOIN(CHAR(10),TRUE,FILTER('SUMMARY DATA'!F:F,'SUMMARY DATA'!$D:$D=$C233,'SUMMARY DATA'!$B:$B=""RWS"")),"""")
  )
)"),"")</f>
      </c>
      <c r="G233" s="17" t="str">
        <f>IFERROR(__xludf.DUMMYFUNCTION("IFERROR(
  TEXTJOIN(CHAR(10),TRUE,FILTER('SUMMARY DATA'!G:G,'SUMMARY DATA'!$A:$A=$A233,'SUMMARY DATA'!$C:$C=$B233,'SUMMARY DATA'!$B:$B=""RWS"")),
  IF(
    OR(
      ISNUMBER(SEARCH(""CDM CASH DEPOSIT"",$C233)),
      ISNUMBER(SEARCH(""CASH DEPOSIT"",$C23"&amp;"3)),
      COUNTIFS('SUMMARY DATA'!$D:$D,$C233,'SUMMARY DATA'!$B:$B,""RWS"")&lt;&gt;1
    ),
    """",
    IFERROR(TEXTJOIN(CHAR(10),TRUE,FILTER('SUMMARY DATA'!G:G,'SUMMARY DATA'!$D:$D=$C233,'SUMMARY DATA'!$B:$B=""RWS"")),"""")
  )
)"),"")</f>
      </c>
      <c r="H233" s="18" t="str">
        <f>IFERROR(__xludf.DUMMYFUNCTION("IFERROR(
  TEXTJOIN(CHAR(10),TRUE,FILTER('SUMMARY DATA'!H:H,'SUMMARY DATA'!$A:$A=$A233,'SUMMARY DATA'!$C:$C=$B233,'SUMMARY DATA'!$B:$B=""RWS"",'SUMMARY DATA'!$H:$H=$D233)),
  IF(
    OR(
      ISNUMBER(SEARCH(""CDM CASH DEPOSIT"",$C233)),
      ISNUMBER(S"&amp;"EARCH(""CASH DEPOSIT"",$C233))
    ),
    """",
    IFERROR(TEXTJOIN(CHAR(10),TRUE,FILTER('SUMMARY DATA'!H:H,'SUMMARY DATA'!$D:$D=$C233,'SUMMARY DATA'!$B:$B=""RWS"",'SUMMARY DATA'!$H:$H=$D233)),"""")
  )
)"),"")</f>
      </c>
      <c r="I233" s="18" t="str">
        <f>IFERROR(__xludf.DUMMYFUNCTION("IF(H233="""","""",
SUM(ARRAYFORMULA(VALUE(SPLIT(H233,CHAR(10)))))
)"),"")</f>
      </c>
      <c r="J233" s="17" t="str">
        <f>IFERROR(__xludf.DUMMYFUNCTION("IFERROR(
  TEXTJOIN(CHAR(10),TRUE,FILTER('SUMMARY DATA'!I:I,'SUMMARY DATA'!$A:$A=$A233,'SUMMARY DATA'!$C:$C=$B233,'SUMMARY DATA'!$B:$B=""RWS"")),
  IF(
    OR(
      ISNUMBER(SEARCH(""CDM CASH DEPOSIT"",$C233)),
      ISNUMBER(SEARCH(""CASH DEPOSIT"",$C23"&amp;"3)),
      COUNTIFS('SUMMARY DATA'!$D:$D,$C233,'SUMMARY DATA'!$B:$B,""RWS"")&lt;&gt;1
    ),
    """",
    IFERROR(TEXTJOIN(CHAR(10),TRUE,FILTER('SUMMARY DATA'!I:I,'SUMMARY DATA'!$D:$D=$C233,'SUMMARY DATA'!$B:$B=""RWS"")),"""")
  )
)"),"")</f>
      </c>
      <c r="K233" s="2"/>
      <c r="L233" s="2"/>
      <c r="M233" s="2"/>
      <c r="N233" s="2"/>
      <c r="O233" s="2"/>
      <c r="P233" s="2"/>
      <c r="Q233" s="2"/>
      <c r="R233" s="2"/>
      <c r="S233" s="2"/>
      <c r="T233" s="2"/>
      <c r="U233" s="2"/>
      <c r="V233" s="2"/>
      <c r="W233" s="2"/>
      <c r="X233" s="2"/>
      <c r="Y233" s="2"/>
      <c r="Z233" s="2"/>
      <c r="AA233" s="2"/>
      <c r="AB233" s="2"/>
    </row>
    <row r="234" spans="1:28" customHeight="true">
      <c r="A234" s="2" t="s">
        <v>78</v>
      </c>
      <c r="B234" s="15">
        <v>45943</v>
      </c>
      <c r="C234" s="2" t="s">
        <v>345</v>
      </c>
      <c r="D234" s="3">
        <v>133.8</v>
      </c>
      <c r="E234" s="16" t="s">
        <v>2426</v>
      </c>
      <c r="F234" s="17" t="s">
        <v>2434</v>
      </c>
      <c r="G234" s="17" t="s">
        <v>2393</v>
      </c>
      <c r="H234" s="18">
        <v>133.8</v>
      </c>
      <c r="I234" s="18">
        <v>133.8</v>
      </c>
      <c r="J234" s="17" t="s">
        <v>2394</v>
      </c>
      <c r="K234" s="2" t="s">
        <v>2395</v>
      </c>
      <c r="L234" s="2"/>
      <c r="M234" s="2"/>
      <c r="N234" s="2"/>
      <c r="O234" s="2"/>
      <c r="P234" s="2"/>
      <c r="Q234" s="2"/>
      <c r="R234" s="2"/>
      <c r="S234" s="2"/>
      <c r="T234" s="2"/>
      <c r="U234" s="2"/>
      <c r="V234" s="2"/>
      <c r="W234" s="2"/>
      <c r="X234" s="2"/>
      <c r="Y234" s="2"/>
      <c r="Z234" s="2"/>
      <c r="AA234" s="2"/>
      <c r="AB234" s="2"/>
    </row>
    <row r="235" spans="1:28" customHeight="true">
      <c r="A235" s="2"/>
      <c r="B235" s="15">
        <v>45943</v>
      </c>
      <c r="C235" s="2" t="s">
        <v>346</v>
      </c>
      <c r="D235" s="3">
        <v>236.62</v>
      </c>
      <c r="E235" s="16" t="str">
        <f>IFERROR(__xludf.DUMMYFUNCTION("IFERROR(
  TEXTJOIN(CHAR(10),TRUE,FILTER('SUMMARY DATA'!E:E,'SUMMARY DATA'!$A:$A=$A235,'SUMMARY DATA'!$C:$C=$B235,'SUMMARY DATA'!$B:$B=""RWS"")),
  IF(
    OR(
      ISNUMBER(SEARCH(""CDM CASH DEPOSIT"",$C235)),
      ISNUMBER(SEARCH(""CASH DEPOSIT"",$C23"&amp;"5)),
      COUNTIFS('SUMMARY DATA'!$D:$D,$C235,'SUMMARY DATA'!$B:$B,""RWS"")&lt;&gt;1
    ),
    """",
    IFERROR(TEXTJOIN(CHAR(10),TRUE,FILTER('SUMMARY DATA'!E:E,'SUMMARY DATA'!$D:$D=$C235,'SUMMARY DATA'!$B:$B=""RWS"")),"""")
  )
)"),"")</f>
      </c>
      <c r="F235" s="17" t="str">
        <f>IFERROR(__xludf.DUMMYFUNCTION("IFERROR(
  TEXTJOIN(CHAR(10),TRUE,FILTER('SUMMARY DATA'!F:F,'SUMMARY DATA'!$A:$A=$A235,'SUMMARY DATA'!$C:$C=$B235,'SUMMARY DATA'!$B:$B=""RWS"")),
  IF(
    OR(
      ISNUMBER(SEARCH(""CDM CASH DEPOSIT"",$C235)),
      ISNUMBER(SEARCH(""CASH DEPOSIT"",$C23"&amp;"5)),
      COUNTIFS('SUMMARY DATA'!$D:$D,$C235,'SUMMARY DATA'!$B:$B,""RWS"")&lt;&gt;1
    ),
    """",
    IFERROR(TEXTJOIN(CHAR(10),TRUE,FILTER('SUMMARY DATA'!F:F,'SUMMARY DATA'!$D:$D=$C235,'SUMMARY DATA'!$B:$B=""RWS"")),"""")
  )
)"),"")</f>
      </c>
      <c r="G235" s="17" t="str">
        <f>IFERROR(__xludf.DUMMYFUNCTION("IFERROR(
  TEXTJOIN(CHAR(10),TRUE,FILTER('SUMMARY DATA'!G:G,'SUMMARY DATA'!$A:$A=$A235,'SUMMARY DATA'!$C:$C=$B235,'SUMMARY DATA'!$B:$B=""RWS"")),
  IF(
    OR(
      ISNUMBER(SEARCH(""CDM CASH DEPOSIT"",$C235)),
      ISNUMBER(SEARCH(""CASH DEPOSIT"",$C23"&amp;"5)),
      COUNTIFS('SUMMARY DATA'!$D:$D,$C235,'SUMMARY DATA'!$B:$B,""RWS"")&lt;&gt;1
    ),
    """",
    IFERROR(TEXTJOIN(CHAR(10),TRUE,FILTER('SUMMARY DATA'!G:G,'SUMMARY DATA'!$D:$D=$C235,'SUMMARY DATA'!$B:$B=""RWS"")),"""")
  )
)"),"")</f>
      </c>
      <c r="H235" s="18" t="str">
        <f>IFERROR(__xludf.DUMMYFUNCTION("IFERROR(
  TEXTJOIN(CHAR(10),TRUE,FILTER('SUMMARY DATA'!H:H,'SUMMARY DATA'!$A:$A=$A235,'SUMMARY DATA'!$C:$C=$B235,'SUMMARY DATA'!$B:$B=""RWS"",'SUMMARY DATA'!$H:$H=$D235)),
  IF(
    OR(
      ISNUMBER(SEARCH(""CDM CASH DEPOSIT"",$C235)),
      ISNUMBER(S"&amp;"EARCH(""CASH DEPOSIT"",$C235))
    ),
    """",
    IFERROR(TEXTJOIN(CHAR(10),TRUE,FILTER('SUMMARY DATA'!H:H,'SUMMARY DATA'!$D:$D=$C235,'SUMMARY DATA'!$B:$B=""RWS"",'SUMMARY DATA'!$H:$H=$D235)),"""")
  )
)"),"")</f>
      </c>
      <c r="I235" s="18" t="str">
        <f>IFERROR(__xludf.DUMMYFUNCTION("IF(H235="""","""",
SUM(ARRAYFORMULA(VALUE(SPLIT(H235,CHAR(10)))))
)"),"")</f>
      </c>
      <c r="J235" s="17" t="str">
        <f>IFERROR(__xludf.DUMMYFUNCTION("IFERROR(
  TEXTJOIN(CHAR(10),TRUE,FILTER('SUMMARY DATA'!I:I,'SUMMARY DATA'!$A:$A=$A235,'SUMMARY DATA'!$C:$C=$B235,'SUMMARY DATA'!$B:$B=""RWS"")),
  IF(
    OR(
      ISNUMBER(SEARCH(""CDM CASH DEPOSIT"",$C235)),
      ISNUMBER(SEARCH(""CASH DEPOSIT"",$C23"&amp;"5)),
      COUNTIFS('SUMMARY DATA'!$D:$D,$C235,'SUMMARY DATA'!$B:$B,""RWS"")&lt;&gt;1
    ),
    """",
    IFERROR(TEXTJOIN(CHAR(10),TRUE,FILTER('SUMMARY DATA'!I:I,'SUMMARY DATA'!$D:$D=$C235,'SUMMARY DATA'!$B:$B=""RWS"")),"""")
  )
)"),"")</f>
      </c>
      <c r="K235" s="2"/>
      <c r="L235" s="2"/>
      <c r="M235" s="2"/>
      <c r="N235" s="2"/>
      <c r="O235" s="2"/>
      <c r="P235" s="2"/>
      <c r="Q235" s="2"/>
      <c r="R235" s="2"/>
      <c r="S235" s="2"/>
      <c r="T235" s="2"/>
      <c r="U235" s="2"/>
      <c r="V235" s="2"/>
      <c r="W235" s="2"/>
      <c r="X235" s="2"/>
      <c r="Y235" s="2"/>
      <c r="Z235" s="2"/>
      <c r="AA235" s="2"/>
      <c r="AB235" s="2"/>
    </row>
    <row r="236" spans="1:28" customHeight="true">
      <c r="A236" s="2" t="s">
        <v>347</v>
      </c>
      <c r="B236" s="15">
        <v>45943</v>
      </c>
      <c r="C236" s="2" t="s">
        <v>348</v>
      </c>
      <c r="D236" s="3">
        <v>10</v>
      </c>
      <c r="E236" s="16" t="str">
        <f>IFERROR(__xludf.DUMMYFUNCTION("IFERROR(
  TEXTJOIN(CHAR(10),TRUE,FILTER('SUMMARY DATA'!E:E,'SUMMARY DATA'!$A:$A=$A236,'SUMMARY DATA'!$C:$C=$B236,'SUMMARY DATA'!$B:$B=""RWS"")),
  IF(
    OR(
      ISNUMBER(SEARCH(""CDM CASH DEPOSIT"",$C236)),
      ISNUMBER(SEARCH(""CASH DEPOSIT"",$C23"&amp;"6)),
      COUNTIFS('SUMMARY DATA'!$D:$D,$C236,'SUMMARY DATA'!$B:$B,""RWS"")&lt;&gt;1
    ),
    """",
    IFERROR(TEXTJOIN(CHAR(10),TRUE,FILTER('SUMMARY DATA'!E:E,'SUMMARY DATA'!$D:$D=$C236,'SUMMARY DATA'!$B:$B=""RWS"")),"""")
  )
)"),"")</f>
      </c>
      <c r="F236" s="17" t="str">
        <f>IFERROR(__xludf.DUMMYFUNCTION("IFERROR(
  TEXTJOIN(CHAR(10),TRUE,FILTER('SUMMARY DATA'!F:F,'SUMMARY DATA'!$A:$A=$A236,'SUMMARY DATA'!$C:$C=$B236,'SUMMARY DATA'!$B:$B=""RWS"")),
  IF(
    OR(
      ISNUMBER(SEARCH(""CDM CASH DEPOSIT"",$C236)),
      ISNUMBER(SEARCH(""CASH DEPOSIT"",$C23"&amp;"6)),
      COUNTIFS('SUMMARY DATA'!$D:$D,$C236,'SUMMARY DATA'!$B:$B,""RWS"")&lt;&gt;1
    ),
    """",
    IFERROR(TEXTJOIN(CHAR(10),TRUE,FILTER('SUMMARY DATA'!F:F,'SUMMARY DATA'!$D:$D=$C236,'SUMMARY DATA'!$B:$B=""RWS"")),"""")
  )
)"),"")</f>
      </c>
      <c r="G236" s="17" t="str">
        <f>IFERROR(__xludf.DUMMYFUNCTION("IFERROR(
  TEXTJOIN(CHAR(10),TRUE,FILTER('SUMMARY DATA'!G:G,'SUMMARY DATA'!$A:$A=$A236,'SUMMARY DATA'!$C:$C=$B236,'SUMMARY DATA'!$B:$B=""RWS"")),
  IF(
    OR(
      ISNUMBER(SEARCH(""CDM CASH DEPOSIT"",$C236)),
      ISNUMBER(SEARCH(""CASH DEPOSIT"",$C23"&amp;"6)),
      COUNTIFS('SUMMARY DATA'!$D:$D,$C236,'SUMMARY DATA'!$B:$B,""RWS"")&lt;&gt;1
    ),
    """",
    IFERROR(TEXTJOIN(CHAR(10),TRUE,FILTER('SUMMARY DATA'!G:G,'SUMMARY DATA'!$D:$D=$C236,'SUMMARY DATA'!$B:$B=""RWS"")),"""")
  )
)"),"")</f>
      </c>
      <c r="H236" s="18" t="str">
        <f>IFERROR(__xludf.DUMMYFUNCTION("IFERROR(
  TEXTJOIN(CHAR(10),TRUE,FILTER('SUMMARY DATA'!H:H,'SUMMARY DATA'!$A:$A=$A236,'SUMMARY DATA'!$C:$C=$B236,'SUMMARY DATA'!$B:$B=""RWS"",'SUMMARY DATA'!$H:$H=$D236)),
  IF(
    OR(
      ISNUMBER(SEARCH(""CDM CASH DEPOSIT"",$C236)),
      ISNUMBER(S"&amp;"EARCH(""CASH DEPOSIT"",$C236))
    ),
    """",
    IFERROR(TEXTJOIN(CHAR(10),TRUE,FILTER('SUMMARY DATA'!H:H,'SUMMARY DATA'!$D:$D=$C236,'SUMMARY DATA'!$B:$B=""RWS"",'SUMMARY DATA'!$H:$H=$D236)),"""")
  )
)"),"")</f>
      </c>
      <c r="I236" s="18" t="str">
        <f>IFERROR(__xludf.DUMMYFUNCTION("IF(H236="""","""",
SUM(ARRAYFORMULA(VALUE(SPLIT(H236,CHAR(10)))))
)"),"")</f>
      </c>
      <c r="J236" s="17" t="str">
        <f>IFERROR(__xludf.DUMMYFUNCTION("IFERROR(
  TEXTJOIN(CHAR(10),TRUE,FILTER('SUMMARY DATA'!I:I,'SUMMARY DATA'!$A:$A=$A236,'SUMMARY DATA'!$C:$C=$B236,'SUMMARY DATA'!$B:$B=""RWS"")),
  IF(
    OR(
      ISNUMBER(SEARCH(""CDM CASH DEPOSIT"",$C236)),
      ISNUMBER(SEARCH(""CASH DEPOSIT"",$C23"&amp;"6)),
      COUNTIFS('SUMMARY DATA'!$D:$D,$C236,'SUMMARY DATA'!$B:$B,""RWS"")&lt;&gt;1
    ),
    """",
    IFERROR(TEXTJOIN(CHAR(10),TRUE,FILTER('SUMMARY DATA'!I:I,'SUMMARY DATA'!$D:$D=$C236,'SUMMARY DATA'!$B:$B=""RWS"")),"""")
  )
)"),"")</f>
      </c>
      <c r="K236" s="2"/>
      <c r="L236" s="2"/>
      <c r="M236" s="2"/>
      <c r="N236" s="2"/>
      <c r="O236" s="2"/>
      <c r="P236" s="2"/>
      <c r="Q236" s="2"/>
      <c r="R236" s="2"/>
      <c r="S236" s="2"/>
      <c r="T236" s="2"/>
      <c r="U236" s="2"/>
      <c r="V236" s="2"/>
      <c r="W236" s="2"/>
      <c r="X236" s="2"/>
      <c r="Y236" s="2"/>
      <c r="Z236" s="2"/>
      <c r="AA236" s="2"/>
      <c r="AB236" s="2"/>
    </row>
    <row r="237" spans="1:28" customHeight="true">
      <c r="A237" s="2"/>
      <c r="B237" s="15">
        <v>45941</v>
      </c>
      <c r="C237" s="2" t="s">
        <v>349</v>
      </c>
      <c r="D237" s="3">
        <v>0.4</v>
      </c>
      <c r="E237" s="16" t="str">
        <f>IFERROR(__xludf.DUMMYFUNCTION("IFERROR(
  TEXTJOIN(CHAR(10),TRUE,FILTER('SUMMARY DATA'!E:E,'SUMMARY DATA'!$A:$A=$A237,'SUMMARY DATA'!$C:$C=$B237,'SUMMARY DATA'!$B:$B=""RWS"")),
  IF(
    OR(
      ISNUMBER(SEARCH(""CDM CASH DEPOSIT"",$C237)),
      ISNUMBER(SEARCH(""CASH DEPOSIT"",$C23"&amp;"7)),
      COUNTIFS('SUMMARY DATA'!$D:$D,$C237,'SUMMARY DATA'!$B:$B,""RWS"")&lt;&gt;1
    ),
    """",
    IFERROR(TEXTJOIN(CHAR(10),TRUE,FILTER('SUMMARY DATA'!E:E,'SUMMARY DATA'!$D:$D=$C237,'SUMMARY DATA'!$B:$B=""RWS"")),"""")
  )
)"),"")</f>
      </c>
      <c r="F237" s="17" t="str">
        <f>IFERROR(__xludf.DUMMYFUNCTION("IFERROR(
  TEXTJOIN(CHAR(10),TRUE,FILTER('SUMMARY DATA'!F:F,'SUMMARY DATA'!$A:$A=$A237,'SUMMARY DATA'!$C:$C=$B237,'SUMMARY DATA'!$B:$B=""RWS"")),
  IF(
    OR(
      ISNUMBER(SEARCH(""CDM CASH DEPOSIT"",$C237)),
      ISNUMBER(SEARCH(""CASH DEPOSIT"",$C23"&amp;"7)),
      COUNTIFS('SUMMARY DATA'!$D:$D,$C237,'SUMMARY DATA'!$B:$B,""RWS"")&lt;&gt;1
    ),
    """",
    IFERROR(TEXTJOIN(CHAR(10),TRUE,FILTER('SUMMARY DATA'!F:F,'SUMMARY DATA'!$D:$D=$C237,'SUMMARY DATA'!$B:$B=""RWS"")),"""")
  )
)"),"")</f>
      </c>
      <c r="G237" s="17" t="str">
        <f>IFERROR(__xludf.DUMMYFUNCTION("IFERROR(
  TEXTJOIN(CHAR(10),TRUE,FILTER('SUMMARY DATA'!G:G,'SUMMARY DATA'!$A:$A=$A237,'SUMMARY DATA'!$C:$C=$B237,'SUMMARY DATA'!$B:$B=""RWS"")),
  IF(
    OR(
      ISNUMBER(SEARCH(""CDM CASH DEPOSIT"",$C237)),
      ISNUMBER(SEARCH(""CASH DEPOSIT"",$C23"&amp;"7)),
      COUNTIFS('SUMMARY DATA'!$D:$D,$C237,'SUMMARY DATA'!$B:$B,""RWS"")&lt;&gt;1
    ),
    """",
    IFERROR(TEXTJOIN(CHAR(10),TRUE,FILTER('SUMMARY DATA'!G:G,'SUMMARY DATA'!$D:$D=$C237,'SUMMARY DATA'!$B:$B=""RWS"")),"""")
  )
)"),"")</f>
      </c>
      <c r="H237" s="18" t="str">
        <f>IFERROR(__xludf.DUMMYFUNCTION("IFERROR(
  TEXTJOIN(CHAR(10),TRUE,FILTER('SUMMARY DATA'!H:H,'SUMMARY DATA'!$A:$A=$A237,'SUMMARY DATA'!$C:$C=$B237,'SUMMARY DATA'!$B:$B=""RWS"",'SUMMARY DATA'!$H:$H=$D237)),
  IF(
    OR(
      ISNUMBER(SEARCH(""CDM CASH DEPOSIT"",$C237)),
      ISNUMBER(S"&amp;"EARCH(""CASH DEPOSIT"",$C237))
    ),
    """",
    IFERROR(TEXTJOIN(CHAR(10),TRUE,FILTER('SUMMARY DATA'!H:H,'SUMMARY DATA'!$D:$D=$C237,'SUMMARY DATA'!$B:$B=""RWS"",'SUMMARY DATA'!$H:$H=$D237)),"""")
  )
)"),"")</f>
      </c>
      <c r="I237" s="18" t="str">
        <f>IFERROR(__xludf.DUMMYFUNCTION("IF(H237="""","""",
SUM(ARRAYFORMULA(VALUE(SPLIT(H237,CHAR(10)))))
)"),"")</f>
      </c>
      <c r="J237" s="17" t="str">
        <f>IFERROR(__xludf.DUMMYFUNCTION("IFERROR(
  TEXTJOIN(CHAR(10),TRUE,FILTER('SUMMARY DATA'!I:I,'SUMMARY DATA'!$A:$A=$A237,'SUMMARY DATA'!$C:$C=$B237,'SUMMARY DATA'!$B:$B=""RWS"")),
  IF(
    OR(
      ISNUMBER(SEARCH(""CDM CASH DEPOSIT"",$C237)),
      ISNUMBER(SEARCH(""CASH DEPOSIT"",$C23"&amp;"7)),
      COUNTIFS('SUMMARY DATA'!$D:$D,$C237,'SUMMARY DATA'!$B:$B,""RWS"")&lt;&gt;1
    ),
    """",
    IFERROR(TEXTJOIN(CHAR(10),TRUE,FILTER('SUMMARY DATA'!I:I,'SUMMARY DATA'!$D:$D=$C237,'SUMMARY DATA'!$B:$B=""RWS"")),"""")
  )
)"),"")</f>
      </c>
      <c r="K237" s="2"/>
      <c r="L237" s="2"/>
      <c r="M237" s="2"/>
      <c r="N237" s="2"/>
      <c r="O237" s="2"/>
      <c r="P237" s="2"/>
      <c r="Q237" s="2"/>
      <c r="R237" s="2"/>
      <c r="S237" s="2"/>
      <c r="T237" s="2"/>
      <c r="U237" s="2"/>
      <c r="V237" s="2"/>
      <c r="W237" s="2"/>
      <c r="X237" s="2"/>
      <c r="Y237" s="2"/>
      <c r="Z237" s="2"/>
      <c r="AA237" s="2"/>
      <c r="AB237" s="2"/>
    </row>
    <row r="238" spans="1:28" customHeight="true">
      <c r="A238" s="2" t="s">
        <v>350</v>
      </c>
      <c r="B238" s="15">
        <v>45941</v>
      </c>
      <c r="C238" s="2" t="s">
        <v>351</v>
      </c>
      <c r="D238" s="3">
        <v>78.88</v>
      </c>
      <c r="E238" s="16" t="s">
        <v>2435</v>
      </c>
      <c r="F238" s="17" t="s">
        <v>2436</v>
      </c>
      <c r="G238" s="17" t="s">
        <v>2393</v>
      </c>
      <c r="H238" s="18">
        <v>78.88</v>
      </c>
      <c r="I238" s="18">
        <v>78.88</v>
      </c>
      <c r="J238" s="17" t="s">
        <v>2394</v>
      </c>
      <c r="K238" s="2" t="s">
        <v>2395</v>
      </c>
      <c r="L238" s="2"/>
      <c r="M238" s="2"/>
      <c r="N238" s="2"/>
      <c r="O238" s="2"/>
      <c r="P238" s="2"/>
      <c r="Q238" s="2"/>
      <c r="R238" s="2"/>
      <c r="S238" s="2"/>
      <c r="T238" s="2"/>
      <c r="U238" s="2"/>
      <c r="V238" s="2"/>
      <c r="W238" s="2"/>
      <c r="X238" s="2"/>
      <c r="Y238" s="2"/>
      <c r="Z238" s="2"/>
      <c r="AA238" s="2"/>
      <c r="AB238" s="2"/>
    </row>
    <row r="239" spans="1:28" customHeight="true">
      <c r="A239" s="2" t="s">
        <v>352</v>
      </c>
      <c r="B239" s="15">
        <v>45941</v>
      </c>
      <c r="C239" s="2"/>
      <c r="D239" s="3">
        <v>66</v>
      </c>
      <c r="E239" s="16" t="str">
        <f>IFERROR(__xludf.DUMMYFUNCTION("IFERROR(
  TEXTJOIN(CHAR(10),TRUE,FILTER('SUMMARY DATA'!E:E,'SUMMARY DATA'!$A:$A=$A239,'SUMMARY DATA'!$C:$C=$B239,'SUMMARY DATA'!$B:$B=""RWS"")),
  IF(
    OR(
      ISNUMBER(SEARCH(""CDM CASH DEPOSIT"",$C239)),
      ISNUMBER(SEARCH(""CASH DEPOSIT"",$C23"&amp;"9)),
      COUNTIFS('SUMMARY DATA'!$D:$D,$C239,'SUMMARY DATA'!$B:$B,""RWS"")&lt;&gt;1
    ),
    """",
    IFERROR(TEXTJOIN(CHAR(10),TRUE,FILTER('SUMMARY DATA'!E:E,'SUMMARY DATA'!$D:$D=$C239,'SUMMARY DATA'!$B:$B=""RWS"")),"""")
  )
)"),"")</f>
      </c>
      <c r="F239" s="17" t="str">
        <f>IFERROR(__xludf.DUMMYFUNCTION("IFERROR(
  TEXTJOIN(CHAR(10),TRUE,FILTER('SUMMARY DATA'!F:F,'SUMMARY DATA'!$A:$A=$A239,'SUMMARY DATA'!$C:$C=$B239,'SUMMARY DATA'!$B:$B=""RWS"")),
  IF(
    OR(
      ISNUMBER(SEARCH(""CDM CASH DEPOSIT"",$C239)),
      ISNUMBER(SEARCH(""CASH DEPOSIT"",$C23"&amp;"9)),
      COUNTIFS('SUMMARY DATA'!$D:$D,$C239,'SUMMARY DATA'!$B:$B,""RWS"")&lt;&gt;1
    ),
    """",
    IFERROR(TEXTJOIN(CHAR(10),TRUE,FILTER('SUMMARY DATA'!F:F,'SUMMARY DATA'!$D:$D=$C239,'SUMMARY DATA'!$B:$B=""RWS"")),"""")
  )
)"),"")</f>
      </c>
      <c r="G239" s="17" t="str">
        <f>IFERROR(__xludf.DUMMYFUNCTION("IFERROR(
  TEXTJOIN(CHAR(10),TRUE,FILTER('SUMMARY DATA'!G:G,'SUMMARY DATA'!$A:$A=$A239,'SUMMARY DATA'!$C:$C=$B239,'SUMMARY DATA'!$B:$B=""RWS"")),
  IF(
    OR(
      ISNUMBER(SEARCH(""CDM CASH DEPOSIT"",$C239)),
      ISNUMBER(SEARCH(""CASH DEPOSIT"",$C23"&amp;"9)),
      COUNTIFS('SUMMARY DATA'!$D:$D,$C239,'SUMMARY DATA'!$B:$B,""RWS"")&lt;&gt;1
    ),
    """",
    IFERROR(TEXTJOIN(CHAR(10),TRUE,FILTER('SUMMARY DATA'!G:G,'SUMMARY DATA'!$D:$D=$C239,'SUMMARY DATA'!$B:$B=""RWS"")),"""")
  )
)"),"")</f>
      </c>
      <c r="H239" s="18" t="str">
        <f>IFERROR(__xludf.DUMMYFUNCTION("IFERROR(
  TEXTJOIN(CHAR(10),TRUE,FILTER('SUMMARY DATA'!H:H,'SUMMARY DATA'!$A:$A=$A239,'SUMMARY DATA'!$C:$C=$B239,'SUMMARY DATA'!$B:$B=""RWS"",'SUMMARY DATA'!$H:$H=$D239)),
  IF(
    OR(
      ISNUMBER(SEARCH(""CDM CASH DEPOSIT"",$C239)),
      ISNUMBER(S"&amp;"EARCH(""CASH DEPOSIT"",$C239))
    ),
    """",
    IFERROR(TEXTJOIN(CHAR(10),TRUE,FILTER('SUMMARY DATA'!H:H,'SUMMARY DATA'!$D:$D=$C239,'SUMMARY DATA'!$B:$B=""RWS"",'SUMMARY DATA'!$H:$H=$D239)),"""")
  )
)"),"")</f>
      </c>
      <c r="I239" s="18" t="str">
        <f>IFERROR(__xludf.DUMMYFUNCTION("IF(H239="""","""",
SUM(ARRAYFORMULA(VALUE(SPLIT(H239,CHAR(10)))))
)"),"")</f>
      </c>
      <c r="J239" s="17" t="str">
        <f>IFERROR(__xludf.DUMMYFUNCTION("IFERROR(
  TEXTJOIN(CHAR(10),TRUE,FILTER('SUMMARY DATA'!I:I,'SUMMARY DATA'!$A:$A=$A239,'SUMMARY DATA'!$C:$C=$B239,'SUMMARY DATA'!$B:$B=""RWS"")),
  IF(
    OR(
      ISNUMBER(SEARCH(""CDM CASH DEPOSIT"",$C239)),
      ISNUMBER(SEARCH(""CASH DEPOSIT"",$C23"&amp;"9)),
      COUNTIFS('SUMMARY DATA'!$D:$D,$C239,'SUMMARY DATA'!$B:$B,""RWS"")&lt;&gt;1
    ),
    """",
    IFERROR(TEXTJOIN(CHAR(10),TRUE,FILTER('SUMMARY DATA'!I:I,'SUMMARY DATA'!$D:$D=$C239,'SUMMARY DATA'!$B:$B=""RWS"")),"""")
  )
)"),"")</f>
      </c>
      <c r="K239" s="2"/>
      <c r="L239" s="2"/>
      <c r="M239" s="2"/>
      <c r="N239" s="2"/>
      <c r="O239" s="2"/>
      <c r="P239" s="2"/>
      <c r="Q239" s="2"/>
      <c r="R239" s="2"/>
      <c r="S239" s="2"/>
      <c r="T239" s="2"/>
      <c r="U239" s="2"/>
      <c r="V239" s="2"/>
      <c r="W239" s="2"/>
      <c r="X239" s="2"/>
      <c r="Y239" s="2"/>
      <c r="Z239" s="2"/>
      <c r="AA239" s="2"/>
      <c r="AB239" s="2"/>
    </row>
    <row r="240" spans="1:28" customHeight="true">
      <c r="A240" s="2" t="s">
        <v>353</v>
      </c>
      <c r="B240" s="15">
        <v>45941</v>
      </c>
      <c r="C240" s="2" t="s">
        <v>349</v>
      </c>
      <c r="D240" s="3">
        <v>177.85</v>
      </c>
      <c r="E240" s="16" t="str">
        <f>IFERROR(__xludf.DUMMYFUNCTION("IFERROR(
  TEXTJOIN(CHAR(10),TRUE,FILTER('SUMMARY DATA'!E:E,'SUMMARY DATA'!$A:$A=$A240,'SUMMARY DATA'!$C:$C=$B240,'SUMMARY DATA'!$B:$B=""RWS"")),
  IF(
    OR(
      ISNUMBER(SEARCH(""CDM CASH DEPOSIT"",$C240)),
      ISNUMBER(SEARCH(""CASH DEPOSIT"",$C24"&amp;"0)),
      COUNTIFS('SUMMARY DATA'!$D:$D,$C240,'SUMMARY DATA'!$B:$B,""RWS"")&lt;&gt;1
    ),
    """",
    IFERROR(TEXTJOIN(CHAR(10),TRUE,FILTER('SUMMARY DATA'!E:E,'SUMMARY DATA'!$D:$D=$C240,'SUMMARY DATA'!$B:$B=""RWS"")),"""")
  )
)"),"")</f>
      </c>
      <c r="F240" s="17" t="str">
        <f>IFERROR(__xludf.DUMMYFUNCTION("IFERROR(
  TEXTJOIN(CHAR(10),TRUE,FILTER('SUMMARY DATA'!F:F,'SUMMARY DATA'!$A:$A=$A240,'SUMMARY DATA'!$C:$C=$B240,'SUMMARY DATA'!$B:$B=""RWS"")),
  IF(
    OR(
      ISNUMBER(SEARCH(""CDM CASH DEPOSIT"",$C240)),
      ISNUMBER(SEARCH(""CASH DEPOSIT"",$C24"&amp;"0)),
      COUNTIFS('SUMMARY DATA'!$D:$D,$C240,'SUMMARY DATA'!$B:$B,""RWS"")&lt;&gt;1
    ),
    """",
    IFERROR(TEXTJOIN(CHAR(10),TRUE,FILTER('SUMMARY DATA'!F:F,'SUMMARY DATA'!$D:$D=$C240,'SUMMARY DATA'!$B:$B=""RWS"")),"""")
  )
)"),"")</f>
      </c>
      <c r="G240" s="17" t="str">
        <f>IFERROR(__xludf.DUMMYFUNCTION("IFERROR(
  TEXTJOIN(CHAR(10),TRUE,FILTER('SUMMARY DATA'!G:G,'SUMMARY DATA'!$A:$A=$A240,'SUMMARY DATA'!$C:$C=$B240,'SUMMARY DATA'!$B:$B=""RWS"")),
  IF(
    OR(
      ISNUMBER(SEARCH(""CDM CASH DEPOSIT"",$C240)),
      ISNUMBER(SEARCH(""CASH DEPOSIT"",$C24"&amp;"0)),
      COUNTIFS('SUMMARY DATA'!$D:$D,$C240,'SUMMARY DATA'!$B:$B,""RWS"")&lt;&gt;1
    ),
    """",
    IFERROR(TEXTJOIN(CHAR(10),TRUE,FILTER('SUMMARY DATA'!G:G,'SUMMARY DATA'!$D:$D=$C240,'SUMMARY DATA'!$B:$B=""RWS"")),"""")
  )
)"),"")</f>
      </c>
      <c r="H240" s="18" t="str">
        <f>IFERROR(__xludf.DUMMYFUNCTION("IFERROR(
  TEXTJOIN(CHAR(10),TRUE,FILTER('SUMMARY DATA'!H:H,'SUMMARY DATA'!$A:$A=$A240,'SUMMARY DATA'!$C:$C=$B240,'SUMMARY DATA'!$B:$B=""RWS"",'SUMMARY DATA'!$H:$H=$D240)),
  IF(
    OR(
      ISNUMBER(SEARCH(""CDM CASH DEPOSIT"",$C240)),
      ISNUMBER(S"&amp;"EARCH(""CASH DEPOSIT"",$C240))
    ),
    """",
    IFERROR(TEXTJOIN(CHAR(10),TRUE,FILTER('SUMMARY DATA'!H:H,'SUMMARY DATA'!$D:$D=$C240,'SUMMARY DATA'!$B:$B=""RWS"",'SUMMARY DATA'!$H:$H=$D240)),"""")
  )
)"),"")</f>
      </c>
      <c r="I240" s="18" t="str">
        <f>IFERROR(__xludf.DUMMYFUNCTION("IF(H240="""","""",
SUM(ARRAYFORMULA(VALUE(SPLIT(H240,CHAR(10)))))
)"),"")</f>
      </c>
      <c r="J240" s="17" t="str">
        <f>IFERROR(__xludf.DUMMYFUNCTION("IFERROR(
  TEXTJOIN(CHAR(10),TRUE,FILTER('SUMMARY DATA'!I:I,'SUMMARY DATA'!$A:$A=$A240,'SUMMARY DATA'!$C:$C=$B240,'SUMMARY DATA'!$B:$B=""RWS"")),
  IF(
    OR(
      ISNUMBER(SEARCH(""CDM CASH DEPOSIT"",$C240)),
      ISNUMBER(SEARCH(""CASH DEPOSIT"",$C24"&amp;"0)),
      COUNTIFS('SUMMARY DATA'!$D:$D,$C240,'SUMMARY DATA'!$B:$B,""RWS"")&lt;&gt;1
    ),
    """",
    IFERROR(TEXTJOIN(CHAR(10),TRUE,FILTER('SUMMARY DATA'!I:I,'SUMMARY DATA'!$D:$D=$C240,'SUMMARY DATA'!$B:$B=""RWS"")),"""")
  )
)"),"")</f>
      </c>
      <c r="K240" s="2"/>
      <c r="L240" s="2"/>
      <c r="M240" s="2"/>
      <c r="N240" s="2"/>
      <c r="O240" s="2"/>
      <c r="P240" s="2"/>
      <c r="Q240" s="2"/>
      <c r="R240" s="2"/>
      <c r="S240" s="2"/>
      <c r="T240" s="2"/>
      <c r="U240" s="2"/>
      <c r="V240" s="2"/>
      <c r="W240" s="2"/>
      <c r="X240" s="2"/>
      <c r="Y240" s="2"/>
      <c r="Z240" s="2"/>
      <c r="AA240" s="2"/>
      <c r="AB240" s="2"/>
    </row>
    <row r="241" spans="1:28" customHeight="true">
      <c r="A241" s="2" t="s">
        <v>354</v>
      </c>
      <c r="B241" s="15">
        <v>45941</v>
      </c>
      <c r="C241" s="2" t="s">
        <v>355</v>
      </c>
      <c r="D241" s="3">
        <v>729</v>
      </c>
      <c r="E241" s="16" t="s">
        <v>2426</v>
      </c>
      <c r="F241" s="17" t="s">
        <v>2437</v>
      </c>
      <c r="G241" s="17" t="s">
        <v>2393</v>
      </c>
      <c r="H241" s="18">
        <v>729</v>
      </c>
      <c r="I241" s="18">
        <v>729</v>
      </c>
      <c r="J241" s="17" t="s">
        <v>2394</v>
      </c>
      <c r="K241" s="2" t="s">
        <v>2395</v>
      </c>
      <c r="L241" s="2"/>
      <c r="M241" s="2"/>
      <c r="N241" s="2"/>
      <c r="O241" s="2"/>
      <c r="P241" s="2"/>
      <c r="Q241" s="2"/>
      <c r="R241" s="2"/>
      <c r="S241" s="2"/>
      <c r="T241" s="2"/>
      <c r="U241" s="2"/>
      <c r="V241" s="2"/>
      <c r="W241" s="2"/>
      <c r="X241" s="2"/>
      <c r="Y241" s="2"/>
      <c r="Z241" s="2"/>
      <c r="AA241" s="2"/>
      <c r="AB241" s="2"/>
    </row>
    <row r="242" spans="1:28" customHeight="true">
      <c r="A242" s="2" t="s">
        <v>356</v>
      </c>
      <c r="B242" s="15">
        <v>45940</v>
      </c>
      <c r="C242" s="2" t="s">
        <v>357</v>
      </c>
      <c r="D242" s="3">
        <v>69.38</v>
      </c>
      <c r="E242" s="16" t="str">
        <f>IFERROR(__xludf.DUMMYFUNCTION("IFERROR(
  TEXTJOIN(CHAR(10),TRUE,FILTER('SUMMARY DATA'!E:E,'SUMMARY DATA'!$A:$A=$A242,'SUMMARY DATA'!$C:$C=$B242,'SUMMARY DATA'!$B:$B=""RWS"")),
  IF(
    OR(
      ISNUMBER(SEARCH(""CDM CASH DEPOSIT"",$C242)),
      ISNUMBER(SEARCH(""CASH DEPOSIT"",$C24"&amp;"2)),
      COUNTIFS('SUMMARY DATA'!$D:$D,$C242,'SUMMARY DATA'!$B:$B,""RWS"")&lt;&gt;1
    ),
    """",
    IFERROR(TEXTJOIN(CHAR(10),TRUE,FILTER('SUMMARY DATA'!E:E,'SUMMARY DATA'!$D:$D=$C242,'SUMMARY DATA'!$B:$B=""RWS"")),"""")
  )
)"),"")</f>
      </c>
      <c r="F242" s="17" t="str">
        <f>IFERROR(__xludf.DUMMYFUNCTION("IFERROR(
  TEXTJOIN(CHAR(10),TRUE,FILTER('SUMMARY DATA'!F:F,'SUMMARY DATA'!$A:$A=$A242,'SUMMARY DATA'!$C:$C=$B242,'SUMMARY DATA'!$B:$B=""RWS"")),
  IF(
    OR(
      ISNUMBER(SEARCH(""CDM CASH DEPOSIT"",$C242)),
      ISNUMBER(SEARCH(""CASH DEPOSIT"",$C24"&amp;"2)),
      COUNTIFS('SUMMARY DATA'!$D:$D,$C242,'SUMMARY DATA'!$B:$B,""RWS"")&lt;&gt;1
    ),
    """",
    IFERROR(TEXTJOIN(CHAR(10),TRUE,FILTER('SUMMARY DATA'!F:F,'SUMMARY DATA'!$D:$D=$C242,'SUMMARY DATA'!$B:$B=""RWS"")),"""")
  )
)"),"")</f>
      </c>
      <c r="G242" s="17" t="str">
        <f>IFERROR(__xludf.DUMMYFUNCTION("IFERROR(
  TEXTJOIN(CHAR(10),TRUE,FILTER('SUMMARY DATA'!G:G,'SUMMARY DATA'!$A:$A=$A242,'SUMMARY DATA'!$C:$C=$B242,'SUMMARY DATA'!$B:$B=""RWS"")),
  IF(
    OR(
      ISNUMBER(SEARCH(""CDM CASH DEPOSIT"",$C242)),
      ISNUMBER(SEARCH(""CASH DEPOSIT"",$C24"&amp;"2)),
      COUNTIFS('SUMMARY DATA'!$D:$D,$C242,'SUMMARY DATA'!$B:$B,""RWS"")&lt;&gt;1
    ),
    """",
    IFERROR(TEXTJOIN(CHAR(10),TRUE,FILTER('SUMMARY DATA'!G:G,'SUMMARY DATA'!$D:$D=$C242,'SUMMARY DATA'!$B:$B=""RWS"")),"""")
  )
)"),"")</f>
      </c>
      <c r="H242" s="18" t="str">
        <f>IFERROR(__xludf.DUMMYFUNCTION("IFERROR(
  TEXTJOIN(CHAR(10),TRUE,FILTER('SUMMARY DATA'!H:H,'SUMMARY DATA'!$A:$A=$A242,'SUMMARY DATA'!$C:$C=$B242,'SUMMARY DATA'!$B:$B=""RWS"",'SUMMARY DATA'!$H:$H=$D242)),
  IF(
    OR(
      ISNUMBER(SEARCH(""CDM CASH DEPOSIT"",$C242)),
      ISNUMBER(S"&amp;"EARCH(""CASH DEPOSIT"",$C242))
    ),
    """",
    IFERROR(TEXTJOIN(CHAR(10),TRUE,FILTER('SUMMARY DATA'!H:H,'SUMMARY DATA'!$D:$D=$C242,'SUMMARY DATA'!$B:$B=""RWS"",'SUMMARY DATA'!$H:$H=$D242)),"""")
  )
)"),"")</f>
      </c>
      <c r="I242" s="18" t="str">
        <f>IFERROR(__xludf.DUMMYFUNCTION("IF(H242="""","""",
SUM(ARRAYFORMULA(VALUE(SPLIT(H242,CHAR(10)))))
)"),"")</f>
      </c>
      <c r="J242" s="17" t="str">
        <f>IFERROR(__xludf.DUMMYFUNCTION("IFERROR(
  TEXTJOIN(CHAR(10),TRUE,FILTER('SUMMARY DATA'!I:I,'SUMMARY DATA'!$A:$A=$A242,'SUMMARY DATA'!$C:$C=$B242,'SUMMARY DATA'!$B:$B=""RWS"")),
  IF(
    OR(
      ISNUMBER(SEARCH(""CDM CASH DEPOSIT"",$C242)),
      ISNUMBER(SEARCH(""CASH DEPOSIT"",$C24"&amp;"2)),
      COUNTIFS('SUMMARY DATA'!$D:$D,$C242,'SUMMARY DATA'!$B:$B,""RWS"")&lt;&gt;1
    ),
    """",
    IFERROR(TEXTJOIN(CHAR(10),TRUE,FILTER('SUMMARY DATA'!I:I,'SUMMARY DATA'!$D:$D=$C242,'SUMMARY DATA'!$B:$B=""RWS"")),"""")
  )
)"),"")</f>
      </c>
      <c r="K242" s="2"/>
      <c r="L242" s="2"/>
      <c r="M242" s="2"/>
      <c r="N242" s="2"/>
      <c r="O242" s="2"/>
      <c r="P242" s="2"/>
      <c r="Q242" s="2"/>
      <c r="R242" s="2"/>
      <c r="S242" s="2"/>
      <c r="T242" s="2"/>
      <c r="U242" s="2"/>
      <c r="V242" s="2"/>
      <c r="W242" s="2"/>
      <c r="X242" s="2"/>
      <c r="Y242" s="2"/>
      <c r="Z242" s="2"/>
      <c r="AA242" s="2"/>
      <c r="AB242" s="2"/>
    </row>
    <row r="243" spans="1:28" customHeight="true">
      <c r="A243" s="2" t="s">
        <v>358</v>
      </c>
      <c r="B243" s="15">
        <v>45940</v>
      </c>
      <c r="C243" s="2" t="s">
        <v>359</v>
      </c>
      <c r="D243" s="3">
        <v>557.8</v>
      </c>
      <c r="E243" s="16" t="str">
        <f>IFERROR(__xludf.DUMMYFUNCTION("IFERROR(
  TEXTJOIN(CHAR(10),TRUE,FILTER('SUMMARY DATA'!E:E,'SUMMARY DATA'!$A:$A=$A243,'SUMMARY DATA'!$C:$C=$B243,'SUMMARY DATA'!$B:$B=""RWS"")),
  IF(
    OR(
      ISNUMBER(SEARCH(""CDM CASH DEPOSIT"",$C243)),
      ISNUMBER(SEARCH(""CASH DEPOSIT"",$C24"&amp;"3)),
      COUNTIFS('SUMMARY DATA'!$D:$D,$C243,'SUMMARY DATA'!$B:$B,""RWS"")&lt;&gt;1
    ),
    """",
    IFERROR(TEXTJOIN(CHAR(10),TRUE,FILTER('SUMMARY DATA'!E:E,'SUMMARY DATA'!$D:$D=$C243,'SUMMARY DATA'!$B:$B=""RWS"")),"""")
  )
)"),"")</f>
      </c>
      <c r="F243" s="17" t="str">
        <f>IFERROR(__xludf.DUMMYFUNCTION("IFERROR(
  TEXTJOIN(CHAR(10),TRUE,FILTER('SUMMARY DATA'!F:F,'SUMMARY DATA'!$A:$A=$A243,'SUMMARY DATA'!$C:$C=$B243,'SUMMARY DATA'!$B:$B=""RWS"")),
  IF(
    OR(
      ISNUMBER(SEARCH(""CDM CASH DEPOSIT"",$C243)),
      ISNUMBER(SEARCH(""CASH DEPOSIT"",$C24"&amp;"3)),
      COUNTIFS('SUMMARY DATA'!$D:$D,$C243,'SUMMARY DATA'!$B:$B,""RWS"")&lt;&gt;1
    ),
    """",
    IFERROR(TEXTJOIN(CHAR(10),TRUE,FILTER('SUMMARY DATA'!F:F,'SUMMARY DATA'!$D:$D=$C243,'SUMMARY DATA'!$B:$B=""RWS"")),"""")
  )
)"),"")</f>
      </c>
      <c r="G243" s="17" t="str">
        <f>IFERROR(__xludf.DUMMYFUNCTION("IFERROR(
  TEXTJOIN(CHAR(10),TRUE,FILTER('SUMMARY DATA'!G:G,'SUMMARY DATA'!$A:$A=$A243,'SUMMARY DATA'!$C:$C=$B243,'SUMMARY DATA'!$B:$B=""RWS"")),
  IF(
    OR(
      ISNUMBER(SEARCH(""CDM CASH DEPOSIT"",$C243)),
      ISNUMBER(SEARCH(""CASH DEPOSIT"",$C24"&amp;"3)),
      COUNTIFS('SUMMARY DATA'!$D:$D,$C243,'SUMMARY DATA'!$B:$B,""RWS"")&lt;&gt;1
    ),
    """",
    IFERROR(TEXTJOIN(CHAR(10),TRUE,FILTER('SUMMARY DATA'!G:G,'SUMMARY DATA'!$D:$D=$C243,'SUMMARY DATA'!$B:$B=""RWS"")),"""")
  )
)"),"")</f>
      </c>
      <c r="H243" s="18" t="str">
        <f>IFERROR(__xludf.DUMMYFUNCTION("IFERROR(
  TEXTJOIN(CHAR(10),TRUE,FILTER('SUMMARY DATA'!H:H,'SUMMARY DATA'!$A:$A=$A243,'SUMMARY DATA'!$C:$C=$B243,'SUMMARY DATA'!$B:$B=""RWS"",'SUMMARY DATA'!$H:$H=$D243)),
  IF(
    OR(
      ISNUMBER(SEARCH(""CDM CASH DEPOSIT"",$C243)),
      ISNUMBER(S"&amp;"EARCH(""CASH DEPOSIT"",$C243))
    ),
    """",
    IFERROR(TEXTJOIN(CHAR(10),TRUE,FILTER('SUMMARY DATA'!H:H,'SUMMARY DATA'!$D:$D=$C243,'SUMMARY DATA'!$B:$B=""RWS"",'SUMMARY DATA'!$H:$H=$D243)),"""")
  )
)"),"")</f>
      </c>
      <c r="I243" s="18" t="str">
        <f>IFERROR(__xludf.DUMMYFUNCTION("IF(H243="""","""",
SUM(ARRAYFORMULA(VALUE(SPLIT(H243,CHAR(10)))))
)"),"")</f>
      </c>
      <c r="J243" s="17" t="str">
        <f>IFERROR(__xludf.DUMMYFUNCTION("IFERROR(
  TEXTJOIN(CHAR(10),TRUE,FILTER('SUMMARY DATA'!I:I,'SUMMARY DATA'!$A:$A=$A243,'SUMMARY DATA'!$C:$C=$B243,'SUMMARY DATA'!$B:$B=""RWS"")),
  IF(
    OR(
      ISNUMBER(SEARCH(""CDM CASH DEPOSIT"",$C243)),
      ISNUMBER(SEARCH(""CASH DEPOSIT"",$C24"&amp;"3)),
      COUNTIFS('SUMMARY DATA'!$D:$D,$C243,'SUMMARY DATA'!$B:$B,""RWS"")&lt;&gt;1
    ),
    """",
    IFERROR(TEXTJOIN(CHAR(10),TRUE,FILTER('SUMMARY DATA'!I:I,'SUMMARY DATA'!$D:$D=$C243,'SUMMARY DATA'!$B:$B=""RWS"")),"""")
  )
)"),"")</f>
      </c>
      <c r="K243" s="2"/>
      <c r="L243" s="2"/>
      <c r="M243" s="2"/>
      <c r="N243" s="2"/>
      <c r="O243" s="2"/>
      <c r="P243" s="2"/>
      <c r="Q243" s="2"/>
      <c r="R243" s="2"/>
      <c r="S243" s="2"/>
      <c r="T243" s="2"/>
      <c r="U243" s="2"/>
      <c r="V243" s="2"/>
      <c r="W243" s="2"/>
      <c r="X243" s="2"/>
      <c r="Y243" s="2"/>
      <c r="Z243" s="2"/>
      <c r="AA243" s="2"/>
      <c r="AB243" s="2"/>
    </row>
    <row r="244" spans="1:28" customHeight="true">
      <c r="A244" s="2" t="s">
        <v>360</v>
      </c>
      <c r="B244" s="15">
        <v>45940</v>
      </c>
      <c r="C244" s="2" t="s">
        <v>361</v>
      </c>
      <c r="D244" s="3">
        <v>10</v>
      </c>
      <c r="E244" s="16" t="str">
        <f>IFERROR(__xludf.DUMMYFUNCTION("IFERROR(
  TEXTJOIN(CHAR(10),TRUE,FILTER('SUMMARY DATA'!E:E,'SUMMARY DATA'!$A:$A=$A244,'SUMMARY DATA'!$C:$C=$B244,'SUMMARY DATA'!$B:$B=""RWS"")),
  IF(
    OR(
      ISNUMBER(SEARCH(""CDM CASH DEPOSIT"",$C244)),
      ISNUMBER(SEARCH(""CASH DEPOSIT"",$C24"&amp;"4)),
      COUNTIFS('SUMMARY DATA'!$D:$D,$C244,'SUMMARY DATA'!$B:$B,""RWS"")&lt;&gt;1
    ),
    """",
    IFERROR(TEXTJOIN(CHAR(10),TRUE,FILTER('SUMMARY DATA'!E:E,'SUMMARY DATA'!$D:$D=$C244,'SUMMARY DATA'!$B:$B=""RWS"")),"""")
  )
)"),"")</f>
      </c>
      <c r="F244" s="17" t="str">
        <f>IFERROR(__xludf.DUMMYFUNCTION("IFERROR(
  TEXTJOIN(CHAR(10),TRUE,FILTER('SUMMARY DATA'!F:F,'SUMMARY DATA'!$A:$A=$A244,'SUMMARY DATA'!$C:$C=$B244,'SUMMARY DATA'!$B:$B=""RWS"")),
  IF(
    OR(
      ISNUMBER(SEARCH(""CDM CASH DEPOSIT"",$C244)),
      ISNUMBER(SEARCH(""CASH DEPOSIT"",$C24"&amp;"4)),
      COUNTIFS('SUMMARY DATA'!$D:$D,$C244,'SUMMARY DATA'!$B:$B,""RWS"")&lt;&gt;1
    ),
    """",
    IFERROR(TEXTJOIN(CHAR(10),TRUE,FILTER('SUMMARY DATA'!F:F,'SUMMARY DATA'!$D:$D=$C244,'SUMMARY DATA'!$B:$B=""RWS"")),"""")
  )
)"),"")</f>
      </c>
      <c r="G244" s="17" t="str">
        <f>IFERROR(__xludf.DUMMYFUNCTION("IFERROR(
  TEXTJOIN(CHAR(10),TRUE,FILTER('SUMMARY DATA'!G:G,'SUMMARY DATA'!$A:$A=$A244,'SUMMARY DATA'!$C:$C=$B244,'SUMMARY DATA'!$B:$B=""RWS"")),
  IF(
    OR(
      ISNUMBER(SEARCH(""CDM CASH DEPOSIT"",$C244)),
      ISNUMBER(SEARCH(""CASH DEPOSIT"",$C24"&amp;"4)),
      COUNTIFS('SUMMARY DATA'!$D:$D,$C244,'SUMMARY DATA'!$B:$B,""RWS"")&lt;&gt;1
    ),
    """",
    IFERROR(TEXTJOIN(CHAR(10),TRUE,FILTER('SUMMARY DATA'!G:G,'SUMMARY DATA'!$D:$D=$C244,'SUMMARY DATA'!$B:$B=""RWS"")),"""")
  )
)"),"")</f>
      </c>
      <c r="H244" s="18" t="str">
        <f>IFERROR(__xludf.DUMMYFUNCTION("IFERROR(
  TEXTJOIN(CHAR(10),TRUE,FILTER('SUMMARY DATA'!H:H,'SUMMARY DATA'!$A:$A=$A244,'SUMMARY DATA'!$C:$C=$B244,'SUMMARY DATA'!$B:$B=""RWS"",'SUMMARY DATA'!$H:$H=$D244)),
  IF(
    OR(
      ISNUMBER(SEARCH(""CDM CASH DEPOSIT"",$C244)),
      ISNUMBER(S"&amp;"EARCH(""CASH DEPOSIT"",$C244))
    ),
    """",
    IFERROR(TEXTJOIN(CHAR(10),TRUE,FILTER('SUMMARY DATA'!H:H,'SUMMARY DATA'!$D:$D=$C244,'SUMMARY DATA'!$B:$B=""RWS"",'SUMMARY DATA'!$H:$H=$D244)),"""")
  )
)"),"")</f>
      </c>
      <c r="I244" s="18" t="str">
        <f>IFERROR(__xludf.DUMMYFUNCTION("IF(H244="""","""",
SUM(ARRAYFORMULA(VALUE(SPLIT(H244,CHAR(10)))))
)"),"")</f>
      </c>
      <c r="J244" s="17" t="str">
        <f>IFERROR(__xludf.DUMMYFUNCTION("IFERROR(
  TEXTJOIN(CHAR(10),TRUE,FILTER('SUMMARY DATA'!I:I,'SUMMARY DATA'!$A:$A=$A244,'SUMMARY DATA'!$C:$C=$B244,'SUMMARY DATA'!$B:$B=""RWS"")),
  IF(
    OR(
      ISNUMBER(SEARCH(""CDM CASH DEPOSIT"",$C244)),
      ISNUMBER(SEARCH(""CASH DEPOSIT"",$C24"&amp;"4)),
      COUNTIFS('SUMMARY DATA'!$D:$D,$C244,'SUMMARY DATA'!$B:$B,""RWS"")&lt;&gt;1
    ),
    """",
    IFERROR(TEXTJOIN(CHAR(10),TRUE,FILTER('SUMMARY DATA'!I:I,'SUMMARY DATA'!$D:$D=$C244,'SUMMARY DATA'!$B:$B=""RWS"")),"""")
  )
)"),"")</f>
      </c>
      <c r="K244" s="2"/>
      <c r="L244" s="2"/>
      <c r="M244" s="2"/>
      <c r="N244" s="2"/>
      <c r="O244" s="2"/>
      <c r="P244" s="2"/>
      <c r="Q244" s="2"/>
      <c r="R244" s="2"/>
      <c r="S244" s="2"/>
      <c r="T244" s="2"/>
      <c r="U244" s="2"/>
      <c r="V244" s="2"/>
      <c r="W244" s="2"/>
      <c r="X244" s="2"/>
      <c r="Y244" s="2"/>
      <c r="Z244" s="2"/>
      <c r="AA244" s="2"/>
      <c r="AB244" s="2"/>
    </row>
    <row r="245" spans="1:28" customHeight="true">
      <c r="A245" s="2" t="s">
        <v>362</v>
      </c>
      <c r="B245" s="15">
        <v>45940</v>
      </c>
      <c r="C245" s="2" t="s">
        <v>363</v>
      </c>
      <c r="D245" s="3">
        <v>295</v>
      </c>
      <c r="E245" s="16" t="str">
        <f>IFERROR(__xludf.DUMMYFUNCTION("IFERROR(
  TEXTJOIN(CHAR(10),TRUE,FILTER('SUMMARY DATA'!E:E,'SUMMARY DATA'!$A:$A=$A245,'SUMMARY DATA'!$C:$C=$B245,'SUMMARY DATA'!$B:$B=""RWS"")),
  IF(
    OR(
      ISNUMBER(SEARCH(""CDM CASH DEPOSIT"",$C245)),
      ISNUMBER(SEARCH(""CASH DEPOSIT"",$C24"&amp;"5)),
      COUNTIFS('SUMMARY DATA'!$D:$D,$C245,'SUMMARY DATA'!$B:$B,""RWS"")&lt;&gt;1
    ),
    """",
    IFERROR(TEXTJOIN(CHAR(10),TRUE,FILTER('SUMMARY DATA'!E:E,'SUMMARY DATA'!$D:$D=$C245,'SUMMARY DATA'!$B:$B=""RWS"")),"""")
  )
)"),"")</f>
      </c>
      <c r="F245" s="17" t="str">
        <f>IFERROR(__xludf.DUMMYFUNCTION("IFERROR(
  TEXTJOIN(CHAR(10),TRUE,FILTER('SUMMARY DATA'!F:F,'SUMMARY DATA'!$A:$A=$A245,'SUMMARY DATA'!$C:$C=$B245,'SUMMARY DATA'!$B:$B=""RWS"")),
  IF(
    OR(
      ISNUMBER(SEARCH(""CDM CASH DEPOSIT"",$C245)),
      ISNUMBER(SEARCH(""CASH DEPOSIT"",$C24"&amp;"5)),
      COUNTIFS('SUMMARY DATA'!$D:$D,$C245,'SUMMARY DATA'!$B:$B,""RWS"")&lt;&gt;1
    ),
    """",
    IFERROR(TEXTJOIN(CHAR(10),TRUE,FILTER('SUMMARY DATA'!F:F,'SUMMARY DATA'!$D:$D=$C245,'SUMMARY DATA'!$B:$B=""RWS"")),"""")
  )
)"),"")</f>
      </c>
      <c r="G245" s="17" t="str">
        <f>IFERROR(__xludf.DUMMYFUNCTION("IFERROR(
  TEXTJOIN(CHAR(10),TRUE,FILTER('SUMMARY DATA'!G:G,'SUMMARY DATA'!$A:$A=$A245,'SUMMARY DATA'!$C:$C=$B245,'SUMMARY DATA'!$B:$B=""RWS"")),
  IF(
    OR(
      ISNUMBER(SEARCH(""CDM CASH DEPOSIT"",$C245)),
      ISNUMBER(SEARCH(""CASH DEPOSIT"",$C24"&amp;"5)),
      COUNTIFS('SUMMARY DATA'!$D:$D,$C245,'SUMMARY DATA'!$B:$B,""RWS"")&lt;&gt;1
    ),
    """",
    IFERROR(TEXTJOIN(CHAR(10),TRUE,FILTER('SUMMARY DATA'!G:G,'SUMMARY DATA'!$D:$D=$C245,'SUMMARY DATA'!$B:$B=""RWS"")),"""")
  )
)"),"")</f>
      </c>
      <c r="H245" s="18" t="str">
        <f>IFERROR(__xludf.DUMMYFUNCTION("IFERROR(
  TEXTJOIN(CHAR(10),TRUE,FILTER('SUMMARY DATA'!H:H,'SUMMARY DATA'!$A:$A=$A245,'SUMMARY DATA'!$C:$C=$B245,'SUMMARY DATA'!$B:$B=""RWS"",'SUMMARY DATA'!$H:$H=$D245)),
  IF(
    OR(
      ISNUMBER(SEARCH(""CDM CASH DEPOSIT"",$C245)),
      ISNUMBER(S"&amp;"EARCH(""CASH DEPOSIT"",$C245))
    ),
    """",
    IFERROR(TEXTJOIN(CHAR(10),TRUE,FILTER('SUMMARY DATA'!H:H,'SUMMARY DATA'!$D:$D=$C245,'SUMMARY DATA'!$B:$B=""RWS"",'SUMMARY DATA'!$H:$H=$D245)),"""")
  )
)"),"")</f>
      </c>
      <c r="I245" s="18" t="str">
        <f>IFERROR(__xludf.DUMMYFUNCTION("IF(H245="""","""",
SUM(ARRAYFORMULA(VALUE(SPLIT(H245,CHAR(10)))))
)"),"")</f>
      </c>
      <c r="J245" s="17" t="str">
        <f>IFERROR(__xludf.DUMMYFUNCTION("IFERROR(
  TEXTJOIN(CHAR(10),TRUE,FILTER('SUMMARY DATA'!I:I,'SUMMARY DATA'!$A:$A=$A245,'SUMMARY DATA'!$C:$C=$B245,'SUMMARY DATA'!$B:$B=""RWS"")),
  IF(
    OR(
      ISNUMBER(SEARCH(""CDM CASH DEPOSIT"",$C245)),
      ISNUMBER(SEARCH(""CASH DEPOSIT"",$C24"&amp;"5)),
      COUNTIFS('SUMMARY DATA'!$D:$D,$C245,'SUMMARY DATA'!$B:$B,""RWS"")&lt;&gt;1
    ),
    """",
    IFERROR(TEXTJOIN(CHAR(10),TRUE,FILTER('SUMMARY DATA'!I:I,'SUMMARY DATA'!$D:$D=$C245,'SUMMARY DATA'!$B:$B=""RWS"")),"""")
  )
)"),"")</f>
      </c>
      <c r="K245" s="2"/>
      <c r="L245" s="2"/>
      <c r="M245" s="2"/>
      <c r="N245" s="2"/>
      <c r="O245" s="2"/>
      <c r="P245" s="2"/>
      <c r="Q245" s="2"/>
      <c r="R245" s="2"/>
      <c r="S245" s="2"/>
      <c r="T245" s="2"/>
      <c r="U245" s="2"/>
      <c r="V245" s="2"/>
      <c r="W245" s="2"/>
      <c r="X245" s="2"/>
      <c r="Y245" s="2"/>
      <c r="Z245" s="2"/>
      <c r="AA245" s="2"/>
      <c r="AB245" s="2"/>
    </row>
    <row r="246" spans="1:28" customHeight="true">
      <c r="A246" s="2"/>
      <c r="B246" s="15">
        <v>45940</v>
      </c>
      <c r="C246" s="2" t="s">
        <v>364</v>
      </c>
      <c r="D246" s="3">
        <v>88.88</v>
      </c>
      <c r="E246" s="16" t="str">
        <f>IFERROR(__xludf.DUMMYFUNCTION("IFERROR(
  TEXTJOIN(CHAR(10),TRUE,FILTER('SUMMARY DATA'!E:E,'SUMMARY DATA'!$A:$A=$A246,'SUMMARY DATA'!$C:$C=$B246,'SUMMARY DATA'!$B:$B=""RWS"")),
  IF(
    OR(
      ISNUMBER(SEARCH(""CDM CASH DEPOSIT"",$C246)),
      ISNUMBER(SEARCH(""CASH DEPOSIT"",$C24"&amp;"6)),
      COUNTIFS('SUMMARY DATA'!$D:$D,$C246,'SUMMARY DATA'!$B:$B,""RWS"")&lt;&gt;1
    ),
    """",
    IFERROR(TEXTJOIN(CHAR(10),TRUE,FILTER('SUMMARY DATA'!E:E,'SUMMARY DATA'!$D:$D=$C246,'SUMMARY DATA'!$B:$B=""RWS"")),"""")
  )
)"),"")</f>
      </c>
      <c r="F246" s="17" t="str">
        <f>IFERROR(__xludf.DUMMYFUNCTION("IFERROR(
  TEXTJOIN(CHAR(10),TRUE,FILTER('SUMMARY DATA'!F:F,'SUMMARY DATA'!$A:$A=$A246,'SUMMARY DATA'!$C:$C=$B246,'SUMMARY DATA'!$B:$B=""RWS"")),
  IF(
    OR(
      ISNUMBER(SEARCH(""CDM CASH DEPOSIT"",$C246)),
      ISNUMBER(SEARCH(""CASH DEPOSIT"",$C24"&amp;"6)),
      COUNTIFS('SUMMARY DATA'!$D:$D,$C246,'SUMMARY DATA'!$B:$B,""RWS"")&lt;&gt;1
    ),
    """",
    IFERROR(TEXTJOIN(CHAR(10),TRUE,FILTER('SUMMARY DATA'!F:F,'SUMMARY DATA'!$D:$D=$C246,'SUMMARY DATA'!$B:$B=""RWS"")),"""")
  )
)"),"")</f>
      </c>
      <c r="G246" s="17" t="str">
        <f>IFERROR(__xludf.DUMMYFUNCTION("IFERROR(
  TEXTJOIN(CHAR(10),TRUE,FILTER('SUMMARY DATA'!G:G,'SUMMARY DATA'!$A:$A=$A246,'SUMMARY DATA'!$C:$C=$B246,'SUMMARY DATA'!$B:$B=""RWS"")),
  IF(
    OR(
      ISNUMBER(SEARCH(""CDM CASH DEPOSIT"",$C246)),
      ISNUMBER(SEARCH(""CASH DEPOSIT"",$C24"&amp;"6)),
      COUNTIFS('SUMMARY DATA'!$D:$D,$C246,'SUMMARY DATA'!$B:$B,""RWS"")&lt;&gt;1
    ),
    """",
    IFERROR(TEXTJOIN(CHAR(10),TRUE,FILTER('SUMMARY DATA'!G:G,'SUMMARY DATA'!$D:$D=$C246,'SUMMARY DATA'!$B:$B=""RWS"")),"""")
  )
)"),"")</f>
      </c>
      <c r="H246" s="18" t="str">
        <f>IFERROR(__xludf.DUMMYFUNCTION("IFERROR(
  TEXTJOIN(CHAR(10),TRUE,FILTER('SUMMARY DATA'!H:H,'SUMMARY DATA'!$A:$A=$A246,'SUMMARY DATA'!$C:$C=$B246,'SUMMARY DATA'!$B:$B=""RWS"",'SUMMARY DATA'!$H:$H=$D246)),
  IF(
    OR(
      ISNUMBER(SEARCH(""CDM CASH DEPOSIT"",$C246)),
      ISNUMBER(S"&amp;"EARCH(""CASH DEPOSIT"",$C246))
    ),
    """",
    IFERROR(TEXTJOIN(CHAR(10),TRUE,FILTER('SUMMARY DATA'!H:H,'SUMMARY DATA'!$D:$D=$C246,'SUMMARY DATA'!$B:$B=""RWS"",'SUMMARY DATA'!$H:$H=$D246)),"""")
  )
)"),"")</f>
      </c>
      <c r="I246" s="18" t="str">
        <f>IFERROR(__xludf.DUMMYFUNCTION("IF(H246="""","""",
SUM(ARRAYFORMULA(VALUE(SPLIT(H246,CHAR(10)))))
)"),"")</f>
      </c>
      <c r="J246" s="17" t="str">
        <f>IFERROR(__xludf.DUMMYFUNCTION("IFERROR(
  TEXTJOIN(CHAR(10),TRUE,FILTER('SUMMARY DATA'!I:I,'SUMMARY DATA'!$A:$A=$A246,'SUMMARY DATA'!$C:$C=$B246,'SUMMARY DATA'!$B:$B=""RWS"")),
  IF(
    OR(
      ISNUMBER(SEARCH(""CDM CASH DEPOSIT"",$C246)),
      ISNUMBER(SEARCH(""CASH DEPOSIT"",$C24"&amp;"6)),
      COUNTIFS('SUMMARY DATA'!$D:$D,$C246,'SUMMARY DATA'!$B:$B,""RWS"")&lt;&gt;1
    ),
    """",
    IFERROR(TEXTJOIN(CHAR(10),TRUE,FILTER('SUMMARY DATA'!I:I,'SUMMARY DATA'!$D:$D=$C246,'SUMMARY DATA'!$B:$B=""RWS"")),"""")
  )
)"),"")</f>
      </c>
      <c r="K246" s="2"/>
      <c r="L246" s="2"/>
      <c r="M246" s="2"/>
      <c r="N246" s="2"/>
      <c r="O246" s="2"/>
      <c r="P246" s="2"/>
      <c r="Q246" s="2"/>
      <c r="R246" s="2"/>
      <c r="S246" s="2"/>
      <c r="T246" s="2"/>
      <c r="U246" s="2"/>
      <c r="V246" s="2"/>
      <c r="W246" s="2"/>
      <c r="X246" s="2"/>
      <c r="Y246" s="2"/>
      <c r="Z246" s="2"/>
      <c r="AA246" s="2"/>
      <c r="AB246" s="2"/>
    </row>
    <row r="247" spans="1:28" customHeight="true">
      <c r="A247" s="2" t="s">
        <v>365</v>
      </c>
      <c r="B247" s="15">
        <v>45939</v>
      </c>
      <c r="C247" s="2" t="s">
        <v>366</v>
      </c>
      <c r="D247" s="3">
        <v>69</v>
      </c>
      <c r="E247" s="16" t="str">
        <f>IFERROR(__xludf.DUMMYFUNCTION("IFERROR(
  TEXTJOIN(CHAR(10),TRUE,FILTER('SUMMARY DATA'!E:E,'SUMMARY DATA'!$A:$A=$A247,'SUMMARY DATA'!$C:$C=$B247,'SUMMARY DATA'!$B:$B=""RWS"")),
  IF(
    OR(
      ISNUMBER(SEARCH(""CDM CASH DEPOSIT"",$C247)),
      ISNUMBER(SEARCH(""CASH DEPOSIT"",$C24"&amp;"7)),
      COUNTIFS('SUMMARY DATA'!$D:$D,$C247,'SUMMARY DATA'!$B:$B,""RWS"")&lt;&gt;1
    ),
    """",
    IFERROR(TEXTJOIN(CHAR(10),TRUE,FILTER('SUMMARY DATA'!E:E,'SUMMARY DATA'!$D:$D=$C247,'SUMMARY DATA'!$B:$B=""RWS"")),"""")
  )
)"),"")</f>
      </c>
      <c r="F247" s="17" t="str">
        <f>IFERROR(__xludf.DUMMYFUNCTION("IFERROR(
  TEXTJOIN(CHAR(10),TRUE,FILTER('SUMMARY DATA'!F:F,'SUMMARY DATA'!$A:$A=$A247,'SUMMARY DATA'!$C:$C=$B247,'SUMMARY DATA'!$B:$B=""RWS"")),
  IF(
    OR(
      ISNUMBER(SEARCH(""CDM CASH DEPOSIT"",$C247)),
      ISNUMBER(SEARCH(""CASH DEPOSIT"",$C24"&amp;"7)),
      COUNTIFS('SUMMARY DATA'!$D:$D,$C247,'SUMMARY DATA'!$B:$B,""RWS"")&lt;&gt;1
    ),
    """",
    IFERROR(TEXTJOIN(CHAR(10),TRUE,FILTER('SUMMARY DATA'!F:F,'SUMMARY DATA'!$D:$D=$C247,'SUMMARY DATA'!$B:$B=""RWS"")),"""")
  )
)"),"")</f>
      </c>
      <c r="G247" s="17" t="str">
        <f>IFERROR(__xludf.DUMMYFUNCTION("IFERROR(
  TEXTJOIN(CHAR(10),TRUE,FILTER('SUMMARY DATA'!G:G,'SUMMARY DATA'!$A:$A=$A247,'SUMMARY DATA'!$C:$C=$B247,'SUMMARY DATA'!$B:$B=""RWS"")),
  IF(
    OR(
      ISNUMBER(SEARCH(""CDM CASH DEPOSIT"",$C247)),
      ISNUMBER(SEARCH(""CASH DEPOSIT"",$C24"&amp;"7)),
      COUNTIFS('SUMMARY DATA'!$D:$D,$C247,'SUMMARY DATA'!$B:$B,""RWS"")&lt;&gt;1
    ),
    """",
    IFERROR(TEXTJOIN(CHAR(10),TRUE,FILTER('SUMMARY DATA'!G:G,'SUMMARY DATA'!$D:$D=$C247,'SUMMARY DATA'!$B:$B=""RWS"")),"""")
  )
)"),"")</f>
      </c>
      <c r="H247" s="18" t="str">
        <f>IFERROR(__xludf.DUMMYFUNCTION("IFERROR(
  TEXTJOIN(CHAR(10),TRUE,FILTER('SUMMARY DATA'!H:H,'SUMMARY DATA'!$A:$A=$A247,'SUMMARY DATA'!$C:$C=$B247,'SUMMARY DATA'!$B:$B=""RWS"",'SUMMARY DATA'!$H:$H=$D247)),
  IF(
    OR(
      ISNUMBER(SEARCH(""CDM CASH DEPOSIT"",$C247)),
      ISNUMBER(S"&amp;"EARCH(""CASH DEPOSIT"",$C247))
    ),
    """",
    IFERROR(TEXTJOIN(CHAR(10),TRUE,FILTER('SUMMARY DATA'!H:H,'SUMMARY DATA'!$D:$D=$C247,'SUMMARY DATA'!$B:$B=""RWS"",'SUMMARY DATA'!$H:$H=$D247)),"""")
  )
)"),"")</f>
      </c>
      <c r="I247" s="18" t="str">
        <f>IFERROR(__xludf.DUMMYFUNCTION("IF(H247="""","""",
SUM(ARRAYFORMULA(VALUE(SPLIT(H247,CHAR(10)))))
)"),"")</f>
      </c>
      <c r="J247" s="17" t="str">
        <f>IFERROR(__xludf.DUMMYFUNCTION("IFERROR(
  TEXTJOIN(CHAR(10),TRUE,FILTER('SUMMARY DATA'!I:I,'SUMMARY DATA'!$A:$A=$A247,'SUMMARY DATA'!$C:$C=$B247,'SUMMARY DATA'!$B:$B=""RWS"")),
  IF(
    OR(
      ISNUMBER(SEARCH(""CDM CASH DEPOSIT"",$C247)),
      ISNUMBER(SEARCH(""CASH DEPOSIT"",$C24"&amp;"7)),
      COUNTIFS('SUMMARY DATA'!$D:$D,$C247,'SUMMARY DATA'!$B:$B,""RWS"")&lt;&gt;1
    ),
    """",
    IFERROR(TEXTJOIN(CHAR(10),TRUE,FILTER('SUMMARY DATA'!I:I,'SUMMARY DATA'!$D:$D=$C247,'SUMMARY DATA'!$B:$B=""RWS"")),"""")
  )
)"),"")</f>
      </c>
      <c r="K247" s="2"/>
      <c r="L247" s="2"/>
      <c r="M247" s="2"/>
      <c r="N247" s="2"/>
      <c r="O247" s="2"/>
      <c r="P247" s="2"/>
      <c r="Q247" s="2"/>
      <c r="R247" s="2"/>
      <c r="S247" s="2"/>
      <c r="T247" s="2"/>
      <c r="U247" s="2"/>
      <c r="V247" s="2"/>
      <c r="W247" s="2"/>
      <c r="X247" s="2"/>
      <c r="Y247" s="2"/>
      <c r="Z247" s="2"/>
      <c r="AA247" s="2"/>
      <c r="AB247" s="2"/>
    </row>
    <row r="248" spans="1:28" customHeight="true">
      <c r="A248" s="2" t="s">
        <v>367</v>
      </c>
      <c r="B248" s="15">
        <v>45939</v>
      </c>
      <c r="C248" s="2" t="s">
        <v>368</v>
      </c>
      <c r="D248" s="3">
        <v>291</v>
      </c>
      <c r="E248" s="16" t="str">
        <f>IFERROR(__xludf.DUMMYFUNCTION("IFERROR(
  TEXTJOIN(CHAR(10),TRUE,FILTER('SUMMARY DATA'!E:E,'SUMMARY DATA'!$A:$A=$A248,'SUMMARY DATA'!$C:$C=$B248,'SUMMARY DATA'!$B:$B=""RWS"")),
  IF(
    OR(
      ISNUMBER(SEARCH(""CDM CASH DEPOSIT"",$C248)),
      ISNUMBER(SEARCH(""CASH DEPOSIT"",$C24"&amp;"8)),
      COUNTIFS('SUMMARY DATA'!$D:$D,$C248,'SUMMARY DATA'!$B:$B,""RWS"")&lt;&gt;1
    ),
    """",
    IFERROR(TEXTJOIN(CHAR(10),TRUE,FILTER('SUMMARY DATA'!E:E,'SUMMARY DATA'!$D:$D=$C248,'SUMMARY DATA'!$B:$B=""RWS"")),"""")
  )
)"),"")</f>
      </c>
      <c r="F248" s="17" t="str">
        <f>IFERROR(__xludf.DUMMYFUNCTION("IFERROR(
  TEXTJOIN(CHAR(10),TRUE,FILTER('SUMMARY DATA'!F:F,'SUMMARY DATA'!$A:$A=$A248,'SUMMARY DATA'!$C:$C=$B248,'SUMMARY DATA'!$B:$B=""RWS"")),
  IF(
    OR(
      ISNUMBER(SEARCH(""CDM CASH DEPOSIT"",$C248)),
      ISNUMBER(SEARCH(""CASH DEPOSIT"",$C24"&amp;"8)),
      COUNTIFS('SUMMARY DATA'!$D:$D,$C248,'SUMMARY DATA'!$B:$B,""RWS"")&lt;&gt;1
    ),
    """",
    IFERROR(TEXTJOIN(CHAR(10),TRUE,FILTER('SUMMARY DATA'!F:F,'SUMMARY DATA'!$D:$D=$C248,'SUMMARY DATA'!$B:$B=""RWS"")),"""")
  )
)"),"")</f>
      </c>
      <c r="G248" s="17" t="str">
        <f>IFERROR(__xludf.DUMMYFUNCTION("IFERROR(
  TEXTJOIN(CHAR(10),TRUE,FILTER('SUMMARY DATA'!G:G,'SUMMARY DATA'!$A:$A=$A248,'SUMMARY DATA'!$C:$C=$B248,'SUMMARY DATA'!$B:$B=""RWS"")),
  IF(
    OR(
      ISNUMBER(SEARCH(""CDM CASH DEPOSIT"",$C248)),
      ISNUMBER(SEARCH(""CASH DEPOSIT"",$C24"&amp;"8)),
      COUNTIFS('SUMMARY DATA'!$D:$D,$C248,'SUMMARY DATA'!$B:$B,""RWS"")&lt;&gt;1
    ),
    """",
    IFERROR(TEXTJOIN(CHAR(10),TRUE,FILTER('SUMMARY DATA'!G:G,'SUMMARY DATA'!$D:$D=$C248,'SUMMARY DATA'!$B:$B=""RWS"")),"""")
  )
)"),"")</f>
      </c>
      <c r="H248" s="18" t="str">
        <f>IFERROR(__xludf.DUMMYFUNCTION("IFERROR(
  TEXTJOIN(CHAR(10),TRUE,FILTER('SUMMARY DATA'!H:H,'SUMMARY DATA'!$A:$A=$A248,'SUMMARY DATA'!$C:$C=$B248,'SUMMARY DATA'!$B:$B=""RWS"",'SUMMARY DATA'!$H:$H=$D248)),
  IF(
    OR(
      ISNUMBER(SEARCH(""CDM CASH DEPOSIT"",$C248)),
      ISNUMBER(S"&amp;"EARCH(""CASH DEPOSIT"",$C248))
    ),
    """",
    IFERROR(TEXTJOIN(CHAR(10),TRUE,FILTER('SUMMARY DATA'!H:H,'SUMMARY DATA'!$D:$D=$C248,'SUMMARY DATA'!$B:$B=""RWS"",'SUMMARY DATA'!$H:$H=$D248)),"""")
  )
)"),"")</f>
      </c>
      <c r="I248" s="18" t="str">
        <f>IFERROR(__xludf.DUMMYFUNCTION("IF(H248="""","""",
SUM(ARRAYFORMULA(VALUE(SPLIT(H248,CHAR(10)))))
)"),"")</f>
      </c>
      <c r="J248" s="17" t="str">
        <f>IFERROR(__xludf.DUMMYFUNCTION("IFERROR(
  TEXTJOIN(CHAR(10),TRUE,FILTER('SUMMARY DATA'!I:I,'SUMMARY DATA'!$A:$A=$A248,'SUMMARY DATA'!$C:$C=$B248,'SUMMARY DATA'!$B:$B=""RWS"")),
  IF(
    OR(
      ISNUMBER(SEARCH(""CDM CASH DEPOSIT"",$C248)),
      ISNUMBER(SEARCH(""CASH DEPOSIT"",$C24"&amp;"8)),
      COUNTIFS('SUMMARY DATA'!$D:$D,$C248,'SUMMARY DATA'!$B:$B,""RWS"")&lt;&gt;1
    ),
    """",
    IFERROR(TEXTJOIN(CHAR(10),TRUE,FILTER('SUMMARY DATA'!I:I,'SUMMARY DATA'!$D:$D=$C248,'SUMMARY DATA'!$B:$B=""RWS"")),"""")
  )
)"),"")</f>
      </c>
      <c r="K248" s="2"/>
      <c r="L248" s="2"/>
      <c r="M248" s="2"/>
      <c r="N248" s="2"/>
      <c r="O248" s="2"/>
      <c r="P248" s="2"/>
      <c r="Q248" s="2"/>
      <c r="R248" s="2"/>
      <c r="S248" s="2"/>
      <c r="T248" s="2"/>
      <c r="U248" s="2"/>
      <c r="V248" s="2"/>
      <c r="W248" s="2"/>
      <c r="X248" s="2"/>
      <c r="Y248" s="2"/>
      <c r="Z248" s="2"/>
      <c r="AA248" s="2"/>
      <c r="AB248" s="2"/>
    </row>
    <row r="249" spans="1:28" customHeight="true">
      <c r="A249" s="2" t="s">
        <v>369</v>
      </c>
      <c r="B249" s="15">
        <v>45939</v>
      </c>
      <c r="C249" s="2" t="s">
        <v>370</v>
      </c>
      <c r="D249" s="3">
        <v>23.88</v>
      </c>
      <c r="E249" s="16" t="str">
        <f>IFERROR(__xludf.DUMMYFUNCTION("IFERROR(
  TEXTJOIN(CHAR(10),TRUE,FILTER('SUMMARY DATA'!E:E,'SUMMARY DATA'!$A:$A=$A249,'SUMMARY DATA'!$C:$C=$B249,'SUMMARY DATA'!$B:$B=""RWS"")),
  IF(
    OR(
      ISNUMBER(SEARCH(""CDM CASH DEPOSIT"",$C249)),
      ISNUMBER(SEARCH(""CASH DEPOSIT"",$C24"&amp;"9)),
      COUNTIFS('SUMMARY DATA'!$D:$D,$C249,'SUMMARY DATA'!$B:$B,""RWS"")&lt;&gt;1
    ),
    """",
    IFERROR(TEXTJOIN(CHAR(10),TRUE,FILTER('SUMMARY DATA'!E:E,'SUMMARY DATA'!$D:$D=$C249,'SUMMARY DATA'!$B:$B=""RWS"")),"""")
  )
)"),"")</f>
      </c>
      <c r="F249" s="17" t="str">
        <f>IFERROR(__xludf.DUMMYFUNCTION("IFERROR(
  TEXTJOIN(CHAR(10),TRUE,FILTER('SUMMARY DATA'!F:F,'SUMMARY DATA'!$A:$A=$A249,'SUMMARY DATA'!$C:$C=$B249,'SUMMARY DATA'!$B:$B=""RWS"")),
  IF(
    OR(
      ISNUMBER(SEARCH(""CDM CASH DEPOSIT"",$C249)),
      ISNUMBER(SEARCH(""CASH DEPOSIT"",$C24"&amp;"9)),
      COUNTIFS('SUMMARY DATA'!$D:$D,$C249,'SUMMARY DATA'!$B:$B,""RWS"")&lt;&gt;1
    ),
    """",
    IFERROR(TEXTJOIN(CHAR(10),TRUE,FILTER('SUMMARY DATA'!F:F,'SUMMARY DATA'!$D:$D=$C249,'SUMMARY DATA'!$B:$B=""RWS"")),"""")
  )
)"),"")</f>
      </c>
      <c r="G249" s="17" t="str">
        <f>IFERROR(__xludf.DUMMYFUNCTION("IFERROR(
  TEXTJOIN(CHAR(10),TRUE,FILTER('SUMMARY DATA'!G:G,'SUMMARY DATA'!$A:$A=$A249,'SUMMARY DATA'!$C:$C=$B249,'SUMMARY DATA'!$B:$B=""RWS"")),
  IF(
    OR(
      ISNUMBER(SEARCH(""CDM CASH DEPOSIT"",$C249)),
      ISNUMBER(SEARCH(""CASH DEPOSIT"",$C24"&amp;"9)),
      COUNTIFS('SUMMARY DATA'!$D:$D,$C249,'SUMMARY DATA'!$B:$B,""RWS"")&lt;&gt;1
    ),
    """",
    IFERROR(TEXTJOIN(CHAR(10),TRUE,FILTER('SUMMARY DATA'!G:G,'SUMMARY DATA'!$D:$D=$C249,'SUMMARY DATA'!$B:$B=""RWS"")),"""")
  )
)"),"")</f>
      </c>
      <c r="H249" s="18" t="str">
        <f>IFERROR(__xludf.DUMMYFUNCTION("IFERROR(
  TEXTJOIN(CHAR(10),TRUE,FILTER('SUMMARY DATA'!H:H,'SUMMARY DATA'!$A:$A=$A249,'SUMMARY DATA'!$C:$C=$B249,'SUMMARY DATA'!$B:$B=""RWS"",'SUMMARY DATA'!$H:$H=$D249)),
  IF(
    OR(
      ISNUMBER(SEARCH(""CDM CASH DEPOSIT"",$C249)),
      ISNUMBER(S"&amp;"EARCH(""CASH DEPOSIT"",$C249))
    ),
    """",
    IFERROR(TEXTJOIN(CHAR(10),TRUE,FILTER('SUMMARY DATA'!H:H,'SUMMARY DATA'!$D:$D=$C249,'SUMMARY DATA'!$B:$B=""RWS"",'SUMMARY DATA'!$H:$H=$D249)),"""")
  )
)"),"")</f>
      </c>
      <c r="I249" s="18" t="str">
        <f>IFERROR(__xludf.DUMMYFUNCTION("IF(H249="""","""",
SUM(ARRAYFORMULA(VALUE(SPLIT(H249,CHAR(10)))))
)"),"")</f>
      </c>
      <c r="J249" s="17" t="str">
        <f>IFERROR(__xludf.DUMMYFUNCTION("IFERROR(
  TEXTJOIN(CHAR(10),TRUE,FILTER('SUMMARY DATA'!I:I,'SUMMARY DATA'!$A:$A=$A249,'SUMMARY DATA'!$C:$C=$B249,'SUMMARY DATA'!$B:$B=""RWS"")),
  IF(
    OR(
      ISNUMBER(SEARCH(""CDM CASH DEPOSIT"",$C249)),
      ISNUMBER(SEARCH(""CASH DEPOSIT"",$C24"&amp;"9)),
      COUNTIFS('SUMMARY DATA'!$D:$D,$C249,'SUMMARY DATA'!$B:$B,""RWS"")&lt;&gt;1
    ),
    """",
    IFERROR(TEXTJOIN(CHAR(10),TRUE,FILTER('SUMMARY DATA'!I:I,'SUMMARY DATA'!$D:$D=$C249,'SUMMARY DATA'!$B:$B=""RWS"")),"""")
  )
)"),"")</f>
      </c>
      <c r="K249" s="2"/>
      <c r="L249" s="2"/>
      <c r="M249" s="2"/>
      <c r="N249" s="2"/>
      <c r="O249" s="2"/>
      <c r="P249" s="2"/>
      <c r="Q249" s="2"/>
      <c r="R249" s="2"/>
      <c r="S249" s="2"/>
      <c r="T249" s="2"/>
      <c r="U249" s="2"/>
      <c r="V249" s="2"/>
      <c r="W249" s="2"/>
      <c r="X249" s="2"/>
      <c r="Y249" s="2"/>
      <c r="Z249" s="2"/>
      <c r="AA249" s="2"/>
      <c r="AB249" s="2"/>
    </row>
    <row r="250" spans="1:28" customHeight="true">
      <c r="A250" s="2" t="s">
        <v>371</v>
      </c>
      <c r="B250" s="15">
        <v>45938</v>
      </c>
      <c r="C250" s="2" t="s">
        <v>372</v>
      </c>
      <c r="D250" s="3">
        <v>132.88</v>
      </c>
      <c r="E250" s="16" t="str">
        <f>IFERROR(__xludf.DUMMYFUNCTION("IFERROR(
  TEXTJOIN(CHAR(10),TRUE,FILTER('SUMMARY DATA'!E:E,'SUMMARY DATA'!$A:$A=$A250,'SUMMARY DATA'!$C:$C=$B250,'SUMMARY DATA'!$B:$B=""RWS"")),
  IF(
    OR(
      ISNUMBER(SEARCH(""CDM CASH DEPOSIT"",$C250)),
      ISNUMBER(SEARCH(""CASH DEPOSIT"",$C25"&amp;"0)),
      COUNTIFS('SUMMARY DATA'!$D:$D,$C250,'SUMMARY DATA'!$B:$B,""RWS"")&lt;&gt;1
    ),
    """",
    IFERROR(TEXTJOIN(CHAR(10),TRUE,FILTER('SUMMARY DATA'!E:E,'SUMMARY DATA'!$D:$D=$C250,'SUMMARY DATA'!$B:$B=""RWS"")),"""")
  )
)"),"")</f>
      </c>
      <c r="F250" s="17" t="str">
        <f>IFERROR(__xludf.DUMMYFUNCTION("IFERROR(
  TEXTJOIN(CHAR(10),TRUE,FILTER('SUMMARY DATA'!F:F,'SUMMARY DATA'!$A:$A=$A250,'SUMMARY DATA'!$C:$C=$B250,'SUMMARY DATA'!$B:$B=""RWS"")),
  IF(
    OR(
      ISNUMBER(SEARCH(""CDM CASH DEPOSIT"",$C250)),
      ISNUMBER(SEARCH(""CASH DEPOSIT"",$C25"&amp;"0)),
      COUNTIFS('SUMMARY DATA'!$D:$D,$C250,'SUMMARY DATA'!$B:$B,""RWS"")&lt;&gt;1
    ),
    """",
    IFERROR(TEXTJOIN(CHAR(10),TRUE,FILTER('SUMMARY DATA'!F:F,'SUMMARY DATA'!$D:$D=$C250,'SUMMARY DATA'!$B:$B=""RWS"")),"""")
  )
)"),"")</f>
      </c>
      <c r="G250" s="17" t="str">
        <f>IFERROR(__xludf.DUMMYFUNCTION("IFERROR(
  TEXTJOIN(CHAR(10),TRUE,FILTER('SUMMARY DATA'!G:G,'SUMMARY DATA'!$A:$A=$A250,'SUMMARY DATA'!$C:$C=$B250,'SUMMARY DATA'!$B:$B=""RWS"")),
  IF(
    OR(
      ISNUMBER(SEARCH(""CDM CASH DEPOSIT"",$C250)),
      ISNUMBER(SEARCH(""CASH DEPOSIT"",$C25"&amp;"0)),
      COUNTIFS('SUMMARY DATA'!$D:$D,$C250,'SUMMARY DATA'!$B:$B,""RWS"")&lt;&gt;1
    ),
    """",
    IFERROR(TEXTJOIN(CHAR(10),TRUE,FILTER('SUMMARY DATA'!G:G,'SUMMARY DATA'!$D:$D=$C250,'SUMMARY DATA'!$B:$B=""RWS"")),"""")
  )
)"),"")</f>
      </c>
      <c r="H250" s="18" t="str">
        <f>IFERROR(__xludf.DUMMYFUNCTION("IFERROR(
  TEXTJOIN(CHAR(10),TRUE,FILTER('SUMMARY DATA'!H:H,'SUMMARY DATA'!$A:$A=$A250,'SUMMARY DATA'!$C:$C=$B250,'SUMMARY DATA'!$B:$B=""RWS"",'SUMMARY DATA'!$H:$H=$D250)),
  IF(
    OR(
      ISNUMBER(SEARCH(""CDM CASH DEPOSIT"",$C250)),
      ISNUMBER(S"&amp;"EARCH(""CASH DEPOSIT"",$C250))
    ),
    """",
    IFERROR(TEXTJOIN(CHAR(10),TRUE,FILTER('SUMMARY DATA'!H:H,'SUMMARY DATA'!$D:$D=$C250,'SUMMARY DATA'!$B:$B=""RWS"",'SUMMARY DATA'!$H:$H=$D250)),"""")
  )
)"),"")</f>
      </c>
      <c r="I250" s="18" t="str">
        <f>IFERROR(__xludf.DUMMYFUNCTION("IF(H250="""","""",
SUM(ARRAYFORMULA(VALUE(SPLIT(H250,CHAR(10)))))
)"),"")</f>
      </c>
      <c r="J250" s="17" t="str">
        <f>IFERROR(__xludf.DUMMYFUNCTION("IFERROR(
  TEXTJOIN(CHAR(10),TRUE,FILTER('SUMMARY DATA'!I:I,'SUMMARY DATA'!$A:$A=$A250,'SUMMARY DATA'!$C:$C=$B250,'SUMMARY DATA'!$B:$B=""RWS"")),
  IF(
    OR(
      ISNUMBER(SEARCH(""CDM CASH DEPOSIT"",$C250)),
      ISNUMBER(SEARCH(""CASH DEPOSIT"",$C25"&amp;"0)),
      COUNTIFS('SUMMARY DATA'!$D:$D,$C250,'SUMMARY DATA'!$B:$B,""RWS"")&lt;&gt;1
    ),
    """",
    IFERROR(TEXTJOIN(CHAR(10),TRUE,FILTER('SUMMARY DATA'!I:I,'SUMMARY DATA'!$D:$D=$C250,'SUMMARY DATA'!$B:$B=""RWS"")),"""")
  )
)"),"")</f>
      </c>
      <c r="K250" s="2"/>
      <c r="L250" s="2"/>
      <c r="M250" s="2"/>
      <c r="N250" s="2"/>
      <c r="O250" s="2"/>
      <c r="P250" s="2"/>
      <c r="Q250" s="2"/>
      <c r="R250" s="2"/>
      <c r="S250" s="2"/>
      <c r="T250" s="2"/>
      <c r="U250" s="2"/>
      <c r="V250" s="2"/>
      <c r="W250" s="2"/>
      <c r="X250" s="2"/>
      <c r="Y250" s="2"/>
      <c r="Z250" s="2"/>
      <c r="AA250" s="2"/>
      <c r="AB250" s="2"/>
    </row>
    <row r="251" spans="1:28" customHeight="true">
      <c r="A251" s="2" t="s">
        <v>373</v>
      </c>
      <c r="B251" s="15">
        <v>45938</v>
      </c>
      <c r="C251" s="2" t="s">
        <v>374</v>
      </c>
      <c r="D251" s="3">
        <v>109</v>
      </c>
      <c r="E251" s="16" t="s">
        <v>2435</v>
      </c>
      <c r="F251" s="17" t="s">
        <v>2438</v>
      </c>
      <c r="G251" s="17" t="s">
        <v>2393</v>
      </c>
      <c r="H251" s="18">
        <v>109</v>
      </c>
      <c r="I251" s="18">
        <v>109</v>
      </c>
      <c r="J251" s="17" t="s">
        <v>2394</v>
      </c>
      <c r="K251" s="2" t="s">
        <v>2395</v>
      </c>
      <c r="L251" s="2"/>
      <c r="M251" s="2"/>
      <c r="N251" s="2"/>
      <c r="O251" s="2"/>
      <c r="P251" s="2"/>
      <c r="Q251" s="2"/>
      <c r="R251" s="2"/>
      <c r="S251" s="2"/>
      <c r="T251" s="2"/>
      <c r="U251" s="2"/>
      <c r="V251" s="2"/>
      <c r="W251" s="2"/>
      <c r="X251" s="2"/>
      <c r="Y251" s="2"/>
      <c r="Z251" s="2"/>
      <c r="AA251" s="2"/>
      <c r="AB251" s="2"/>
    </row>
    <row r="252" spans="1:28" customHeight="true">
      <c r="A252" s="2" t="s">
        <v>375</v>
      </c>
      <c r="B252" s="15">
        <v>45938</v>
      </c>
      <c r="C252" s="2" t="s">
        <v>376</v>
      </c>
      <c r="D252" s="3">
        <v>653.74</v>
      </c>
      <c r="E252" s="16" t="str">
        <f>IFERROR(__xludf.DUMMYFUNCTION("IFERROR(
  TEXTJOIN(CHAR(10),TRUE,FILTER('SUMMARY DATA'!E:E,'SUMMARY DATA'!$A:$A=$A252,'SUMMARY DATA'!$C:$C=$B252,'SUMMARY DATA'!$B:$B=""RWS"")),
  IF(
    OR(
      ISNUMBER(SEARCH(""CDM CASH DEPOSIT"",$C252)),
      ISNUMBER(SEARCH(""CASH DEPOSIT"",$C25"&amp;"2)),
      COUNTIFS('SUMMARY DATA'!$D:$D,$C252,'SUMMARY DATA'!$B:$B,""RWS"")&lt;&gt;1
    ),
    """",
    IFERROR(TEXTJOIN(CHAR(10),TRUE,FILTER('SUMMARY DATA'!E:E,'SUMMARY DATA'!$D:$D=$C252,'SUMMARY DATA'!$B:$B=""RWS"")),"""")
  )
)"),"")</f>
      </c>
      <c r="F252" s="17" t="str">
        <f>IFERROR(__xludf.DUMMYFUNCTION("IFERROR(
  TEXTJOIN(CHAR(10),TRUE,FILTER('SUMMARY DATA'!F:F,'SUMMARY DATA'!$A:$A=$A252,'SUMMARY DATA'!$C:$C=$B252,'SUMMARY DATA'!$B:$B=""RWS"")),
  IF(
    OR(
      ISNUMBER(SEARCH(""CDM CASH DEPOSIT"",$C252)),
      ISNUMBER(SEARCH(""CASH DEPOSIT"",$C25"&amp;"2)),
      COUNTIFS('SUMMARY DATA'!$D:$D,$C252,'SUMMARY DATA'!$B:$B,""RWS"")&lt;&gt;1
    ),
    """",
    IFERROR(TEXTJOIN(CHAR(10),TRUE,FILTER('SUMMARY DATA'!F:F,'SUMMARY DATA'!$D:$D=$C252,'SUMMARY DATA'!$B:$B=""RWS"")),"""")
  )
)"),"")</f>
      </c>
      <c r="G252" s="17" t="str">
        <f>IFERROR(__xludf.DUMMYFUNCTION("IFERROR(
  TEXTJOIN(CHAR(10),TRUE,FILTER('SUMMARY DATA'!G:G,'SUMMARY DATA'!$A:$A=$A252,'SUMMARY DATA'!$C:$C=$B252,'SUMMARY DATA'!$B:$B=""RWS"")),
  IF(
    OR(
      ISNUMBER(SEARCH(""CDM CASH DEPOSIT"",$C252)),
      ISNUMBER(SEARCH(""CASH DEPOSIT"",$C25"&amp;"2)),
      COUNTIFS('SUMMARY DATA'!$D:$D,$C252,'SUMMARY DATA'!$B:$B,""RWS"")&lt;&gt;1
    ),
    """",
    IFERROR(TEXTJOIN(CHAR(10),TRUE,FILTER('SUMMARY DATA'!G:G,'SUMMARY DATA'!$D:$D=$C252,'SUMMARY DATA'!$B:$B=""RWS"")),"""")
  )
)"),"")</f>
      </c>
      <c r="H252" s="18" t="str">
        <f>IFERROR(__xludf.DUMMYFUNCTION("IFERROR(
  TEXTJOIN(CHAR(10),TRUE,FILTER('SUMMARY DATA'!H:H,'SUMMARY DATA'!$A:$A=$A252,'SUMMARY DATA'!$C:$C=$B252,'SUMMARY DATA'!$B:$B=""RWS"",'SUMMARY DATA'!$H:$H=$D252)),
  IF(
    OR(
      ISNUMBER(SEARCH(""CDM CASH DEPOSIT"",$C252)),
      ISNUMBER(S"&amp;"EARCH(""CASH DEPOSIT"",$C252))
    ),
    """",
    IFERROR(TEXTJOIN(CHAR(10),TRUE,FILTER('SUMMARY DATA'!H:H,'SUMMARY DATA'!$D:$D=$C252,'SUMMARY DATA'!$B:$B=""RWS"",'SUMMARY DATA'!$H:$H=$D252)),"""")
  )
)"),"")</f>
      </c>
      <c r="I252" s="18" t="str">
        <f>IFERROR(__xludf.DUMMYFUNCTION("IF(H252="""","""",
SUM(ARRAYFORMULA(VALUE(SPLIT(H252,CHAR(10)))))
)"),"")</f>
      </c>
      <c r="J252" s="17" t="str">
        <f>IFERROR(__xludf.DUMMYFUNCTION("IFERROR(
  TEXTJOIN(CHAR(10),TRUE,FILTER('SUMMARY DATA'!I:I,'SUMMARY DATA'!$A:$A=$A252,'SUMMARY DATA'!$C:$C=$B252,'SUMMARY DATA'!$B:$B=""RWS"")),
  IF(
    OR(
      ISNUMBER(SEARCH(""CDM CASH DEPOSIT"",$C252)),
      ISNUMBER(SEARCH(""CASH DEPOSIT"",$C25"&amp;"2)),
      COUNTIFS('SUMMARY DATA'!$D:$D,$C252,'SUMMARY DATA'!$B:$B,""RWS"")&lt;&gt;1
    ),
    """",
    IFERROR(TEXTJOIN(CHAR(10),TRUE,FILTER('SUMMARY DATA'!I:I,'SUMMARY DATA'!$D:$D=$C252,'SUMMARY DATA'!$B:$B=""RWS"")),"""")
  )
)"),"")</f>
      </c>
      <c r="K252" s="2"/>
      <c r="L252" s="2"/>
      <c r="M252" s="2"/>
      <c r="N252" s="2"/>
      <c r="O252" s="2"/>
      <c r="P252" s="2"/>
      <c r="Q252" s="2"/>
      <c r="R252" s="2"/>
      <c r="S252" s="2"/>
      <c r="T252" s="2"/>
      <c r="U252" s="2"/>
      <c r="V252" s="2"/>
      <c r="W252" s="2"/>
      <c r="X252" s="2"/>
      <c r="Y252" s="2"/>
      <c r="Z252" s="2"/>
      <c r="AA252" s="2"/>
      <c r="AB252" s="2"/>
    </row>
    <row r="253" spans="1:28" customHeight="true">
      <c r="A253" s="2" t="s">
        <v>377</v>
      </c>
      <c r="B253" s="15">
        <v>45938</v>
      </c>
      <c r="C253" s="2" t="s">
        <v>378</v>
      </c>
      <c r="D253" s="3">
        <v>230.81</v>
      </c>
      <c r="E253" s="16" t="s">
        <v>2439</v>
      </c>
      <c r="F253" s="17" t="s">
        <v>2440</v>
      </c>
      <c r="G253" s="17" t="s">
        <v>2393</v>
      </c>
      <c r="H253" s="18">
        <v>230.81</v>
      </c>
      <c r="I253" s="18">
        <v>230.81</v>
      </c>
      <c r="J253" s="17" t="s">
        <v>2394</v>
      </c>
      <c r="K253" s="2" t="s">
        <v>2395</v>
      </c>
      <c r="L253" s="2"/>
      <c r="M253" s="2"/>
      <c r="N253" s="2"/>
      <c r="O253" s="2"/>
      <c r="P253" s="2"/>
      <c r="Q253" s="2"/>
      <c r="R253" s="2"/>
      <c r="S253" s="2"/>
      <c r="T253" s="2"/>
      <c r="U253" s="2"/>
      <c r="V253" s="2"/>
      <c r="W253" s="2"/>
      <c r="X253" s="2"/>
      <c r="Y253" s="2"/>
      <c r="Z253" s="2"/>
      <c r="AA253" s="2"/>
      <c r="AB253" s="2"/>
    </row>
    <row r="254" spans="1:28" customHeight="true">
      <c r="A254" s="2" t="s">
        <v>379</v>
      </c>
      <c r="B254" s="15">
        <v>45938</v>
      </c>
      <c r="C254" s="2" t="s">
        <v>380</v>
      </c>
      <c r="D254" s="3">
        <v>69</v>
      </c>
      <c r="E254" s="16" t="str">
        <f>IFERROR(__xludf.DUMMYFUNCTION("IFERROR(
  TEXTJOIN(CHAR(10),TRUE,FILTER('SUMMARY DATA'!E:E,'SUMMARY DATA'!$A:$A=$A254,'SUMMARY DATA'!$C:$C=$B254,'SUMMARY DATA'!$B:$B=""RWS"")),
  IF(
    OR(
      ISNUMBER(SEARCH(""CDM CASH DEPOSIT"",$C254)),
      ISNUMBER(SEARCH(""CASH DEPOSIT"",$C25"&amp;"4)),
      COUNTIFS('SUMMARY DATA'!$D:$D,$C254,'SUMMARY DATA'!$B:$B,""RWS"")&lt;&gt;1
    ),
    """",
    IFERROR(TEXTJOIN(CHAR(10),TRUE,FILTER('SUMMARY DATA'!E:E,'SUMMARY DATA'!$D:$D=$C254,'SUMMARY DATA'!$B:$B=""RWS"")),"""")
  )
)"),"")</f>
      </c>
      <c r="F254" s="17" t="str">
        <f>IFERROR(__xludf.DUMMYFUNCTION("IFERROR(
  TEXTJOIN(CHAR(10),TRUE,FILTER('SUMMARY DATA'!F:F,'SUMMARY DATA'!$A:$A=$A254,'SUMMARY DATA'!$C:$C=$B254,'SUMMARY DATA'!$B:$B=""RWS"")),
  IF(
    OR(
      ISNUMBER(SEARCH(""CDM CASH DEPOSIT"",$C254)),
      ISNUMBER(SEARCH(""CASH DEPOSIT"",$C25"&amp;"4)),
      COUNTIFS('SUMMARY DATA'!$D:$D,$C254,'SUMMARY DATA'!$B:$B,""RWS"")&lt;&gt;1
    ),
    """",
    IFERROR(TEXTJOIN(CHAR(10),TRUE,FILTER('SUMMARY DATA'!F:F,'SUMMARY DATA'!$D:$D=$C254,'SUMMARY DATA'!$B:$B=""RWS"")),"""")
  )
)"),"")</f>
      </c>
      <c r="G254" s="17" t="str">
        <f>IFERROR(__xludf.DUMMYFUNCTION("IFERROR(
  TEXTJOIN(CHAR(10),TRUE,FILTER('SUMMARY DATA'!G:G,'SUMMARY DATA'!$A:$A=$A254,'SUMMARY DATA'!$C:$C=$B254,'SUMMARY DATA'!$B:$B=""RWS"")),
  IF(
    OR(
      ISNUMBER(SEARCH(""CDM CASH DEPOSIT"",$C254)),
      ISNUMBER(SEARCH(""CASH DEPOSIT"",$C25"&amp;"4)),
      COUNTIFS('SUMMARY DATA'!$D:$D,$C254,'SUMMARY DATA'!$B:$B,""RWS"")&lt;&gt;1
    ),
    """",
    IFERROR(TEXTJOIN(CHAR(10),TRUE,FILTER('SUMMARY DATA'!G:G,'SUMMARY DATA'!$D:$D=$C254,'SUMMARY DATA'!$B:$B=""RWS"")),"""")
  )
)"),"")</f>
      </c>
      <c r="H254" s="18" t="str">
        <f>IFERROR(__xludf.DUMMYFUNCTION("IFERROR(
  TEXTJOIN(CHAR(10),TRUE,FILTER('SUMMARY DATA'!H:H,'SUMMARY DATA'!$A:$A=$A254,'SUMMARY DATA'!$C:$C=$B254,'SUMMARY DATA'!$B:$B=""RWS"",'SUMMARY DATA'!$H:$H=$D254)),
  IF(
    OR(
      ISNUMBER(SEARCH(""CDM CASH DEPOSIT"",$C254)),
      ISNUMBER(S"&amp;"EARCH(""CASH DEPOSIT"",$C254))
    ),
    """",
    IFERROR(TEXTJOIN(CHAR(10),TRUE,FILTER('SUMMARY DATA'!H:H,'SUMMARY DATA'!$D:$D=$C254,'SUMMARY DATA'!$B:$B=""RWS"",'SUMMARY DATA'!$H:$H=$D254)),"""")
  )
)"),"")</f>
      </c>
      <c r="I254" s="18" t="str">
        <f>IFERROR(__xludf.DUMMYFUNCTION("IF(H254="""","""",
SUM(ARRAYFORMULA(VALUE(SPLIT(H254,CHAR(10)))))
)"),"")</f>
      </c>
      <c r="J254" s="17" t="str">
        <f>IFERROR(__xludf.DUMMYFUNCTION("IFERROR(
  TEXTJOIN(CHAR(10),TRUE,FILTER('SUMMARY DATA'!I:I,'SUMMARY DATA'!$A:$A=$A254,'SUMMARY DATA'!$C:$C=$B254,'SUMMARY DATA'!$B:$B=""RWS"")),
  IF(
    OR(
      ISNUMBER(SEARCH(""CDM CASH DEPOSIT"",$C254)),
      ISNUMBER(SEARCH(""CASH DEPOSIT"",$C25"&amp;"4)),
      COUNTIFS('SUMMARY DATA'!$D:$D,$C254,'SUMMARY DATA'!$B:$B,""RWS"")&lt;&gt;1
    ),
    """",
    IFERROR(TEXTJOIN(CHAR(10),TRUE,FILTER('SUMMARY DATA'!I:I,'SUMMARY DATA'!$D:$D=$C254,'SUMMARY DATA'!$B:$B=""RWS"")),"""")
  )
)"),"")</f>
      </c>
      <c r="K254" s="2"/>
      <c r="L254" s="2"/>
      <c r="M254" s="2"/>
      <c r="N254" s="2"/>
      <c r="O254" s="2"/>
      <c r="P254" s="2"/>
      <c r="Q254" s="2"/>
      <c r="R254" s="2"/>
      <c r="S254" s="2"/>
      <c r="T254" s="2"/>
      <c r="U254" s="2"/>
      <c r="V254" s="2"/>
      <c r="W254" s="2"/>
      <c r="X254" s="2"/>
      <c r="Y254" s="2"/>
      <c r="Z254" s="2"/>
      <c r="AA254" s="2"/>
      <c r="AB254" s="2"/>
    </row>
    <row r="255" spans="1:28" customHeight="true">
      <c r="A255" s="2"/>
      <c r="B255" s="15">
        <v>45938</v>
      </c>
      <c r="C255" s="2" t="s">
        <v>381</v>
      </c>
      <c r="D255" s="3">
        <v>40</v>
      </c>
      <c r="E255" s="16" t="str">
        <f>IFERROR(__xludf.DUMMYFUNCTION("IFERROR(
  TEXTJOIN(CHAR(10),TRUE,FILTER('SUMMARY DATA'!E:E,'SUMMARY DATA'!$A:$A=$A255,'SUMMARY DATA'!$C:$C=$B255,'SUMMARY DATA'!$B:$B=""RWS"")),
  IF(
    OR(
      ISNUMBER(SEARCH(""CDM CASH DEPOSIT"",$C255)),
      ISNUMBER(SEARCH(""CASH DEPOSIT"",$C25"&amp;"5)),
      COUNTIFS('SUMMARY DATA'!$D:$D,$C255,'SUMMARY DATA'!$B:$B,""RWS"")&lt;&gt;1
    ),
    """",
    IFERROR(TEXTJOIN(CHAR(10),TRUE,FILTER('SUMMARY DATA'!E:E,'SUMMARY DATA'!$D:$D=$C255,'SUMMARY DATA'!$B:$B=""RWS"")),"""")
  )
)"),"")</f>
      </c>
      <c r="F255" s="17" t="str">
        <f>IFERROR(__xludf.DUMMYFUNCTION("IFERROR(
  TEXTJOIN(CHAR(10),TRUE,FILTER('SUMMARY DATA'!F:F,'SUMMARY DATA'!$A:$A=$A255,'SUMMARY DATA'!$C:$C=$B255,'SUMMARY DATA'!$B:$B=""RWS"")),
  IF(
    OR(
      ISNUMBER(SEARCH(""CDM CASH DEPOSIT"",$C255)),
      ISNUMBER(SEARCH(""CASH DEPOSIT"",$C25"&amp;"5)),
      COUNTIFS('SUMMARY DATA'!$D:$D,$C255,'SUMMARY DATA'!$B:$B,""RWS"")&lt;&gt;1
    ),
    """",
    IFERROR(TEXTJOIN(CHAR(10),TRUE,FILTER('SUMMARY DATA'!F:F,'SUMMARY DATA'!$D:$D=$C255,'SUMMARY DATA'!$B:$B=""RWS"")),"""")
  )
)"),"")</f>
      </c>
      <c r="G255" s="17" t="str">
        <f>IFERROR(__xludf.DUMMYFUNCTION("IFERROR(
  TEXTJOIN(CHAR(10),TRUE,FILTER('SUMMARY DATA'!G:G,'SUMMARY DATA'!$A:$A=$A255,'SUMMARY DATA'!$C:$C=$B255,'SUMMARY DATA'!$B:$B=""RWS"")),
  IF(
    OR(
      ISNUMBER(SEARCH(""CDM CASH DEPOSIT"",$C255)),
      ISNUMBER(SEARCH(""CASH DEPOSIT"",$C25"&amp;"5)),
      COUNTIFS('SUMMARY DATA'!$D:$D,$C255,'SUMMARY DATA'!$B:$B,""RWS"")&lt;&gt;1
    ),
    """",
    IFERROR(TEXTJOIN(CHAR(10),TRUE,FILTER('SUMMARY DATA'!G:G,'SUMMARY DATA'!$D:$D=$C255,'SUMMARY DATA'!$B:$B=""RWS"")),"""")
  )
)"),"")</f>
      </c>
      <c r="H255" s="18" t="str">
        <f>IFERROR(__xludf.DUMMYFUNCTION("IFERROR(
  TEXTJOIN(CHAR(10),TRUE,FILTER('SUMMARY DATA'!H:H,'SUMMARY DATA'!$A:$A=$A255,'SUMMARY DATA'!$C:$C=$B255,'SUMMARY DATA'!$B:$B=""RWS"",'SUMMARY DATA'!$H:$H=$D255)),
  IF(
    OR(
      ISNUMBER(SEARCH(""CDM CASH DEPOSIT"",$C255)),
      ISNUMBER(S"&amp;"EARCH(""CASH DEPOSIT"",$C255))
    ),
    """",
    IFERROR(TEXTJOIN(CHAR(10),TRUE,FILTER('SUMMARY DATA'!H:H,'SUMMARY DATA'!$D:$D=$C255,'SUMMARY DATA'!$B:$B=""RWS"",'SUMMARY DATA'!$H:$H=$D255)),"""")
  )
)"),"")</f>
      </c>
      <c r="I255" s="18" t="str">
        <f>IFERROR(__xludf.DUMMYFUNCTION("IF(H255="""","""",
SUM(ARRAYFORMULA(VALUE(SPLIT(H255,CHAR(10)))))
)"),"")</f>
      </c>
      <c r="J255" s="17" t="str">
        <f>IFERROR(__xludf.DUMMYFUNCTION("IFERROR(
  TEXTJOIN(CHAR(10),TRUE,FILTER('SUMMARY DATA'!I:I,'SUMMARY DATA'!$A:$A=$A255,'SUMMARY DATA'!$C:$C=$B255,'SUMMARY DATA'!$B:$B=""RWS"")),
  IF(
    OR(
      ISNUMBER(SEARCH(""CDM CASH DEPOSIT"",$C255)),
      ISNUMBER(SEARCH(""CASH DEPOSIT"",$C25"&amp;"5)),
      COUNTIFS('SUMMARY DATA'!$D:$D,$C255,'SUMMARY DATA'!$B:$B,""RWS"")&lt;&gt;1
    ),
    """",
    IFERROR(TEXTJOIN(CHAR(10),TRUE,FILTER('SUMMARY DATA'!I:I,'SUMMARY DATA'!$D:$D=$C255,'SUMMARY DATA'!$B:$B=""RWS"")),"""")
  )
)"),"")</f>
      </c>
      <c r="K255" s="2"/>
      <c r="L255" s="2"/>
      <c r="M255" s="2"/>
      <c r="N255" s="2"/>
      <c r="O255" s="2"/>
      <c r="P255" s="2"/>
      <c r="Q255" s="2"/>
      <c r="R255" s="2"/>
      <c r="S255" s="2"/>
      <c r="T255" s="2"/>
      <c r="U255" s="2"/>
      <c r="V255" s="2"/>
      <c r="W255" s="2"/>
      <c r="X255" s="2"/>
      <c r="Y255" s="2"/>
      <c r="Z255" s="2"/>
      <c r="AA255" s="2"/>
      <c r="AB255" s="2"/>
    </row>
    <row r="256" spans="1:28" customHeight="true">
      <c r="A256" s="2" t="s">
        <v>382</v>
      </c>
      <c r="B256" s="15">
        <v>45938</v>
      </c>
      <c r="C256" s="2" t="s">
        <v>383</v>
      </c>
      <c r="D256" s="3">
        <v>10</v>
      </c>
      <c r="E256" s="16" t="str">
        <f>IFERROR(__xludf.DUMMYFUNCTION("IFERROR(
  TEXTJOIN(CHAR(10),TRUE,FILTER('SUMMARY DATA'!E:E,'SUMMARY DATA'!$A:$A=$A256,'SUMMARY DATA'!$C:$C=$B256,'SUMMARY DATA'!$B:$B=""RWS"")),
  IF(
    OR(
      ISNUMBER(SEARCH(""CDM CASH DEPOSIT"",$C256)),
      ISNUMBER(SEARCH(""CASH DEPOSIT"",$C25"&amp;"6)),
      COUNTIFS('SUMMARY DATA'!$D:$D,$C256,'SUMMARY DATA'!$B:$B,""RWS"")&lt;&gt;1
    ),
    """",
    IFERROR(TEXTJOIN(CHAR(10),TRUE,FILTER('SUMMARY DATA'!E:E,'SUMMARY DATA'!$D:$D=$C256,'SUMMARY DATA'!$B:$B=""RWS"")),"""")
  )
)"),"")</f>
      </c>
      <c r="F256" s="17" t="str">
        <f>IFERROR(__xludf.DUMMYFUNCTION("IFERROR(
  TEXTJOIN(CHAR(10),TRUE,FILTER('SUMMARY DATA'!F:F,'SUMMARY DATA'!$A:$A=$A256,'SUMMARY DATA'!$C:$C=$B256,'SUMMARY DATA'!$B:$B=""RWS"")),
  IF(
    OR(
      ISNUMBER(SEARCH(""CDM CASH DEPOSIT"",$C256)),
      ISNUMBER(SEARCH(""CASH DEPOSIT"",$C25"&amp;"6)),
      COUNTIFS('SUMMARY DATA'!$D:$D,$C256,'SUMMARY DATA'!$B:$B,""RWS"")&lt;&gt;1
    ),
    """",
    IFERROR(TEXTJOIN(CHAR(10),TRUE,FILTER('SUMMARY DATA'!F:F,'SUMMARY DATA'!$D:$D=$C256,'SUMMARY DATA'!$B:$B=""RWS"")),"""")
  )
)"),"")</f>
      </c>
      <c r="G256" s="17" t="str">
        <f>IFERROR(__xludf.DUMMYFUNCTION("IFERROR(
  TEXTJOIN(CHAR(10),TRUE,FILTER('SUMMARY DATA'!G:G,'SUMMARY DATA'!$A:$A=$A256,'SUMMARY DATA'!$C:$C=$B256,'SUMMARY DATA'!$B:$B=""RWS"")),
  IF(
    OR(
      ISNUMBER(SEARCH(""CDM CASH DEPOSIT"",$C256)),
      ISNUMBER(SEARCH(""CASH DEPOSIT"",$C25"&amp;"6)),
      COUNTIFS('SUMMARY DATA'!$D:$D,$C256,'SUMMARY DATA'!$B:$B,""RWS"")&lt;&gt;1
    ),
    """",
    IFERROR(TEXTJOIN(CHAR(10),TRUE,FILTER('SUMMARY DATA'!G:G,'SUMMARY DATA'!$D:$D=$C256,'SUMMARY DATA'!$B:$B=""RWS"")),"""")
  )
)"),"")</f>
      </c>
      <c r="H256" s="18" t="str">
        <f>IFERROR(__xludf.DUMMYFUNCTION("IFERROR(
  TEXTJOIN(CHAR(10),TRUE,FILTER('SUMMARY DATA'!H:H,'SUMMARY DATA'!$A:$A=$A256,'SUMMARY DATA'!$C:$C=$B256,'SUMMARY DATA'!$B:$B=""RWS"",'SUMMARY DATA'!$H:$H=$D256)),
  IF(
    OR(
      ISNUMBER(SEARCH(""CDM CASH DEPOSIT"",$C256)),
      ISNUMBER(S"&amp;"EARCH(""CASH DEPOSIT"",$C256))
    ),
    """",
    IFERROR(TEXTJOIN(CHAR(10),TRUE,FILTER('SUMMARY DATA'!H:H,'SUMMARY DATA'!$D:$D=$C256,'SUMMARY DATA'!$B:$B=""RWS"",'SUMMARY DATA'!$H:$H=$D256)),"""")
  )
)"),"")</f>
      </c>
      <c r="I256" s="18" t="str">
        <f>IFERROR(__xludf.DUMMYFUNCTION("IF(H256="""","""",
SUM(ARRAYFORMULA(VALUE(SPLIT(H256,CHAR(10)))))
)"),"")</f>
      </c>
      <c r="J256" s="17" t="str">
        <f>IFERROR(__xludf.DUMMYFUNCTION("IFERROR(
  TEXTJOIN(CHAR(10),TRUE,FILTER('SUMMARY DATA'!I:I,'SUMMARY DATA'!$A:$A=$A256,'SUMMARY DATA'!$C:$C=$B256,'SUMMARY DATA'!$B:$B=""RWS"")),
  IF(
    OR(
      ISNUMBER(SEARCH(""CDM CASH DEPOSIT"",$C256)),
      ISNUMBER(SEARCH(""CASH DEPOSIT"",$C25"&amp;"6)),
      COUNTIFS('SUMMARY DATA'!$D:$D,$C256,'SUMMARY DATA'!$B:$B,""RWS"")&lt;&gt;1
    ),
    """",
    IFERROR(TEXTJOIN(CHAR(10),TRUE,FILTER('SUMMARY DATA'!I:I,'SUMMARY DATA'!$D:$D=$C256,'SUMMARY DATA'!$B:$B=""RWS"")),"""")
  )
)"),"")</f>
      </c>
      <c r="K256" s="2"/>
      <c r="L256" s="2"/>
      <c r="M256" s="2"/>
      <c r="N256" s="2"/>
      <c r="O256" s="2"/>
      <c r="P256" s="2"/>
      <c r="Q256" s="2"/>
      <c r="R256" s="2"/>
      <c r="S256" s="2"/>
      <c r="T256" s="2"/>
      <c r="U256" s="2"/>
      <c r="V256" s="2"/>
      <c r="W256" s="2"/>
      <c r="X256" s="2"/>
      <c r="Y256" s="2"/>
      <c r="Z256" s="2"/>
      <c r="AA256" s="2"/>
      <c r="AB256" s="2"/>
    </row>
    <row r="257" spans="1:28" customHeight="true">
      <c r="A257" s="2" t="s">
        <v>384</v>
      </c>
      <c r="B257" s="15">
        <v>45936</v>
      </c>
      <c r="C257" s="2" t="s">
        <v>385</v>
      </c>
      <c r="D257" s="3">
        <v>39</v>
      </c>
      <c r="E257" s="16" t="str">
        <f>IFERROR(__xludf.DUMMYFUNCTION("IFERROR(
  TEXTJOIN(CHAR(10),TRUE,FILTER('SUMMARY DATA'!E:E,'SUMMARY DATA'!$A:$A=$A257,'SUMMARY DATA'!$C:$C=$B257,'SUMMARY DATA'!$B:$B=""RWS"")),
  IF(
    OR(
      ISNUMBER(SEARCH(""CDM CASH DEPOSIT"",$C257)),
      ISNUMBER(SEARCH(""CASH DEPOSIT"",$C25"&amp;"7)),
      COUNTIFS('SUMMARY DATA'!$D:$D,$C257,'SUMMARY DATA'!$B:$B,""RWS"")&lt;&gt;1
    ),
    """",
    IFERROR(TEXTJOIN(CHAR(10),TRUE,FILTER('SUMMARY DATA'!E:E,'SUMMARY DATA'!$D:$D=$C257,'SUMMARY DATA'!$B:$B=""RWS"")),"""")
  )
)"),"")</f>
      </c>
      <c r="F257" s="17" t="str">
        <f>IFERROR(__xludf.DUMMYFUNCTION("IFERROR(
  TEXTJOIN(CHAR(10),TRUE,FILTER('SUMMARY DATA'!F:F,'SUMMARY DATA'!$A:$A=$A257,'SUMMARY DATA'!$C:$C=$B257,'SUMMARY DATA'!$B:$B=""RWS"")),
  IF(
    OR(
      ISNUMBER(SEARCH(""CDM CASH DEPOSIT"",$C257)),
      ISNUMBER(SEARCH(""CASH DEPOSIT"",$C25"&amp;"7)),
      COUNTIFS('SUMMARY DATA'!$D:$D,$C257,'SUMMARY DATA'!$B:$B,""RWS"")&lt;&gt;1
    ),
    """",
    IFERROR(TEXTJOIN(CHAR(10),TRUE,FILTER('SUMMARY DATA'!F:F,'SUMMARY DATA'!$D:$D=$C257,'SUMMARY DATA'!$B:$B=""RWS"")),"""")
  )
)"),"")</f>
      </c>
      <c r="G257" s="17" t="str">
        <f>IFERROR(__xludf.DUMMYFUNCTION("IFERROR(
  TEXTJOIN(CHAR(10),TRUE,FILTER('SUMMARY DATA'!G:G,'SUMMARY DATA'!$A:$A=$A257,'SUMMARY DATA'!$C:$C=$B257,'SUMMARY DATA'!$B:$B=""RWS"")),
  IF(
    OR(
      ISNUMBER(SEARCH(""CDM CASH DEPOSIT"",$C257)),
      ISNUMBER(SEARCH(""CASH DEPOSIT"",$C25"&amp;"7)),
      COUNTIFS('SUMMARY DATA'!$D:$D,$C257,'SUMMARY DATA'!$B:$B,""RWS"")&lt;&gt;1
    ),
    """",
    IFERROR(TEXTJOIN(CHAR(10),TRUE,FILTER('SUMMARY DATA'!G:G,'SUMMARY DATA'!$D:$D=$C257,'SUMMARY DATA'!$B:$B=""RWS"")),"""")
  )
)"),"")</f>
      </c>
      <c r="H257" s="18" t="str">
        <f>IFERROR(__xludf.DUMMYFUNCTION("IFERROR(
  TEXTJOIN(CHAR(10),TRUE,FILTER('SUMMARY DATA'!H:H,'SUMMARY DATA'!$A:$A=$A257,'SUMMARY DATA'!$C:$C=$B257,'SUMMARY DATA'!$B:$B=""RWS"",'SUMMARY DATA'!$H:$H=$D257)),
  IF(
    OR(
      ISNUMBER(SEARCH(""CDM CASH DEPOSIT"",$C257)),
      ISNUMBER(S"&amp;"EARCH(""CASH DEPOSIT"",$C257))
    ),
    """",
    IFERROR(TEXTJOIN(CHAR(10),TRUE,FILTER('SUMMARY DATA'!H:H,'SUMMARY DATA'!$D:$D=$C257,'SUMMARY DATA'!$B:$B=""RWS"",'SUMMARY DATA'!$H:$H=$D257)),"""")
  )
)"),"")</f>
      </c>
      <c r="I257" s="18" t="str">
        <f>IFERROR(__xludf.DUMMYFUNCTION("IF(H257="""","""",
SUM(ARRAYFORMULA(VALUE(SPLIT(H257,CHAR(10)))))
)"),"")</f>
      </c>
      <c r="J257" s="17" t="str">
        <f>IFERROR(__xludf.DUMMYFUNCTION("IFERROR(
  TEXTJOIN(CHAR(10),TRUE,FILTER('SUMMARY DATA'!I:I,'SUMMARY DATA'!$A:$A=$A257,'SUMMARY DATA'!$C:$C=$B257,'SUMMARY DATA'!$B:$B=""RWS"")),
  IF(
    OR(
      ISNUMBER(SEARCH(""CDM CASH DEPOSIT"",$C257)),
      ISNUMBER(SEARCH(""CASH DEPOSIT"",$C25"&amp;"7)),
      COUNTIFS('SUMMARY DATA'!$D:$D,$C257,'SUMMARY DATA'!$B:$B,""RWS"")&lt;&gt;1
    ),
    """",
    IFERROR(TEXTJOIN(CHAR(10),TRUE,FILTER('SUMMARY DATA'!I:I,'SUMMARY DATA'!$D:$D=$C257,'SUMMARY DATA'!$B:$B=""RWS"")),"""")
  )
)"),"")</f>
      </c>
      <c r="K257" s="2"/>
      <c r="L257" s="2"/>
      <c r="M257" s="2"/>
      <c r="N257" s="2"/>
      <c r="O257" s="2"/>
      <c r="P257" s="2"/>
      <c r="Q257" s="2"/>
      <c r="R257" s="2"/>
      <c r="S257" s="2"/>
      <c r="T257" s="2"/>
      <c r="U257" s="2"/>
      <c r="V257" s="2"/>
      <c r="W257" s="2"/>
      <c r="X257" s="2"/>
      <c r="Y257" s="2"/>
      <c r="Z257" s="2"/>
      <c r="AA257" s="2"/>
      <c r="AB257" s="2"/>
    </row>
    <row r="258" spans="1:28" customHeight="true">
      <c r="A258" s="2" t="s">
        <v>386</v>
      </c>
      <c r="B258" s="15">
        <v>45936</v>
      </c>
      <c r="C258" s="2" t="s">
        <v>387</v>
      </c>
      <c r="D258" s="3">
        <v>43.29</v>
      </c>
      <c r="E258" s="16" t="s">
        <v>2402</v>
      </c>
      <c r="F258" s="17" t="s">
        <v>2441</v>
      </c>
      <c r="G258" s="17" t="s">
        <v>2393</v>
      </c>
      <c r="H258" s="18">
        <v>43.29</v>
      </c>
      <c r="I258" s="18">
        <v>43.29</v>
      </c>
      <c r="J258" s="17" t="s">
        <v>2394</v>
      </c>
      <c r="K258" s="2" t="s">
        <v>2395</v>
      </c>
      <c r="L258" s="2"/>
      <c r="M258" s="2"/>
      <c r="N258" s="2"/>
      <c r="O258" s="2"/>
      <c r="P258" s="2"/>
      <c r="Q258" s="2"/>
      <c r="R258" s="2"/>
      <c r="S258" s="2"/>
      <c r="T258" s="2"/>
      <c r="U258" s="2"/>
      <c r="V258" s="2"/>
      <c r="W258" s="2"/>
      <c r="X258" s="2"/>
      <c r="Y258" s="2"/>
      <c r="Z258" s="2"/>
      <c r="AA258" s="2"/>
      <c r="AB258" s="2"/>
    </row>
    <row r="259" spans="1:28" customHeight="true">
      <c r="A259" s="2" t="s">
        <v>388</v>
      </c>
      <c r="B259" s="15">
        <v>45936</v>
      </c>
      <c r="C259" s="2" t="s">
        <v>389</v>
      </c>
      <c r="D259" s="3">
        <v>378.85</v>
      </c>
      <c r="E259" s="16" t="s">
        <v>2398</v>
      </c>
      <c r="F259" s="17" t="s">
        <v>2442</v>
      </c>
      <c r="G259" s="17" t="s">
        <v>2393</v>
      </c>
      <c r="H259" s="18">
        <v>378.85</v>
      </c>
      <c r="I259" s="18">
        <v>378.85</v>
      </c>
      <c r="J259" s="17" t="s">
        <v>2394</v>
      </c>
      <c r="K259" s="2" t="s">
        <v>2395</v>
      </c>
      <c r="L259" s="2"/>
      <c r="M259" s="2"/>
      <c r="N259" s="2"/>
      <c r="O259" s="2"/>
      <c r="P259" s="2"/>
      <c r="Q259" s="2"/>
      <c r="R259" s="2"/>
      <c r="S259" s="2"/>
      <c r="T259" s="2"/>
      <c r="U259" s="2"/>
      <c r="V259" s="2"/>
      <c r="W259" s="2"/>
      <c r="X259" s="2"/>
      <c r="Y259" s="2"/>
      <c r="Z259" s="2"/>
      <c r="AA259" s="2"/>
      <c r="AB259" s="2"/>
    </row>
    <row r="260" spans="1:28" customHeight="true">
      <c r="A260" s="2"/>
      <c r="B260" s="15">
        <v>45936</v>
      </c>
      <c r="C260" s="2" t="s">
        <v>97</v>
      </c>
      <c r="D260" s="3">
        <v>21.4</v>
      </c>
      <c r="E260" s="16" t="str">
        <f>IFERROR(__xludf.DUMMYFUNCTION("IFERROR(
  TEXTJOIN(CHAR(10),TRUE,FILTER('SUMMARY DATA'!E:E,'SUMMARY DATA'!$A:$A=$A260,'SUMMARY DATA'!$C:$C=$B260,'SUMMARY DATA'!$B:$B=""RWS"")),
  IF(
    OR(
      ISNUMBER(SEARCH(""CDM CASH DEPOSIT"",$C260)),
      ISNUMBER(SEARCH(""CASH DEPOSIT"",$C26"&amp;"0)),
      COUNTIFS('SUMMARY DATA'!$D:$D,$C260,'SUMMARY DATA'!$B:$B,""RWS"")&lt;&gt;1
    ),
    """",
    IFERROR(TEXTJOIN(CHAR(10),TRUE,FILTER('SUMMARY DATA'!E:E,'SUMMARY DATA'!$D:$D=$C260,'SUMMARY DATA'!$B:$B=""RWS"")),"""")
  )
)"),"")</f>
      </c>
      <c r="F260" s="17" t="str">
        <f>IFERROR(__xludf.DUMMYFUNCTION("IFERROR(
  TEXTJOIN(CHAR(10),TRUE,FILTER('SUMMARY DATA'!F:F,'SUMMARY DATA'!$A:$A=$A260,'SUMMARY DATA'!$C:$C=$B260,'SUMMARY DATA'!$B:$B=""RWS"")),
  IF(
    OR(
      ISNUMBER(SEARCH(""CDM CASH DEPOSIT"",$C260)),
      ISNUMBER(SEARCH(""CASH DEPOSIT"",$C26"&amp;"0)),
      COUNTIFS('SUMMARY DATA'!$D:$D,$C260,'SUMMARY DATA'!$B:$B,""RWS"")&lt;&gt;1
    ),
    """",
    IFERROR(TEXTJOIN(CHAR(10),TRUE,FILTER('SUMMARY DATA'!F:F,'SUMMARY DATA'!$D:$D=$C260,'SUMMARY DATA'!$B:$B=""RWS"")),"""")
  )
)"),"")</f>
      </c>
      <c r="G260" s="17" t="str">
        <f>IFERROR(__xludf.DUMMYFUNCTION("IFERROR(
  TEXTJOIN(CHAR(10),TRUE,FILTER('SUMMARY DATA'!G:G,'SUMMARY DATA'!$A:$A=$A260,'SUMMARY DATA'!$C:$C=$B260,'SUMMARY DATA'!$B:$B=""RWS"")),
  IF(
    OR(
      ISNUMBER(SEARCH(""CDM CASH DEPOSIT"",$C260)),
      ISNUMBER(SEARCH(""CASH DEPOSIT"",$C26"&amp;"0)),
      COUNTIFS('SUMMARY DATA'!$D:$D,$C260,'SUMMARY DATA'!$B:$B,""RWS"")&lt;&gt;1
    ),
    """",
    IFERROR(TEXTJOIN(CHAR(10),TRUE,FILTER('SUMMARY DATA'!G:G,'SUMMARY DATA'!$D:$D=$C260,'SUMMARY DATA'!$B:$B=""RWS"")),"""")
  )
)"),"")</f>
      </c>
      <c r="H260" s="18" t="str">
        <f>IFERROR(__xludf.DUMMYFUNCTION("IFERROR(
  TEXTJOIN(CHAR(10),TRUE,FILTER('SUMMARY DATA'!H:H,'SUMMARY DATA'!$A:$A=$A260,'SUMMARY DATA'!$C:$C=$B260,'SUMMARY DATA'!$B:$B=""RWS"",'SUMMARY DATA'!$H:$H=$D260)),
  IF(
    OR(
      ISNUMBER(SEARCH(""CDM CASH DEPOSIT"",$C260)),
      ISNUMBER(S"&amp;"EARCH(""CASH DEPOSIT"",$C260))
    ),
    """",
    IFERROR(TEXTJOIN(CHAR(10),TRUE,FILTER('SUMMARY DATA'!H:H,'SUMMARY DATA'!$D:$D=$C260,'SUMMARY DATA'!$B:$B=""RWS"",'SUMMARY DATA'!$H:$H=$D260)),"""")
  )
)"),"")</f>
      </c>
      <c r="I260" s="18" t="str">
        <f>IFERROR(__xludf.DUMMYFUNCTION("IF(H260="""","""",
SUM(ARRAYFORMULA(VALUE(SPLIT(H260,CHAR(10)))))
)"),"")</f>
      </c>
      <c r="J260" s="17" t="str">
        <f>IFERROR(__xludf.DUMMYFUNCTION("IFERROR(
  TEXTJOIN(CHAR(10),TRUE,FILTER('SUMMARY DATA'!I:I,'SUMMARY DATA'!$A:$A=$A260,'SUMMARY DATA'!$C:$C=$B260,'SUMMARY DATA'!$B:$B=""RWS"")),
  IF(
    OR(
      ISNUMBER(SEARCH(""CDM CASH DEPOSIT"",$C260)),
      ISNUMBER(SEARCH(""CASH DEPOSIT"",$C26"&amp;"0)),
      COUNTIFS('SUMMARY DATA'!$D:$D,$C260,'SUMMARY DATA'!$B:$B,""RWS"")&lt;&gt;1
    ),
    """",
    IFERROR(TEXTJOIN(CHAR(10),TRUE,FILTER('SUMMARY DATA'!I:I,'SUMMARY DATA'!$D:$D=$C260,'SUMMARY DATA'!$B:$B=""RWS"")),"""")
  )
)"),"")</f>
      </c>
      <c r="K260" s="2"/>
      <c r="L260" s="2"/>
      <c r="M260" s="2"/>
      <c r="N260" s="2"/>
      <c r="O260" s="2"/>
      <c r="P260" s="2"/>
      <c r="Q260" s="2"/>
      <c r="R260" s="2"/>
      <c r="S260" s="2"/>
      <c r="T260" s="2"/>
      <c r="U260" s="2"/>
      <c r="V260" s="2"/>
      <c r="W260" s="2"/>
      <c r="X260" s="2"/>
      <c r="Y260" s="2"/>
      <c r="Z260" s="2"/>
      <c r="AA260" s="2"/>
      <c r="AB260" s="2"/>
    </row>
    <row r="261" spans="1:28" customHeight="true">
      <c r="A261" s="2"/>
      <c r="B261" s="15">
        <v>45936</v>
      </c>
      <c r="C261" s="2" t="s">
        <v>390</v>
      </c>
      <c r="D261" s="3">
        <v>10</v>
      </c>
      <c r="E261" s="16" t="str">
        <f>IFERROR(__xludf.DUMMYFUNCTION("IFERROR(
  TEXTJOIN(CHAR(10),TRUE,FILTER('SUMMARY DATA'!E:E,'SUMMARY DATA'!$A:$A=$A261,'SUMMARY DATA'!$C:$C=$B261,'SUMMARY DATA'!$B:$B=""RWS"")),
  IF(
    OR(
      ISNUMBER(SEARCH(""CDM CASH DEPOSIT"",$C261)),
      ISNUMBER(SEARCH(""CASH DEPOSIT"",$C26"&amp;"1)),
      COUNTIFS('SUMMARY DATA'!$D:$D,$C261,'SUMMARY DATA'!$B:$B,""RWS"")&lt;&gt;1
    ),
    """",
    IFERROR(TEXTJOIN(CHAR(10),TRUE,FILTER('SUMMARY DATA'!E:E,'SUMMARY DATA'!$D:$D=$C261,'SUMMARY DATA'!$B:$B=""RWS"")),"""")
  )
)"),"")</f>
      </c>
      <c r="F261" s="17" t="str">
        <f>IFERROR(__xludf.DUMMYFUNCTION("IFERROR(
  TEXTJOIN(CHAR(10),TRUE,FILTER('SUMMARY DATA'!F:F,'SUMMARY DATA'!$A:$A=$A261,'SUMMARY DATA'!$C:$C=$B261,'SUMMARY DATA'!$B:$B=""RWS"")),
  IF(
    OR(
      ISNUMBER(SEARCH(""CDM CASH DEPOSIT"",$C261)),
      ISNUMBER(SEARCH(""CASH DEPOSIT"",$C26"&amp;"1)),
      COUNTIFS('SUMMARY DATA'!$D:$D,$C261,'SUMMARY DATA'!$B:$B,""RWS"")&lt;&gt;1
    ),
    """",
    IFERROR(TEXTJOIN(CHAR(10),TRUE,FILTER('SUMMARY DATA'!F:F,'SUMMARY DATA'!$D:$D=$C261,'SUMMARY DATA'!$B:$B=""RWS"")),"""")
  )
)"),"")</f>
      </c>
      <c r="G261" s="17" t="str">
        <f>IFERROR(__xludf.DUMMYFUNCTION("IFERROR(
  TEXTJOIN(CHAR(10),TRUE,FILTER('SUMMARY DATA'!G:G,'SUMMARY DATA'!$A:$A=$A261,'SUMMARY DATA'!$C:$C=$B261,'SUMMARY DATA'!$B:$B=""RWS"")),
  IF(
    OR(
      ISNUMBER(SEARCH(""CDM CASH DEPOSIT"",$C261)),
      ISNUMBER(SEARCH(""CASH DEPOSIT"",$C26"&amp;"1)),
      COUNTIFS('SUMMARY DATA'!$D:$D,$C261,'SUMMARY DATA'!$B:$B,""RWS"")&lt;&gt;1
    ),
    """",
    IFERROR(TEXTJOIN(CHAR(10),TRUE,FILTER('SUMMARY DATA'!G:G,'SUMMARY DATA'!$D:$D=$C261,'SUMMARY DATA'!$B:$B=""RWS"")),"""")
  )
)"),"")</f>
      </c>
      <c r="H261" s="18" t="str">
        <f>IFERROR(__xludf.DUMMYFUNCTION("IFERROR(
  TEXTJOIN(CHAR(10),TRUE,FILTER('SUMMARY DATA'!H:H,'SUMMARY DATA'!$A:$A=$A261,'SUMMARY DATA'!$C:$C=$B261,'SUMMARY DATA'!$B:$B=""RWS"",'SUMMARY DATA'!$H:$H=$D261)),
  IF(
    OR(
      ISNUMBER(SEARCH(""CDM CASH DEPOSIT"",$C261)),
      ISNUMBER(S"&amp;"EARCH(""CASH DEPOSIT"",$C261))
    ),
    """",
    IFERROR(TEXTJOIN(CHAR(10),TRUE,FILTER('SUMMARY DATA'!H:H,'SUMMARY DATA'!$D:$D=$C261,'SUMMARY DATA'!$B:$B=""RWS"",'SUMMARY DATA'!$H:$H=$D261)),"""")
  )
)"),"")</f>
      </c>
      <c r="I261" s="18" t="str">
        <f>IFERROR(__xludf.DUMMYFUNCTION("IF(H261="""","""",
SUM(ARRAYFORMULA(VALUE(SPLIT(H261,CHAR(10)))))
)"),"")</f>
      </c>
      <c r="J261" s="17" t="str">
        <f>IFERROR(__xludf.DUMMYFUNCTION("IFERROR(
  TEXTJOIN(CHAR(10),TRUE,FILTER('SUMMARY DATA'!I:I,'SUMMARY DATA'!$A:$A=$A261,'SUMMARY DATA'!$C:$C=$B261,'SUMMARY DATA'!$B:$B=""RWS"")),
  IF(
    OR(
      ISNUMBER(SEARCH(""CDM CASH DEPOSIT"",$C261)),
      ISNUMBER(SEARCH(""CASH DEPOSIT"",$C26"&amp;"1)),
      COUNTIFS('SUMMARY DATA'!$D:$D,$C261,'SUMMARY DATA'!$B:$B,""RWS"")&lt;&gt;1
    ),
    """",
    IFERROR(TEXTJOIN(CHAR(10),TRUE,FILTER('SUMMARY DATA'!I:I,'SUMMARY DATA'!$D:$D=$C261,'SUMMARY DATA'!$B:$B=""RWS"")),"""")
  )
)"),"")</f>
      </c>
      <c r="K261" s="2"/>
      <c r="L261" s="2"/>
      <c r="M261" s="2"/>
      <c r="N261" s="2"/>
      <c r="O261" s="2"/>
      <c r="P261" s="2"/>
      <c r="Q261" s="2"/>
      <c r="R261" s="2"/>
      <c r="S261" s="2"/>
      <c r="T261" s="2"/>
      <c r="U261" s="2"/>
      <c r="V261" s="2"/>
      <c r="W261" s="2"/>
      <c r="X261" s="2"/>
      <c r="Y261" s="2"/>
      <c r="Z261" s="2"/>
      <c r="AA261" s="2"/>
      <c r="AB261" s="2"/>
    </row>
    <row r="262" spans="1:28" customHeight="true">
      <c r="A262" s="2" t="s">
        <v>391</v>
      </c>
      <c r="B262" s="15">
        <v>45935</v>
      </c>
      <c r="C262" s="2" t="s">
        <v>392</v>
      </c>
      <c r="D262" s="3">
        <v>614.94</v>
      </c>
      <c r="E262" s="16" t="s">
        <v>2398</v>
      </c>
      <c r="F262" s="17" t="s">
        <v>2443</v>
      </c>
      <c r="G262" s="17" t="s">
        <v>2393</v>
      </c>
      <c r="H262" s="18">
        <v>614.94</v>
      </c>
      <c r="I262" s="18">
        <v>614.94</v>
      </c>
      <c r="J262" s="17" t="s">
        <v>2394</v>
      </c>
      <c r="K262" s="2" t="s">
        <v>2395</v>
      </c>
      <c r="L262" s="2"/>
      <c r="M262" s="2"/>
      <c r="N262" s="2"/>
      <c r="O262" s="2"/>
      <c r="P262" s="2"/>
      <c r="Q262" s="2"/>
      <c r="R262" s="2"/>
      <c r="S262" s="2"/>
      <c r="T262" s="2"/>
      <c r="U262" s="2"/>
      <c r="V262" s="2"/>
      <c r="W262" s="2"/>
      <c r="X262" s="2"/>
      <c r="Y262" s="2"/>
      <c r="Z262" s="2"/>
      <c r="AA262" s="2"/>
      <c r="AB262" s="2"/>
    </row>
    <row r="263" spans="1:28" customHeight="true">
      <c r="A263" s="2"/>
      <c r="B263" s="15">
        <v>45935</v>
      </c>
      <c r="C263" s="2" t="s">
        <v>387</v>
      </c>
      <c r="D263" s="3">
        <v>43.29</v>
      </c>
      <c r="E263" s="16" t="str">
        <f>IFERROR(__xludf.DUMMYFUNCTION("IFERROR(
  TEXTJOIN(CHAR(10),TRUE,FILTER('SUMMARY DATA'!E:E,'SUMMARY DATA'!$A:$A=$A263,'SUMMARY DATA'!$C:$C=$B263,'SUMMARY DATA'!$B:$B=""RWS"")),
  IF(
    OR(
      ISNUMBER(SEARCH(""CDM CASH DEPOSIT"",$C263)),
      ISNUMBER(SEARCH(""CASH DEPOSIT"",$C26"&amp;"3)),
      COUNTIFS('SUMMARY DATA'!$D:$D,$C263,'SUMMARY DATA'!$B:$B,""RWS"")&lt;&gt;1
    ),
    """",
    IFERROR(TEXTJOIN(CHAR(10),TRUE,FILTER('SUMMARY DATA'!E:E,'SUMMARY DATA'!$D:$D=$C263,'SUMMARY DATA'!$B:$B=""RWS"")),"""")
  )
)"),"")</f>
      </c>
      <c r="F263" s="17" t="str">
        <f>IFERROR(__xludf.DUMMYFUNCTION("IFERROR(
  TEXTJOIN(CHAR(10),TRUE,FILTER('SUMMARY DATA'!F:F,'SUMMARY DATA'!$A:$A=$A263,'SUMMARY DATA'!$C:$C=$B263,'SUMMARY DATA'!$B:$B=""RWS"")),
  IF(
    OR(
      ISNUMBER(SEARCH(""CDM CASH DEPOSIT"",$C263)),
      ISNUMBER(SEARCH(""CASH DEPOSIT"",$C26"&amp;"3)),
      COUNTIFS('SUMMARY DATA'!$D:$D,$C263,'SUMMARY DATA'!$B:$B,""RWS"")&lt;&gt;1
    ),
    """",
    IFERROR(TEXTJOIN(CHAR(10),TRUE,FILTER('SUMMARY DATA'!F:F,'SUMMARY DATA'!$D:$D=$C263,'SUMMARY DATA'!$B:$B=""RWS"")),"""")
  )
)"),"")</f>
      </c>
      <c r="G263" s="17" t="str">
        <f>IFERROR(__xludf.DUMMYFUNCTION("IFERROR(
  TEXTJOIN(CHAR(10),TRUE,FILTER('SUMMARY DATA'!G:G,'SUMMARY DATA'!$A:$A=$A263,'SUMMARY DATA'!$C:$C=$B263,'SUMMARY DATA'!$B:$B=""RWS"")),
  IF(
    OR(
      ISNUMBER(SEARCH(""CDM CASH DEPOSIT"",$C263)),
      ISNUMBER(SEARCH(""CASH DEPOSIT"",$C26"&amp;"3)),
      COUNTIFS('SUMMARY DATA'!$D:$D,$C263,'SUMMARY DATA'!$B:$B,""RWS"")&lt;&gt;1
    ),
    """",
    IFERROR(TEXTJOIN(CHAR(10),TRUE,FILTER('SUMMARY DATA'!G:G,'SUMMARY DATA'!$D:$D=$C263,'SUMMARY DATA'!$B:$B=""RWS"")),"""")
  )
)"),"")</f>
      </c>
      <c r="H263" s="18" t="str">
        <f>IFERROR(__xludf.DUMMYFUNCTION("IFERROR(
  TEXTJOIN(CHAR(10),TRUE,FILTER('SUMMARY DATA'!H:H,'SUMMARY DATA'!$A:$A=$A263,'SUMMARY DATA'!$C:$C=$B263,'SUMMARY DATA'!$B:$B=""RWS"",'SUMMARY DATA'!$H:$H=$D263)),
  IF(
    OR(
      ISNUMBER(SEARCH(""CDM CASH DEPOSIT"",$C263)),
      ISNUMBER(S"&amp;"EARCH(""CASH DEPOSIT"",$C263))
    ),
    """",
    IFERROR(TEXTJOIN(CHAR(10),TRUE,FILTER('SUMMARY DATA'!H:H,'SUMMARY DATA'!$D:$D=$C263,'SUMMARY DATA'!$B:$B=""RWS"",'SUMMARY DATA'!$H:$H=$D263)),"""")
  )
)"),"")</f>
      </c>
      <c r="I263" s="18" t="str">
        <f>IFERROR(__xludf.DUMMYFUNCTION("IF(H263="""","""",
SUM(ARRAYFORMULA(VALUE(SPLIT(H263,CHAR(10)))))
)"),"")</f>
      </c>
      <c r="J263" s="17" t="str">
        <f>IFERROR(__xludf.DUMMYFUNCTION("IFERROR(
  TEXTJOIN(CHAR(10),TRUE,FILTER('SUMMARY DATA'!I:I,'SUMMARY DATA'!$A:$A=$A263,'SUMMARY DATA'!$C:$C=$B263,'SUMMARY DATA'!$B:$B=""RWS"")),
  IF(
    OR(
      ISNUMBER(SEARCH(""CDM CASH DEPOSIT"",$C263)),
      ISNUMBER(SEARCH(""CASH DEPOSIT"",$C26"&amp;"3)),
      COUNTIFS('SUMMARY DATA'!$D:$D,$C263,'SUMMARY DATA'!$B:$B,""RWS"")&lt;&gt;1
    ),
    """",
    IFERROR(TEXTJOIN(CHAR(10),TRUE,FILTER('SUMMARY DATA'!I:I,'SUMMARY DATA'!$D:$D=$C263,'SUMMARY DATA'!$B:$B=""RWS"")),"""")
  )
)"),"")</f>
      </c>
      <c r="K263" s="2"/>
      <c r="L263" s="2"/>
      <c r="M263" s="2"/>
      <c r="N263" s="2"/>
      <c r="O263" s="2"/>
      <c r="P263" s="2"/>
      <c r="Q263" s="2"/>
      <c r="R263" s="2"/>
      <c r="S263" s="2"/>
      <c r="T263" s="2"/>
      <c r="U263" s="2"/>
      <c r="V263" s="2"/>
      <c r="W263" s="2"/>
      <c r="X263" s="2"/>
      <c r="Y263" s="2"/>
      <c r="Z263" s="2"/>
      <c r="AA263" s="2"/>
      <c r="AB263" s="2"/>
    </row>
    <row r="264" spans="1:28" customHeight="true">
      <c r="A264" s="2" t="s">
        <v>393</v>
      </c>
      <c r="B264" s="15">
        <v>45932</v>
      </c>
      <c r="C264" s="2" t="s">
        <v>394</v>
      </c>
      <c r="D264" s="3">
        <v>60</v>
      </c>
      <c r="E264" s="16" t="str">
        <f>IFERROR(__xludf.DUMMYFUNCTION("IFERROR(
  TEXTJOIN(CHAR(10),TRUE,FILTER('SUMMARY DATA'!E:E,'SUMMARY DATA'!$A:$A=$A264,'SUMMARY DATA'!$C:$C=$B264,'SUMMARY DATA'!$B:$B=""RWS"")),
  IF(
    OR(
      ISNUMBER(SEARCH(""CDM CASH DEPOSIT"",$C264)),
      ISNUMBER(SEARCH(""CASH DEPOSIT"",$C26"&amp;"4)),
      COUNTIFS('SUMMARY DATA'!$D:$D,$C264,'SUMMARY DATA'!$B:$B,""RWS"")&lt;&gt;1
    ),
    """",
    IFERROR(TEXTJOIN(CHAR(10),TRUE,FILTER('SUMMARY DATA'!E:E,'SUMMARY DATA'!$D:$D=$C264,'SUMMARY DATA'!$B:$B=""RWS"")),"""")
  )
)"),"")</f>
      </c>
      <c r="F264" s="17" t="str">
        <f>IFERROR(__xludf.DUMMYFUNCTION("IFERROR(
  TEXTJOIN(CHAR(10),TRUE,FILTER('SUMMARY DATA'!F:F,'SUMMARY DATA'!$A:$A=$A264,'SUMMARY DATA'!$C:$C=$B264,'SUMMARY DATA'!$B:$B=""RWS"")),
  IF(
    OR(
      ISNUMBER(SEARCH(""CDM CASH DEPOSIT"",$C264)),
      ISNUMBER(SEARCH(""CASH DEPOSIT"",$C26"&amp;"4)),
      COUNTIFS('SUMMARY DATA'!$D:$D,$C264,'SUMMARY DATA'!$B:$B,""RWS"")&lt;&gt;1
    ),
    """",
    IFERROR(TEXTJOIN(CHAR(10),TRUE,FILTER('SUMMARY DATA'!F:F,'SUMMARY DATA'!$D:$D=$C264,'SUMMARY DATA'!$B:$B=""RWS"")),"""")
  )
)"),"")</f>
      </c>
      <c r="G264" s="17" t="str">
        <f>IFERROR(__xludf.DUMMYFUNCTION("IFERROR(
  TEXTJOIN(CHAR(10),TRUE,FILTER('SUMMARY DATA'!G:G,'SUMMARY DATA'!$A:$A=$A264,'SUMMARY DATA'!$C:$C=$B264,'SUMMARY DATA'!$B:$B=""RWS"")),
  IF(
    OR(
      ISNUMBER(SEARCH(""CDM CASH DEPOSIT"",$C264)),
      ISNUMBER(SEARCH(""CASH DEPOSIT"",$C26"&amp;"4)),
      COUNTIFS('SUMMARY DATA'!$D:$D,$C264,'SUMMARY DATA'!$B:$B,""RWS"")&lt;&gt;1
    ),
    """",
    IFERROR(TEXTJOIN(CHAR(10),TRUE,FILTER('SUMMARY DATA'!G:G,'SUMMARY DATA'!$D:$D=$C264,'SUMMARY DATA'!$B:$B=""RWS"")),"""")
  )
)"),"")</f>
      </c>
      <c r="H264" s="18" t="str">
        <f>IFERROR(__xludf.DUMMYFUNCTION("IFERROR(
  TEXTJOIN(CHAR(10),TRUE,FILTER('SUMMARY DATA'!H:H,'SUMMARY DATA'!$A:$A=$A264,'SUMMARY DATA'!$C:$C=$B264,'SUMMARY DATA'!$B:$B=""RWS"",'SUMMARY DATA'!$H:$H=$D264)),
  IF(
    OR(
      ISNUMBER(SEARCH(""CDM CASH DEPOSIT"",$C264)),
      ISNUMBER(S"&amp;"EARCH(""CASH DEPOSIT"",$C264))
    ),
    """",
    IFERROR(TEXTJOIN(CHAR(10),TRUE,FILTER('SUMMARY DATA'!H:H,'SUMMARY DATA'!$D:$D=$C264,'SUMMARY DATA'!$B:$B=""RWS"",'SUMMARY DATA'!$H:$H=$D264)),"""")
  )
)"),"")</f>
      </c>
      <c r="I264" s="18" t="str">
        <f>IFERROR(__xludf.DUMMYFUNCTION("IF(H264="""","""",
SUM(ARRAYFORMULA(VALUE(SPLIT(H264,CHAR(10)))))
)"),"")</f>
      </c>
      <c r="J264" s="17" t="str">
        <f>IFERROR(__xludf.DUMMYFUNCTION("IFERROR(
  TEXTJOIN(CHAR(10),TRUE,FILTER('SUMMARY DATA'!I:I,'SUMMARY DATA'!$A:$A=$A264,'SUMMARY DATA'!$C:$C=$B264,'SUMMARY DATA'!$B:$B=""RWS"")),
  IF(
    OR(
      ISNUMBER(SEARCH(""CDM CASH DEPOSIT"",$C264)),
      ISNUMBER(SEARCH(""CASH DEPOSIT"",$C26"&amp;"4)),
      COUNTIFS('SUMMARY DATA'!$D:$D,$C264,'SUMMARY DATA'!$B:$B,""RWS"")&lt;&gt;1
    ),
    """",
    IFERROR(TEXTJOIN(CHAR(10),TRUE,FILTER('SUMMARY DATA'!I:I,'SUMMARY DATA'!$D:$D=$C264,'SUMMARY DATA'!$B:$B=""RWS"")),"""")
  )
)"),"")</f>
      </c>
      <c r="K264" s="2"/>
      <c r="L264" s="2"/>
      <c r="M264" s="2"/>
      <c r="N264" s="2"/>
      <c r="O264" s="2"/>
      <c r="P264" s="2"/>
      <c r="Q264" s="2"/>
      <c r="R264" s="2"/>
      <c r="S264" s="2"/>
      <c r="T264" s="2"/>
      <c r="U264" s="2"/>
      <c r="V264" s="2"/>
      <c r="W264" s="2"/>
      <c r="X264" s="2"/>
      <c r="Y264" s="2"/>
      <c r="Z264" s="2"/>
      <c r="AA264" s="2"/>
      <c r="AB264" s="2"/>
    </row>
    <row r="265" spans="1:28" customHeight="true">
      <c r="A265" s="2"/>
      <c r="B265" s="15">
        <v>45932</v>
      </c>
      <c r="C265" s="2" t="s">
        <v>97</v>
      </c>
      <c r="D265" s="3">
        <v>21.8</v>
      </c>
      <c r="E265" s="16" t="str">
        <f>IFERROR(__xludf.DUMMYFUNCTION("IFERROR(
  TEXTJOIN(CHAR(10),TRUE,FILTER('SUMMARY DATA'!E:E,'SUMMARY DATA'!$A:$A=$A265,'SUMMARY DATA'!$C:$C=$B265,'SUMMARY DATA'!$B:$B=""RWS"")),
  IF(
    OR(
      ISNUMBER(SEARCH(""CDM CASH DEPOSIT"",$C265)),
      ISNUMBER(SEARCH(""CASH DEPOSIT"",$C26"&amp;"5)),
      COUNTIFS('SUMMARY DATA'!$D:$D,$C265,'SUMMARY DATA'!$B:$B,""RWS"")&lt;&gt;1
    ),
    """",
    IFERROR(TEXTJOIN(CHAR(10),TRUE,FILTER('SUMMARY DATA'!E:E,'SUMMARY DATA'!$D:$D=$C265,'SUMMARY DATA'!$B:$B=""RWS"")),"""")
  )
)"),"")</f>
      </c>
      <c r="F265" s="17" t="str">
        <f>IFERROR(__xludf.DUMMYFUNCTION("IFERROR(
  TEXTJOIN(CHAR(10),TRUE,FILTER('SUMMARY DATA'!F:F,'SUMMARY DATA'!$A:$A=$A265,'SUMMARY DATA'!$C:$C=$B265,'SUMMARY DATA'!$B:$B=""RWS"")),
  IF(
    OR(
      ISNUMBER(SEARCH(""CDM CASH DEPOSIT"",$C265)),
      ISNUMBER(SEARCH(""CASH DEPOSIT"",$C26"&amp;"5)),
      COUNTIFS('SUMMARY DATA'!$D:$D,$C265,'SUMMARY DATA'!$B:$B,""RWS"")&lt;&gt;1
    ),
    """",
    IFERROR(TEXTJOIN(CHAR(10),TRUE,FILTER('SUMMARY DATA'!F:F,'SUMMARY DATA'!$D:$D=$C265,'SUMMARY DATA'!$B:$B=""RWS"")),"""")
  )
)"),"")</f>
      </c>
      <c r="G265" s="17" t="str">
        <f>IFERROR(__xludf.DUMMYFUNCTION("IFERROR(
  TEXTJOIN(CHAR(10),TRUE,FILTER('SUMMARY DATA'!G:G,'SUMMARY DATA'!$A:$A=$A265,'SUMMARY DATA'!$C:$C=$B265,'SUMMARY DATA'!$B:$B=""RWS"")),
  IF(
    OR(
      ISNUMBER(SEARCH(""CDM CASH DEPOSIT"",$C265)),
      ISNUMBER(SEARCH(""CASH DEPOSIT"",$C26"&amp;"5)),
      COUNTIFS('SUMMARY DATA'!$D:$D,$C265,'SUMMARY DATA'!$B:$B,""RWS"")&lt;&gt;1
    ),
    """",
    IFERROR(TEXTJOIN(CHAR(10),TRUE,FILTER('SUMMARY DATA'!G:G,'SUMMARY DATA'!$D:$D=$C265,'SUMMARY DATA'!$B:$B=""RWS"")),"""")
  )
)"),"")</f>
      </c>
      <c r="H265" s="18" t="str">
        <f>IFERROR(__xludf.DUMMYFUNCTION("IFERROR(
  TEXTJOIN(CHAR(10),TRUE,FILTER('SUMMARY DATA'!H:H,'SUMMARY DATA'!$A:$A=$A265,'SUMMARY DATA'!$C:$C=$B265,'SUMMARY DATA'!$B:$B=""RWS"",'SUMMARY DATA'!$H:$H=$D265)),
  IF(
    OR(
      ISNUMBER(SEARCH(""CDM CASH DEPOSIT"",$C265)),
      ISNUMBER(S"&amp;"EARCH(""CASH DEPOSIT"",$C265))
    ),
    """",
    IFERROR(TEXTJOIN(CHAR(10),TRUE,FILTER('SUMMARY DATA'!H:H,'SUMMARY DATA'!$D:$D=$C265,'SUMMARY DATA'!$B:$B=""RWS"",'SUMMARY DATA'!$H:$H=$D265)),"""")
  )
)"),"")</f>
      </c>
      <c r="I265" s="18" t="str">
        <f>IFERROR(__xludf.DUMMYFUNCTION("IF(H265="""","""",
SUM(ARRAYFORMULA(VALUE(SPLIT(H265,CHAR(10)))))
)"),"")</f>
      </c>
      <c r="J265" s="17" t="str">
        <f>IFERROR(__xludf.DUMMYFUNCTION("IFERROR(
  TEXTJOIN(CHAR(10),TRUE,FILTER('SUMMARY DATA'!I:I,'SUMMARY DATA'!$A:$A=$A265,'SUMMARY DATA'!$C:$C=$B265,'SUMMARY DATA'!$B:$B=""RWS"")),
  IF(
    OR(
      ISNUMBER(SEARCH(""CDM CASH DEPOSIT"",$C265)),
      ISNUMBER(SEARCH(""CASH DEPOSIT"",$C26"&amp;"5)),
      COUNTIFS('SUMMARY DATA'!$D:$D,$C265,'SUMMARY DATA'!$B:$B,""RWS"")&lt;&gt;1
    ),
    """",
    IFERROR(TEXTJOIN(CHAR(10),TRUE,FILTER('SUMMARY DATA'!I:I,'SUMMARY DATA'!$D:$D=$C265,'SUMMARY DATA'!$B:$B=""RWS"")),"""")
  )
)"),"")</f>
      </c>
      <c r="K265" s="2"/>
      <c r="L265" s="2"/>
      <c r="M265" s="2"/>
      <c r="N265" s="2"/>
      <c r="O265" s="2"/>
      <c r="P265" s="2"/>
      <c r="Q265" s="2"/>
      <c r="R265" s="2"/>
      <c r="S265" s="2"/>
      <c r="T265" s="2"/>
      <c r="U265" s="2"/>
      <c r="V265" s="2"/>
      <c r="W265" s="2"/>
      <c r="X265" s="2"/>
      <c r="Y265" s="2"/>
      <c r="Z265" s="2"/>
      <c r="AA265" s="2"/>
      <c r="AB265" s="2"/>
    </row>
    <row r="266" spans="1:28" customHeight="true">
      <c r="A266" s="2"/>
      <c r="B266" s="15">
        <v>45932</v>
      </c>
      <c r="C266" s="2" t="s">
        <v>395</v>
      </c>
      <c r="D266" s="3">
        <v>142.19</v>
      </c>
      <c r="E266" s="16" t="str">
        <f>IFERROR(__xludf.DUMMYFUNCTION("IFERROR(
  TEXTJOIN(CHAR(10),TRUE,FILTER('SUMMARY DATA'!E:E,'SUMMARY DATA'!$A:$A=$A266,'SUMMARY DATA'!$C:$C=$B266,'SUMMARY DATA'!$B:$B=""RWS"")),
  IF(
    OR(
      ISNUMBER(SEARCH(""CDM CASH DEPOSIT"",$C266)),
      ISNUMBER(SEARCH(""CASH DEPOSIT"",$C26"&amp;"6)),
      COUNTIFS('SUMMARY DATA'!$D:$D,$C266,'SUMMARY DATA'!$B:$B,""RWS"")&lt;&gt;1
    ),
    """",
    IFERROR(TEXTJOIN(CHAR(10),TRUE,FILTER('SUMMARY DATA'!E:E,'SUMMARY DATA'!$D:$D=$C266,'SUMMARY DATA'!$B:$B=""RWS"")),"""")
  )
)"),"")</f>
      </c>
      <c r="F266" s="17" t="str">
        <f>IFERROR(__xludf.DUMMYFUNCTION("IFERROR(
  TEXTJOIN(CHAR(10),TRUE,FILTER('SUMMARY DATA'!F:F,'SUMMARY DATA'!$A:$A=$A266,'SUMMARY DATA'!$C:$C=$B266,'SUMMARY DATA'!$B:$B=""RWS"")),
  IF(
    OR(
      ISNUMBER(SEARCH(""CDM CASH DEPOSIT"",$C266)),
      ISNUMBER(SEARCH(""CASH DEPOSIT"",$C26"&amp;"6)),
      COUNTIFS('SUMMARY DATA'!$D:$D,$C266,'SUMMARY DATA'!$B:$B,""RWS"")&lt;&gt;1
    ),
    """",
    IFERROR(TEXTJOIN(CHAR(10),TRUE,FILTER('SUMMARY DATA'!F:F,'SUMMARY DATA'!$D:$D=$C266,'SUMMARY DATA'!$B:$B=""RWS"")),"""")
  )
)"),"")</f>
      </c>
      <c r="G266" s="17" t="str">
        <f>IFERROR(__xludf.DUMMYFUNCTION("IFERROR(
  TEXTJOIN(CHAR(10),TRUE,FILTER('SUMMARY DATA'!G:G,'SUMMARY DATA'!$A:$A=$A266,'SUMMARY DATA'!$C:$C=$B266,'SUMMARY DATA'!$B:$B=""RWS"")),
  IF(
    OR(
      ISNUMBER(SEARCH(""CDM CASH DEPOSIT"",$C266)),
      ISNUMBER(SEARCH(""CASH DEPOSIT"",$C26"&amp;"6)),
      COUNTIFS('SUMMARY DATA'!$D:$D,$C266,'SUMMARY DATA'!$B:$B,""RWS"")&lt;&gt;1
    ),
    """",
    IFERROR(TEXTJOIN(CHAR(10),TRUE,FILTER('SUMMARY DATA'!G:G,'SUMMARY DATA'!$D:$D=$C266,'SUMMARY DATA'!$B:$B=""RWS"")),"""")
  )
)"),"")</f>
      </c>
      <c r="H266" s="18" t="str">
        <f>IFERROR(__xludf.DUMMYFUNCTION("IFERROR(
  TEXTJOIN(CHAR(10),TRUE,FILTER('SUMMARY DATA'!H:H,'SUMMARY DATA'!$A:$A=$A266,'SUMMARY DATA'!$C:$C=$B266,'SUMMARY DATA'!$B:$B=""RWS"",'SUMMARY DATA'!$H:$H=$D266)),
  IF(
    OR(
      ISNUMBER(SEARCH(""CDM CASH DEPOSIT"",$C266)),
      ISNUMBER(S"&amp;"EARCH(""CASH DEPOSIT"",$C266))
    ),
    """",
    IFERROR(TEXTJOIN(CHAR(10),TRUE,FILTER('SUMMARY DATA'!H:H,'SUMMARY DATA'!$D:$D=$C266,'SUMMARY DATA'!$B:$B=""RWS"",'SUMMARY DATA'!$H:$H=$D266)),"""")
  )
)"),"")</f>
      </c>
      <c r="I266" s="18" t="str">
        <f>IFERROR(__xludf.DUMMYFUNCTION("IF(H266="""","""",
SUM(ARRAYFORMULA(VALUE(SPLIT(H266,CHAR(10)))))
)"),"")</f>
      </c>
      <c r="J266" s="17" t="str">
        <f>IFERROR(__xludf.DUMMYFUNCTION("IFERROR(
  TEXTJOIN(CHAR(10),TRUE,FILTER('SUMMARY DATA'!I:I,'SUMMARY DATA'!$A:$A=$A266,'SUMMARY DATA'!$C:$C=$B266,'SUMMARY DATA'!$B:$B=""RWS"")),
  IF(
    OR(
      ISNUMBER(SEARCH(""CDM CASH DEPOSIT"",$C266)),
      ISNUMBER(SEARCH(""CASH DEPOSIT"",$C26"&amp;"6)),
      COUNTIFS('SUMMARY DATA'!$D:$D,$C266,'SUMMARY DATA'!$B:$B,""RWS"")&lt;&gt;1
    ),
    """",
    IFERROR(TEXTJOIN(CHAR(10),TRUE,FILTER('SUMMARY DATA'!I:I,'SUMMARY DATA'!$D:$D=$C266,'SUMMARY DATA'!$B:$B=""RWS"")),"""")
  )
)"),"")</f>
      </c>
      <c r="K266" s="2"/>
      <c r="L266" s="2"/>
      <c r="M266" s="2"/>
      <c r="N266" s="2"/>
      <c r="O266" s="2"/>
      <c r="P266" s="2"/>
      <c r="Q266" s="2"/>
      <c r="R266" s="2"/>
      <c r="S266" s="2"/>
      <c r="T266" s="2"/>
      <c r="U266" s="2"/>
      <c r="V266" s="2"/>
      <c r="W266" s="2"/>
      <c r="X266" s="2"/>
      <c r="Y266" s="2"/>
      <c r="Z266" s="2"/>
      <c r="AA266" s="2"/>
      <c r="AB266" s="2"/>
    </row>
    <row r="267" spans="1:28" customHeight="true">
      <c r="A267" s="2"/>
      <c r="B267" s="15">
        <v>45931</v>
      </c>
      <c r="C267" s="2" t="s">
        <v>396</v>
      </c>
      <c r="D267" s="3">
        <v>202</v>
      </c>
      <c r="E267" s="16" t="str">
        <f>IFERROR(__xludf.DUMMYFUNCTION("IFERROR(
  TEXTJOIN(CHAR(10),TRUE,FILTER('SUMMARY DATA'!E:E,'SUMMARY DATA'!$A:$A=$A267,'SUMMARY DATA'!$C:$C=$B267,'SUMMARY DATA'!$B:$B=""RWS"")),
  IF(
    OR(
      ISNUMBER(SEARCH(""CDM CASH DEPOSIT"",$C267)),
      ISNUMBER(SEARCH(""CASH DEPOSIT"",$C26"&amp;"7)),
      COUNTIFS('SUMMARY DATA'!$D:$D,$C267,'SUMMARY DATA'!$B:$B,""RWS"")&lt;&gt;1
    ),
    """",
    IFERROR(TEXTJOIN(CHAR(10),TRUE,FILTER('SUMMARY DATA'!E:E,'SUMMARY DATA'!$D:$D=$C267,'SUMMARY DATA'!$B:$B=""RWS"")),"""")
  )
)"),"")</f>
      </c>
      <c r="F267" s="17" t="str">
        <f>IFERROR(__xludf.DUMMYFUNCTION("IFERROR(
  TEXTJOIN(CHAR(10),TRUE,FILTER('SUMMARY DATA'!F:F,'SUMMARY DATA'!$A:$A=$A267,'SUMMARY DATA'!$C:$C=$B267,'SUMMARY DATA'!$B:$B=""RWS"")),
  IF(
    OR(
      ISNUMBER(SEARCH(""CDM CASH DEPOSIT"",$C267)),
      ISNUMBER(SEARCH(""CASH DEPOSIT"",$C26"&amp;"7)),
      COUNTIFS('SUMMARY DATA'!$D:$D,$C267,'SUMMARY DATA'!$B:$B,""RWS"")&lt;&gt;1
    ),
    """",
    IFERROR(TEXTJOIN(CHAR(10),TRUE,FILTER('SUMMARY DATA'!F:F,'SUMMARY DATA'!$D:$D=$C267,'SUMMARY DATA'!$B:$B=""RWS"")),"""")
  )
)"),"")</f>
      </c>
      <c r="G267" s="17" t="str">
        <f>IFERROR(__xludf.DUMMYFUNCTION("IFERROR(
  TEXTJOIN(CHAR(10),TRUE,FILTER('SUMMARY DATA'!G:G,'SUMMARY DATA'!$A:$A=$A267,'SUMMARY DATA'!$C:$C=$B267,'SUMMARY DATA'!$B:$B=""RWS"")),
  IF(
    OR(
      ISNUMBER(SEARCH(""CDM CASH DEPOSIT"",$C267)),
      ISNUMBER(SEARCH(""CASH DEPOSIT"",$C26"&amp;"7)),
      COUNTIFS('SUMMARY DATA'!$D:$D,$C267,'SUMMARY DATA'!$B:$B,""RWS"")&lt;&gt;1
    ),
    """",
    IFERROR(TEXTJOIN(CHAR(10),TRUE,FILTER('SUMMARY DATA'!G:G,'SUMMARY DATA'!$D:$D=$C267,'SUMMARY DATA'!$B:$B=""RWS"")),"""")
  )
)"),"")</f>
      </c>
      <c r="H267" s="18" t="str">
        <f>IFERROR(__xludf.DUMMYFUNCTION("IFERROR(
  TEXTJOIN(CHAR(10),TRUE,FILTER('SUMMARY DATA'!H:H,'SUMMARY DATA'!$A:$A=$A267,'SUMMARY DATA'!$C:$C=$B267,'SUMMARY DATA'!$B:$B=""RWS"",'SUMMARY DATA'!$H:$H=$D267)),
  IF(
    OR(
      ISNUMBER(SEARCH(""CDM CASH DEPOSIT"",$C267)),
      ISNUMBER(S"&amp;"EARCH(""CASH DEPOSIT"",$C267))
    ),
    """",
    IFERROR(TEXTJOIN(CHAR(10),TRUE,FILTER('SUMMARY DATA'!H:H,'SUMMARY DATA'!$D:$D=$C267,'SUMMARY DATA'!$B:$B=""RWS"",'SUMMARY DATA'!$H:$H=$D267)),"""")
  )
)"),"")</f>
      </c>
      <c r="I267" s="18" t="str">
        <f>IFERROR(__xludf.DUMMYFUNCTION("IF(H267="""","""",
SUM(ARRAYFORMULA(VALUE(SPLIT(H267,CHAR(10)))))
)"),"")</f>
      </c>
      <c r="J267" s="17" t="str">
        <f>IFERROR(__xludf.DUMMYFUNCTION("IFERROR(
  TEXTJOIN(CHAR(10),TRUE,FILTER('SUMMARY DATA'!I:I,'SUMMARY DATA'!$A:$A=$A267,'SUMMARY DATA'!$C:$C=$B267,'SUMMARY DATA'!$B:$B=""RWS"")),
  IF(
    OR(
      ISNUMBER(SEARCH(""CDM CASH DEPOSIT"",$C267)),
      ISNUMBER(SEARCH(""CASH DEPOSIT"",$C26"&amp;"7)),
      COUNTIFS('SUMMARY DATA'!$D:$D,$C267,'SUMMARY DATA'!$B:$B,""RWS"")&lt;&gt;1
    ),
    """",
    IFERROR(TEXTJOIN(CHAR(10),TRUE,FILTER('SUMMARY DATA'!I:I,'SUMMARY DATA'!$D:$D=$C267,'SUMMARY DATA'!$B:$B=""RWS"")),"""")
  )
)"),"")</f>
      </c>
      <c r="K267" s="2"/>
      <c r="L267" s="2"/>
      <c r="M267" s="2"/>
      <c r="N267" s="2"/>
      <c r="O267" s="2"/>
      <c r="P267" s="2"/>
      <c r="Q267" s="2"/>
      <c r="R267" s="2"/>
      <c r="S267" s="2"/>
      <c r="T267" s="2"/>
      <c r="U267" s="2"/>
      <c r="V267" s="2"/>
      <c r="W267" s="2"/>
      <c r="X267" s="2"/>
      <c r="Y267" s="2"/>
      <c r="Z267" s="2"/>
      <c r="AA267" s="2"/>
      <c r="AB267" s="2"/>
    </row>
    <row r="268" spans="1:28" customHeight="true">
      <c r="A268" s="2"/>
      <c r="B268" s="15">
        <v>45931</v>
      </c>
      <c r="C268" s="2" t="s">
        <v>397</v>
      </c>
      <c r="D268" s="3">
        <v>58.97</v>
      </c>
      <c r="E268" s="16" t="str">
        <f>IFERROR(__xludf.DUMMYFUNCTION("IFERROR(
  TEXTJOIN(CHAR(10),TRUE,FILTER('SUMMARY DATA'!E:E,'SUMMARY DATA'!$A:$A=$A268,'SUMMARY DATA'!$C:$C=$B268,'SUMMARY DATA'!$B:$B=""RWS"")),
  IF(
    OR(
      ISNUMBER(SEARCH(""CDM CASH DEPOSIT"",$C268)),
      ISNUMBER(SEARCH(""CASH DEPOSIT"",$C26"&amp;"8)),
      COUNTIFS('SUMMARY DATA'!$D:$D,$C268,'SUMMARY DATA'!$B:$B,""RWS"")&lt;&gt;1
    ),
    """",
    IFERROR(TEXTJOIN(CHAR(10),TRUE,FILTER('SUMMARY DATA'!E:E,'SUMMARY DATA'!$D:$D=$C268,'SUMMARY DATA'!$B:$B=""RWS"")),"""")
  )
)"),"")</f>
      </c>
      <c r="F268" s="17" t="str">
        <f>IFERROR(__xludf.DUMMYFUNCTION("IFERROR(
  TEXTJOIN(CHAR(10),TRUE,FILTER('SUMMARY DATA'!F:F,'SUMMARY DATA'!$A:$A=$A268,'SUMMARY DATA'!$C:$C=$B268,'SUMMARY DATA'!$B:$B=""RWS"")),
  IF(
    OR(
      ISNUMBER(SEARCH(""CDM CASH DEPOSIT"",$C268)),
      ISNUMBER(SEARCH(""CASH DEPOSIT"",$C26"&amp;"8)),
      COUNTIFS('SUMMARY DATA'!$D:$D,$C268,'SUMMARY DATA'!$B:$B,""RWS"")&lt;&gt;1
    ),
    """",
    IFERROR(TEXTJOIN(CHAR(10),TRUE,FILTER('SUMMARY DATA'!F:F,'SUMMARY DATA'!$D:$D=$C268,'SUMMARY DATA'!$B:$B=""RWS"")),"""")
  )
)"),"")</f>
      </c>
      <c r="G268" s="17" t="str">
        <f>IFERROR(__xludf.DUMMYFUNCTION("IFERROR(
  TEXTJOIN(CHAR(10),TRUE,FILTER('SUMMARY DATA'!G:G,'SUMMARY DATA'!$A:$A=$A268,'SUMMARY DATA'!$C:$C=$B268,'SUMMARY DATA'!$B:$B=""RWS"")),
  IF(
    OR(
      ISNUMBER(SEARCH(""CDM CASH DEPOSIT"",$C268)),
      ISNUMBER(SEARCH(""CASH DEPOSIT"",$C26"&amp;"8)),
      COUNTIFS('SUMMARY DATA'!$D:$D,$C268,'SUMMARY DATA'!$B:$B,""RWS"")&lt;&gt;1
    ),
    """",
    IFERROR(TEXTJOIN(CHAR(10),TRUE,FILTER('SUMMARY DATA'!G:G,'SUMMARY DATA'!$D:$D=$C268,'SUMMARY DATA'!$B:$B=""RWS"")),"""")
  )
)"),"")</f>
      </c>
      <c r="H268" s="18" t="str">
        <f>IFERROR(__xludf.DUMMYFUNCTION("IFERROR(
  TEXTJOIN(CHAR(10),TRUE,FILTER('SUMMARY DATA'!H:H,'SUMMARY DATA'!$A:$A=$A268,'SUMMARY DATA'!$C:$C=$B268,'SUMMARY DATA'!$B:$B=""RWS"",'SUMMARY DATA'!$H:$H=$D268)),
  IF(
    OR(
      ISNUMBER(SEARCH(""CDM CASH DEPOSIT"",$C268)),
      ISNUMBER(S"&amp;"EARCH(""CASH DEPOSIT"",$C268))
    ),
    """",
    IFERROR(TEXTJOIN(CHAR(10),TRUE,FILTER('SUMMARY DATA'!H:H,'SUMMARY DATA'!$D:$D=$C268,'SUMMARY DATA'!$B:$B=""RWS"",'SUMMARY DATA'!$H:$H=$D268)),"""")
  )
)"),"")</f>
      </c>
      <c r="I268" s="18" t="str">
        <f>IFERROR(__xludf.DUMMYFUNCTION("IF(H268="""","""",
SUM(ARRAYFORMULA(VALUE(SPLIT(H268,CHAR(10)))))
)"),"")</f>
      </c>
      <c r="J268" s="17" t="str">
        <f>IFERROR(__xludf.DUMMYFUNCTION("IFERROR(
  TEXTJOIN(CHAR(10),TRUE,FILTER('SUMMARY DATA'!I:I,'SUMMARY DATA'!$A:$A=$A268,'SUMMARY DATA'!$C:$C=$B268,'SUMMARY DATA'!$B:$B=""RWS"")),
  IF(
    OR(
      ISNUMBER(SEARCH(""CDM CASH DEPOSIT"",$C268)),
      ISNUMBER(SEARCH(""CASH DEPOSIT"",$C26"&amp;"8)),
      COUNTIFS('SUMMARY DATA'!$D:$D,$C268,'SUMMARY DATA'!$B:$B,""RWS"")&lt;&gt;1
    ),
    """",
    IFERROR(TEXTJOIN(CHAR(10),TRUE,FILTER('SUMMARY DATA'!I:I,'SUMMARY DATA'!$D:$D=$C268,'SUMMARY DATA'!$B:$B=""RWS"")),"""")
  )
)"),"")</f>
      </c>
      <c r="K268" s="2"/>
      <c r="L268" s="2"/>
      <c r="M268" s="2"/>
      <c r="N268" s="2"/>
      <c r="O268" s="2"/>
      <c r="P268" s="2"/>
      <c r="Q268" s="2"/>
      <c r="R268" s="2"/>
      <c r="S268" s="2"/>
      <c r="T268" s="2"/>
      <c r="U268" s="2"/>
      <c r="V268" s="2"/>
      <c r="W268" s="2"/>
      <c r="X268" s="2"/>
      <c r="Y268" s="2"/>
      <c r="Z268" s="2"/>
      <c r="AA268" s="2"/>
      <c r="AB268" s="2"/>
    </row>
    <row r="269" spans="1:28" customHeight="true">
      <c r="A269" s="2"/>
      <c r="B269" s="15">
        <v>45931</v>
      </c>
      <c r="C269" s="2" t="s">
        <v>398</v>
      </c>
      <c r="D269" s="3">
        <v>9.94</v>
      </c>
      <c r="E269" s="16" t="str">
        <f>IFERROR(__xludf.DUMMYFUNCTION("IFERROR(
  TEXTJOIN(CHAR(10),TRUE,FILTER('SUMMARY DATA'!E:E,'SUMMARY DATA'!$A:$A=$A269,'SUMMARY DATA'!$C:$C=$B269,'SUMMARY DATA'!$B:$B=""RWS"")),
  IF(
    OR(
      ISNUMBER(SEARCH(""CDM CASH DEPOSIT"",$C269)),
      ISNUMBER(SEARCH(""CASH DEPOSIT"",$C26"&amp;"9)),
      COUNTIFS('SUMMARY DATA'!$D:$D,$C269,'SUMMARY DATA'!$B:$B,""RWS"")&lt;&gt;1
    ),
    """",
    IFERROR(TEXTJOIN(CHAR(10),TRUE,FILTER('SUMMARY DATA'!E:E,'SUMMARY DATA'!$D:$D=$C269,'SUMMARY DATA'!$B:$B=""RWS"")),"""")
  )
)"),"")</f>
      </c>
      <c r="F269" s="17" t="str">
        <f>IFERROR(__xludf.DUMMYFUNCTION("IFERROR(
  TEXTJOIN(CHAR(10),TRUE,FILTER('SUMMARY DATA'!F:F,'SUMMARY DATA'!$A:$A=$A269,'SUMMARY DATA'!$C:$C=$B269,'SUMMARY DATA'!$B:$B=""RWS"")),
  IF(
    OR(
      ISNUMBER(SEARCH(""CDM CASH DEPOSIT"",$C269)),
      ISNUMBER(SEARCH(""CASH DEPOSIT"",$C26"&amp;"9)),
      COUNTIFS('SUMMARY DATA'!$D:$D,$C269,'SUMMARY DATA'!$B:$B,""RWS"")&lt;&gt;1
    ),
    """",
    IFERROR(TEXTJOIN(CHAR(10),TRUE,FILTER('SUMMARY DATA'!F:F,'SUMMARY DATA'!$D:$D=$C269,'SUMMARY DATA'!$B:$B=""RWS"")),"""")
  )
)"),"")</f>
      </c>
      <c r="G269" s="17" t="str">
        <f>IFERROR(__xludf.DUMMYFUNCTION("IFERROR(
  TEXTJOIN(CHAR(10),TRUE,FILTER('SUMMARY DATA'!G:G,'SUMMARY DATA'!$A:$A=$A269,'SUMMARY DATA'!$C:$C=$B269,'SUMMARY DATA'!$B:$B=""RWS"")),
  IF(
    OR(
      ISNUMBER(SEARCH(""CDM CASH DEPOSIT"",$C269)),
      ISNUMBER(SEARCH(""CASH DEPOSIT"",$C26"&amp;"9)),
      COUNTIFS('SUMMARY DATA'!$D:$D,$C269,'SUMMARY DATA'!$B:$B,""RWS"")&lt;&gt;1
    ),
    """",
    IFERROR(TEXTJOIN(CHAR(10),TRUE,FILTER('SUMMARY DATA'!G:G,'SUMMARY DATA'!$D:$D=$C269,'SUMMARY DATA'!$B:$B=""RWS"")),"""")
  )
)"),"")</f>
      </c>
      <c r="H269" s="18" t="str">
        <f>IFERROR(__xludf.DUMMYFUNCTION("IFERROR(
  TEXTJOIN(CHAR(10),TRUE,FILTER('SUMMARY DATA'!H:H,'SUMMARY DATA'!$A:$A=$A269,'SUMMARY DATA'!$C:$C=$B269,'SUMMARY DATA'!$B:$B=""RWS"",'SUMMARY DATA'!$H:$H=$D269)),
  IF(
    OR(
      ISNUMBER(SEARCH(""CDM CASH DEPOSIT"",$C269)),
      ISNUMBER(S"&amp;"EARCH(""CASH DEPOSIT"",$C269))
    ),
    """",
    IFERROR(TEXTJOIN(CHAR(10),TRUE,FILTER('SUMMARY DATA'!H:H,'SUMMARY DATA'!$D:$D=$C269,'SUMMARY DATA'!$B:$B=""RWS"",'SUMMARY DATA'!$H:$H=$D269)),"""")
  )
)"),"")</f>
      </c>
      <c r="I269" s="18" t="str">
        <f>IFERROR(__xludf.DUMMYFUNCTION("IF(H269="""","""",
SUM(ARRAYFORMULA(VALUE(SPLIT(H269,CHAR(10)))))
)"),"")</f>
      </c>
      <c r="J269" s="17" t="str">
        <f>IFERROR(__xludf.DUMMYFUNCTION("IFERROR(
  TEXTJOIN(CHAR(10),TRUE,FILTER('SUMMARY DATA'!I:I,'SUMMARY DATA'!$A:$A=$A269,'SUMMARY DATA'!$C:$C=$B269,'SUMMARY DATA'!$B:$B=""RWS"")),
  IF(
    OR(
      ISNUMBER(SEARCH(""CDM CASH DEPOSIT"",$C269)),
      ISNUMBER(SEARCH(""CASH DEPOSIT"",$C26"&amp;"9)),
      COUNTIFS('SUMMARY DATA'!$D:$D,$C269,'SUMMARY DATA'!$B:$B,""RWS"")&lt;&gt;1
    ),
    """",
    IFERROR(TEXTJOIN(CHAR(10),TRUE,FILTER('SUMMARY DATA'!I:I,'SUMMARY DATA'!$D:$D=$C269,'SUMMARY DATA'!$B:$B=""RWS"")),"""")
  )
)"),"")</f>
      </c>
      <c r="K269" s="2"/>
      <c r="L269" s="2"/>
      <c r="M269" s="2"/>
      <c r="N269" s="2"/>
      <c r="O269" s="2"/>
      <c r="P269" s="2"/>
      <c r="Q269" s="2"/>
      <c r="R269" s="2"/>
      <c r="S269" s="2"/>
      <c r="T269" s="2"/>
      <c r="U269" s="2"/>
      <c r="V269" s="2"/>
      <c r="W269" s="2"/>
      <c r="X269" s="2"/>
      <c r="Y269" s="2"/>
      <c r="Z269" s="2"/>
      <c r="AA269" s="2"/>
      <c r="AB269" s="2"/>
    </row>
    <row r="270" spans="1:28" customHeight="true">
      <c r="A270" s="2" t="s">
        <v>399</v>
      </c>
      <c r="B270" s="15">
        <v>45931</v>
      </c>
      <c r="C270" s="2" t="s">
        <v>400</v>
      </c>
      <c r="D270" s="3">
        <v>41.98</v>
      </c>
      <c r="E270" s="16" t="str">
        <f>IFERROR(__xludf.DUMMYFUNCTION("IFERROR(
  TEXTJOIN(CHAR(10),TRUE,FILTER('SUMMARY DATA'!E:E,'SUMMARY DATA'!$A:$A=$A270,'SUMMARY DATA'!$C:$C=$B270,'SUMMARY DATA'!$B:$B=""RWS"")),
  IF(
    OR(
      ISNUMBER(SEARCH(""CDM CASH DEPOSIT"",$C270)),
      ISNUMBER(SEARCH(""CASH DEPOSIT"",$C27"&amp;"0)),
      COUNTIFS('SUMMARY DATA'!$D:$D,$C270,'SUMMARY DATA'!$B:$B,""RWS"")&lt;&gt;1
    ),
    """",
    IFERROR(TEXTJOIN(CHAR(10),TRUE,FILTER('SUMMARY DATA'!E:E,'SUMMARY DATA'!$D:$D=$C270,'SUMMARY DATA'!$B:$B=""RWS"")),"""")
  )
)"),"")</f>
      </c>
      <c r="F270" s="17" t="str">
        <f>IFERROR(__xludf.DUMMYFUNCTION("IFERROR(
  TEXTJOIN(CHAR(10),TRUE,FILTER('SUMMARY DATA'!F:F,'SUMMARY DATA'!$A:$A=$A270,'SUMMARY DATA'!$C:$C=$B270,'SUMMARY DATA'!$B:$B=""RWS"")),
  IF(
    OR(
      ISNUMBER(SEARCH(""CDM CASH DEPOSIT"",$C270)),
      ISNUMBER(SEARCH(""CASH DEPOSIT"",$C27"&amp;"0)),
      COUNTIFS('SUMMARY DATA'!$D:$D,$C270,'SUMMARY DATA'!$B:$B,""RWS"")&lt;&gt;1
    ),
    """",
    IFERROR(TEXTJOIN(CHAR(10),TRUE,FILTER('SUMMARY DATA'!F:F,'SUMMARY DATA'!$D:$D=$C270,'SUMMARY DATA'!$B:$B=""RWS"")),"""")
  )
)"),"")</f>
      </c>
      <c r="G270" s="17" t="str">
        <f>IFERROR(__xludf.DUMMYFUNCTION("IFERROR(
  TEXTJOIN(CHAR(10),TRUE,FILTER('SUMMARY DATA'!G:G,'SUMMARY DATA'!$A:$A=$A270,'SUMMARY DATA'!$C:$C=$B270,'SUMMARY DATA'!$B:$B=""RWS"")),
  IF(
    OR(
      ISNUMBER(SEARCH(""CDM CASH DEPOSIT"",$C270)),
      ISNUMBER(SEARCH(""CASH DEPOSIT"",$C27"&amp;"0)),
      COUNTIFS('SUMMARY DATA'!$D:$D,$C270,'SUMMARY DATA'!$B:$B,""RWS"")&lt;&gt;1
    ),
    """",
    IFERROR(TEXTJOIN(CHAR(10),TRUE,FILTER('SUMMARY DATA'!G:G,'SUMMARY DATA'!$D:$D=$C270,'SUMMARY DATA'!$B:$B=""RWS"")),"""")
  )
)"),"")</f>
      </c>
      <c r="H270" s="18" t="str">
        <f>IFERROR(__xludf.DUMMYFUNCTION("IFERROR(
  TEXTJOIN(CHAR(10),TRUE,FILTER('SUMMARY DATA'!H:H,'SUMMARY DATA'!$A:$A=$A270,'SUMMARY DATA'!$C:$C=$B270,'SUMMARY DATA'!$B:$B=""RWS"",'SUMMARY DATA'!$H:$H=$D270)),
  IF(
    OR(
      ISNUMBER(SEARCH(""CDM CASH DEPOSIT"",$C270)),
      ISNUMBER(S"&amp;"EARCH(""CASH DEPOSIT"",$C270))
    ),
    """",
    IFERROR(TEXTJOIN(CHAR(10),TRUE,FILTER('SUMMARY DATA'!H:H,'SUMMARY DATA'!$D:$D=$C270,'SUMMARY DATA'!$B:$B=""RWS"",'SUMMARY DATA'!$H:$H=$D270)),"""")
  )
)"),"")</f>
      </c>
      <c r="I270" s="18" t="str">
        <f>IFERROR(__xludf.DUMMYFUNCTION("IF(H270="""","""",
SUM(ARRAYFORMULA(VALUE(SPLIT(H270,CHAR(10)))))
)"),"")</f>
      </c>
      <c r="J270" s="17" t="str">
        <f>IFERROR(__xludf.DUMMYFUNCTION("IFERROR(
  TEXTJOIN(CHAR(10),TRUE,FILTER('SUMMARY DATA'!I:I,'SUMMARY DATA'!$A:$A=$A270,'SUMMARY DATA'!$C:$C=$B270,'SUMMARY DATA'!$B:$B=""RWS"")),
  IF(
    OR(
      ISNUMBER(SEARCH(""CDM CASH DEPOSIT"",$C270)),
      ISNUMBER(SEARCH(""CASH DEPOSIT"",$C27"&amp;"0)),
      COUNTIFS('SUMMARY DATA'!$D:$D,$C270,'SUMMARY DATA'!$B:$B,""RWS"")&lt;&gt;1
    ),
    """",
    IFERROR(TEXTJOIN(CHAR(10),TRUE,FILTER('SUMMARY DATA'!I:I,'SUMMARY DATA'!$D:$D=$C270,'SUMMARY DATA'!$B:$B=""RWS"")),"""")
  )
)"),"")</f>
      </c>
      <c r="K270" s="2"/>
      <c r="L270" s="2"/>
      <c r="M270" s="2"/>
      <c r="N270" s="2"/>
      <c r="O270" s="2"/>
      <c r="P270" s="2"/>
      <c r="Q270" s="2"/>
      <c r="R270" s="2"/>
      <c r="S270" s="2"/>
      <c r="T270" s="2"/>
      <c r="U270" s="2"/>
      <c r="V270" s="2"/>
      <c r="W270" s="2"/>
      <c r="X270" s="2"/>
      <c r="Y270" s="2"/>
      <c r="Z270" s="2"/>
      <c r="AA270" s="2"/>
      <c r="AB270" s="2"/>
    </row>
    <row r="271" spans="1:28" customHeight="true">
      <c r="A271" s="2" t="s">
        <v>401</v>
      </c>
      <c r="B271" s="15">
        <v>45991</v>
      </c>
      <c r="C271" s="2" t="s">
        <v>402</v>
      </c>
      <c r="D271" s="3">
        <v>65.88</v>
      </c>
      <c r="E271" s="16" t="str">
        <f>IFERROR(__xludf.DUMMYFUNCTION("IFERROR(
  TEXTJOIN(CHAR(10),TRUE,FILTER('SUMMARY DATA'!E:E,'SUMMARY DATA'!$A:$A=$A271,'SUMMARY DATA'!$C:$C=$B271,'SUMMARY DATA'!$B:$B=""RWS"")),
  IF(
    OR(
      ISNUMBER(SEARCH(""CDM CASH DEPOSIT"",$C271)),
      ISNUMBER(SEARCH(""CASH DEPOSIT"",$C27"&amp;"1)),
      COUNTIFS('SUMMARY DATA'!$D:$D,$C271,'SUMMARY DATA'!$B:$B,""RWS"")&lt;&gt;1
    ),
    """",
    IFERROR(TEXTJOIN(CHAR(10),TRUE,FILTER('SUMMARY DATA'!E:E,'SUMMARY DATA'!$D:$D=$C271,'SUMMARY DATA'!$B:$B=""RWS"")),"""")
  )
)"),"")</f>
      </c>
      <c r="F271" s="17" t="str">
        <f>IFERROR(__xludf.DUMMYFUNCTION("IFERROR(
  TEXTJOIN(CHAR(10),TRUE,FILTER('SUMMARY DATA'!F:F,'SUMMARY DATA'!$A:$A=$A271,'SUMMARY DATA'!$C:$C=$B271,'SUMMARY DATA'!$B:$B=""RWS"")),
  IF(
    OR(
      ISNUMBER(SEARCH(""CDM CASH DEPOSIT"",$C271)),
      ISNUMBER(SEARCH(""CASH DEPOSIT"",$C27"&amp;"1)),
      COUNTIFS('SUMMARY DATA'!$D:$D,$C271,'SUMMARY DATA'!$B:$B,""RWS"")&lt;&gt;1
    ),
    """",
    IFERROR(TEXTJOIN(CHAR(10),TRUE,FILTER('SUMMARY DATA'!F:F,'SUMMARY DATA'!$D:$D=$C271,'SUMMARY DATA'!$B:$B=""RWS"")),"""")
  )
)"),"")</f>
      </c>
      <c r="G271" s="17" t="str">
        <f>IFERROR(__xludf.DUMMYFUNCTION("IFERROR(
  TEXTJOIN(CHAR(10),TRUE,FILTER('SUMMARY DATA'!G:G,'SUMMARY DATA'!$A:$A=$A271,'SUMMARY DATA'!$C:$C=$B271,'SUMMARY DATA'!$B:$B=""RWS"")),
  IF(
    OR(
      ISNUMBER(SEARCH(""CDM CASH DEPOSIT"",$C271)),
      ISNUMBER(SEARCH(""CASH DEPOSIT"",$C27"&amp;"1)),
      COUNTIFS('SUMMARY DATA'!$D:$D,$C271,'SUMMARY DATA'!$B:$B,""RWS"")&lt;&gt;1
    ),
    """",
    IFERROR(TEXTJOIN(CHAR(10),TRUE,FILTER('SUMMARY DATA'!G:G,'SUMMARY DATA'!$D:$D=$C271,'SUMMARY DATA'!$B:$B=""RWS"")),"""")
  )
)"),"")</f>
      </c>
      <c r="H271" s="18" t="str">
        <f>IFERROR(__xludf.DUMMYFUNCTION("IFERROR(
  TEXTJOIN(CHAR(10),TRUE,FILTER('SUMMARY DATA'!H:H,'SUMMARY DATA'!$A:$A=$A271,'SUMMARY DATA'!$C:$C=$B271,'SUMMARY DATA'!$B:$B=""RWS"",'SUMMARY DATA'!$H:$H=$D271)),
  IF(
    OR(
      ISNUMBER(SEARCH(""CDM CASH DEPOSIT"",$C271)),
      ISNUMBER(S"&amp;"EARCH(""CASH DEPOSIT"",$C271))
    ),
    """",
    IFERROR(TEXTJOIN(CHAR(10),TRUE,FILTER('SUMMARY DATA'!H:H,'SUMMARY DATA'!$D:$D=$C271,'SUMMARY DATA'!$B:$B=""RWS"",'SUMMARY DATA'!$H:$H=$D271)),"""")
  )
)"),"")</f>
      </c>
      <c r="I271" s="18" t="str">
        <f>IFERROR(__xludf.DUMMYFUNCTION("IF(H271="""","""",
SUM(ARRAYFORMULA(VALUE(SPLIT(H271,CHAR(10)))))
)"),"")</f>
      </c>
      <c r="J271" s="17" t="str">
        <f>IFERROR(__xludf.DUMMYFUNCTION("IFERROR(
  TEXTJOIN(CHAR(10),TRUE,FILTER('SUMMARY DATA'!I:I,'SUMMARY DATA'!$A:$A=$A271,'SUMMARY DATA'!$C:$C=$B271,'SUMMARY DATA'!$B:$B=""RWS"")),
  IF(
    OR(
      ISNUMBER(SEARCH(""CDM CASH DEPOSIT"",$C271)),
      ISNUMBER(SEARCH(""CASH DEPOSIT"",$C27"&amp;"1)),
      COUNTIFS('SUMMARY DATA'!$D:$D,$C271,'SUMMARY DATA'!$B:$B,""RWS"")&lt;&gt;1
    ),
    """",
    IFERROR(TEXTJOIN(CHAR(10),TRUE,FILTER('SUMMARY DATA'!I:I,'SUMMARY DATA'!$D:$D=$C271,'SUMMARY DATA'!$B:$B=""RWS"")),"""")
  )
)"),"")</f>
      </c>
      <c r="K271" s="2"/>
      <c r="L271" s="2"/>
      <c r="M271" s="2"/>
      <c r="N271" s="2"/>
      <c r="O271" s="2"/>
      <c r="P271" s="2"/>
      <c r="Q271" s="2"/>
      <c r="R271" s="2"/>
      <c r="S271" s="2"/>
      <c r="T271" s="2"/>
      <c r="U271" s="2"/>
      <c r="V271" s="2"/>
      <c r="W271" s="2"/>
      <c r="X271" s="2"/>
      <c r="Y271" s="2"/>
      <c r="Z271" s="2"/>
      <c r="AA271" s="2"/>
      <c r="AB271" s="2"/>
    </row>
    <row r="272" spans="1:28" customHeight="true">
      <c r="A272" s="2" t="s">
        <v>403</v>
      </c>
      <c r="B272" s="15">
        <v>45991</v>
      </c>
      <c r="C272" s="2" t="s">
        <v>404</v>
      </c>
      <c r="D272" s="3">
        <v>45.97</v>
      </c>
      <c r="E272" s="16" t="s">
        <v>2444</v>
      </c>
      <c r="F272" s="17" t="s">
        <v>2445</v>
      </c>
      <c r="G272" s="17" t="s">
        <v>2393</v>
      </c>
      <c r="H272" s="18">
        <v>45.97</v>
      </c>
      <c r="I272" s="18">
        <v>45.97</v>
      </c>
      <c r="J272" s="17" t="s">
        <v>2394</v>
      </c>
      <c r="K272" s="2" t="s">
        <v>2395</v>
      </c>
      <c r="L272" s="2"/>
      <c r="M272" s="2"/>
      <c r="N272" s="2"/>
      <c r="O272" s="2"/>
      <c r="P272" s="2"/>
      <c r="Q272" s="2"/>
      <c r="R272" s="2"/>
      <c r="S272" s="2"/>
      <c r="T272" s="2"/>
      <c r="U272" s="2"/>
      <c r="V272" s="2"/>
      <c r="W272" s="2"/>
      <c r="X272" s="2"/>
      <c r="Y272" s="2"/>
      <c r="Z272" s="2"/>
      <c r="AA272" s="2"/>
      <c r="AB272" s="2"/>
    </row>
    <row r="273" spans="1:28" customHeight="true">
      <c r="A273" s="2" t="s">
        <v>405</v>
      </c>
      <c r="B273" s="15">
        <v>45991</v>
      </c>
      <c r="C273" s="2" t="s">
        <v>406</v>
      </c>
      <c r="D273" s="3">
        <v>2.99</v>
      </c>
      <c r="E273" s="16" t="str">
        <f>IFERROR(__xludf.DUMMYFUNCTION("IFERROR(
  TEXTJOIN(CHAR(10),TRUE,FILTER('SUMMARY DATA'!E:E,'SUMMARY DATA'!$A:$A=$A273,'SUMMARY DATA'!$C:$C=$B273,'SUMMARY DATA'!$B:$B=""RWS"")),
  IF(
    OR(
      ISNUMBER(SEARCH(""CDM CASH DEPOSIT"",$C273)),
      ISNUMBER(SEARCH(""CASH DEPOSIT"",$C27"&amp;"3)),
      COUNTIFS('SUMMARY DATA'!$D:$D,$C273,'SUMMARY DATA'!$B:$B,""RWS"")&lt;&gt;1
    ),
    """",
    IFERROR(TEXTJOIN(CHAR(10),TRUE,FILTER('SUMMARY DATA'!E:E,'SUMMARY DATA'!$D:$D=$C273,'SUMMARY DATA'!$B:$B=""RWS"")),"""")
  )
)"),"")</f>
      </c>
      <c r="F273" s="17" t="str">
        <f>IFERROR(__xludf.DUMMYFUNCTION("IFERROR(
  TEXTJOIN(CHAR(10),TRUE,FILTER('SUMMARY DATA'!F:F,'SUMMARY DATA'!$A:$A=$A273,'SUMMARY DATA'!$C:$C=$B273,'SUMMARY DATA'!$B:$B=""RWS"")),
  IF(
    OR(
      ISNUMBER(SEARCH(""CDM CASH DEPOSIT"",$C273)),
      ISNUMBER(SEARCH(""CASH DEPOSIT"",$C27"&amp;"3)),
      COUNTIFS('SUMMARY DATA'!$D:$D,$C273,'SUMMARY DATA'!$B:$B,""RWS"")&lt;&gt;1
    ),
    """",
    IFERROR(TEXTJOIN(CHAR(10),TRUE,FILTER('SUMMARY DATA'!F:F,'SUMMARY DATA'!$D:$D=$C273,'SUMMARY DATA'!$B:$B=""RWS"")),"""")
  )
)"),"")</f>
      </c>
      <c r="G273" s="17" t="str">
        <f>IFERROR(__xludf.DUMMYFUNCTION("IFERROR(
  TEXTJOIN(CHAR(10),TRUE,FILTER('SUMMARY DATA'!G:G,'SUMMARY DATA'!$A:$A=$A273,'SUMMARY DATA'!$C:$C=$B273,'SUMMARY DATA'!$B:$B=""RWS"")),
  IF(
    OR(
      ISNUMBER(SEARCH(""CDM CASH DEPOSIT"",$C273)),
      ISNUMBER(SEARCH(""CASH DEPOSIT"",$C27"&amp;"3)),
      COUNTIFS('SUMMARY DATA'!$D:$D,$C273,'SUMMARY DATA'!$B:$B,""RWS"")&lt;&gt;1
    ),
    """",
    IFERROR(TEXTJOIN(CHAR(10),TRUE,FILTER('SUMMARY DATA'!G:G,'SUMMARY DATA'!$D:$D=$C273,'SUMMARY DATA'!$B:$B=""RWS"")),"""")
  )
)"),"")</f>
      </c>
      <c r="H273" s="18" t="str">
        <f>IFERROR(__xludf.DUMMYFUNCTION("IFERROR(
  TEXTJOIN(CHAR(10),TRUE,FILTER('SUMMARY DATA'!H:H,'SUMMARY DATA'!$A:$A=$A273,'SUMMARY DATA'!$C:$C=$B273,'SUMMARY DATA'!$B:$B=""RWS"",'SUMMARY DATA'!$H:$H=$D273)),
  IF(
    OR(
      ISNUMBER(SEARCH(""CDM CASH DEPOSIT"",$C273)),
      ISNUMBER(S"&amp;"EARCH(""CASH DEPOSIT"",$C273))
    ),
    """",
    IFERROR(TEXTJOIN(CHAR(10),TRUE,FILTER('SUMMARY DATA'!H:H,'SUMMARY DATA'!$D:$D=$C273,'SUMMARY DATA'!$B:$B=""RWS"",'SUMMARY DATA'!$H:$H=$D273)),"""")
  )
)"),"")</f>
      </c>
      <c r="I273" s="18" t="str">
        <f>IFERROR(__xludf.DUMMYFUNCTION("IF(H273="""","""",
SUM(ARRAYFORMULA(VALUE(SPLIT(H273,CHAR(10)))))
)"),"")</f>
      </c>
      <c r="J273" s="17" t="str">
        <f>IFERROR(__xludf.DUMMYFUNCTION("IFERROR(
  TEXTJOIN(CHAR(10),TRUE,FILTER('SUMMARY DATA'!I:I,'SUMMARY DATA'!$A:$A=$A273,'SUMMARY DATA'!$C:$C=$B273,'SUMMARY DATA'!$B:$B=""RWS"")),
  IF(
    OR(
      ISNUMBER(SEARCH(""CDM CASH DEPOSIT"",$C273)),
      ISNUMBER(SEARCH(""CASH DEPOSIT"",$C27"&amp;"3)),
      COUNTIFS('SUMMARY DATA'!$D:$D,$C273,'SUMMARY DATA'!$B:$B,""RWS"")&lt;&gt;1
    ),
    """",
    IFERROR(TEXTJOIN(CHAR(10),TRUE,FILTER('SUMMARY DATA'!I:I,'SUMMARY DATA'!$D:$D=$C273,'SUMMARY DATA'!$B:$B=""RWS"")),"""")
  )
)"),"")</f>
      </c>
      <c r="K273" s="2"/>
      <c r="L273" s="2"/>
      <c r="M273" s="2"/>
      <c r="N273" s="2"/>
      <c r="O273" s="2"/>
      <c r="P273" s="2"/>
      <c r="Q273" s="2"/>
      <c r="R273" s="2"/>
      <c r="S273" s="2"/>
      <c r="T273" s="2"/>
      <c r="U273" s="2"/>
      <c r="V273" s="2"/>
      <c r="W273" s="2"/>
      <c r="X273" s="2"/>
      <c r="Y273" s="2"/>
      <c r="Z273" s="2"/>
      <c r="AA273" s="2"/>
      <c r="AB273" s="2"/>
    </row>
    <row r="274" spans="1:28" customHeight="true">
      <c r="A274" s="2" t="s">
        <v>407</v>
      </c>
      <c r="B274" s="15">
        <v>45990</v>
      </c>
      <c r="C274" s="2" t="s">
        <v>408</v>
      </c>
      <c r="D274" s="3">
        <v>99</v>
      </c>
      <c r="E274" s="16" t="str">
        <f>IFERROR(__xludf.DUMMYFUNCTION("IFERROR(
  TEXTJOIN(CHAR(10),TRUE,FILTER('SUMMARY DATA'!E:E,'SUMMARY DATA'!$A:$A=$A274,'SUMMARY DATA'!$C:$C=$B274,'SUMMARY DATA'!$B:$B=""RWS"")),
  IF(
    OR(
      ISNUMBER(SEARCH(""CDM CASH DEPOSIT"",$C274)),
      ISNUMBER(SEARCH(""CASH DEPOSIT"",$C27"&amp;"4)),
      COUNTIFS('SUMMARY DATA'!$D:$D,$C274,'SUMMARY DATA'!$B:$B,""RWS"")&lt;&gt;1
    ),
    """",
    IFERROR(TEXTJOIN(CHAR(10),TRUE,FILTER('SUMMARY DATA'!E:E,'SUMMARY DATA'!$D:$D=$C274,'SUMMARY DATA'!$B:$B=""RWS"")),"""")
  )
)"),"")</f>
      </c>
      <c r="F274" s="17" t="str">
        <f>IFERROR(__xludf.DUMMYFUNCTION("IFERROR(
  TEXTJOIN(CHAR(10),TRUE,FILTER('SUMMARY DATA'!F:F,'SUMMARY DATA'!$A:$A=$A274,'SUMMARY DATA'!$C:$C=$B274,'SUMMARY DATA'!$B:$B=""RWS"")),
  IF(
    OR(
      ISNUMBER(SEARCH(""CDM CASH DEPOSIT"",$C274)),
      ISNUMBER(SEARCH(""CASH DEPOSIT"",$C27"&amp;"4)),
      COUNTIFS('SUMMARY DATA'!$D:$D,$C274,'SUMMARY DATA'!$B:$B,""RWS"")&lt;&gt;1
    ),
    """",
    IFERROR(TEXTJOIN(CHAR(10),TRUE,FILTER('SUMMARY DATA'!F:F,'SUMMARY DATA'!$D:$D=$C274,'SUMMARY DATA'!$B:$B=""RWS"")),"""")
  )
)"),"")</f>
      </c>
      <c r="G274" s="17" t="str">
        <f>IFERROR(__xludf.DUMMYFUNCTION("IFERROR(
  TEXTJOIN(CHAR(10),TRUE,FILTER('SUMMARY DATA'!G:G,'SUMMARY DATA'!$A:$A=$A274,'SUMMARY DATA'!$C:$C=$B274,'SUMMARY DATA'!$B:$B=""RWS"")),
  IF(
    OR(
      ISNUMBER(SEARCH(""CDM CASH DEPOSIT"",$C274)),
      ISNUMBER(SEARCH(""CASH DEPOSIT"",$C27"&amp;"4)),
      COUNTIFS('SUMMARY DATA'!$D:$D,$C274,'SUMMARY DATA'!$B:$B,""RWS"")&lt;&gt;1
    ),
    """",
    IFERROR(TEXTJOIN(CHAR(10),TRUE,FILTER('SUMMARY DATA'!G:G,'SUMMARY DATA'!$D:$D=$C274,'SUMMARY DATA'!$B:$B=""RWS"")),"""")
  )
)"),"")</f>
      </c>
      <c r="H274" s="18" t="str">
        <f>IFERROR(__xludf.DUMMYFUNCTION("IFERROR(
  TEXTJOIN(CHAR(10),TRUE,FILTER('SUMMARY DATA'!H:H,'SUMMARY DATA'!$A:$A=$A274,'SUMMARY DATA'!$C:$C=$B274,'SUMMARY DATA'!$B:$B=""RWS"",'SUMMARY DATA'!$H:$H=$D274)),
  IF(
    OR(
      ISNUMBER(SEARCH(""CDM CASH DEPOSIT"",$C274)),
      ISNUMBER(S"&amp;"EARCH(""CASH DEPOSIT"",$C274))
    ),
    """",
    IFERROR(TEXTJOIN(CHAR(10),TRUE,FILTER('SUMMARY DATA'!H:H,'SUMMARY DATA'!$D:$D=$C274,'SUMMARY DATA'!$B:$B=""RWS"",'SUMMARY DATA'!$H:$H=$D274)),"""")
  )
)"),"")</f>
      </c>
      <c r="I274" s="18" t="str">
        <f>IFERROR(__xludf.DUMMYFUNCTION("IF(H274="""","""",
SUM(ARRAYFORMULA(VALUE(SPLIT(H274,CHAR(10)))))
)"),"")</f>
      </c>
      <c r="J274" s="17" t="str">
        <f>IFERROR(__xludf.DUMMYFUNCTION("IFERROR(
  TEXTJOIN(CHAR(10),TRUE,FILTER('SUMMARY DATA'!I:I,'SUMMARY DATA'!$A:$A=$A274,'SUMMARY DATA'!$C:$C=$B274,'SUMMARY DATA'!$B:$B=""RWS"")),
  IF(
    OR(
      ISNUMBER(SEARCH(""CDM CASH DEPOSIT"",$C274)),
      ISNUMBER(SEARCH(""CASH DEPOSIT"",$C27"&amp;"4)),
      COUNTIFS('SUMMARY DATA'!$D:$D,$C274,'SUMMARY DATA'!$B:$B,""RWS"")&lt;&gt;1
    ),
    """",
    IFERROR(TEXTJOIN(CHAR(10),TRUE,FILTER('SUMMARY DATA'!I:I,'SUMMARY DATA'!$D:$D=$C274,'SUMMARY DATA'!$B:$B=""RWS"")),"""")
  )
)"),"")</f>
      </c>
      <c r="K274" s="2"/>
      <c r="L274" s="2"/>
      <c r="M274" s="2"/>
      <c r="N274" s="2"/>
      <c r="O274" s="2"/>
      <c r="P274" s="2"/>
      <c r="Q274" s="2"/>
      <c r="R274" s="2"/>
      <c r="S274" s="2"/>
      <c r="T274" s="2"/>
      <c r="U274" s="2"/>
      <c r="V274" s="2"/>
      <c r="W274" s="2"/>
      <c r="X274" s="2"/>
      <c r="Y274" s="2"/>
      <c r="Z274" s="2"/>
      <c r="AA274" s="2"/>
      <c r="AB274" s="2"/>
    </row>
    <row r="275" spans="1:28" customHeight="true">
      <c r="A275" s="2" t="s">
        <v>409</v>
      </c>
      <c r="B275" s="15">
        <v>45990</v>
      </c>
      <c r="C275" s="2" t="s">
        <v>410</v>
      </c>
      <c r="D275" s="3">
        <v>12</v>
      </c>
      <c r="E275" s="16" t="str">
        <f>IFERROR(__xludf.DUMMYFUNCTION("IFERROR(
  TEXTJOIN(CHAR(10),TRUE,FILTER('SUMMARY DATA'!E:E,'SUMMARY DATA'!$A:$A=$A275,'SUMMARY DATA'!$C:$C=$B275,'SUMMARY DATA'!$B:$B=""RWS"")),
  IF(
    OR(
      ISNUMBER(SEARCH(""CDM CASH DEPOSIT"",$C275)),
      ISNUMBER(SEARCH(""CASH DEPOSIT"",$C27"&amp;"5)),
      COUNTIFS('SUMMARY DATA'!$D:$D,$C275,'SUMMARY DATA'!$B:$B,""RWS"")&lt;&gt;1
    ),
    """",
    IFERROR(TEXTJOIN(CHAR(10),TRUE,FILTER('SUMMARY DATA'!E:E,'SUMMARY DATA'!$D:$D=$C275,'SUMMARY DATA'!$B:$B=""RWS"")),"""")
  )
)"),"")</f>
      </c>
      <c r="F275" s="17" t="str">
        <f>IFERROR(__xludf.DUMMYFUNCTION("IFERROR(
  TEXTJOIN(CHAR(10),TRUE,FILTER('SUMMARY DATA'!F:F,'SUMMARY DATA'!$A:$A=$A275,'SUMMARY DATA'!$C:$C=$B275,'SUMMARY DATA'!$B:$B=""RWS"")),
  IF(
    OR(
      ISNUMBER(SEARCH(""CDM CASH DEPOSIT"",$C275)),
      ISNUMBER(SEARCH(""CASH DEPOSIT"",$C27"&amp;"5)),
      COUNTIFS('SUMMARY DATA'!$D:$D,$C275,'SUMMARY DATA'!$B:$B,""RWS"")&lt;&gt;1
    ),
    """",
    IFERROR(TEXTJOIN(CHAR(10),TRUE,FILTER('SUMMARY DATA'!F:F,'SUMMARY DATA'!$D:$D=$C275,'SUMMARY DATA'!$B:$B=""RWS"")),"""")
  )
)"),"")</f>
      </c>
      <c r="G275" s="17" t="str">
        <f>IFERROR(__xludf.DUMMYFUNCTION("IFERROR(
  TEXTJOIN(CHAR(10),TRUE,FILTER('SUMMARY DATA'!G:G,'SUMMARY DATA'!$A:$A=$A275,'SUMMARY DATA'!$C:$C=$B275,'SUMMARY DATA'!$B:$B=""RWS"")),
  IF(
    OR(
      ISNUMBER(SEARCH(""CDM CASH DEPOSIT"",$C275)),
      ISNUMBER(SEARCH(""CASH DEPOSIT"",$C27"&amp;"5)),
      COUNTIFS('SUMMARY DATA'!$D:$D,$C275,'SUMMARY DATA'!$B:$B,""RWS"")&lt;&gt;1
    ),
    """",
    IFERROR(TEXTJOIN(CHAR(10),TRUE,FILTER('SUMMARY DATA'!G:G,'SUMMARY DATA'!$D:$D=$C275,'SUMMARY DATA'!$B:$B=""RWS"")),"""")
  )
)"),"")</f>
      </c>
      <c r="H275" s="18" t="str">
        <f>IFERROR(__xludf.DUMMYFUNCTION("IFERROR(
  TEXTJOIN(CHAR(10),TRUE,FILTER('SUMMARY DATA'!H:H,'SUMMARY DATA'!$A:$A=$A275,'SUMMARY DATA'!$C:$C=$B275,'SUMMARY DATA'!$B:$B=""RWS"",'SUMMARY DATA'!$H:$H=$D275)),
  IF(
    OR(
      ISNUMBER(SEARCH(""CDM CASH DEPOSIT"",$C275)),
      ISNUMBER(S"&amp;"EARCH(""CASH DEPOSIT"",$C275))
    ),
    """",
    IFERROR(TEXTJOIN(CHAR(10),TRUE,FILTER('SUMMARY DATA'!H:H,'SUMMARY DATA'!$D:$D=$C275,'SUMMARY DATA'!$B:$B=""RWS"",'SUMMARY DATA'!$H:$H=$D275)),"""")
  )
)"),"")</f>
      </c>
      <c r="I275" s="18" t="str">
        <f>IFERROR(__xludf.DUMMYFUNCTION("IF(H275="""","""",
SUM(ARRAYFORMULA(VALUE(SPLIT(H275,CHAR(10)))))
)"),"")</f>
      </c>
      <c r="J275" s="17" t="str">
        <f>IFERROR(__xludf.DUMMYFUNCTION("IFERROR(
  TEXTJOIN(CHAR(10),TRUE,FILTER('SUMMARY DATA'!I:I,'SUMMARY DATA'!$A:$A=$A275,'SUMMARY DATA'!$C:$C=$B275,'SUMMARY DATA'!$B:$B=""RWS"")),
  IF(
    OR(
      ISNUMBER(SEARCH(""CDM CASH DEPOSIT"",$C275)),
      ISNUMBER(SEARCH(""CASH DEPOSIT"",$C27"&amp;"5)),
      COUNTIFS('SUMMARY DATA'!$D:$D,$C275,'SUMMARY DATA'!$B:$B,""RWS"")&lt;&gt;1
    ),
    """",
    IFERROR(TEXTJOIN(CHAR(10),TRUE,FILTER('SUMMARY DATA'!I:I,'SUMMARY DATA'!$D:$D=$C275,'SUMMARY DATA'!$B:$B=""RWS"")),"""")
  )
)"),"")</f>
      </c>
      <c r="K275" s="2"/>
      <c r="L275" s="2"/>
      <c r="M275" s="2"/>
      <c r="N275" s="2"/>
      <c r="O275" s="2"/>
      <c r="P275" s="2"/>
      <c r="Q275" s="2"/>
      <c r="R275" s="2"/>
      <c r="S275" s="2"/>
      <c r="T275" s="2"/>
      <c r="U275" s="2"/>
      <c r="V275" s="2"/>
      <c r="W275" s="2"/>
      <c r="X275" s="2"/>
      <c r="Y275" s="2"/>
      <c r="Z275" s="2"/>
      <c r="AA275" s="2"/>
      <c r="AB275" s="2"/>
    </row>
    <row r="276" spans="1:28" customHeight="true">
      <c r="A276" s="2" t="s">
        <v>411</v>
      </c>
      <c r="B276" s="15">
        <v>45990</v>
      </c>
      <c r="C276" s="2" t="s">
        <v>412</v>
      </c>
      <c r="D276" s="3">
        <v>122.64</v>
      </c>
      <c r="E276" s="16" t="s">
        <v>2446</v>
      </c>
      <c r="F276" s="17" t="s">
        <v>2447</v>
      </c>
      <c r="G276" s="17" t="s">
        <v>2393</v>
      </c>
      <c r="H276" s="18">
        <v>122.64</v>
      </c>
      <c r="I276" s="18">
        <v>122.64</v>
      </c>
      <c r="J276" s="17" t="s">
        <v>2394</v>
      </c>
      <c r="K276" s="2" t="s">
        <v>2395</v>
      </c>
      <c r="L276" s="2"/>
      <c r="M276" s="2"/>
      <c r="N276" s="2"/>
      <c r="O276" s="2"/>
      <c r="P276" s="2"/>
      <c r="Q276" s="2"/>
      <c r="R276" s="2"/>
      <c r="S276" s="2"/>
      <c r="T276" s="2"/>
      <c r="U276" s="2"/>
      <c r="V276" s="2"/>
      <c r="W276" s="2"/>
      <c r="X276" s="2"/>
      <c r="Y276" s="2"/>
      <c r="Z276" s="2"/>
      <c r="AA276" s="2"/>
      <c r="AB276" s="2"/>
    </row>
    <row r="277" spans="1:28" customHeight="true">
      <c r="A277" s="2" t="s">
        <v>413</v>
      </c>
      <c r="B277" s="15">
        <v>45990</v>
      </c>
      <c r="C277" s="2" t="s">
        <v>414</v>
      </c>
      <c r="D277" s="3">
        <v>294</v>
      </c>
      <c r="E277" s="16" t="str">
        <f>IFERROR(__xludf.DUMMYFUNCTION("IFERROR(
  TEXTJOIN(CHAR(10),TRUE,FILTER('SUMMARY DATA'!E:E,'SUMMARY DATA'!$A:$A=$A277,'SUMMARY DATA'!$C:$C=$B277,'SUMMARY DATA'!$B:$B=""RWS"")),
  IF(
    OR(
      ISNUMBER(SEARCH(""CDM CASH DEPOSIT"",$C277)),
      ISNUMBER(SEARCH(""CASH DEPOSIT"",$C27"&amp;"7)),
      COUNTIFS('SUMMARY DATA'!$D:$D,$C277,'SUMMARY DATA'!$B:$B,""RWS"")&lt;&gt;1
    ),
    """",
    IFERROR(TEXTJOIN(CHAR(10),TRUE,FILTER('SUMMARY DATA'!E:E,'SUMMARY DATA'!$D:$D=$C277,'SUMMARY DATA'!$B:$B=""RWS"")),"""")
  )
)"),"")</f>
      </c>
      <c r="F277" s="17" t="str">
        <f>IFERROR(__xludf.DUMMYFUNCTION("IFERROR(
  TEXTJOIN(CHAR(10),TRUE,FILTER('SUMMARY DATA'!F:F,'SUMMARY DATA'!$A:$A=$A277,'SUMMARY DATA'!$C:$C=$B277,'SUMMARY DATA'!$B:$B=""RWS"")),
  IF(
    OR(
      ISNUMBER(SEARCH(""CDM CASH DEPOSIT"",$C277)),
      ISNUMBER(SEARCH(""CASH DEPOSIT"",$C27"&amp;"7)),
      COUNTIFS('SUMMARY DATA'!$D:$D,$C277,'SUMMARY DATA'!$B:$B,""RWS"")&lt;&gt;1
    ),
    """",
    IFERROR(TEXTJOIN(CHAR(10),TRUE,FILTER('SUMMARY DATA'!F:F,'SUMMARY DATA'!$D:$D=$C277,'SUMMARY DATA'!$B:$B=""RWS"")),"""")
  )
)"),"")</f>
      </c>
      <c r="G277" s="17" t="str">
        <f>IFERROR(__xludf.DUMMYFUNCTION("IFERROR(
  TEXTJOIN(CHAR(10),TRUE,FILTER('SUMMARY DATA'!G:G,'SUMMARY DATA'!$A:$A=$A277,'SUMMARY DATA'!$C:$C=$B277,'SUMMARY DATA'!$B:$B=""RWS"")),
  IF(
    OR(
      ISNUMBER(SEARCH(""CDM CASH DEPOSIT"",$C277)),
      ISNUMBER(SEARCH(""CASH DEPOSIT"",$C27"&amp;"7)),
      COUNTIFS('SUMMARY DATA'!$D:$D,$C277,'SUMMARY DATA'!$B:$B,""RWS"")&lt;&gt;1
    ),
    """",
    IFERROR(TEXTJOIN(CHAR(10),TRUE,FILTER('SUMMARY DATA'!G:G,'SUMMARY DATA'!$D:$D=$C277,'SUMMARY DATA'!$B:$B=""RWS"")),"""")
  )
)"),"")</f>
      </c>
      <c r="H277" s="18" t="str">
        <f>IFERROR(__xludf.DUMMYFUNCTION("IFERROR(
  TEXTJOIN(CHAR(10),TRUE,FILTER('SUMMARY DATA'!H:H,'SUMMARY DATA'!$A:$A=$A277,'SUMMARY DATA'!$C:$C=$B277,'SUMMARY DATA'!$B:$B=""RWS"",'SUMMARY DATA'!$H:$H=$D277)),
  IF(
    OR(
      ISNUMBER(SEARCH(""CDM CASH DEPOSIT"",$C277)),
      ISNUMBER(S"&amp;"EARCH(""CASH DEPOSIT"",$C277))
    ),
    """",
    IFERROR(TEXTJOIN(CHAR(10),TRUE,FILTER('SUMMARY DATA'!H:H,'SUMMARY DATA'!$D:$D=$C277,'SUMMARY DATA'!$B:$B=""RWS"",'SUMMARY DATA'!$H:$H=$D277)),"""")
  )
)"),"")</f>
      </c>
      <c r="I277" s="18" t="str">
        <f>IFERROR(__xludf.DUMMYFUNCTION("IF(H277="""","""",
SUM(ARRAYFORMULA(VALUE(SPLIT(H277,CHAR(10)))))
)"),"")</f>
      </c>
      <c r="J277" s="17" t="str">
        <f>IFERROR(__xludf.DUMMYFUNCTION("IFERROR(
  TEXTJOIN(CHAR(10),TRUE,FILTER('SUMMARY DATA'!I:I,'SUMMARY DATA'!$A:$A=$A277,'SUMMARY DATA'!$C:$C=$B277,'SUMMARY DATA'!$B:$B=""RWS"")),
  IF(
    OR(
      ISNUMBER(SEARCH(""CDM CASH DEPOSIT"",$C277)),
      ISNUMBER(SEARCH(""CASH DEPOSIT"",$C27"&amp;"7)),
      COUNTIFS('SUMMARY DATA'!$D:$D,$C277,'SUMMARY DATA'!$B:$B,""RWS"")&lt;&gt;1
    ),
    """",
    IFERROR(TEXTJOIN(CHAR(10),TRUE,FILTER('SUMMARY DATA'!I:I,'SUMMARY DATA'!$D:$D=$C277,'SUMMARY DATA'!$B:$B=""RWS"")),"""")
  )
)"),"")</f>
      </c>
      <c r="K277" s="2"/>
      <c r="L277" s="2"/>
      <c r="M277" s="2"/>
      <c r="N277" s="2"/>
      <c r="O277" s="2"/>
      <c r="P277" s="2"/>
      <c r="Q277" s="2"/>
      <c r="R277" s="2"/>
      <c r="S277" s="2"/>
      <c r="T277" s="2"/>
      <c r="U277" s="2"/>
      <c r="V277" s="2"/>
      <c r="W277" s="2"/>
      <c r="X277" s="2"/>
      <c r="Y277" s="2"/>
      <c r="Z277" s="2"/>
      <c r="AA277" s="2"/>
      <c r="AB277" s="2"/>
    </row>
    <row r="278" spans="1:28" customHeight="true">
      <c r="A278" s="2" t="s">
        <v>415</v>
      </c>
      <c r="B278" s="15">
        <v>45990</v>
      </c>
      <c r="C278" s="2" t="s">
        <v>416</v>
      </c>
      <c r="D278" s="3">
        <v>47.32</v>
      </c>
      <c r="E278" s="16" t="str">
        <f>IFERROR(__xludf.DUMMYFUNCTION("IFERROR(
  TEXTJOIN(CHAR(10),TRUE,FILTER('SUMMARY DATA'!E:E,'SUMMARY DATA'!$A:$A=$A278,'SUMMARY DATA'!$C:$C=$B278,'SUMMARY DATA'!$B:$B=""RWS"")),
  IF(
    OR(
      ISNUMBER(SEARCH(""CDM CASH DEPOSIT"",$C278)),
      ISNUMBER(SEARCH(""CASH DEPOSIT"",$C27"&amp;"8)),
      COUNTIFS('SUMMARY DATA'!$D:$D,$C278,'SUMMARY DATA'!$B:$B,""RWS"")&lt;&gt;1
    ),
    """",
    IFERROR(TEXTJOIN(CHAR(10),TRUE,FILTER('SUMMARY DATA'!E:E,'SUMMARY DATA'!$D:$D=$C278,'SUMMARY DATA'!$B:$B=""RWS"")),"""")
  )
)"),"")</f>
      </c>
      <c r="F278" s="17" t="str">
        <f>IFERROR(__xludf.DUMMYFUNCTION("IFERROR(
  TEXTJOIN(CHAR(10),TRUE,FILTER('SUMMARY DATA'!F:F,'SUMMARY DATA'!$A:$A=$A278,'SUMMARY DATA'!$C:$C=$B278,'SUMMARY DATA'!$B:$B=""RWS"")),
  IF(
    OR(
      ISNUMBER(SEARCH(""CDM CASH DEPOSIT"",$C278)),
      ISNUMBER(SEARCH(""CASH DEPOSIT"",$C27"&amp;"8)),
      COUNTIFS('SUMMARY DATA'!$D:$D,$C278,'SUMMARY DATA'!$B:$B,""RWS"")&lt;&gt;1
    ),
    """",
    IFERROR(TEXTJOIN(CHAR(10),TRUE,FILTER('SUMMARY DATA'!F:F,'SUMMARY DATA'!$D:$D=$C278,'SUMMARY DATA'!$B:$B=""RWS"")),"""")
  )
)"),"")</f>
      </c>
      <c r="G278" s="17" t="str">
        <f>IFERROR(__xludf.DUMMYFUNCTION("IFERROR(
  TEXTJOIN(CHAR(10),TRUE,FILTER('SUMMARY DATA'!G:G,'SUMMARY DATA'!$A:$A=$A278,'SUMMARY DATA'!$C:$C=$B278,'SUMMARY DATA'!$B:$B=""RWS"")),
  IF(
    OR(
      ISNUMBER(SEARCH(""CDM CASH DEPOSIT"",$C278)),
      ISNUMBER(SEARCH(""CASH DEPOSIT"",$C27"&amp;"8)),
      COUNTIFS('SUMMARY DATA'!$D:$D,$C278,'SUMMARY DATA'!$B:$B,""RWS"")&lt;&gt;1
    ),
    """",
    IFERROR(TEXTJOIN(CHAR(10),TRUE,FILTER('SUMMARY DATA'!G:G,'SUMMARY DATA'!$D:$D=$C278,'SUMMARY DATA'!$B:$B=""RWS"")),"""")
  )
)"),"")</f>
      </c>
      <c r="H278" s="18" t="str">
        <f>IFERROR(__xludf.DUMMYFUNCTION("IFERROR(
  TEXTJOIN(CHAR(10),TRUE,FILTER('SUMMARY DATA'!H:H,'SUMMARY DATA'!$A:$A=$A278,'SUMMARY DATA'!$C:$C=$B278,'SUMMARY DATA'!$B:$B=""RWS"",'SUMMARY DATA'!$H:$H=$D278)),
  IF(
    OR(
      ISNUMBER(SEARCH(""CDM CASH DEPOSIT"",$C278)),
      ISNUMBER(S"&amp;"EARCH(""CASH DEPOSIT"",$C278))
    ),
    """",
    IFERROR(TEXTJOIN(CHAR(10),TRUE,FILTER('SUMMARY DATA'!H:H,'SUMMARY DATA'!$D:$D=$C278,'SUMMARY DATA'!$B:$B=""RWS"",'SUMMARY DATA'!$H:$H=$D278)),"""")
  )
)"),"")</f>
      </c>
      <c r="I278" s="18" t="str">
        <f>IFERROR(__xludf.DUMMYFUNCTION("IF(H278="""","""",
SUM(ARRAYFORMULA(VALUE(SPLIT(H278,CHAR(10)))))
)"),"")</f>
      </c>
      <c r="J278" s="17" t="str">
        <f>IFERROR(__xludf.DUMMYFUNCTION("IFERROR(
  TEXTJOIN(CHAR(10),TRUE,FILTER('SUMMARY DATA'!I:I,'SUMMARY DATA'!$A:$A=$A278,'SUMMARY DATA'!$C:$C=$B278,'SUMMARY DATA'!$B:$B=""RWS"")),
  IF(
    OR(
      ISNUMBER(SEARCH(""CDM CASH DEPOSIT"",$C278)),
      ISNUMBER(SEARCH(""CASH DEPOSIT"",$C27"&amp;"8)),
      COUNTIFS('SUMMARY DATA'!$D:$D,$C278,'SUMMARY DATA'!$B:$B,""RWS"")&lt;&gt;1
    ),
    """",
    IFERROR(TEXTJOIN(CHAR(10),TRUE,FILTER('SUMMARY DATA'!I:I,'SUMMARY DATA'!$D:$D=$C278,'SUMMARY DATA'!$B:$B=""RWS"")),"""")
  )
)"),"")</f>
      </c>
      <c r="K278" s="2"/>
      <c r="L278" s="2"/>
      <c r="M278" s="2"/>
      <c r="N278" s="2"/>
      <c r="O278" s="2"/>
      <c r="P278" s="2"/>
      <c r="Q278" s="2"/>
      <c r="R278" s="2"/>
      <c r="S278" s="2"/>
      <c r="T278" s="2"/>
      <c r="U278" s="2"/>
      <c r="V278" s="2"/>
      <c r="W278" s="2"/>
      <c r="X278" s="2"/>
      <c r="Y278" s="2"/>
      <c r="Z278" s="2"/>
      <c r="AA278" s="2"/>
      <c r="AB278" s="2"/>
    </row>
    <row r="279" spans="1:28" customHeight="true">
      <c r="A279" s="2" t="s">
        <v>417</v>
      </c>
      <c r="B279" s="15">
        <v>45990</v>
      </c>
      <c r="C279" s="2" t="s">
        <v>418</v>
      </c>
      <c r="D279" s="3">
        <v>3.6</v>
      </c>
      <c r="E279" s="16" t="str">
        <f>IFERROR(__xludf.DUMMYFUNCTION("IFERROR(
  TEXTJOIN(CHAR(10),TRUE,FILTER('SUMMARY DATA'!E:E,'SUMMARY DATA'!$A:$A=$A279,'SUMMARY DATA'!$C:$C=$B279,'SUMMARY DATA'!$B:$B=""RWS"")),
  IF(
    OR(
      ISNUMBER(SEARCH(""CDM CASH DEPOSIT"",$C279)),
      ISNUMBER(SEARCH(""CASH DEPOSIT"",$C27"&amp;"9)),
      COUNTIFS('SUMMARY DATA'!$D:$D,$C279,'SUMMARY DATA'!$B:$B,""RWS"")&lt;&gt;1
    ),
    """",
    IFERROR(TEXTJOIN(CHAR(10),TRUE,FILTER('SUMMARY DATA'!E:E,'SUMMARY DATA'!$D:$D=$C279,'SUMMARY DATA'!$B:$B=""RWS"")),"""")
  )
)"),"")</f>
      </c>
      <c r="F279" s="17" t="str">
        <f>IFERROR(__xludf.DUMMYFUNCTION("IFERROR(
  TEXTJOIN(CHAR(10),TRUE,FILTER('SUMMARY DATA'!F:F,'SUMMARY DATA'!$A:$A=$A279,'SUMMARY DATA'!$C:$C=$B279,'SUMMARY DATA'!$B:$B=""RWS"")),
  IF(
    OR(
      ISNUMBER(SEARCH(""CDM CASH DEPOSIT"",$C279)),
      ISNUMBER(SEARCH(""CASH DEPOSIT"",$C27"&amp;"9)),
      COUNTIFS('SUMMARY DATA'!$D:$D,$C279,'SUMMARY DATA'!$B:$B,""RWS"")&lt;&gt;1
    ),
    """",
    IFERROR(TEXTJOIN(CHAR(10),TRUE,FILTER('SUMMARY DATA'!F:F,'SUMMARY DATA'!$D:$D=$C279,'SUMMARY DATA'!$B:$B=""RWS"")),"""")
  )
)"),"")</f>
      </c>
      <c r="G279" s="17" t="str">
        <f>IFERROR(__xludf.DUMMYFUNCTION("IFERROR(
  TEXTJOIN(CHAR(10),TRUE,FILTER('SUMMARY DATA'!G:G,'SUMMARY DATA'!$A:$A=$A279,'SUMMARY DATA'!$C:$C=$B279,'SUMMARY DATA'!$B:$B=""RWS"")),
  IF(
    OR(
      ISNUMBER(SEARCH(""CDM CASH DEPOSIT"",$C279)),
      ISNUMBER(SEARCH(""CASH DEPOSIT"",$C27"&amp;"9)),
      COUNTIFS('SUMMARY DATA'!$D:$D,$C279,'SUMMARY DATA'!$B:$B,""RWS"")&lt;&gt;1
    ),
    """",
    IFERROR(TEXTJOIN(CHAR(10),TRUE,FILTER('SUMMARY DATA'!G:G,'SUMMARY DATA'!$D:$D=$C279,'SUMMARY DATA'!$B:$B=""RWS"")),"""")
  )
)"),"")</f>
      </c>
      <c r="H279" s="18" t="str">
        <f>IFERROR(__xludf.DUMMYFUNCTION("IFERROR(
  TEXTJOIN(CHAR(10),TRUE,FILTER('SUMMARY DATA'!H:H,'SUMMARY DATA'!$A:$A=$A279,'SUMMARY DATA'!$C:$C=$B279,'SUMMARY DATA'!$B:$B=""RWS"",'SUMMARY DATA'!$H:$H=$D279)),
  IF(
    OR(
      ISNUMBER(SEARCH(""CDM CASH DEPOSIT"",$C279)),
      ISNUMBER(S"&amp;"EARCH(""CASH DEPOSIT"",$C279))
    ),
    """",
    IFERROR(TEXTJOIN(CHAR(10),TRUE,FILTER('SUMMARY DATA'!H:H,'SUMMARY DATA'!$D:$D=$C279,'SUMMARY DATA'!$B:$B=""RWS"",'SUMMARY DATA'!$H:$H=$D279)),"""")
  )
)"),"")</f>
      </c>
      <c r="I279" s="18" t="str">
        <f>IFERROR(__xludf.DUMMYFUNCTION("IF(H279="""","""",
SUM(ARRAYFORMULA(VALUE(SPLIT(H279,CHAR(10)))))
)"),"")</f>
      </c>
      <c r="J279" s="17" t="str">
        <f>IFERROR(__xludf.DUMMYFUNCTION("IFERROR(
  TEXTJOIN(CHAR(10),TRUE,FILTER('SUMMARY DATA'!I:I,'SUMMARY DATA'!$A:$A=$A279,'SUMMARY DATA'!$C:$C=$B279,'SUMMARY DATA'!$B:$B=""RWS"")),
  IF(
    OR(
      ISNUMBER(SEARCH(""CDM CASH DEPOSIT"",$C279)),
      ISNUMBER(SEARCH(""CASH DEPOSIT"",$C27"&amp;"9)),
      COUNTIFS('SUMMARY DATA'!$D:$D,$C279,'SUMMARY DATA'!$B:$B,""RWS"")&lt;&gt;1
    ),
    """",
    IFERROR(TEXTJOIN(CHAR(10),TRUE,FILTER('SUMMARY DATA'!I:I,'SUMMARY DATA'!$D:$D=$C279,'SUMMARY DATA'!$B:$B=""RWS"")),"""")
  )
)"),"")</f>
      </c>
      <c r="K279" s="2"/>
      <c r="L279" s="2"/>
      <c r="M279" s="2"/>
      <c r="N279" s="2"/>
      <c r="O279" s="2"/>
      <c r="P279" s="2"/>
      <c r="Q279" s="2"/>
      <c r="R279" s="2"/>
      <c r="S279" s="2"/>
      <c r="T279" s="2"/>
      <c r="U279" s="2"/>
      <c r="V279" s="2"/>
      <c r="W279" s="2"/>
      <c r="X279" s="2"/>
      <c r="Y279" s="2"/>
      <c r="Z279" s="2"/>
      <c r="AA279" s="2"/>
      <c r="AB279" s="2"/>
    </row>
    <row r="280" spans="1:28" customHeight="true">
      <c r="A280" s="2" t="s">
        <v>419</v>
      </c>
      <c r="B280" s="15">
        <v>45990</v>
      </c>
      <c r="C280" s="2" t="s">
        <v>420</v>
      </c>
      <c r="D280" s="3">
        <v>118.63</v>
      </c>
      <c r="E280" s="16" t="s">
        <v>2448</v>
      </c>
      <c r="F280" s="17" t="s">
        <v>2449</v>
      </c>
      <c r="G280" s="17" t="s">
        <v>2393</v>
      </c>
      <c r="H280" s="18">
        <v>118.63</v>
      </c>
      <c r="I280" s="18">
        <v>118.63</v>
      </c>
      <c r="J280" s="17" t="s">
        <v>2394</v>
      </c>
      <c r="K280" s="2" t="s">
        <v>2395</v>
      </c>
      <c r="L280" s="2"/>
      <c r="M280" s="2"/>
      <c r="N280" s="2"/>
      <c r="O280" s="2"/>
      <c r="P280" s="2"/>
      <c r="Q280" s="2"/>
      <c r="R280" s="2"/>
      <c r="S280" s="2"/>
      <c r="T280" s="2"/>
      <c r="U280" s="2"/>
      <c r="V280" s="2"/>
      <c r="W280" s="2"/>
      <c r="X280" s="2"/>
      <c r="Y280" s="2"/>
      <c r="Z280" s="2"/>
      <c r="AA280" s="2"/>
      <c r="AB280" s="2"/>
    </row>
    <row r="281" spans="1:28" customHeight="true">
      <c r="A281" s="2" t="s">
        <v>421</v>
      </c>
      <c r="B281" s="15">
        <v>45990</v>
      </c>
      <c r="C281" s="2" t="s">
        <v>422</v>
      </c>
      <c r="D281" s="3">
        <v>94.58</v>
      </c>
      <c r="E281" s="16" t="s">
        <v>2402</v>
      </c>
      <c r="F281" s="17" t="s">
        <v>2450</v>
      </c>
      <c r="G281" s="17" t="s">
        <v>2393</v>
      </c>
      <c r="H281" s="18">
        <v>94.58</v>
      </c>
      <c r="I281" s="18">
        <v>94.58</v>
      </c>
      <c r="J281" s="17" t="s">
        <v>2394</v>
      </c>
      <c r="K281" s="2" t="s">
        <v>2395</v>
      </c>
      <c r="L281" s="2"/>
      <c r="M281" s="2"/>
      <c r="N281" s="2"/>
      <c r="O281" s="2"/>
      <c r="P281" s="2"/>
      <c r="Q281" s="2"/>
      <c r="R281" s="2"/>
      <c r="S281" s="2"/>
      <c r="T281" s="2"/>
      <c r="U281" s="2"/>
      <c r="V281" s="2"/>
      <c r="W281" s="2"/>
      <c r="X281" s="2"/>
      <c r="Y281" s="2"/>
      <c r="Z281" s="2"/>
      <c r="AA281" s="2"/>
      <c r="AB281" s="2"/>
    </row>
    <row r="282" spans="1:28" customHeight="true">
      <c r="A282" s="2" t="s">
        <v>423</v>
      </c>
      <c r="B282" s="15">
        <v>45990</v>
      </c>
      <c r="C282" s="2" t="s">
        <v>424</v>
      </c>
      <c r="D282" s="3">
        <v>29.99</v>
      </c>
      <c r="E282" s="16" t="str">
        <f>IFERROR(__xludf.DUMMYFUNCTION("IFERROR(
  TEXTJOIN(CHAR(10),TRUE,FILTER('SUMMARY DATA'!E:E,'SUMMARY DATA'!$A:$A=$A282,'SUMMARY DATA'!$C:$C=$B282,'SUMMARY DATA'!$B:$B=""RWS"")),
  IF(
    OR(
      ISNUMBER(SEARCH(""CDM CASH DEPOSIT"",$C282)),
      ISNUMBER(SEARCH(""CASH DEPOSIT"",$C28"&amp;"2)),
      COUNTIFS('SUMMARY DATA'!$D:$D,$C282,'SUMMARY DATA'!$B:$B,""RWS"")&lt;&gt;1
    ),
    """",
    IFERROR(TEXTJOIN(CHAR(10),TRUE,FILTER('SUMMARY DATA'!E:E,'SUMMARY DATA'!$D:$D=$C282,'SUMMARY DATA'!$B:$B=""RWS"")),"""")
  )
)"),"")</f>
      </c>
      <c r="F282" s="17" t="str">
        <f>IFERROR(__xludf.DUMMYFUNCTION("IFERROR(
  TEXTJOIN(CHAR(10),TRUE,FILTER('SUMMARY DATA'!F:F,'SUMMARY DATA'!$A:$A=$A282,'SUMMARY DATA'!$C:$C=$B282,'SUMMARY DATA'!$B:$B=""RWS"")),
  IF(
    OR(
      ISNUMBER(SEARCH(""CDM CASH DEPOSIT"",$C282)),
      ISNUMBER(SEARCH(""CASH DEPOSIT"",$C28"&amp;"2)),
      COUNTIFS('SUMMARY DATA'!$D:$D,$C282,'SUMMARY DATA'!$B:$B,""RWS"")&lt;&gt;1
    ),
    """",
    IFERROR(TEXTJOIN(CHAR(10),TRUE,FILTER('SUMMARY DATA'!F:F,'SUMMARY DATA'!$D:$D=$C282,'SUMMARY DATA'!$B:$B=""RWS"")),"""")
  )
)"),"")</f>
      </c>
      <c r="G282" s="17" t="str">
        <f>IFERROR(__xludf.DUMMYFUNCTION("IFERROR(
  TEXTJOIN(CHAR(10),TRUE,FILTER('SUMMARY DATA'!G:G,'SUMMARY DATA'!$A:$A=$A282,'SUMMARY DATA'!$C:$C=$B282,'SUMMARY DATA'!$B:$B=""RWS"")),
  IF(
    OR(
      ISNUMBER(SEARCH(""CDM CASH DEPOSIT"",$C282)),
      ISNUMBER(SEARCH(""CASH DEPOSIT"",$C28"&amp;"2)),
      COUNTIFS('SUMMARY DATA'!$D:$D,$C282,'SUMMARY DATA'!$B:$B,""RWS"")&lt;&gt;1
    ),
    """",
    IFERROR(TEXTJOIN(CHAR(10),TRUE,FILTER('SUMMARY DATA'!G:G,'SUMMARY DATA'!$D:$D=$C282,'SUMMARY DATA'!$B:$B=""RWS"")),"""")
  )
)"),"")</f>
      </c>
      <c r="H282" s="18" t="str">
        <f>IFERROR(__xludf.DUMMYFUNCTION("IFERROR(
  TEXTJOIN(CHAR(10),TRUE,FILTER('SUMMARY DATA'!H:H,'SUMMARY DATA'!$A:$A=$A282,'SUMMARY DATA'!$C:$C=$B282,'SUMMARY DATA'!$B:$B=""RWS"",'SUMMARY DATA'!$H:$H=$D282)),
  IF(
    OR(
      ISNUMBER(SEARCH(""CDM CASH DEPOSIT"",$C282)),
      ISNUMBER(S"&amp;"EARCH(""CASH DEPOSIT"",$C282))
    ),
    """",
    IFERROR(TEXTJOIN(CHAR(10),TRUE,FILTER('SUMMARY DATA'!H:H,'SUMMARY DATA'!$D:$D=$C282,'SUMMARY DATA'!$B:$B=""RWS"",'SUMMARY DATA'!$H:$H=$D282)),"""")
  )
)"),"")</f>
      </c>
      <c r="I282" s="18" t="str">
        <f>IFERROR(__xludf.DUMMYFUNCTION("IF(H282="""","""",
SUM(ARRAYFORMULA(VALUE(SPLIT(H282,CHAR(10)))))
)"),"")</f>
      </c>
      <c r="J282" s="17" t="str">
        <f>IFERROR(__xludf.DUMMYFUNCTION("IFERROR(
  TEXTJOIN(CHAR(10),TRUE,FILTER('SUMMARY DATA'!I:I,'SUMMARY DATA'!$A:$A=$A282,'SUMMARY DATA'!$C:$C=$B282,'SUMMARY DATA'!$B:$B=""RWS"")),
  IF(
    OR(
      ISNUMBER(SEARCH(""CDM CASH DEPOSIT"",$C282)),
      ISNUMBER(SEARCH(""CASH DEPOSIT"",$C28"&amp;"2)),
      COUNTIFS('SUMMARY DATA'!$D:$D,$C282,'SUMMARY DATA'!$B:$B,""RWS"")&lt;&gt;1
    ),
    """",
    IFERROR(TEXTJOIN(CHAR(10),TRUE,FILTER('SUMMARY DATA'!I:I,'SUMMARY DATA'!$D:$D=$C282,'SUMMARY DATA'!$B:$B=""RWS"")),"""")
  )
)"),"")</f>
      </c>
      <c r="K282" s="2"/>
      <c r="L282" s="2"/>
      <c r="M282" s="2"/>
      <c r="N282" s="2"/>
      <c r="O282" s="2"/>
      <c r="P282" s="2"/>
      <c r="Q282" s="2"/>
      <c r="R282" s="2"/>
      <c r="S282" s="2"/>
      <c r="T282" s="2"/>
      <c r="U282" s="2"/>
      <c r="V282" s="2"/>
      <c r="W282" s="2"/>
      <c r="X282" s="2"/>
      <c r="Y282" s="2"/>
      <c r="Z282" s="2"/>
      <c r="AA282" s="2"/>
      <c r="AB282" s="2"/>
    </row>
    <row r="283" spans="1:28" customHeight="true">
      <c r="A283" s="2" t="s">
        <v>425</v>
      </c>
      <c r="B283" s="15">
        <v>45989</v>
      </c>
      <c r="C283" s="2" t="s">
        <v>426</v>
      </c>
      <c r="D283" s="3">
        <v>309</v>
      </c>
      <c r="E283" s="16" t="str">
        <f>IFERROR(__xludf.DUMMYFUNCTION("IFERROR(
  TEXTJOIN(CHAR(10),TRUE,FILTER('SUMMARY DATA'!E:E,'SUMMARY DATA'!$A:$A=$A283,'SUMMARY DATA'!$C:$C=$B283,'SUMMARY DATA'!$B:$B=""RWS"")),
  IF(
    OR(
      ISNUMBER(SEARCH(""CDM CASH DEPOSIT"",$C283)),
      ISNUMBER(SEARCH(""CASH DEPOSIT"",$C28"&amp;"3)),
      COUNTIFS('SUMMARY DATA'!$D:$D,$C283,'SUMMARY DATA'!$B:$B,""RWS"")&lt;&gt;1
    ),
    """",
    IFERROR(TEXTJOIN(CHAR(10),TRUE,FILTER('SUMMARY DATA'!E:E,'SUMMARY DATA'!$D:$D=$C283,'SUMMARY DATA'!$B:$B=""RWS"")),"""")
  )
)"),"")</f>
      </c>
      <c r="F283" s="17" t="str">
        <f>IFERROR(__xludf.DUMMYFUNCTION("IFERROR(
  TEXTJOIN(CHAR(10),TRUE,FILTER('SUMMARY DATA'!F:F,'SUMMARY DATA'!$A:$A=$A283,'SUMMARY DATA'!$C:$C=$B283,'SUMMARY DATA'!$B:$B=""RWS"")),
  IF(
    OR(
      ISNUMBER(SEARCH(""CDM CASH DEPOSIT"",$C283)),
      ISNUMBER(SEARCH(""CASH DEPOSIT"",$C28"&amp;"3)),
      COUNTIFS('SUMMARY DATA'!$D:$D,$C283,'SUMMARY DATA'!$B:$B,""RWS"")&lt;&gt;1
    ),
    """",
    IFERROR(TEXTJOIN(CHAR(10),TRUE,FILTER('SUMMARY DATA'!F:F,'SUMMARY DATA'!$D:$D=$C283,'SUMMARY DATA'!$B:$B=""RWS"")),"""")
  )
)"),"")</f>
      </c>
      <c r="G283" s="17" t="str">
        <f>IFERROR(__xludf.DUMMYFUNCTION("IFERROR(
  TEXTJOIN(CHAR(10),TRUE,FILTER('SUMMARY DATA'!G:G,'SUMMARY DATA'!$A:$A=$A283,'SUMMARY DATA'!$C:$C=$B283,'SUMMARY DATA'!$B:$B=""RWS"")),
  IF(
    OR(
      ISNUMBER(SEARCH(""CDM CASH DEPOSIT"",$C283)),
      ISNUMBER(SEARCH(""CASH DEPOSIT"",$C28"&amp;"3)),
      COUNTIFS('SUMMARY DATA'!$D:$D,$C283,'SUMMARY DATA'!$B:$B,""RWS"")&lt;&gt;1
    ),
    """",
    IFERROR(TEXTJOIN(CHAR(10),TRUE,FILTER('SUMMARY DATA'!G:G,'SUMMARY DATA'!$D:$D=$C283,'SUMMARY DATA'!$B:$B=""RWS"")),"""")
  )
)"),"")</f>
      </c>
      <c r="H283" s="18" t="str">
        <f>IFERROR(__xludf.DUMMYFUNCTION("IFERROR(
  TEXTJOIN(CHAR(10),TRUE,FILTER('SUMMARY DATA'!H:H,'SUMMARY DATA'!$A:$A=$A283,'SUMMARY DATA'!$C:$C=$B283,'SUMMARY DATA'!$B:$B=""RWS"",'SUMMARY DATA'!$H:$H=$D283)),
  IF(
    OR(
      ISNUMBER(SEARCH(""CDM CASH DEPOSIT"",$C283)),
      ISNUMBER(S"&amp;"EARCH(""CASH DEPOSIT"",$C283))
    ),
    """",
    IFERROR(TEXTJOIN(CHAR(10),TRUE,FILTER('SUMMARY DATA'!H:H,'SUMMARY DATA'!$D:$D=$C283,'SUMMARY DATA'!$B:$B=""RWS"",'SUMMARY DATA'!$H:$H=$D283)),"""")
  )
)"),"")</f>
      </c>
      <c r="I283" s="18" t="str">
        <f>IFERROR(__xludf.DUMMYFUNCTION("IF(H283="""","""",
SUM(ARRAYFORMULA(VALUE(SPLIT(H283,CHAR(10)))))
)"),"")</f>
      </c>
      <c r="J283" s="17" t="str">
        <f>IFERROR(__xludf.DUMMYFUNCTION("IFERROR(
  TEXTJOIN(CHAR(10),TRUE,FILTER('SUMMARY DATA'!I:I,'SUMMARY DATA'!$A:$A=$A283,'SUMMARY DATA'!$C:$C=$B283,'SUMMARY DATA'!$B:$B=""RWS"")),
  IF(
    OR(
      ISNUMBER(SEARCH(""CDM CASH DEPOSIT"",$C283)),
      ISNUMBER(SEARCH(""CASH DEPOSIT"",$C28"&amp;"3)),
      COUNTIFS('SUMMARY DATA'!$D:$D,$C283,'SUMMARY DATA'!$B:$B,""RWS"")&lt;&gt;1
    ),
    """",
    IFERROR(TEXTJOIN(CHAR(10),TRUE,FILTER('SUMMARY DATA'!I:I,'SUMMARY DATA'!$D:$D=$C283,'SUMMARY DATA'!$B:$B=""RWS"")),"""")
  )
)"),"")</f>
      </c>
      <c r="K283" s="2"/>
      <c r="L283" s="2"/>
      <c r="M283" s="2"/>
      <c r="N283" s="2"/>
      <c r="O283" s="2"/>
      <c r="P283" s="2"/>
      <c r="Q283" s="2"/>
      <c r="R283" s="2"/>
      <c r="S283" s="2"/>
      <c r="T283" s="2"/>
      <c r="U283" s="2"/>
      <c r="V283" s="2"/>
      <c r="W283" s="2"/>
      <c r="X283" s="2"/>
      <c r="Y283" s="2"/>
      <c r="Z283" s="2"/>
      <c r="AA283" s="2"/>
      <c r="AB283" s="2"/>
    </row>
    <row r="284" spans="1:28" customHeight="true">
      <c r="A284" s="2" t="s">
        <v>427</v>
      </c>
      <c r="B284" s="15">
        <v>45989</v>
      </c>
      <c r="C284" s="2" t="s">
        <v>428</v>
      </c>
      <c r="D284" s="3">
        <v>269</v>
      </c>
      <c r="E284" s="16" t="str">
        <f>IFERROR(__xludf.DUMMYFUNCTION("IFERROR(
  TEXTJOIN(CHAR(10),TRUE,FILTER('SUMMARY DATA'!E:E,'SUMMARY DATA'!$A:$A=$A284,'SUMMARY DATA'!$C:$C=$B284,'SUMMARY DATA'!$B:$B=""RWS"")),
  IF(
    OR(
      ISNUMBER(SEARCH(""CDM CASH DEPOSIT"",$C284)),
      ISNUMBER(SEARCH(""CASH DEPOSIT"",$C28"&amp;"4)),
      COUNTIFS('SUMMARY DATA'!$D:$D,$C284,'SUMMARY DATA'!$B:$B,""RWS"")&lt;&gt;1
    ),
    """",
    IFERROR(TEXTJOIN(CHAR(10),TRUE,FILTER('SUMMARY DATA'!E:E,'SUMMARY DATA'!$D:$D=$C284,'SUMMARY DATA'!$B:$B=""RWS"")),"""")
  )
)"),"")</f>
      </c>
      <c r="F284" s="17" t="str">
        <f>IFERROR(__xludf.DUMMYFUNCTION("IFERROR(
  TEXTJOIN(CHAR(10),TRUE,FILTER('SUMMARY DATA'!F:F,'SUMMARY DATA'!$A:$A=$A284,'SUMMARY DATA'!$C:$C=$B284,'SUMMARY DATA'!$B:$B=""RWS"")),
  IF(
    OR(
      ISNUMBER(SEARCH(""CDM CASH DEPOSIT"",$C284)),
      ISNUMBER(SEARCH(""CASH DEPOSIT"",$C28"&amp;"4)),
      COUNTIFS('SUMMARY DATA'!$D:$D,$C284,'SUMMARY DATA'!$B:$B,""RWS"")&lt;&gt;1
    ),
    """",
    IFERROR(TEXTJOIN(CHAR(10),TRUE,FILTER('SUMMARY DATA'!F:F,'SUMMARY DATA'!$D:$D=$C284,'SUMMARY DATA'!$B:$B=""RWS"")),"""")
  )
)"),"")</f>
      </c>
      <c r="G284" s="17" t="str">
        <f>IFERROR(__xludf.DUMMYFUNCTION("IFERROR(
  TEXTJOIN(CHAR(10),TRUE,FILTER('SUMMARY DATA'!G:G,'SUMMARY DATA'!$A:$A=$A284,'SUMMARY DATA'!$C:$C=$B284,'SUMMARY DATA'!$B:$B=""RWS"")),
  IF(
    OR(
      ISNUMBER(SEARCH(""CDM CASH DEPOSIT"",$C284)),
      ISNUMBER(SEARCH(""CASH DEPOSIT"",$C28"&amp;"4)),
      COUNTIFS('SUMMARY DATA'!$D:$D,$C284,'SUMMARY DATA'!$B:$B,""RWS"")&lt;&gt;1
    ),
    """",
    IFERROR(TEXTJOIN(CHAR(10),TRUE,FILTER('SUMMARY DATA'!G:G,'SUMMARY DATA'!$D:$D=$C284,'SUMMARY DATA'!$B:$B=""RWS"")),"""")
  )
)"),"")</f>
      </c>
      <c r="H284" s="18" t="str">
        <f>IFERROR(__xludf.DUMMYFUNCTION("IFERROR(
  TEXTJOIN(CHAR(10),TRUE,FILTER('SUMMARY DATA'!H:H,'SUMMARY DATA'!$A:$A=$A284,'SUMMARY DATA'!$C:$C=$B284,'SUMMARY DATA'!$B:$B=""RWS"",'SUMMARY DATA'!$H:$H=$D284)),
  IF(
    OR(
      ISNUMBER(SEARCH(""CDM CASH DEPOSIT"",$C284)),
      ISNUMBER(S"&amp;"EARCH(""CASH DEPOSIT"",$C284))
    ),
    """",
    IFERROR(TEXTJOIN(CHAR(10),TRUE,FILTER('SUMMARY DATA'!H:H,'SUMMARY DATA'!$D:$D=$C284,'SUMMARY DATA'!$B:$B=""RWS"",'SUMMARY DATA'!$H:$H=$D284)),"""")
  )
)"),"")</f>
      </c>
      <c r="I284" s="18" t="str">
        <f>IFERROR(__xludf.DUMMYFUNCTION("IF(H284="""","""",
SUM(ARRAYFORMULA(VALUE(SPLIT(H284,CHAR(10)))))
)"),"")</f>
      </c>
      <c r="J284" s="17" t="str">
        <f>IFERROR(__xludf.DUMMYFUNCTION("IFERROR(
  TEXTJOIN(CHAR(10),TRUE,FILTER('SUMMARY DATA'!I:I,'SUMMARY DATA'!$A:$A=$A284,'SUMMARY DATA'!$C:$C=$B284,'SUMMARY DATA'!$B:$B=""RWS"")),
  IF(
    OR(
      ISNUMBER(SEARCH(""CDM CASH DEPOSIT"",$C284)),
      ISNUMBER(SEARCH(""CASH DEPOSIT"",$C28"&amp;"4)),
      COUNTIFS('SUMMARY DATA'!$D:$D,$C284,'SUMMARY DATA'!$B:$B,""RWS"")&lt;&gt;1
    ),
    """",
    IFERROR(TEXTJOIN(CHAR(10),TRUE,FILTER('SUMMARY DATA'!I:I,'SUMMARY DATA'!$D:$D=$C284,'SUMMARY DATA'!$B:$B=""RWS"")),"""")
  )
)"),"")</f>
      </c>
      <c r="K284" s="2"/>
      <c r="L284" s="2"/>
      <c r="M284" s="2"/>
      <c r="N284" s="2"/>
      <c r="O284" s="2"/>
      <c r="P284" s="2"/>
      <c r="Q284" s="2"/>
      <c r="R284" s="2"/>
      <c r="S284" s="2"/>
      <c r="T284" s="2"/>
      <c r="U284" s="2"/>
      <c r="V284" s="2"/>
      <c r="W284" s="2"/>
      <c r="X284" s="2"/>
      <c r="Y284" s="2"/>
      <c r="Z284" s="2"/>
      <c r="AA284" s="2"/>
      <c r="AB284" s="2"/>
    </row>
    <row r="285" spans="1:28" customHeight="true">
      <c r="A285" s="2" t="s">
        <v>429</v>
      </c>
      <c r="B285" s="15">
        <v>45989</v>
      </c>
      <c r="C285" s="2" t="s">
        <v>430</v>
      </c>
      <c r="D285" s="3">
        <v>10</v>
      </c>
      <c r="E285" s="16" t="str">
        <f>IFERROR(__xludf.DUMMYFUNCTION("IFERROR(
  TEXTJOIN(CHAR(10),TRUE,FILTER('SUMMARY DATA'!E:E,'SUMMARY DATA'!$A:$A=$A285,'SUMMARY DATA'!$C:$C=$B285,'SUMMARY DATA'!$B:$B=""RWS"")),
  IF(
    OR(
      ISNUMBER(SEARCH(""CDM CASH DEPOSIT"",$C285)),
      ISNUMBER(SEARCH(""CASH DEPOSIT"",$C28"&amp;"5)),
      COUNTIFS('SUMMARY DATA'!$D:$D,$C285,'SUMMARY DATA'!$B:$B,""RWS"")&lt;&gt;1
    ),
    """",
    IFERROR(TEXTJOIN(CHAR(10),TRUE,FILTER('SUMMARY DATA'!E:E,'SUMMARY DATA'!$D:$D=$C285,'SUMMARY DATA'!$B:$B=""RWS"")),"""")
  )
)"),"")</f>
      </c>
      <c r="F285" s="17" t="str">
        <f>IFERROR(__xludf.DUMMYFUNCTION("IFERROR(
  TEXTJOIN(CHAR(10),TRUE,FILTER('SUMMARY DATA'!F:F,'SUMMARY DATA'!$A:$A=$A285,'SUMMARY DATA'!$C:$C=$B285,'SUMMARY DATA'!$B:$B=""RWS"")),
  IF(
    OR(
      ISNUMBER(SEARCH(""CDM CASH DEPOSIT"",$C285)),
      ISNUMBER(SEARCH(""CASH DEPOSIT"",$C28"&amp;"5)),
      COUNTIFS('SUMMARY DATA'!$D:$D,$C285,'SUMMARY DATA'!$B:$B,""RWS"")&lt;&gt;1
    ),
    """",
    IFERROR(TEXTJOIN(CHAR(10),TRUE,FILTER('SUMMARY DATA'!F:F,'SUMMARY DATA'!$D:$D=$C285,'SUMMARY DATA'!$B:$B=""RWS"")),"""")
  )
)"),"")</f>
      </c>
      <c r="G285" s="17" t="str">
        <f>IFERROR(__xludf.DUMMYFUNCTION("IFERROR(
  TEXTJOIN(CHAR(10),TRUE,FILTER('SUMMARY DATA'!G:G,'SUMMARY DATA'!$A:$A=$A285,'SUMMARY DATA'!$C:$C=$B285,'SUMMARY DATA'!$B:$B=""RWS"")),
  IF(
    OR(
      ISNUMBER(SEARCH(""CDM CASH DEPOSIT"",$C285)),
      ISNUMBER(SEARCH(""CASH DEPOSIT"",$C28"&amp;"5)),
      COUNTIFS('SUMMARY DATA'!$D:$D,$C285,'SUMMARY DATA'!$B:$B,""RWS"")&lt;&gt;1
    ),
    """",
    IFERROR(TEXTJOIN(CHAR(10),TRUE,FILTER('SUMMARY DATA'!G:G,'SUMMARY DATA'!$D:$D=$C285,'SUMMARY DATA'!$B:$B=""RWS"")),"""")
  )
)"),"")</f>
      </c>
      <c r="H285" s="18" t="str">
        <f>IFERROR(__xludf.DUMMYFUNCTION("IFERROR(
  TEXTJOIN(CHAR(10),TRUE,FILTER('SUMMARY DATA'!H:H,'SUMMARY DATA'!$A:$A=$A285,'SUMMARY DATA'!$C:$C=$B285,'SUMMARY DATA'!$B:$B=""RWS"",'SUMMARY DATA'!$H:$H=$D285)),
  IF(
    OR(
      ISNUMBER(SEARCH(""CDM CASH DEPOSIT"",$C285)),
      ISNUMBER(S"&amp;"EARCH(""CASH DEPOSIT"",$C285))
    ),
    """",
    IFERROR(TEXTJOIN(CHAR(10),TRUE,FILTER('SUMMARY DATA'!H:H,'SUMMARY DATA'!$D:$D=$C285,'SUMMARY DATA'!$B:$B=""RWS"",'SUMMARY DATA'!$H:$H=$D285)),"""")
  )
)"),"")</f>
      </c>
      <c r="I285" s="18" t="str">
        <f>IFERROR(__xludf.DUMMYFUNCTION("IF(H285="""","""",
SUM(ARRAYFORMULA(VALUE(SPLIT(H285,CHAR(10)))))
)"),"")</f>
      </c>
      <c r="J285" s="17" t="str">
        <f>IFERROR(__xludf.DUMMYFUNCTION("IFERROR(
  TEXTJOIN(CHAR(10),TRUE,FILTER('SUMMARY DATA'!I:I,'SUMMARY DATA'!$A:$A=$A285,'SUMMARY DATA'!$C:$C=$B285,'SUMMARY DATA'!$B:$B=""RWS"")),
  IF(
    OR(
      ISNUMBER(SEARCH(""CDM CASH DEPOSIT"",$C285)),
      ISNUMBER(SEARCH(""CASH DEPOSIT"",$C28"&amp;"5)),
      COUNTIFS('SUMMARY DATA'!$D:$D,$C285,'SUMMARY DATA'!$B:$B,""RWS"")&lt;&gt;1
    ),
    """",
    IFERROR(TEXTJOIN(CHAR(10),TRUE,FILTER('SUMMARY DATA'!I:I,'SUMMARY DATA'!$D:$D=$C285,'SUMMARY DATA'!$B:$B=""RWS"")),"""")
  )
)"),"")</f>
      </c>
      <c r="K285" s="2"/>
      <c r="L285" s="2"/>
      <c r="M285" s="2"/>
      <c r="N285" s="2"/>
      <c r="O285" s="2"/>
      <c r="P285" s="2"/>
      <c r="Q285" s="2"/>
      <c r="R285" s="2"/>
      <c r="S285" s="2"/>
      <c r="T285" s="2"/>
      <c r="U285" s="2"/>
      <c r="V285" s="2"/>
      <c r="W285" s="2"/>
      <c r="X285" s="2"/>
      <c r="Y285" s="2"/>
      <c r="Z285" s="2"/>
      <c r="AA285" s="2"/>
      <c r="AB285" s="2"/>
    </row>
    <row r="286" spans="1:28" customHeight="true">
      <c r="A286" s="2" t="s">
        <v>431</v>
      </c>
      <c r="B286" s="15">
        <v>45989</v>
      </c>
      <c r="C286" s="2" t="s">
        <v>432</v>
      </c>
      <c r="D286" s="3">
        <v>10</v>
      </c>
      <c r="E286" s="16" t="str">
        <f>IFERROR(__xludf.DUMMYFUNCTION("IFERROR(
  TEXTJOIN(CHAR(10),TRUE,FILTER('SUMMARY DATA'!E:E,'SUMMARY DATA'!$A:$A=$A286,'SUMMARY DATA'!$C:$C=$B286,'SUMMARY DATA'!$B:$B=""RWS"")),
  IF(
    OR(
      ISNUMBER(SEARCH(""CDM CASH DEPOSIT"",$C286)),
      ISNUMBER(SEARCH(""CASH DEPOSIT"",$C28"&amp;"6)),
      COUNTIFS('SUMMARY DATA'!$D:$D,$C286,'SUMMARY DATA'!$B:$B,""RWS"")&lt;&gt;1
    ),
    """",
    IFERROR(TEXTJOIN(CHAR(10),TRUE,FILTER('SUMMARY DATA'!E:E,'SUMMARY DATA'!$D:$D=$C286,'SUMMARY DATA'!$B:$B=""RWS"")),"""")
  )
)"),"")</f>
      </c>
      <c r="F286" s="17" t="str">
        <f>IFERROR(__xludf.DUMMYFUNCTION("IFERROR(
  TEXTJOIN(CHAR(10),TRUE,FILTER('SUMMARY DATA'!F:F,'SUMMARY DATA'!$A:$A=$A286,'SUMMARY DATA'!$C:$C=$B286,'SUMMARY DATA'!$B:$B=""RWS"")),
  IF(
    OR(
      ISNUMBER(SEARCH(""CDM CASH DEPOSIT"",$C286)),
      ISNUMBER(SEARCH(""CASH DEPOSIT"",$C28"&amp;"6)),
      COUNTIFS('SUMMARY DATA'!$D:$D,$C286,'SUMMARY DATA'!$B:$B,""RWS"")&lt;&gt;1
    ),
    """",
    IFERROR(TEXTJOIN(CHAR(10),TRUE,FILTER('SUMMARY DATA'!F:F,'SUMMARY DATA'!$D:$D=$C286,'SUMMARY DATA'!$B:$B=""RWS"")),"""")
  )
)"),"")</f>
      </c>
      <c r="G286" s="17" t="str">
        <f>IFERROR(__xludf.DUMMYFUNCTION("IFERROR(
  TEXTJOIN(CHAR(10),TRUE,FILTER('SUMMARY DATA'!G:G,'SUMMARY DATA'!$A:$A=$A286,'SUMMARY DATA'!$C:$C=$B286,'SUMMARY DATA'!$B:$B=""RWS"")),
  IF(
    OR(
      ISNUMBER(SEARCH(""CDM CASH DEPOSIT"",$C286)),
      ISNUMBER(SEARCH(""CASH DEPOSIT"",$C28"&amp;"6)),
      COUNTIFS('SUMMARY DATA'!$D:$D,$C286,'SUMMARY DATA'!$B:$B,""RWS"")&lt;&gt;1
    ),
    """",
    IFERROR(TEXTJOIN(CHAR(10),TRUE,FILTER('SUMMARY DATA'!G:G,'SUMMARY DATA'!$D:$D=$C286,'SUMMARY DATA'!$B:$B=""RWS"")),"""")
  )
)"),"")</f>
      </c>
      <c r="H286" s="18" t="str">
        <f>IFERROR(__xludf.DUMMYFUNCTION("IFERROR(
  TEXTJOIN(CHAR(10),TRUE,FILTER('SUMMARY DATA'!H:H,'SUMMARY DATA'!$A:$A=$A286,'SUMMARY DATA'!$C:$C=$B286,'SUMMARY DATA'!$B:$B=""RWS"",'SUMMARY DATA'!$H:$H=$D286)),
  IF(
    OR(
      ISNUMBER(SEARCH(""CDM CASH DEPOSIT"",$C286)),
      ISNUMBER(S"&amp;"EARCH(""CASH DEPOSIT"",$C286))
    ),
    """",
    IFERROR(TEXTJOIN(CHAR(10),TRUE,FILTER('SUMMARY DATA'!H:H,'SUMMARY DATA'!$D:$D=$C286,'SUMMARY DATA'!$B:$B=""RWS"",'SUMMARY DATA'!$H:$H=$D286)),"""")
  )
)"),"")</f>
      </c>
      <c r="I286" s="18" t="str">
        <f>IFERROR(__xludf.DUMMYFUNCTION("IF(H286="""","""",
SUM(ARRAYFORMULA(VALUE(SPLIT(H286,CHAR(10)))))
)"),"")</f>
      </c>
      <c r="J286" s="17" t="str">
        <f>IFERROR(__xludf.DUMMYFUNCTION("IFERROR(
  TEXTJOIN(CHAR(10),TRUE,FILTER('SUMMARY DATA'!I:I,'SUMMARY DATA'!$A:$A=$A286,'SUMMARY DATA'!$C:$C=$B286,'SUMMARY DATA'!$B:$B=""RWS"")),
  IF(
    OR(
      ISNUMBER(SEARCH(""CDM CASH DEPOSIT"",$C286)),
      ISNUMBER(SEARCH(""CASH DEPOSIT"",$C28"&amp;"6)),
      COUNTIFS('SUMMARY DATA'!$D:$D,$C286,'SUMMARY DATA'!$B:$B,""RWS"")&lt;&gt;1
    ),
    """",
    IFERROR(TEXTJOIN(CHAR(10),TRUE,FILTER('SUMMARY DATA'!I:I,'SUMMARY DATA'!$D:$D=$C286,'SUMMARY DATA'!$B:$B=""RWS"")),"""")
  )
)"),"")</f>
      </c>
      <c r="K286" s="2"/>
      <c r="L286" s="2"/>
      <c r="M286" s="2"/>
      <c r="N286" s="2"/>
      <c r="O286" s="2"/>
      <c r="P286" s="2"/>
      <c r="Q286" s="2"/>
      <c r="R286" s="2"/>
      <c r="S286" s="2"/>
      <c r="T286" s="2"/>
      <c r="U286" s="2"/>
      <c r="V286" s="2"/>
      <c r="W286" s="2"/>
      <c r="X286" s="2"/>
      <c r="Y286" s="2"/>
      <c r="Z286" s="2"/>
      <c r="AA286" s="2"/>
      <c r="AB286" s="2"/>
    </row>
    <row r="287" spans="1:28" customHeight="true">
      <c r="A287" s="2" t="s">
        <v>433</v>
      </c>
      <c r="B287" s="15">
        <v>45989</v>
      </c>
      <c r="C287" s="2" t="s">
        <v>434</v>
      </c>
      <c r="D287" s="3">
        <v>119.96</v>
      </c>
      <c r="E287" s="16" t="str">
        <f>IFERROR(__xludf.DUMMYFUNCTION("IFERROR(
  TEXTJOIN(CHAR(10),TRUE,FILTER('SUMMARY DATA'!E:E,'SUMMARY DATA'!$A:$A=$A287,'SUMMARY DATA'!$C:$C=$B287,'SUMMARY DATA'!$B:$B=""RWS"")),
  IF(
    OR(
      ISNUMBER(SEARCH(""CDM CASH DEPOSIT"",$C287)),
      ISNUMBER(SEARCH(""CASH DEPOSIT"",$C28"&amp;"7)),
      COUNTIFS('SUMMARY DATA'!$D:$D,$C287,'SUMMARY DATA'!$B:$B,""RWS"")&lt;&gt;1
    ),
    """",
    IFERROR(TEXTJOIN(CHAR(10),TRUE,FILTER('SUMMARY DATA'!E:E,'SUMMARY DATA'!$D:$D=$C287,'SUMMARY DATA'!$B:$B=""RWS"")),"""")
  )
)"),"")</f>
      </c>
      <c r="F287" s="17" t="str">
        <f>IFERROR(__xludf.DUMMYFUNCTION("IFERROR(
  TEXTJOIN(CHAR(10),TRUE,FILTER('SUMMARY DATA'!F:F,'SUMMARY DATA'!$A:$A=$A287,'SUMMARY DATA'!$C:$C=$B287,'SUMMARY DATA'!$B:$B=""RWS"")),
  IF(
    OR(
      ISNUMBER(SEARCH(""CDM CASH DEPOSIT"",$C287)),
      ISNUMBER(SEARCH(""CASH DEPOSIT"",$C28"&amp;"7)),
      COUNTIFS('SUMMARY DATA'!$D:$D,$C287,'SUMMARY DATA'!$B:$B,""RWS"")&lt;&gt;1
    ),
    """",
    IFERROR(TEXTJOIN(CHAR(10),TRUE,FILTER('SUMMARY DATA'!F:F,'SUMMARY DATA'!$D:$D=$C287,'SUMMARY DATA'!$B:$B=""RWS"")),"""")
  )
)"),"")</f>
      </c>
      <c r="G287" s="17" t="str">
        <f>IFERROR(__xludf.DUMMYFUNCTION("IFERROR(
  TEXTJOIN(CHAR(10),TRUE,FILTER('SUMMARY DATA'!G:G,'SUMMARY DATA'!$A:$A=$A287,'SUMMARY DATA'!$C:$C=$B287,'SUMMARY DATA'!$B:$B=""RWS"")),
  IF(
    OR(
      ISNUMBER(SEARCH(""CDM CASH DEPOSIT"",$C287)),
      ISNUMBER(SEARCH(""CASH DEPOSIT"",$C28"&amp;"7)),
      COUNTIFS('SUMMARY DATA'!$D:$D,$C287,'SUMMARY DATA'!$B:$B,""RWS"")&lt;&gt;1
    ),
    """",
    IFERROR(TEXTJOIN(CHAR(10),TRUE,FILTER('SUMMARY DATA'!G:G,'SUMMARY DATA'!$D:$D=$C287,'SUMMARY DATA'!$B:$B=""RWS"")),"""")
  )
)"),"")</f>
      </c>
      <c r="H287" s="18" t="str">
        <f>IFERROR(__xludf.DUMMYFUNCTION("IFERROR(
  TEXTJOIN(CHAR(10),TRUE,FILTER('SUMMARY DATA'!H:H,'SUMMARY DATA'!$A:$A=$A287,'SUMMARY DATA'!$C:$C=$B287,'SUMMARY DATA'!$B:$B=""RWS"",'SUMMARY DATA'!$H:$H=$D287)),
  IF(
    OR(
      ISNUMBER(SEARCH(""CDM CASH DEPOSIT"",$C287)),
      ISNUMBER(S"&amp;"EARCH(""CASH DEPOSIT"",$C287))
    ),
    """",
    IFERROR(TEXTJOIN(CHAR(10),TRUE,FILTER('SUMMARY DATA'!H:H,'SUMMARY DATA'!$D:$D=$C287,'SUMMARY DATA'!$B:$B=""RWS"",'SUMMARY DATA'!$H:$H=$D287)),"""")
  )
)"),"")</f>
      </c>
      <c r="I287" s="18" t="str">
        <f>IFERROR(__xludf.DUMMYFUNCTION("IF(H287="""","""",
SUM(ARRAYFORMULA(VALUE(SPLIT(H287,CHAR(10)))))
)"),"")</f>
      </c>
      <c r="J287" s="17" t="str">
        <f>IFERROR(__xludf.DUMMYFUNCTION("IFERROR(
  TEXTJOIN(CHAR(10),TRUE,FILTER('SUMMARY DATA'!I:I,'SUMMARY DATA'!$A:$A=$A287,'SUMMARY DATA'!$C:$C=$B287,'SUMMARY DATA'!$B:$B=""RWS"")),
  IF(
    OR(
      ISNUMBER(SEARCH(""CDM CASH DEPOSIT"",$C287)),
      ISNUMBER(SEARCH(""CASH DEPOSIT"",$C28"&amp;"7)),
      COUNTIFS('SUMMARY DATA'!$D:$D,$C287,'SUMMARY DATA'!$B:$B,""RWS"")&lt;&gt;1
    ),
    """",
    IFERROR(TEXTJOIN(CHAR(10),TRUE,FILTER('SUMMARY DATA'!I:I,'SUMMARY DATA'!$D:$D=$C287,'SUMMARY DATA'!$B:$B=""RWS"")),"""")
  )
)"),"")</f>
      </c>
      <c r="K287" s="2"/>
      <c r="L287" s="2"/>
      <c r="M287" s="2"/>
      <c r="N287" s="2"/>
      <c r="O287" s="2"/>
      <c r="P287" s="2"/>
      <c r="Q287" s="2"/>
      <c r="R287" s="2"/>
      <c r="S287" s="2"/>
      <c r="T287" s="2"/>
      <c r="U287" s="2"/>
      <c r="V287" s="2"/>
      <c r="W287" s="2"/>
      <c r="X287" s="2"/>
      <c r="Y287" s="2"/>
      <c r="Z287" s="2"/>
      <c r="AA287" s="2"/>
      <c r="AB287" s="2"/>
    </row>
    <row r="288" spans="1:28" customHeight="true">
      <c r="A288" s="2" t="s">
        <v>435</v>
      </c>
      <c r="B288" s="15">
        <v>45989</v>
      </c>
      <c r="C288" s="2" t="s">
        <v>436</v>
      </c>
      <c r="D288" s="3">
        <v>22.12</v>
      </c>
      <c r="E288" s="16" t="str">
        <f>IFERROR(__xludf.DUMMYFUNCTION("IFERROR(
  TEXTJOIN(CHAR(10),TRUE,FILTER('SUMMARY DATA'!E:E,'SUMMARY DATA'!$A:$A=$A288,'SUMMARY DATA'!$C:$C=$B288,'SUMMARY DATA'!$B:$B=""RWS"")),
  IF(
    OR(
      ISNUMBER(SEARCH(""CDM CASH DEPOSIT"",$C288)),
      ISNUMBER(SEARCH(""CASH DEPOSIT"",$C28"&amp;"8)),
      COUNTIFS('SUMMARY DATA'!$D:$D,$C288,'SUMMARY DATA'!$B:$B,""RWS"")&lt;&gt;1
    ),
    """",
    IFERROR(TEXTJOIN(CHAR(10),TRUE,FILTER('SUMMARY DATA'!E:E,'SUMMARY DATA'!$D:$D=$C288,'SUMMARY DATA'!$B:$B=""RWS"")),"""")
  )
)"),"")</f>
      </c>
      <c r="F288" s="17" t="str">
        <f>IFERROR(__xludf.DUMMYFUNCTION("IFERROR(
  TEXTJOIN(CHAR(10),TRUE,FILTER('SUMMARY DATA'!F:F,'SUMMARY DATA'!$A:$A=$A288,'SUMMARY DATA'!$C:$C=$B288,'SUMMARY DATA'!$B:$B=""RWS"")),
  IF(
    OR(
      ISNUMBER(SEARCH(""CDM CASH DEPOSIT"",$C288)),
      ISNUMBER(SEARCH(""CASH DEPOSIT"",$C28"&amp;"8)),
      COUNTIFS('SUMMARY DATA'!$D:$D,$C288,'SUMMARY DATA'!$B:$B,""RWS"")&lt;&gt;1
    ),
    """",
    IFERROR(TEXTJOIN(CHAR(10),TRUE,FILTER('SUMMARY DATA'!F:F,'SUMMARY DATA'!$D:$D=$C288,'SUMMARY DATA'!$B:$B=""RWS"")),"""")
  )
)"),"")</f>
      </c>
      <c r="G288" s="17" t="str">
        <f>IFERROR(__xludf.DUMMYFUNCTION("IFERROR(
  TEXTJOIN(CHAR(10),TRUE,FILTER('SUMMARY DATA'!G:G,'SUMMARY DATA'!$A:$A=$A288,'SUMMARY DATA'!$C:$C=$B288,'SUMMARY DATA'!$B:$B=""RWS"")),
  IF(
    OR(
      ISNUMBER(SEARCH(""CDM CASH DEPOSIT"",$C288)),
      ISNUMBER(SEARCH(""CASH DEPOSIT"",$C28"&amp;"8)),
      COUNTIFS('SUMMARY DATA'!$D:$D,$C288,'SUMMARY DATA'!$B:$B,""RWS"")&lt;&gt;1
    ),
    """",
    IFERROR(TEXTJOIN(CHAR(10),TRUE,FILTER('SUMMARY DATA'!G:G,'SUMMARY DATA'!$D:$D=$C288,'SUMMARY DATA'!$B:$B=""RWS"")),"""")
  )
)"),"")</f>
      </c>
      <c r="H288" s="18" t="str">
        <f>IFERROR(__xludf.DUMMYFUNCTION("IFERROR(
  TEXTJOIN(CHAR(10),TRUE,FILTER('SUMMARY DATA'!H:H,'SUMMARY DATA'!$A:$A=$A288,'SUMMARY DATA'!$C:$C=$B288,'SUMMARY DATA'!$B:$B=""RWS"",'SUMMARY DATA'!$H:$H=$D288)),
  IF(
    OR(
      ISNUMBER(SEARCH(""CDM CASH DEPOSIT"",$C288)),
      ISNUMBER(S"&amp;"EARCH(""CASH DEPOSIT"",$C288))
    ),
    """",
    IFERROR(TEXTJOIN(CHAR(10),TRUE,FILTER('SUMMARY DATA'!H:H,'SUMMARY DATA'!$D:$D=$C288,'SUMMARY DATA'!$B:$B=""RWS"",'SUMMARY DATA'!$H:$H=$D288)),"""")
  )
)"),"")</f>
      </c>
      <c r="I288" s="18" t="str">
        <f>IFERROR(__xludf.DUMMYFUNCTION("IF(H288="""","""",
SUM(ARRAYFORMULA(VALUE(SPLIT(H288,CHAR(10)))))
)"),"")</f>
      </c>
      <c r="J288" s="17" t="str">
        <f>IFERROR(__xludf.DUMMYFUNCTION("IFERROR(
  TEXTJOIN(CHAR(10),TRUE,FILTER('SUMMARY DATA'!I:I,'SUMMARY DATA'!$A:$A=$A288,'SUMMARY DATA'!$C:$C=$B288,'SUMMARY DATA'!$B:$B=""RWS"")),
  IF(
    OR(
      ISNUMBER(SEARCH(""CDM CASH DEPOSIT"",$C288)),
      ISNUMBER(SEARCH(""CASH DEPOSIT"",$C28"&amp;"8)),
      COUNTIFS('SUMMARY DATA'!$D:$D,$C288,'SUMMARY DATA'!$B:$B,""RWS"")&lt;&gt;1
    ),
    """",
    IFERROR(TEXTJOIN(CHAR(10),TRUE,FILTER('SUMMARY DATA'!I:I,'SUMMARY DATA'!$D:$D=$C288,'SUMMARY DATA'!$B:$B=""RWS"")),"""")
  )
)"),"")</f>
      </c>
      <c r="K288" s="2"/>
      <c r="L288" s="2"/>
      <c r="M288" s="2"/>
      <c r="N288" s="2"/>
      <c r="O288" s="2"/>
      <c r="P288" s="2"/>
      <c r="Q288" s="2"/>
      <c r="R288" s="2"/>
      <c r="S288" s="2"/>
      <c r="T288" s="2"/>
      <c r="U288" s="2"/>
      <c r="V288" s="2"/>
      <c r="W288" s="2"/>
      <c r="X288" s="2"/>
      <c r="Y288" s="2"/>
      <c r="Z288" s="2"/>
      <c r="AA288" s="2"/>
      <c r="AB288" s="2"/>
    </row>
    <row r="289" spans="1:28" customHeight="true">
      <c r="A289" s="2" t="s">
        <v>437</v>
      </c>
      <c r="B289" s="15">
        <v>45989</v>
      </c>
      <c r="C289" s="2" t="s">
        <v>438</v>
      </c>
      <c r="D289" s="3">
        <v>29.99</v>
      </c>
      <c r="E289" s="16" t="s">
        <v>2451</v>
      </c>
      <c r="F289" s="17" t="s">
        <v>2452</v>
      </c>
      <c r="G289" s="17" t="s">
        <v>2393</v>
      </c>
      <c r="H289" s="18">
        <v>29.99</v>
      </c>
      <c r="I289" s="18">
        <v>29.99</v>
      </c>
      <c r="J289" s="17" t="s">
        <v>2394</v>
      </c>
      <c r="K289" s="2" t="s">
        <v>2395</v>
      </c>
      <c r="L289" s="2"/>
      <c r="M289" s="2"/>
      <c r="N289" s="2"/>
      <c r="O289" s="2"/>
      <c r="P289" s="2"/>
      <c r="Q289" s="2"/>
      <c r="R289" s="2"/>
      <c r="S289" s="2"/>
      <c r="T289" s="2"/>
      <c r="U289" s="2"/>
      <c r="V289" s="2"/>
      <c r="W289" s="2"/>
      <c r="X289" s="2"/>
      <c r="Y289" s="2"/>
      <c r="Z289" s="2"/>
      <c r="AA289" s="2"/>
      <c r="AB289" s="2"/>
    </row>
    <row r="290" spans="1:28" customHeight="true">
      <c r="A290" s="2" t="s">
        <v>439</v>
      </c>
      <c r="B290" s="15">
        <v>45988</v>
      </c>
      <c r="C290" s="2" t="s">
        <v>440</v>
      </c>
      <c r="D290" s="3">
        <v>60</v>
      </c>
      <c r="E290" s="16" t="s">
        <v>2453</v>
      </c>
      <c r="F290" s="17" t="s">
        <v>2454</v>
      </c>
      <c r="G290" s="17" t="s">
        <v>2393</v>
      </c>
      <c r="H290" s="18">
        <v>60</v>
      </c>
      <c r="I290" s="18">
        <v>60</v>
      </c>
      <c r="J290" s="17" t="s">
        <v>2394</v>
      </c>
      <c r="K290" s="2" t="s">
        <v>2395</v>
      </c>
      <c r="L290" s="2"/>
      <c r="M290" s="2"/>
      <c r="N290" s="2"/>
      <c r="O290" s="2"/>
      <c r="P290" s="2"/>
      <c r="Q290" s="2"/>
      <c r="R290" s="2"/>
      <c r="S290" s="2"/>
      <c r="T290" s="2"/>
      <c r="U290" s="2"/>
      <c r="V290" s="2"/>
      <c r="W290" s="2"/>
      <c r="X290" s="2"/>
      <c r="Y290" s="2"/>
      <c r="Z290" s="2"/>
      <c r="AA290" s="2"/>
      <c r="AB290" s="2"/>
    </row>
    <row r="291" spans="1:28" customHeight="true">
      <c r="A291" s="2" t="s">
        <v>441</v>
      </c>
      <c r="B291" s="15">
        <v>45988</v>
      </c>
      <c r="C291" s="2" t="s">
        <v>442</v>
      </c>
      <c r="D291" s="3">
        <v>431.21</v>
      </c>
      <c r="E291" s="16" t="str">
        <f>IFERROR(__xludf.DUMMYFUNCTION("IFERROR(
  TEXTJOIN(CHAR(10),TRUE,FILTER('SUMMARY DATA'!E:E,'SUMMARY DATA'!$A:$A=$A291,'SUMMARY DATA'!$C:$C=$B291,'SUMMARY DATA'!$B:$B=""RWS"")),
  IF(
    OR(
      ISNUMBER(SEARCH(""CDM CASH DEPOSIT"",$C291)),
      ISNUMBER(SEARCH(""CASH DEPOSIT"",$C29"&amp;"1)),
      COUNTIFS('SUMMARY DATA'!$D:$D,$C291,'SUMMARY DATA'!$B:$B,""RWS"")&lt;&gt;1
    ),
    """",
    IFERROR(TEXTJOIN(CHAR(10),TRUE,FILTER('SUMMARY DATA'!E:E,'SUMMARY DATA'!$D:$D=$C291,'SUMMARY DATA'!$B:$B=""RWS"")),"""")
  )
)"),"")</f>
      </c>
      <c r="F291" s="17" t="str">
        <f>IFERROR(__xludf.DUMMYFUNCTION("IFERROR(
  TEXTJOIN(CHAR(10),TRUE,FILTER('SUMMARY DATA'!F:F,'SUMMARY DATA'!$A:$A=$A291,'SUMMARY DATA'!$C:$C=$B291,'SUMMARY DATA'!$B:$B=""RWS"")),
  IF(
    OR(
      ISNUMBER(SEARCH(""CDM CASH DEPOSIT"",$C291)),
      ISNUMBER(SEARCH(""CASH DEPOSIT"",$C29"&amp;"1)),
      COUNTIFS('SUMMARY DATA'!$D:$D,$C291,'SUMMARY DATA'!$B:$B,""RWS"")&lt;&gt;1
    ),
    """",
    IFERROR(TEXTJOIN(CHAR(10),TRUE,FILTER('SUMMARY DATA'!F:F,'SUMMARY DATA'!$D:$D=$C291,'SUMMARY DATA'!$B:$B=""RWS"")),"""")
  )
)"),"")</f>
      </c>
      <c r="G291" s="17" t="str">
        <f>IFERROR(__xludf.DUMMYFUNCTION("IFERROR(
  TEXTJOIN(CHAR(10),TRUE,FILTER('SUMMARY DATA'!G:G,'SUMMARY DATA'!$A:$A=$A291,'SUMMARY DATA'!$C:$C=$B291,'SUMMARY DATA'!$B:$B=""RWS"")),
  IF(
    OR(
      ISNUMBER(SEARCH(""CDM CASH DEPOSIT"",$C291)),
      ISNUMBER(SEARCH(""CASH DEPOSIT"",$C29"&amp;"1)),
      COUNTIFS('SUMMARY DATA'!$D:$D,$C291,'SUMMARY DATA'!$B:$B,""RWS"")&lt;&gt;1
    ),
    """",
    IFERROR(TEXTJOIN(CHAR(10),TRUE,FILTER('SUMMARY DATA'!G:G,'SUMMARY DATA'!$D:$D=$C291,'SUMMARY DATA'!$B:$B=""RWS"")),"""")
  )
)"),"")</f>
      </c>
      <c r="H291" s="18" t="str">
        <f>IFERROR(__xludf.DUMMYFUNCTION("IFERROR(
  TEXTJOIN(CHAR(10),TRUE,FILTER('SUMMARY DATA'!H:H,'SUMMARY DATA'!$A:$A=$A291,'SUMMARY DATA'!$C:$C=$B291,'SUMMARY DATA'!$B:$B=""RWS"",'SUMMARY DATA'!$H:$H=$D291)),
  IF(
    OR(
      ISNUMBER(SEARCH(""CDM CASH DEPOSIT"",$C291)),
      ISNUMBER(S"&amp;"EARCH(""CASH DEPOSIT"",$C291))
    ),
    """",
    IFERROR(TEXTJOIN(CHAR(10),TRUE,FILTER('SUMMARY DATA'!H:H,'SUMMARY DATA'!$D:$D=$C291,'SUMMARY DATA'!$B:$B=""RWS"",'SUMMARY DATA'!$H:$H=$D291)),"""")
  )
)"),"")</f>
      </c>
      <c r="I291" s="18" t="str">
        <f>IFERROR(__xludf.DUMMYFUNCTION("IF(H291="""","""",
SUM(ARRAYFORMULA(VALUE(SPLIT(H291,CHAR(10)))))
)"),"")</f>
      </c>
      <c r="J291" s="17" t="str">
        <f>IFERROR(__xludf.DUMMYFUNCTION("IFERROR(
  TEXTJOIN(CHAR(10),TRUE,FILTER('SUMMARY DATA'!I:I,'SUMMARY DATA'!$A:$A=$A291,'SUMMARY DATA'!$C:$C=$B291,'SUMMARY DATA'!$B:$B=""RWS"")),
  IF(
    OR(
      ISNUMBER(SEARCH(""CDM CASH DEPOSIT"",$C291)),
      ISNUMBER(SEARCH(""CASH DEPOSIT"",$C29"&amp;"1)),
      COUNTIFS('SUMMARY DATA'!$D:$D,$C291,'SUMMARY DATA'!$B:$B,""RWS"")&lt;&gt;1
    ),
    """",
    IFERROR(TEXTJOIN(CHAR(10),TRUE,FILTER('SUMMARY DATA'!I:I,'SUMMARY DATA'!$D:$D=$C291,'SUMMARY DATA'!$B:$B=""RWS"")),"""")
  )
)"),"")</f>
      </c>
      <c r="K291" s="2"/>
      <c r="L291" s="2"/>
      <c r="M291" s="2"/>
      <c r="N291" s="2"/>
      <c r="O291" s="2"/>
      <c r="P291" s="2"/>
      <c r="Q291" s="2"/>
      <c r="R291" s="2"/>
      <c r="S291" s="2"/>
      <c r="T291" s="2"/>
      <c r="U291" s="2"/>
      <c r="V291" s="2"/>
      <c r="W291" s="2"/>
      <c r="X291" s="2"/>
      <c r="Y291" s="2"/>
      <c r="Z291" s="2"/>
      <c r="AA291" s="2"/>
      <c r="AB291" s="2"/>
    </row>
    <row r="292" spans="1:28" customHeight="true">
      <c r="A292" s="2" t="s">
        <v>443</v>
      </c>
      <c r="B292" s="15">
        <v>45988</v>
      </c>
      <c r="C292" s="2" t="s">
        <v>444</v>
      </c>
      <c r="D292" s="3">
        <v>59.98</v>
      </c>
      <c r="E292" s="16" t="str">
        <f>IFERROR(__xludf.DUMMYFUNCTION("IFERROR(
  TEXTJOIN(CHAR(10),TRUE,FILTER('SUMMARY DATA'!E:E,'SUMMARY DATA'!$A:$A=$A292,'SUMMARY DATA'!$C:$C=$B292,'SUMMARY DATA'!$B:$B=""RWS"")),
  IF(
    OR(
      ISNUMBER(SEARCH(""CDM CASH DEPOSIT"",$C292)),
      ISNUMBER(SEARCH(""CASH DEPOSIT"",$C29"&amp;"2)),
      COUNTIFS('SUMMARY DATA'!$D:$D,$C292,'SUMMARY DATA'!$B:$B,""RWS"")&lt;&gt;1
    ),
    """",
    IFERROR(TEXTJOIN(CHAR(10),TRUE,FILTER('SUMMARY DATA'!E:E,'SUMMARY DATA'!$D:$D=$C292,'SUMMARY DATA'!$B:$B=""RWS"")),"""")
  )
)"),"")</f>
      </c>
      <c r="F292" s="17" t="str">
        <f>IFERROR(__xludf.DUMMYFUNCTION("IFERROR(
  TEXTJOIN(CHAR(10),TRUE,FILTER('SUMMARY DATA'!F:F,'SUMMARY DATA'!$A:$A=$A292,'SUMMARY DATA'!$C:$C=$B292,'SUMMARY DATA'!$B:$B=""RWS"")),
  IF(
    OR(
      ISNUMBER(SEARCH(""CDM CASH DEPOSIT"",$C292)),
      ISNUMBER(SEARCH(""CASH DEPOSIT"",$C29"&amp;"2)),
      COUNTIFS('SUMMARY DATA'!$D:$D,$C292,'SUMMARY DATA'!$B:$B,""RWS"")&lt;&gt;1
    ),
    """",
    IFERROR(TEXTJOIN(CHAR(10),TRUE,FILTER('SUMMARY DATA'!F:F,'SUMMARY DATA'!$D:$D=$C292,'SUMMARY DATA'!$B:$B=""RWS"")),"""")
  )
)"),"")</f>
      </c>
      <c r="G292" s="17" t="str">
        <f>IFERROR(__xludf.DUMMYFUNCTION("IFERROR(
  TEXTJOIN(CHAR(10),TRUE,FILTER('SUMMARY DATA'!G:G,'SUMMARY DATA'!$A:$A=$A292,'SUMMARY DATA'!$C:$C=$B292,'SUMMARY DATA'!$B:$B=""RWS"")),
  IF(
    OR(
      ISNUMBER(SEARCH(""CDM CASH DEPOSIT"",$C292)),
      ISNUMBER(SEARCH(""CASH DEPOSIT"",$C29"&amp;"2)),
      COUNTIFS('SUMMARY DATA'!$D:$D,$C292,'SUMMARY DATA'!$B:$B,""RWS"")&lt;&gt;1
    ),
    """",
    IFERROR(TEXTJOIN(CHAR(10),TRUE,FILTER('SUMMARY DATA'!G:G,'SUMMARY DATA'!$D:$D=$C292,'SUMMARY DATA'!$B:$B=""RWS"")),"""")
  )
)"),"")</f>
      </c>
      <c r="H292" s="18" t="str">
        <f>IFERROR(__xludf.DUMMYFUNCTION("IFERROR(
  TEXTJOIN(CHAR(10),TRUE,FILTER('SUMMARY DATA'!H:H,'SUMMARY DATA'!$A:$A=$A292,'SUMMARY DATA'!$C:$C=$B292,'SUMMARY DATA'!$B:$B=""RWS"",'SUMMARY DATA'!$H:$H=$D292)),
  IF(
    OR(
      ISNUMBER(SEARCH(""CDM CASH DEPOSIT"",$C292)),
      ISNUMBER(S"&amp;"EARCH(""CASH DEPOSIT"",$C292))
    ),
    """",
    IFERROR(TEXTJOIN(CHAR(10),TRUE,FILTER('SUMMARY DATA'!H:H,'SUMMARY DATA'!$D:$D=$C292,'SUMMARY DATA'!$B:$B=""RWS"",'SUMMARY DATA'!$H:$H=$D292)),"""")
  )
)"),"")</f>
      </c>
      <c r="I292" s="18" t="str">
        <f>IFERROR(__xludf.DUMMYFUNCTION("IF(H292="""","""",
SUM(ARRAYFORMULA(VALUE(SPLIT(H292,CHAR(10)))))
)"),"")</f>
      </c>
      <c r="J292" s="17" t="str">
        <f>IFERROR(__xludf.DUMMYFUNCTION("IFERROR(
  TEXTJOIN(CHAR(10),TRUE,FILTER('SUMMARY DATA'!I:I,'SUMMARY DATA'!$A:$A=$A292,'SUMMARY DATA'!$C:$C=$B292,'SUMMARY DATA'!$B:$B=""RWS"")),
  IF(
    OR(
      ISNUMBER(SEARCH(""CDM CASH DEPOSIT"",$C292)),
      ISNUMBER(SEARCH(""CASH DEPOSIT"",$C29"&amp;"2)),
      COUNTIFS('SUMMARY DATA'!$D:$D,$C292,'SUMMARY DATA'!$B:$B,""RWS"")&lt;&gt;1
    ),
    """",
    IFERROR(TEXTJOIN(CHAR(10),TRUE,FILTER('SUMMARY DATA'!I:I,'SUMMARY DATA'!$D:$D=$C292,'SUMMARY DATA'!$B:$B=""RWS"")),"""")
  )
)"),"")</f>
      </c>
      <c r="K292" s="2"/>
      <c r="L292" s="2"/>
      <c r="M292" s="2"/>
      <c r="N292" s="2"/>
      <c r="O292" s="2"/>
      <c r="P292" s="2"/>
      <c r="Q292" s="2"/>
      <c r="R292" s="2"/>
      <c r="S292" s="2"/>
      <c r="T292" s="2"/>
      <c r="U292" s="2"/>
      <c r="V292" s="2"/>
      <c r="W292" s="2"/>
      <c r="X292" s="2"/>
      <c r="Y292" s="2"/>
      <c r="Z292" s="2"/>
      <c r="AA292" s="2"/>
      <c r="AB292" s="2"/>
    </row>
    <row r="293" spans="1:28" customHeight="true">
      <c r="A293" s="2" t="s">
        <v>445</v>
      </c>
      <c r="B293" s="15">
        <v>45988</v>
      </c>
      <c r="C293" s="2" t="s">
        <v>97</v>
      </c>
      <c r="D293" s="3">
        <v>29.99</v>
      </c>
      <c r="E293" s="16" t="str">
        <f>IFERROR(__xludf.DUMMYFUNCTION("IFERROR(
  TEXTJOIN(CHAR(10),TRUE,FILTER('SUMMARY DATA'!E:E,'SUMMARY DATA'!$A:$A=$A293,'SUMMARY DATA'!$C:$C=$B293,'SUMMARY DATA'!$B:$B=""RWS"")),
  IF(
    OR(
      ISNUMBER(SEARCH(""CDM CASH DEPOSIT"",$C293)),
      ISNUMBER(SEARCH(""CASH DEPOSIT"",$C29"&amp;"3)),
      COUNTIFS('SUMMARY DATA'!$D:$D,$C293,'SUMMARY DATA'!$B:$B,""RWS"")&lt;&gt;1
    ),
    """",
    IFERROR(TEXTJOIN(CHAR(10),TRUE,FILTER('SUMMARY DATA'!E:E,'SUMMARY DATA'!$D:$D=$C293,'SUMMARY DATA'!$B:$B=""RWS"")),"""")
  )
)"),"")</f>
      </c>
      <c r="F293" s="17" t="str">
        <f>IFERROR(__xludf.DUMMYFUNCTION("IFERROR(
  TEXTJOIN(CHAR(10),TRUE,FILTER('SUMMARY DATA'!F:F,'SUMMARY DATA'!$A:$A=$A293,'SUMMARY DATA'!$C:$C=$B293,'SUMMARY DATA'!$B:$B=""RWS"")),
  IF(
    OR(
      ISNUMBER(SEARCH(""CDM CASH DEPOSIT"",$C293)),
      ISNUMBER(SEARCH(""CASH DEPOSIT"",$C29"&amp;"3)),
      COUNTIFS('SUMMARY DATA'!$D:$D,$C293,'SUMMARY DATA'!$B:$B,""RWS"")&lt;&gt;1
    ),
    """",
    IFERROR(TEXTJOIN(CHAR(10),TRUE,FILTER('SUMMARY DATA'!F:F,'SUMMARY DATA'!$D:$D=$C293,'SUMMARY DATA'!$B:$B=""RWS"")),"""")
  )
)"),"")</f>
      </c>
      <c r="G293" s="17" t="str">
        <f>IFERROR(__xludf.DUMMYFUNCTION("IFERROR(
  TEXTJOIN(CHAR(10),TRUE,FILTER('SUMMARY DATA'!G:G,'SUMMARY DATA'!$A:$A=$A293,'SUMMARY DATA'!$C:$C=$B293,'SUMMARY DATA'!$B:$B=""RWS"")),
  IF(
    OR(
      ISNUMBER(SEARCH(""CDM CASH DEPOSIT"",$C293)),
      ISNUMBER(SEARCH(""CASH DEPOSIT"",$C29"&amp;"3)),
      COUNTIFS('SUMMARY DATA'!$D:$D,$C293,'SUMMARY DATA'!$B:$B,""RWS"")&lt;&gt;1
    ),
    """",
    IFERROR(TEXTJOIN(CHAR(10),TRUE,FILTER('SUMMARY DATA'!G:G,'SUMMARY DATA'!$D:$D=$C293,'SUMMARY DATA'!$B:$B=""RWS"")),"""")
  )
)"),"")</f>
      </c>
      <c r="H293" s="18" t="str">
        <f>IFERROR(__xludf.DUMMYFUNCTION("IFERROR(
  TEXTJOIN(CHAR(10),TRUE,FILTER('SUMMARY DATA'!H:H,'SUMMARY DATA'!$A:$A=$A293,'SUMMARY DATA'!$C:$C=$B293,'SUMMARY DATA'!$B:$B=""RWS"",'SUMMARY DATA'!$H:$H=$D293)),
  IF(
    OR(
      ISNUMBER(SEARCH(""CDM CASH DEPOSIT"",$C293)),
      ISNUMBER(S"&amp;"EARCH(""CASH DEPOSIT"",$C293))
    ),
    """",
    IFERROR(TEXTJOIN(CHAR(10),TRUE,FILTER('SUMMARY DATA'!H:H,'SUMMARY DATA'!$D:$D=$C293,'SUMMARY DATA'!$B:$B=""RWS"",'SUMMARY DATA'!$H:$H=$D293)),"""")
  )
)"),"")</f>
      </c>
      <c r="I293" s="18" t="str">
        <f>IFERROR(__xludf.DUMMYFUNCTION("IF(H293="""","""",
SUM(ARRAYFORMULA(VALUE(SPLIT(H293,CHAR(10)))))
)"),"")</f>
      </c>
      <c r="J293" s="17" t="str">
        <f>IFERROR(__xludf.DUMMYFUNCTION("IFERROR(
  TEXTJOIN(CHAR(10),TRUE,FILTER('SUMMARY DATA'!I:I,'SUMMARY DATA'!$A:$A=$A293,'SUMMARY DATA'!$C:$C=$B293,'SUMMARY DATA'!$B:$B=""RWS"")),
  IF(
    OR(
      ISNUMBER(SEARCH(""CDM CASH DEPOSIT"",$C293)),
      ISNUMBER(SEARCH(""CASH DEPOSIT"",$C29"&amp;"3)),
      COUNTIFS('SUMMARY DATA'!$D:$D,$C293,'SUMMARY DATA'!$B:$B,""RWS"")&lt;&gt;1
    ),
    """",
    IFERROR(TEXTJOIN(CHAR(10),TRUE,FILTER('SUMMARY DATA'!I:I,'SUMMARY DATA'!$D:$D=$C293,'SUMMARY DATA'!$B:$B=""RWS"")),"""")
  )
)"),"")</f>
      </c>
      <c r="K293" s="2"/>
      <c r="L293" s="2"/>
      <c r="M293" s="2"/>
      <c r="N293" s="2"/>
      <c r="O293" s="2"/>
      <c r="P293" s="2"/>
      <c r="Q293" s="2"/>
      <c r="R293" s="2"/>
      <c r="S293" s="2"/>
      <c r="T293" s="2"/>
      <c r="U293" s="2"/>
      <c r="V293" s="2"/>
      <c r="W293" s="2"/>
      <c r="X293" s="2"/>
      <c r="Y293" s="2"/>
      <c r="Z293" s="2"/>
      <c r="AA293" s="2"/>
      <c r="AB293" s="2"/>
    </row>
    <row r="294" spans="1:28" customHeight="true">
      <c r="A294" s="2" t="s">
        <v>446</v>
      </c>
      <c r="B294" s="15">
        <v>45988</v>
      </c>
      <c r="C294" s="2" t="s">
        <v>447</v>
      </c>
      <c r="D294" s="3">
        <v>160</v>
      </c>
      <c r="E294" s="16" t="str">
        <f>IFERROR(__xludf.DUMMYFUNCTION("IFERROR(
  TEXTJOIN(CHAR(10),TRUE,FILTER('SUMMARY DATA'!E:E,'SUMMARY DATA'!$A:$A=$A294,'SUMMARY DATA'!$C:$C=$B294,'SUMMARY DATA'!$B:$B=""RWS"")),
  IF(
    OR(
      ISNUMBER(SEARCH(""CDM CASH DEPOSIT"",$C294)),
      ISNUMBER(SEARCH(""CASH DEPOSIT"",$C29"&amp;"4)),
      COUNTIFS('SUMMARY DATA'!$D:$D,$C294,'SUMMARY DATA'!$B:$B,""RWS"")&lt;&gt;1
    ),
    """",
    IFERROR(TEXTJOIN(CHAR(10),TRUE,FILTER('SUMMARY DATA'!E:E,'SUMMARY DATA'!$D:$D=$C294,'SUMMARY DATA'!$B:$B=""RWS"")),"""")
  )
)"),"")</f>
      </c>
      <c r="F294" s="17" t="str">
        <f>IFERROR(__xludf.DUMMYFUNCTION("IFERROR(
  TEXTJOIN(CHAR(10),TRUE,FILTER('SUMMARY DATA'!F:F,'SUMMARY DATA'!$A:$A=$A294,'SUMMARY DATA'!$C:$C=$B294,'SUMMARY DATA'!$B:$B=""RWS"")),
  IF(
    OR(
      ISNUMBER(SEARCH(""CDM CASH DEPOSIT"",$C294)),
      ISNUMBER(SEARCH(""CASH DEPOSIT"",$C29"&amp;"4)),
      COUNTIFS('SUMMARY DATA'!$D:$D,$C294,'SUMMARY DATA'!$B:$B,""RWS"")&lt;&gt;1
    ),
    """",
    IFERROR(TEXTJOIN(CHAR(10),TRUE,FILTER('SUMMARY DATA'!F:F,'SUMMARY DATA'!$D:$D=$C294,'SUMMARY DATA'!$B:$B=""RWS"")),"""")
  )
)"),"")</f>
      </c>
      <c r="G294" s="17" t="str">
        <f>IFERROR(__xludf.DUMMYFUNCTION("IFERROR(
  TEXTJOIN(CHAR(10),TRUE,FILTER('SUMMARY DATA'!G:G,'SUMMARY DATA'!$A:$A=$A294,'SUMMARY DATA'!$C:$C=$B294,'SUMMARY DATA'!$B:$B=""RWS"")),
  IF(
    OR(
      ISNUMBER(SEARCH(""CDM CASH DEPOSIT"",$C294)),
      ISNUMBER(SEARCH(""CASH DEPOSIT"",$C29"&amp;"4)),
      COUNTIFS('SUMMARY DATA'!$D:$D,$C294,'SUMMARY DATA'!$B:$B,""RWS"")&lt;&gt;1
    ),
    """",
    IFERROR(TEXTJOIN(CHAR(10),TRUE,FILTER('SUMMARY DATA'!G:G,'SUMMARY DATA'!$D:$D=$C294,'SUMMARY DATA'!$B:$B=""RWS"")),"""")
  )
)"),"")</f>
      </c>
      <c r="H294" s="18" t="str">
        <f>IFERROR(__xludf.DUMMYFUNCTION("IFERROR(
  TEXTJOIN(CHAR(10),TRUE,FILTER('SUMMARY DATA'!H:H,'SUMMARY DATA'!$A:$A=$A294,'SUMMARY DATA'!$C:$C=$B294,'SUMMARY DATA'!$B:$B=""RWS"",'SUMMARY DATA'!$H:$H=$D294)),
  IF(
    OR(
      ISNUMBER(SEARCH(""CDM CASH DEPOSIT"",$C294)),
      ISNUMBER(S"&amp;"EARCH(""CASH DEPOSIT"",$C294))
    ),
    """",
    IFERROR(TEXTJOIN(CHAR(10),TRUE,FILTER('SUMMARY DATA'!H:H,'SUMMARY DATA'!$D:$D=$C294,'SUMMARY DATA'!$B:$B=""RWS"",'SUMMARY DATA'!$H:$H=$D294)),"""")
  )
)"),"")</f>
      </c>
      <c r="I294" s="18" t="str">
        <f>IFERROR(__xludf.DUMMYFUNCTION("IF(H294="""","""",
SUM(ARRAYFORMULA(VALUE(SPLIT(H294,CHAR(10)))))
)"),"")</f>
      </c>
      <c r="J294" s="17" t="str">
        <f>IFERROR(__xludf.DUMMYFUNCTION("IFERROR(
  TEXTJOIN(CHAR(10),TRUE,FILTER('SUMMARY DATA'!I:I,'SUMMARY DATA'!$A:$A=$A294,'SUMMARY DATA'!$C:$C=$B294,'SUMMARY DATA'!$B:$B=""RWS"")),
  IF(
    OR(
      ISNUMBER(SEARCH(""CDM CASH DEPOSIT"",$C294)),
      ISNUMBER(SEARCH(""CASH DEPOSIT"",$C29"&amp;"4)),
      COUNTIFS('SUMMARY DATA'!$D:$D,$C294,'SUMMARY DATA'!$B:$B,""RWS"")&lt;&gt;1
    ),
    """",
    IFERROR(TEXTJOIN(CHAR(10),TRUE,FILTER('SUMMARY DATA'!I:I,'SUMMARY DATA'!$D:$D=$C294,'SUMMARY DATA'!$B:$B=""RWS"")),"""")
  )
)"),"")</f>
      </c>
      <c r="K294" s="2"/>
      <c r="L294" s="2"/>
      <c r="M294" s="2"/>
      <c r="N294" s="2"/>
      <c r="O294" s="2"/>
      <c r="P294" s="2"/>
      <c r="Q294" s="2"/>
      <c r="R294" s="2"/>
      <c r="S294" s="2"/>
      <c r="T294" s="2"/>
      <c r="U294" s="2"/>
      <c r="V294" s="2"/>
      <c r="W294" s="2"/>
      <c r="X294" s="2"/>
      <c r="Y294" s="2"/>
      <c r="Z294" s="2"/>
      <c r="AA294" s="2"/>
      <c r="AB294" s="2"/>
    </row>
    <row r="295" spans="1:28" customHeight="true">
      <c r="A295" s="2" t="s">
        <v>448</v>
      </c>
      <c r="B295" s="15">
        <v>45987</v>
      </c>
      <c r="C295" s="2" t="s">
        <v>449</v>
      </c>
      <c r="D295" s="3">
        <v>29.99</v>
      </c>
      <c r="E295" s="16" t="str">
        <f>IFERROR(__xludf.DUMMYFUNCTION("IFERROR(
  TEXTJOIN(CHAR(10),TRUE,FILTER('SUMMARY DATA'!E:E,'SUMMARY DATA'!$A:$A=$A295,'SUMMARY DATA'!$C:$C=$B295,'SUMMARY DATA'!$B:$B=""RWS"")),
  IF(
    OR(
      ISNUMBER(SEARCH(""CDM CASH DEPOSIT"",$C295)),
      ISNUMBER(SEARCH(""CASH DEPOSIT"",$C29"&amp;"5)),
      COUNTIFS('SUMMARY DATA'!$D:$D,$C295,'SUMMARY DATA'!$B:$B,""RWS"")&lt;&gt;1
    ),
    """",
    IFERROR(TEXTJOIN(CHAR(10),TRUE,FILTER('SUMMARY DATA'!E:E,'SUMMARY DATA'!$D:$D=$C295,'SUMMARY DATA'!$B:$B=""RWS"")),"""")
  )
)"),"")</f>
      </c>
      <c r="F295" s="17" t="str">
        <f>IFERROR(__xludf.DUMMYFUNCTION("IFERROR(
  TEXTJOIN(CHAR(10),TRUE,FILTER('SUMMARY DATA'!F:F,'SUMMARY DATA'!$A:$A=$A295,'SUMMARY DATA'!$C:$C=$B295,'SUMMARY DATA'!$B:$B=""RWS"")),
  IF(
    OR(
      ISNUMBER(SEARCH(""CDM CASH DEPOSIT"",$C295)),
      ISNUMBER(SEARCH(""CASH DEPOSIT"",$C29"&amp;"5)),
      COUNTIFS('SUMMARY DATA'!$D:$D,$C295,'SUMMARY DATA'!$B:$B,""RWS"")&lt;&gt;1
    ),
    """",
    IFERROR(TEXTJOIN(CHAR(10),TRUE,FILTER('SUMMARY DATA'!F:F,'SUMMARY DATA'!$D:$D=$C295,'SUMMARY DATA'!$B:$B=""RWS"")),"""")
  )
)"),"")</f>
      </c>
      <c r="G295" s="17" t="str">
        <f>IFERROR(__xludf.DUMMYFUNCTION("IFERROR(
  TEXTJOIN(CHAR(10),TRUE,FILTER('SUMMARY DATA'!G:G,'SUMMARY DATA'!$A:$A=$A295,'SUMMARY DATA'!$C:$C=$B295,'SUMMARY DATA'!$B:$B=""RWS"")),
  IF(
    OR(
      ISNUMBER(SEARCH(""CDM CASH DEPOSIT"",$C295)),
      ISNUMBER(SEARCH(""CASH DEPOSIT"",$C29"&amp;"5)),
      COUNTIFS('SUMMARY DATA'!$D:$D,$C295,'SUMMARY DATA'!$B:$B,""RWS"")&lt;&gt;1
    ),
    """",
    IFERROR(TEXTJOIN(CHAR(10),TRUE,FILTER('SUMMARY DATA'!G:G,'SUMMARY DATA'!$D:$D=$C295,'SUMMARY DATA'!$B:$B=""RWS"")),"""")
  )
)"),"")</f>
      </c>
      <c r="H295" s="18" t="str">
        <f>IFERROR(__xludf.DUMMYFUNCTION("IFERROR(
  TEXTJOIN(CHAR(10),TRUE,FILTER('SUMMARY DATA'!H:H,'SUMMARY DATA'!$A:$A=$A295,'SUMMARY DATA'!$C:$C=$B295,'SUMMARY DATA'!$B:$B=""RWS"",'SUMMARY DATA'!$H:$H=$D295)),
  IF(
    OR(
      ISNUMBER(SEARCH(""CDM CASH DEPOSIT"",$C295)),
      ISNUMBER(S"&amp;"EARCH(""CASH DEPOSIT"",$C295))
    ),
    """",
    IFERROR(TEXTJOIN(CHAR(10),TRUE,FILTER('SUMMARY DATA'!H:H,'SUMMARY DATA'!$D:$D=$C295,'SUMMARY DATA'!$B:$B=""RWS"",'SUMMARY DATA'!$H:$H=$D295)),"""")
  )
)"),"")</f>
      </c>
      <c r="I295" s="18" t="str">
        <f>IFERROR(__xludf.DUMMYFUNCTION("IF(H295="""","""",
SUM(ARRAYFORMULA(VALUE(SPLIT(H295,CHAR(10)))))
)"),"")</f>
      </c>
      <c r="J295" s="17" t="str">
        <f>IFERROR(__xludf.DUMMYFUNCTION("IFERROR(
  TEXTJOIN(CHAR(10),TRUE,FILTER('SUMMARY DATA'!I:I,'SUMMARY DATA'!$A:$A=$A295,'SUMMARY DATA'!$C:$C=$B295,'SUMMARY DATA'!$B:$B=""RWS"")),
  IF(
    OR(
      ISNUMBER(SEARCH(""CDM CASH DEPOSIT"",$C295)),
      ISNUMBER(SEARCH(""CASH DEPOSIT"",$C29"&amp;"5)),
      COUNTIFS('SUMMARY DATA'!$D:$D,$C295,'SUMMARY DATA'!$B:$B,""RWS"")&lt;&gt;1
    ),
    """",
    IFERROR(TEXTJOIN(CHAR(10),TRUE,FILTER('SUMMARY DATA'!I:I,'SUMMARY DATA'!$D:$D=$C295,'SUMMARY DATA'!$B:$B=""RWS"")),"""")
  )
)"),"")</f>
      </c>
      <c r="K295" s="2"/>
      <c r="L295" s="2"/>
      <c r="M295" s="2"/>
      <c r="N295" s="2"/>
      <c r="O295" s="2"/>
      <c r="P295" s="2"/>
      <c r="Q295" s="2"/>
      <c r="R295" s="2"/>
      <c r="S295" s="2"/>
      <c r="T295" s="2"/>
      <c r="U295" s="2"/>
      <c r="V295" s="2"/>
      <c r="W295" s="2"/>
      <c r="X295" s="2"/>
      <c r="Y295" s="2"/>
      <c r="Z295" s="2"/>
      <c r="AA295" s="2"/>
      <c r="AB295" s="2"/>
    </row>
    <row r="296" spans="1:28" customHeight="true">
      <c r="A296" s="2" t="s">
        <v>450</v>
      </c>
      <c r="B296" s="15">
        <v>45987</v>
      </c>
      <c r="C296" s="2" t="s">
        <v>451</v>
      </c>
      <c r="D296" s="3">
        <v>607.01</v>
      </c>
      <c r="E296" s="16" t="str">
        <f>IFERROR(__xludf.DUMMYFUNCTION("IFERROR(
  TEXTJOIN(CHAR(10),TRUE,FILTER('SUMMARY DATA'!E:E,'SUMMARY DATA'!$A:$A=$A296,'SUMMARY DATA'!$C:$C=$B296,'SUMMARY DATA'!$B:$B=""RWS"")),
  IF(
    OR(
      ISNUMBER(SEARCH(""CDM CASH DEPOSIT"",$C296)),
      ISNUMBER(SEARCH(""CASH DEPOSIT"",$C29"&amp;"6)),
      COUNTIFS('SUMMARY DATA'!$D:$D,$C296,'SUMMARY DATA'!$B:$B,""RWS"")&lt;&gt;1
    ),
    """",
    IFERROR(TEXTJOIN(CHAR(10),TRUE,FILTER('SUMMARY DATA'!E:E,'SUMMARY DATA'!$D:$D=$C296,'SUMMARY DATA'!$B:$B=""RWS"")),"""")
  )
)"),"")</f>
      </c>
      <c r="F296" s="17" t="str">
        <f>IFERROR(__xludf.DUMMYFUNCTION("IFERROR(
  TEXTJOIN(CHAR(10),TRUE,FILTER('SUMMARY DATA'!F:F,'SUMMARY DATA'!$A:$A=$A296,'SUMMARY DATA'!$C:$C=$B296,'SUMMARY DATA'!$B:$B=""RWS"")),
  IF(
    OR(
      ISNUMBER(SEARCH(""CDM CASH DEPOSIT"",$C296)),
      ISNUMBER(SEARCH(""CASH DEPOSIT"",$C29"&amp;"6)),
      COUNTIFS('SUMMARY DATA'!$D:$D,$C296,'SUMMARY DATA'!$B:$B,""RWS"")&lt;&gt;1
    ),
    """",
    IFERROR(TEXTJOIN(CHAR(10),TRUE,FILTER('SUMMARY DATA'!F:F,'SUMMARY DATA'!$D:$D=$C296,'SUMMARY DATA'!$B:$B=""RWS"")),"""")
  )
)"),"")</f>
      </c>
      <c r="G296" s="17" t="str">
        <f>IFERROR(__xludf.DUMMYFUNCTION("IFERROR(
  TEXTJOIN(CHAR(10),TRUE,FILTER('SUMMARY DATA'!G:G,'SUMMARY DATA'!$A:$A=$A296,'SUMMARY DATA'!$C:$C=$B296,'SUMMARY DATA'!$B:$B=""RWS"")),
  IF(
    OR(
      ISNUMBER(SEARCH(""CDM CASH DEPOSIT"",$C296)),
      ISNUMBER(SEARCH(""CASH DEPOSIT"",$C29"&amp;"6)),
      COUNTIFS('SUMMARY DATA'!$D:$D,$C296,'SUMMARY DATA'!$B:$B,""RWS"")&lt;&gt;1
    ),
    """",
    IFERROR(TEXTJOIN(CHAR(10),TRUE,FILTER('SUMMARY DATA'!G:G,'SUMMARY DATA'!$D:$D=$C296,'SUMMARY DATA'!$B:$B=""RWS"")),"""")
  )
)"),"")</f>
      </c>
      <c r="H296" s="18" t="str">
        <f>IFERROR(__xludf.DUMMYFUNCTION("IFERROR(
  TEXTJOIN(CHAR(10),TRUE,FILTER('SUMMARY DATA'!H:H,'SUMMARY DATA'!$A:$A=$A296,'SUMMARY DATA'!$C:$C=$B296,'SUMMARY DATA'!$B:$B=""RWS"",'SUMMARY DATA'!$H:$H=$D296)),
  IF(
    OR(
      ISNUMBER(SEARCH(""CDM CASH DEPOSIT"",$C296)),
      ISNUMBER(S"&amp;"EARCH(""CASH DEPOSIT"",$C296))
    ),
    """",
    IFERROR(TEXTJOIN(CHAR(10),TRUE,FILTER('SUMMARY DATA'!H:H,'SUMMARY DATA'!$D:$D=$C296,'SUMMARY DATA'!$B:$B=""RWS"",'SUMMARY DATA'!$H:$H=$D296)),"""")
  )
)"),"")</f>
      </c>
      <c r="I296" s="18" t="str">
        <f>IFERROR(__xludf.DUMMYFUNCTION("IF(H296="""","""",
SUM(ARRAYFORMULA(VALUE(SPLIT(H296,CHAR(10)))))
)"),"")</f>
      </c>
      <c r="J296" s="17" t="str">
        <f>IFERROR(__xludf.DUMMYFUNCTION("IFERROR(
  TEXTJOIN(CHAR(10),TRUE,FILTER('SUMMARY DATA'!I:I,'SUMMARY DATA'!$A:$A=$A296,'SUMMARY DATA'!$C:$C=$B296,'SUMMARY DATA'!$B:$B=""RWS"")),
  IF(
    OR(
      ISNUMBER(SEARCH(""CDM CASH DEPOSIT"",$C296)),
      ISNUMBER(SEARCH(""CASH DEPOSIT"",$C29"&amp;"6)),
      COUNTIFS('SUMMARY DATA'!$D:$D,$C296,'SUMMARY DATA'!$B:$B,""RWS"")&lt;&gt;1
    ),
    """",
    IFERROR(TEXTJOIN(CHAR(10),TRUE,FILTER('SUMMARY DATA'!I:I,'SUMMARY DATA'!$D:$D=$C296,'SUMMARY DATA'!$B:$B=""RWS"")),"""")
  )
)"),"")</f>
      </c>
      <c r="K296" s="2"/>
      <c r="L296" s="2"/>
      <c r="M296" s="2"/>
      <c r="N296" s="2"/>
      <c r="O296" s="2"/>
      <c r="P296" s="2"/>
      <c r="Q296" s="2"/>
      <c r="R296" s="2"/>
      <c r="S296" s="2"/>
      <c r="T296" s="2"/>
      <c r="U296" s="2"/>
      <c r="V296" s="2"/>
      <c r="W296" s="2"/>
      <c r="X296" s="2"/>
      <c r="Y296" s="2"/>
      <c r="Z296" s="2"/>
      <c r="AA296" s="2"/>
      <c r="AB296" s="2"/>
    </row>
    <row r="297" spans="1:28" customHeight="true">
      <c r="A297" s="2" t="s">
        <v>452</v>
      </c>
      <c r="B297" s="15">
        <v>45985</v>
      </c>
      <c r="C297" s="2" t="s">
        <v>453</v>
      </c>
      <c r="D297" s="3">
        <v>39.46</v>
      </c>
      <c r="E297" s="16" t="str">
        <f>IFERROR(__xludf.DUMMYFUNCTION("IFERROR(
  TEXTJOIN(CHAR(10),TRUE,FILTER('SUMMARY DATA'!E:E,'SUMMARY DATA'!$A:$A=$A297,'SUMMARY DATA'!$C:$C=$B297,'SUMMARY DATA'!$B:$B=""RWS"")),
  IF(
    OR(
      ISNUMBER(SEARCH(""CDM CASH DEPOSIT"",$C297)),
      ISNUMBER(SEARCH(""CASH DEPOSIT"",$C29"&amp;"7)),
      COUNTIFS('SUMMARY DATA'!$D:$D,$C297,'SUMMARY DATA'!$B:$B,""RWS"")&lt;&gt;1
    ),
    """",
    IFERROR(TEXTJOIN(CHAR(10),TRUE,FILTER('SUMMARY DATA'!E:E,'SUMMARY DATA'!$D:$D=$C297,'SUMMARY DATA'!$B:$B=""RWS"")),"""")
  )
)"),"")</f>
      </c>
      <c r="F297" s="17" t="str">
        <f>IFERROR(__xludf.DUMMYFUNCTION("IFERROR(
  TEXTJOIN(CHAR(10),TRUE,FILTER('SUMMARY DATA'!F:F,'SUMMARY DATA'!$A:$A=$A297,'SUMMARY DATA'!$C:$C=$B297,'SUMMARY DATA'!$B:$B=""RWS"")),
  IF(
    OR(
      ISNUMBER(SEARCH(""CDM CASH DEPOSIT"",$C297)),
      ISNUMBER(SEARCH(""CASH DEPOSIT"",$C29"&amp;"7)),
      COUNTIFS('SUMMARY DATA'!$D:$D,$C297,'SUMMARY DATA'!$B:$B,""RWS"")&lt;&gt;1
    ),
    """",
    IFERROR(TEXTJOIN(CHAR(10),TRUE,FILTER('SUMMARY DATA'!F:F,'SUMMARY DATA'!$D:$D=$C297,'SUMMARY DATA'!$B:$B=""RWS"")),"""")
  )
)"),"")</f>
      </c>
      <c r="G297" s="17" t="str">
        <f>IFERROR(__xludf.DUMMYFUNCTION("IFERROR(
  TEXTJOIN(CHAR(10),TRUE,FILTER('SUMMARY DATA'!G:G,'SUMMARY DATA'!$A:$A=$A297,'SUMMARY DATA'!$C:$C=$B297,'SUMMARY DATA'!$B:$B=""RWS"")),
  IF(
    OR(
      ISNUMBER(SEARCH(""CDM CASH DEPOSIT"",$C297)),
      ISNUMBER(SEARCH(""CASH DEPOSIT"",$C29"&amp;"7)),
      COUNTIFS('SUMMARY DATA'!$D:$D,$C297,'SUMMARY DATA'!$B:$B,""RWS"")&lt;&gt;1
    ),
    """",
    IFERROR(TEXTJOIN(CHAR(10),TRUE,FILTER('SUMMARY DATA'!G:G,'SUMMARY DATA'!$D:$D=$C297,'SUMMARY DATA'!$B:$B=""RWS"")),"""")
  )
)"),"")</f>
      </c>
      <c r="H297" s="18" t="str">
        <f>IFERROR(__xludf.DUMMYFUNCTION("IFERROR(
  TEXTJOIN(CHAR(10),TRUE,FILTER('SUMMARY DATA'!H:H,'SUMMARY DATA'!$A:$A=$A297,'SUMMARY DATA'!$C:$C=$B297,'SUMMARY DATA'!$B:$B=""RWS"",'SUMMARY DATA'!$H:$H=$D297)),
  IF(
    OR(
      ISNUMBER(SEARCH(""CDM CASH DEPOSIT"",$C297)),
      ISNUMBER(S"&amp;"EARCH(""CASH DEPOSIT"",$C297))
    ),
    """",
    IFERROR(TEXTJOIN(CHAR(10),TRUE,FILTER('SUMMARY DATA'!H:H,'SUMMARY DATA'!$D:$D=$C297,'SUMMARY DATA'!$B:$B=""RWS"",'SUMMARY DATA'!$H:$H=$D297)),"""")
  )
)"),"")</f>
      </c>
      <c r="I297" s="18" t="str">
        <f>IFERROR(__xludf.DUMMYFUNCTION("IF(H297="""","""",
SUM(ARRAYFORMULA(VALUE(SPLIT(H297,CHAR(10)))))
)"),"")</f>
      </c>
      <c r="J297" s="17" t="str">
        <f>IFERROR(__xludf.DUMMYFUNCTION("IFERROR(
  TEXTJOIN(CHAR(10),TRUE,FILTER('SUMMARY DATA'!I:I,'SUMMARY DATA'!$A:$A=$A297,'SUMMARY DATA'!$C:$C=$B297,'SUMMARY DATA'!$B:$B=""RWS"")),
  IF(
    OR(
      ISNUMBER(SEARCH(""CDM CASH DEPOSIT"",$C297)),
      ISNUMBER(SEARCH(""CASH DEPOSIT"",$C29"&amp;"7)),
      COUNTIFS('SUMMARY DATA'!$D:$D,$C297,'SUMMARY DATA'!$B:$B,""RWS"")&lt;&gt;1
    ),
    """",
    IFERROR(TEXTJOIN(CHAR(10),TRUE,FILTER('SUMMARY DATA'!I:I,'SUMMARY DATA'!$D:$D=$C297,'SUMMARY DATA'!$B:$B=""RWS"")),"""")
  )
)"),"")</f>
      </c>
      <c r="K297" s="2"/>
      <c r="L297" s="2"/>
      <c r="M297" s="2"/>
      <c r="N297" s="2"/>
      <c r="O297" s="2"/>
      <c r="P297" s="2"/>
      <c r="Q297" s="2"/>
      <c r="R297" s="2"/>
      <c r="S297" s="2"/>
      <c r="T297" s="2"/>
      <c r="U297" s="2"/>
      <c r="V297" s="2"/>
      <c r="W297" s="2"/>
      <c r="X297" s="2"/>
      <c r="Y297" s="2"/>
      <c r="Z297" s="2"/>
      <c r="AA297" s="2"/>
      <c r="AB297" s="2"/>
    </row>
    <row r="298" spans="1:28" customHeight="true">
      <c r="A298" s="2" t="s">
        <v>454</v>
      </c>
      <c r="B298" s="15">
        <v>45985</v>
      </c>
      <c r="C298" s="2" t="s">
        <v>455</v>
      </c>
      <c r="D298" s="3">
        <v>5</v>
      </c>
      <c r="E298" s="16" t="str">
        <f>IFERROR(__xludf.DUMMYFUNCTION("IFERROR(
  TEXTJOIN(CHAR(10),TRUE,FILTER('SUMMARY DATA'!E:E,'SUMMARY DATA'!$A:$A=$A298,'SUMMARY DATA'!$C:$C=$B298,'SUMMARY DATA'!$B:$B=""RWS"")),
  IF(
    OR(
      ISNUMBER(SEARCH(""CDM CASH DEPOSIT"",$C298)),
      ISNUMBER(SEARCH(""CASH DEPOSIT"",$C29"&amp;"8)),
      COUNTIFS('SUMMARY DATA'!$D:$D,$C298,'SUMMARY DATA'!$B:$B,""RWS"")&lt;&gt;1
    ),
    """",
    IFERROR(TEXTJOIN(CHAR(10),TRUE,FILTER('SUMMARY DATA'!E:E,'SUMMARY DATA'!$D:$D=$C298,'SUMMARY DATA'!$B:$B=""RWS"")),"""")
  )
)"),"")</f>
      </c>
      <c r="F298" s="17" t="str">
        <f>IFERROR(__xludf.DUMMYFUNCTION("IFERROR(
  TEXTJOIN(CHAR(10),TRUE,FILTER('SUMMARY DATA'!F:F,'SUMMARY DATA'!$A:$A=$A298,'SUMMARY DATA'!$C:$C=$B298,'SUMMARY DATA'!$B:$B=""RWS"")),
  IF(
    OR(
      ISNUMBER(SEARCH(""CDM CASH DEPOSIT"",$C298)),
      ISNUMBER(SEARCH(""CASH DEPOSIT"",$C29"&amp;"8)),
      COUNTIFS('SUMMARY DATA'!$D:$D,$C298,'SUMMARY DATA'!$B:$B,""RWS"")&lt;&gt;1
    ),
    """",
    IFERROR(TEXTJOIN(CHAR(10),TRUE,FILTER('SUMMARY DATA'!F:F,'SUMMARY DATA'!$D:$D=$C298,'SUMMARY DATA'!$B:$B=""RWS"")),"""")
  )
)"),"")</f>
      </c>
      <c r="G298" s="17" t="str">
        <f>IFERROR(__xludf.DUMMYFUNCTION("IFERROR(
  TEXTJOIN(CHAR(10),TRUE,FILTER('SUMMARY DATA'!G:G,'SUMMARY DATA'!$A:$A=$A298,'SUMMARY DATA'!$C:$C=$B298,'SUMMARY DATA'!$B:$B=""RWS"")),
  IF(
    OR(
      ISNUMBER(SEARCH(""CDM CASH DEPOSIT"",$C298)),
      ISNUMBER(SEARCH(""CASH DEPOSIT"",$C29"&amp;"8)),
      COUNTIFS('SUMMARY DATA'!$D:$D,$C298,'SUMMARY DATA'!$B:$B,""RWS"")&lt;&gt;1
    ),
    """",
    IFERROR(TEXTJOIN(CHAR(10),TRUE,FILTER('SUMMARY DATA'!G:G,'SUMMARY DATA'!$D:$D=$C298,'SUMMARY DATA'!$B:$B=""RWS"")),"""")
  )
)"),"")</f>
      </c>
      <c r="H298" s="18" t="str">
        <f>IFERROR(__xludf.DUMMYFUNCTION("IFERROR(
  TEXTJOIN(CHAR(10),TRUE,FILTER('SUMMARY DATA'!H:H,'SUMMARY DATA'!$A:$A=$A298,'SUMMARY DATA'!$C:$C=$B298,'SUMMARY DATA'!$B:$B=""RWS"",'SUMMARY DATA'!$H:$H=$D298)),
  IF(
    OR(
      ISNUMBER(SEARCH(""CDM CASH DEPOSIT"",$C298)),
      ISNUMBER(S"&amp;"EARCH(""CASH DEPOSIT"",$C298))
    ),
    """",
    IFERROR(TEXTJOIN(CHAR(10),TRUE,FILTER('SUMMARY DATA'!H:H,'SUMMARY DATA'!$D:$D=$C298,'SUMMARY DATA'!$B:$B=""RWS"",'SUMMARY DATA'!$H:$H=$D298)),"""")
  )
)"),"")</f>
      </c>
      <c r="I298" s="18" t="str">
        <f>IFERROR(__xludf.DUMMYFUNCTION("IF(H298="""","""",
SUM(ARRAYFORMULA(VALUE(SPLIT(H298,CHAR(10)))))
)"),"")</f>
      </c>
      <c r="J298" s="17" t="str">
        <f>IFERROR(__xludf.DUMMYFUNCTION("IFERROR(
  TEXTJOIN(CHAR(10),TRUE,FILTER('SUMMARY DATA'!I:I,'SUMMARY DATA'!$A:$A=$A298,'SUMMARY DATA'!$C:$C=$B298,'SUMMARY DATA'!$B:$B=""RWS"")),
  IF(
    OR(
      ISNUMBER(SEARCH(""CDM CASH DEPOSIT"",$C298)),
      ISNUMBER(SEARCH(""CASH DEPOSIT"",$C29"&amp;"8)),
      COUNTIFS('SUMMARY DATA'!$D:$D,$C298,'SUMMARY DATA'!$B:$B,""RWS"")&lt;&gt;1
    ),
    """",
    IFERROR(TEXTJOIN(CHAR(10),TRUE,FILTER('SUMMARY DATA'!I:I,'SUMMARY DATA'!$D:$D=$C298,'SUMMARY DATA'!$B:$B=""RWS"")),"""")
  )
)"),"")</f>
      </c>
      <c r="K298" s="2"/>
      <c r="L298" s="2"/>
      <c r="M298" s="2"/>
      <c r="N298" s="2"/>
      <c r="O298" s="2"/>
      <c r="P298" s="2"/>
      <c r="Q298" s="2"/>
      <c r="R298" s="2"/>
      <c r="S298" s="2"/>
      <c r="T298" s="2"/>
      <c r="U298" s="2"/>
      <c r="V298" s="2"/>
      <c r="W298" s="2"/>
      <c r="X298" s="2"/>
      <c r="Y298" s="2"/>
      <c r="Z298" s="2"/>
      <c r="AA298" s="2"/>
      <c r="AB298" s="2"/>
    </row>
    <row r="299" spans="1:28" customHeight="true">
      <c r="A299" s="2" t="s">
        <v>456</v>
      </c>
      <c r="B299" s="15">
        <v>45985</v>
      </c>
      <c r="C299" s="2" t="s">
        <v>457</v>
      </c>
      <c r="D299" s="3">
        <v>10</v>
      </c>
      <c r="E299" s="16" t="s">
        <v>2455</v>
      </c>
      <c r="F299" s="17" t="s">
        <v>2456</v>
      </c>
      <c r="G299" s="17" t="s">
        <v>2393</v>
      </c>
      <c r="H299" s="18">
        <v>10</v>
      </c>
      <c r="I299" s="18">
        <v>10</v>
      </c>
      <c r="J299" s="17" t="s">
        <v>2394</v>
      </c>
      <c r="K299" s="2" t="s">
        <v>2395</v>
      </c>
      <c r="L299" s="2"/>
      <c r="M299" s="2"/>
      <c r="N299" s="2"/>
      <c r="O299" s="2"/>
      <c r="P299" s="2"/>
      <c r="Q299" s="2"/>
      <c r="R299" s="2"/>
      <c r="S299" s="2"/>
      <c r="T299" s="2"/>
      <c r="U299" s="2"/>
      <c r="V299" s="2"/>
      <c r="W299" s="2"/>
      <c r="X299" s="2"/>
      <c r="Y299" s="2"/>
      <c r="Z299" s="2"/>
      <c r="AA299" s="2"/>
      <c r="AB299" s="2"/>
    </row>
    <row r="300" spans="1:28" customHeight="true">
      <c r="A300" s="2" t="s">
        <v>458</v>
      </c>
      <c r="B300" s="15">
        <v>45985</v>
      </c>
      <c r="C300" s="2" t="s">
        <v>48</v>
      </c>
      <c r="D300" s="3">
        <v>290</v>
      </c>
      <c r="E300" s="16" t="str">
        <f>IFERROR(__xludf.DUMMYFUNCTION("IFERROR(
  TEXTJOIN(CHAR(10),TRUE,FILTER('SUMMARY DATA'!E:E,'SUMMARY DATA'!$A:$A=$A300,'SUMMARY DATA'!$C:$C=$B300,'SUMMARY DATA'!$B:$B=""RWS"")),
  IF(
    OR(
      ISNUMBER(SEARCH(""CDM CASH DEPOSIT"",$C300)),
      ISNUMBER(SEARCH(""CASH DEPOSIT"",$C30"&amp;"0)),
      COUNTIFS('SUMMARY DATA'!$D:$D,$C300,'SUMMARY DATA'!$B:$B,""RWS"")&lt;&gt;1
    ),
    """",
    IFERROR(TEXTJOIN(CHAR(10),TRUE,FILTER('SUMMARY DATA'!E:E,'SUMMARY DATA'!$D:$D=$C300,'SUMMARY DATA'!$B:$B=""RWS"")),"""")
  )
)"),"")</f>
      </c>
      <c r="F300" s="17" t="str">
        <f>IFERROR(__xludf.DUMMYFUNCTION("IFERROR(
  TEXTJOIN(CHAR(10),TRUE,FILTER('SUMMARY DATA'!F:F,'SUMMARY DATA'!$A:$A=$A300,'SUMMARY DATA'!$C:$C=$B300,'SUMMARY DATA'!$B:$B=""RWS"")),
  IF(
    OR(
      ISNUMBER(SEARCH(""CDM CASH DEPOSIT"",$C300)),
      ISNUMBER(SEARCH(""CASH DEPOSIT"",$C30"&amp;"0)),
      COUNTIFS('SUMMARY DATA'!$D:$D,$C300,'SUMMARY DATA'!$B:$B,""RWS"")&lt;&gt;1
    ),
    """",
    IFERROR(TEXTJOIN(CHAR(10),TRUE,FILTER('SUMMARY DATA'!F:F,'SUMMARY DATA'!$D:$D=$C300,'SUMMARY DATA'!$B:$B=""RWS"")),"""")
  )
)"),"")</f>
      </c>
      <c r="G300" s="17" t="str">
        <f>IFERROR(__xludf.DUMMYFUNCTION("IFERROR(
  TEXTJOIN(CHAR(10),TRUE,FILTER('SUMMARY DATA'!G:G,'SUMMARY DATA'!$A:$A=$A300,'SUMMARY DATA'!$C:$C=$B300,'SUMMARY DATA'!$B:$B=""RWS"")),
  IF(
    OR(
      ISNUMBER(SEARCH(""CDM CASH DEPOSIT"",$C300)),
      ISNUMBER(SEARCH(""CASH DEPOSIT"",$C30"&amp;"0)),
      COUNTIFS('SUMMARY DATA'!$D:$D,$C300,'SUMMARY DATA'!$B:$B,""RWS"")&lt;&gt;1
    ),
    """",
    IFERROR(TEXTJOIN(CHAR(10),TRUE,FILTER('SUMMARY DATA'!G:G,'SUMMARY DATA'!$D:$D=$C300,'SUMMARY DATA'!$B:$B=""RWS"")),"""")
  )
)"),"")</f>
      </c>
      <c r="H300" s="18" t="str">
        <f>IFERROR(__xludf.DUMMYFUNCTION("IFERROR(
  TEXTJOIN(CHAR(10),TRUE,FILTER('SUMMARY DATA'!H:H,'SUMMARY DATA'!$A:$A=$A300,'SUMMARY DATA'!$C:$C=$B300,'SUMMARY DATA'!$B:$B=""RWS"",'SUMMARY DATA'!$H:$H=$D300)),
  IF(
    OR(
      ISNUMBER(SEARCH(""CDM CASH DEPOSIT"",$C300)),
      ISNUMBER(S"&amp;"EARCH(""CASH DEPOSIT"",$C300))
    ),
    """",
    IFERROR(TEXTJOIN(CHAR(10),TRUE,FILTER('SUMMARY DATA'!H:H,'SUMMARY DATA'!$D:$D=$C300,'SUMMARY DATA'!$B:$B=""RWS"",'SUMMARY DATA'!$H:$H=$D300)),"""")
  )
)"),"")</f>
      </c>
      <c r="I300" s="18" t="str">
        <f>IFERROR(__xludf.DUMMYFUNCTION("IF(H300="""","""",
SUM(ARRAYFORMULA(VALUE(SPLIT(H300,CHAR(10)))))
)"),"")</f>
      </c>
      <c r="J300" s="17" t="str">
        <f>IFERROR(__xludf.DUMMYFUNCTION("IFERROR(
  TEXTJOIN(CHAR(10),TRUE,FILTER('SUMMARY DATA'!I:I,'SUMMARY DATA'!$A:$A=$A300,'SUMMARY DATA'!$C:$C=$B300,'SUMMARY DATA'!$B:$B=""RWS"")),
  IF(
    OR(
      ISNUMBER(SEARCH(""CDM CASH DEPOSIT"",$C300)),
      ISNUMBER(SEARCH(""CASH DEPOSIT"",$C30"&amp;"0)),
      COUNTIFS('SUMMARY DATA'!$D:$D,$C300,'SUMMARY DATA'!$B:$B,""RWS"")&lt;&gt;1
    ),
    """",
    IFERROR(TEXTJOIN(CHAR(10),TRUE,FILTER('SUMMARY DATA'!I:I,'SUMMARY DATA'!$D:$D=$C300,'SUMMARY DATA'!$B:$B=""RWS"")),"""")
  )
)"),"")</f>
      </c>
      <c r="K300" s="2"/>
      <c r="L300" s="2"/>
      <c r="M300" s="2"/>
      <c r="N300" s="2"/>
      <c r="O300" s="2"/>
      <c r="P300" s="2"/>
      <c r="Q300" s="2"/>
      <c r="R300" s="2"/>
      <c r="S300" s="2"/>
      <c r="T300" s="2"/>
      <c r="U300" s="2"/>
      <c r="V300" s="2"/>
      <c r="W300" s="2"/>
      <c r="X300" s="2"/>
      <c r="Y300" s="2"/>
      <c r="Z300" s="2"/>
      <c r="AA300" s="2"/>
      <c r="AB300" s="2"/>
    </row>
    <row r="301" spans="1:28" customHeight="true">
      <c r="A301" s="2" t="s">
        <v>459</v>
      </c>
      <c r="B301" s="15">
        <v>45985</v>
      </c>
      <c r="C301" s="2" t="s">
        <v>460</v>
      </c>
      <c r="D301" s="3">
        <v>109.98</v>
      </c>
      <c r="E301" s="16" t="s">
        <v>2457</v>
      </c>
      <c r="F301" s="17" t="s">
        <v>2458</v>
      </c>
      <c r="G301" s="17" t="s">
        <v>2393</v>
      </c>
      <c r="H301" s="18">
        <v>109.98</v>
      </c>
      <c r="I301" s="18">
        <v>109.98</v>
      </c>
      <c r="J301" s="17" t="s">
        <v>2394</v>
      </c>
      <c r="K301" s="2" t="s">
        <v>2395</v>
      </c>
      <c r="L301" s="2"/>
      <c r="M301" s="2"/>
      <c r="N301" s="2"/>
      <c r="O301" s="2"/>
      <c r="P301" s="2"/>
      <c r="Q301" s="2"/>
      <c r="R301" s="2"/>
      <c r="S301" s="2"/>
      <c r="T301" s="2"/>
      <c r="U301" s="2"/>
      <c r="V301" s="2"/>
      <c r="W301" s="2"/>
      <c r="X301" s="2"/>
      <c r="Y301" s="2"/>
      <c r="Z301" s="2"/>
      <c r="AA301" s="2"/>
      <c r="AB301" s="2"/>
    </row>
    <row r="302" spans="1:28" customHeight="true">
      <c r="A302" s="2" t="s">
        <v>459</v>
      </c>
      <c r="B302" s="15">
        <v>45985</v>
      </c>
      <c r="C302" s="2" t="s">
        <v>460</v>
      </c>
      <c r="D302" s="3">
        <v>40</v>
      </c>
      <c r="E302" s="16" t="str">
        <f>IFERROR(__xludf.DUMMYFUNCTION("IFERROR(
  TEXTJOIN(CHAR(10),TRUE,FILTER('SUMMARY DATA'!E:E,'SUMMARY DATA'!$A:$A=$A302,'SUMMARY DATA'!$C:$C=$B302,'SUMMARY DATA'!$B:$B=""RWS"")),
  IF(
    OR(
      ISNUMBER(SEARCH(""CDM CASH DEPOSIT"",$C302)),
      ISNUMBER(SEARCH(""CASH DEPOSIT"",$C30"&amp;"2)),
      COUNTIFS('SUMMARY DATA'!$D:$D,$C302,'SUMMARY DATA'!$B:$B,""RWS"")&lt;&gt;1
    ),
    """",
    IFERROR(TEXTJOIN(CHAR(10),TRUE,FILTER('SUMMARY DATA'!E:E,'SUMMARY DATA'!$D:$D=$C302,'SUMMARY DATA'!$B:$B=""RWS"")),"""")
  )
)"),"")</f>
      </c>
      <c r="F302" s="17" t="str">
        <f>IFERROR(__xludf.DUMMYFUNCTION("IFERROR(
  TEXTJOIN(CHAR(10),TRUE,FILTER('SUMMARY DATA'!F:F,'SUMMARY DATA'!$A:$A=$A302,'SUMMARY DATA'!$C:$C=$B302,'SUMMARY DATA'!$B:$B=""RWS"")),
  IF(
    OR(
      ISNUMBER(SEARCH(""CDM CASH DEPOSIT"",$C302)),
      ISNUMBER(SEARCH(""CASH DEPOSIT"",$C30"&amp;"2)),
      COUNTIFS('SUMMARY DATA'!$D:$D,$C302,'SUMMARY DATA'!$B:$B,""RWS"")&lt;&gt;1
    ),
    """",
    IFERROR(TEXTJOIN(CHAR(10),TRUE,FILTER('SUMMARY DATA'!F:F,'SUMMARY DATA'!$D:$D=$C302,'SUMMARY DATA'!$B:$B=""RWS"")),"""")
  )
)"),"")</f>
      </c>
      <c r="G302" s="17" t="str">
        <f>IFERROR(__xludf.DUMMYFUNCTION("IFERROR(
  TEXTJOIN(CHAR(10),TRUE,FILTER('SUMMARY DATA'!G:G,'SUMMARY DATA'!$A:$A=$A302,'SUMMARY DATA'!$C:$C=$B302,'SUMMARY DATA'!$B:$B=""RWS"")),
  IF(
    OR(
      ISNUMBER(SEARCH(""CDM CASH DEPOSIT"",$C302)),
      ISNUMBER(SEARCH(""CASH DEPOSIT"",$C30"&amp;"2)),
      COUNTIFS('SUMMARY DATA'!$D:$D,$C302,'SUMMARY DATA'!$B:$B,""RWS"")&lt;&gt;1
    ),
    """",
    IFERROR(TEXTJOIN(CHAR(10),TRUE,FILTER('SUMMARY DATA'!G:G,'SUMMARY DATA'!$D:$D=$C302,'SUMMARY DATA'!$B:$B=""RWS"")),"""")
  )
)"),"")</f>
      </c>
      <c r="H302" s="18" t="str">
        <f>IFERROR(__xludf.DUMMYFUNCTION("IFERROR(
  TEXTJOIN(CHAR(10),TRUE,FILTER('SUMMARY DATA'!H:H,'SUMMARY DATA'!$A:$A=$A302,'SUMMARY DATA'!$C:$C=$B302,'SUMMARY DATA'!$B:$B=""RWS"",'SUMMARY DATA'!$H:$H=$D302)),
  IF(
    OR(
      ISNUMBER(SEARCH(""CDM CASH DEPOSIT"",$C302)),
      ISNUMBER(S"&amp;"EARCH(""CASH DEPOSIT"",$C302))
    ),
    """",
    IFERROR(TEXTJOIN(CHAR(10),TRUE,FILTER('SUMMARY DATA'!H:H,'SUMMARY DATA'!$D:$D=$C302,'SUMMARY DATA'!$B:$B=""RWS"",'SUMMARY DATA'!$H:$H=$D302)),"""")
  )
)"),"")</f>
      </c>
      <c r="I302" s="18" t="str">
        <f>IFERROR(__xludf.DUMMYFUNCTION("IF(H302="""","""",
SUM(ARRAYFORMULA(VALUE(SPLIT(H302,CHAR(10)))))
)"),"")</f>
      </c>
      <c r="J302" s="17" t="str">
        <f>IFERROR(__xludf.DUMMYFUNCTION("IFERROR(
  TEXTJOIN(CHAR(10),TRUE,FILTER('SUMMARY DATA'!I:I,'SUMMARY DATA'!$A:$A=$A302,'SUMMARY DATA'!$C:$C=$B302,'SUMMARY DATA'!$B:$B=""RWS"")),
  IF(
    OR(
      ISNUMBER(SEARCH(""CDM CASH DEPOSIT"",$C302)),
      ISNUMBER(SEARCH(""CASH DEPOSIT"",$C30"&amp;"2)),
      COUNTIFS('SUMMARY DATA'!$D:$D,$C302,'SUMMARY DATA'!$B:$B,""RWS"")&lt;&gt;1
    ),
    """",
    IFERROR(TEXTJOIN(CHAR(10),TRUE,FILTER('SUMMARY DATA'!I:I,'SUMMARY DATA'!$D:$D=$C302,'SUMMARY DATA'!$B:$B=""RWS"")),"""")
  )
)"),"")</f>
      </c>
      <c r="K302" s="2"/>
      <c r="L302" s="2"/>
      <c r="M302" s="2"/>
      <c r="N302" s="2"/>
      <c r="O302" s="2"/>
      <c r="P302" s="2"/>
      <c r="Q302" s="2"/>
      <c r="R302" s="2"/>
      <c r="S302" s="2"/>
      <c r="T302" s="2"/>
      <c r="U302" s="2"/>
      <c r="V302" s="2"/>
      <c r="W302" s="2"/>
      <c r="X302" s="2"/>
      <c r="Y302" s="2"/>
      <c r="Z302" s="2"/>
      <c r="AA302" s="2"/>
      <c r="AB302" s="2"/>
    </row>
    <row r="303" spans="1:28" customHeight="true">
      <c r="A303" s="2" t="s">
        <v>461</v>
      </c>
      <c r="B303" s="15">
        <v>45985</v>
      </c>
      <c r="C303" s="2" t="s">
        <v>462</v>
      </c>
      <c r="D303" s="3">
        <v>20</v>
      </c>
      <c r="E303" s="16" t="str">
        <f>IFERROR(__xludf.DUMMYFUNCTION("IFERROR(
  TEXTJOIN(CHAR(10),TRUE,FILTER('SUMMARY DATA'!E:E,'SUMMARY DATA'!$A:$A=$A303,'SUMMARY DATA'!$C:$C=$B303,'SUMMARY DATA'!$B:$B=""RWS"")),
  IF(
    OR(
      ISNUMBER(SEARCH(""CDM CASH DEPOSIT"",$C303)),
      ISNUMBER(SEARCH(""CASH DEPOSIT"",$C30"&amp;"3)),
      COUNTIFS('SUMMARY DATA'!$D:$D,$C303,'SUMMARY DATA'!$B:$B,""RWS"")&lt;&gt;1
    ),
    """",
    IFERROR(TEXTJOIN(CHAR(10),TRUE,FILTER('SUMMARY DATA'!E:E,'SUMMARY DATA'!$D:$D=$C303,'SUMMARY DATA'!$B:$B=""RWS"")),"""")
  )
)"),"")</f>
      </c>
      <c r="F303" s="17" t="str">
        <f>IFERROR(__xludf.DUMMYFUNCTION("IFERROR(
  TEXTJOIN(CHAR(10),TRUE,FILTER('SUMMARY DATA'!F:F,'SUMMARY DATA'!$A:$A=$A303,'SUMMARY DATA'!$C:$C=$B303,'SUMMARY DATA'!$B:$B=""RWS"")),
  IF(
    OR(
      ISNUMBER(SEARCH(""CDM CASH DEPOSIT"",$C303)),
      ISNUMBER(SEARCH(""CASH DEPOSIT"",$C30"&amp;"3)),
      COUNTIFS('SUMMARY DATA'!$D:$D,$C303,'SUMMARY DATA'!$B:$B,""RWS"")&lt;&gt;1
    ),
    """",
    IFERROR(TEXTJOIN(CHAR(10),TRUE,FILTER('SUMMARY DATA'!F:F,'SUMMARY DATA'!$D:$D=$C303,'SUMMARY DATA'!$B:$B=""RWS"")),"""")
  )
)"),"")</f>
      </c>
      <c r="G303" s="17" t="str">
        <f>IFERROR(__xludf.DUMMYFUNCTION("IFERROR(
  TEXTJOIN(CHAR(10),TRUE,FILTER('SUMMARY DATA'!G:G,'SUMMARY DATA'!$A:$A=$A303,'SUMMARY DATA'!$C:$C=$B303,'SUMMARY DATA'!$B:$B=""RWS"")),
  IF(
    OR(
      ISNUMBER(SEARCH(""CDM CASH DEPOSIT"",$C303)),
      ISNUMBER(SEARCH(""CASH DEPOSIT"",$C30"&amp;"3)),
      COUNTIFS('SUMMARY DATA'!$D:$D,$C303,'SUMMARY DATA'!$B:$B,""RWS"")&lt;&gt;1
    ),
    """",
    IFERROR(TEXTJOIN(CHAR(10),TRUE,FILTER('SUMMARY DATA'!G:G,'SUMMARY DATA'!$D:$D=$C303,'SUMMARY DATA'!$B:$B=""RWS"")),"""")
  )
)"),"")</f>
      </c>
      <c r="H303" s="18" t="str">
        <f>IFERROR(__xludf.DUMMYFUNCTION("IFERROR(
  TEXTJOIN(CHAR(10),TRUE,FILTER('SUMMARY DATA'!H:H,'SUMMARY DATA'!$A:$A=$A303,'SUMMARY DATA'!$C:$C=$B303,'SUMMARY DATA'!$B:$B=""RWS"",'SUMMARY DATA'!$H:$H=$D303)),
  IF(
    OR(
      ISNUMBER(SEARCH(""CDM CASH DEPOSIT"",$C303)),
      ISNUMBER(S"&amp;"EARCH(""CASH DEPOSIT"",$C303))
    ),
    """",
    IFERROR(TEXTJOIN(CHAR(10),TRUE,FILTER('SUMMARY DATA'!H:H,'SUMMARY DATA'!$D:$D=$C303,'SUMMARY DATA'!$B:$B=""RWS"",'SUMMARY DATA'!$H:$H=$D303)),"""")
  )
)"),"")</f>
      </c>
      <c r="I303" s="18" t="str">
        <f>IFERROR(__xludf.DUMMYFUNCTION("IF(H303="""","""",
SUM(ARRAYFORMULA(VALUE(SPLIT(H303,CHAR(10)))))
)"),"")</f>
      </c>
      <c r="J303" s="17" t="str">
        <f>IFERROR(__xludf.DUMMYFUNCTION("IFERROR(
  TEXTJOIN(CHAR(10),TRUE,FILTER('SUMMARY DATA'!I:I,'SUMMARY DATA'!$A:$A=$A303,'SUMMARY DATA'!$C:$C=$B303,'SUMMARY DATA'!$B:$B=""RWS"")),
  IF(
    OR(
      ISNUMBER(SEARCH(""CDM CASH DEPOSIT"",$C303)),
      ISNUMBER(SEARCH(""CASH DEPOSIT"",$C30"&amp;"3)),
      COUNTIFS('SUMMARY DATA'!$D:$D,$C303,'SUMMARY DATA'!$B:$B,""RWS"")&lt;&gt;1
    ),
    """",
    IFERROR(TEXTJOIN(CHAR(10),TRUE,FILTER('SUMMARY DATA'!I:I,'SUMMARY DATA'!$D:$D=$C303,'SUMMARY DATA'!$B:$B=""RWS"")),"""")
  )
)"),"")</f>
      </c>
      <c r="K303" s="2"/>
      <c r="L303" s="2"/>
      <c r="M303" s="2"/>
      <c r="N303" s="2"/>
      <c r="O303" s="2"/>
      <c r="P303" s="2"/>
      <c r="Q303" s="2"/>
      <c r="R303" s="2"/>
      <c r="S303" s="2"/>
      <c r="T303" s="2"/>
      <c r="U303" s="2"/>
      <c r="V303" s="2"/>
      <c r="W303" s="2"/>
      <c r="X303" s="2"/>
      <c r="Y303" s="2"/>
      <c r="Z303" s="2"/>
      <c r="AA303" s="2"/>
      <c r="AB303" s="2"/>
    </row>
    <row r="304" spans="1:28" customHeight="true">
      <c r="A304" s="2" t="s">
        <v>463</v>
      </c>
      <c r="B304" s="15">
        <v>45985</v>
      </c>
      <c r="C304" s="2" t="s">
        <v>464</v>
      </c>
      <c r="D304" s="3">
        <v>10</v>
      </c>
      <c r="E304" s="16" t="str">
        <f>IFERROR(__xludf.DUMMYFUNCTION("IFERROR(
  TEXTJOIN(CHAR(10),TRUE,FILTER('SUMMARY DATA'!E:E,'SUMMARY DATA'!$A:$A=$A304,'SUMMARY DATA'!$C:$C=$B304,'SUMMARY DATA'!$B:$B=""RWS"")),
  IF(
    OR(
      ISNUMBER(SEARCH(""CDM CASH DEPOSIT"",$C304)),
      ISNUMBER(SEARCH(""CASH DEPOSIT"",$C30"&amp;"4)),
      COUNTIFS('SUMMARY DATA'!$D:$D,$C304,'SUMMARY DATA'!$B:$B,""RWS"")&lt;&gt;1
    ),
    """",
    IFERROR(TEXTJOIN(CHAR(10),TRUE,FILTER('SUMMARY DATA'!E:E,'SUMMARY DATA'!$D:$D=$C304,'SUMMARY DATA'!$B:$B=""RWS"")),"""")
  )
)"),"")</f>
      </c>
      <c r="F304" s="17" t="str">
        <f>IFERROR(__xludf.DUMMYFUNCTION("IFERROR(
  TEXTJOIN(CHAR(10),TRUE,FILTER('SUMMARY DATA'!F:F,'SUMMARY DATA'!$A:$A=$A304,'SUMMARY DATA'!$C:$C=$B304,'SUMMARY DATA'!$B:$B=""RWS"")),
  IF(
    OR(
      ISNUMBER(SEARCH(""CDM CASH DEPOSIT"",$C304)),
      ISNUMBER(SEARCH(""CASH DEPOSIT"",$C30"&amp;"4)),
      COUNTIFS('SUMMARY DATA'!$D:$D,$C304,'SUMMARY DATA'!$B:$B,""RWS"")&lt;&gt;1
    ),
    """",
    IFERROR(TEXTJOIN(CHAR(10),TRUE,FILTER('SUMMARY DATA'!F:F,'SUMMARY DATA'!$D:$D=$C304,'SUMMARY DATA'!$B:$B=""RWS"")),"""")
  )
)"),"")</f>
      </c>
      <c r="G304" s="17" t="str">
        <f>IFERROR(__xludf.DUMMYFUNCTION("IFERROR(
  TEXTJOIN(CHAR(10),TRUE,FILTER('SUMMARY DATA'!G:G,'SUMMARY DATA'!$A:$A=$A304,'SUMMARY DATA'!$C:$C=$B304,'SUMMARY DATA'!$B:$B=""RWS"")),
  IF(
    OR(
      ISNUMBER(SEARCH(""CDM CASH DEPOSIT"",$C304)),
      ISNUMBER(SEARCH(""CASH DEPOSIT"",$C30"&amp;"4)),
      COUNTIFS('SUMMARY DATA'!$D:$D,$C304,'SUMMARY DATA'!$B:$B,""RWS"")&lt;&gt;1
    ),
    """",
    IFERROR(TEXTJOIN(CHAR(10),TRUE,FILTER('SUMMARY DATA'!G:G,'SUMMARY DATA'!$D:$D=$C304,'SUMMARY DATA'!$B:$B=""RWS"")),"""")
  )
)"),"")</f>
      </c>
      <c r="H304" s="18" t="str">
        <f>IFERROR(__xludf.DUMMYFUNCTION("IFERROR(
  TEXTJOIN(CHAR(10),TRUE,FILTER('SUMMARY DATA'!H:H,'SUMMARY DATA'!$A:$A=$A304,'SUMMARY DATA'!$C:$C=$B304,'SUMMARY DATA'!$B:$B=""RWS"",'SUMMARY DATA'!$H:$H=$D304)),
  IF(
    OR(
      ISNUMBER(SEARCH(""CDM CASH DEPOSIT"",$C304)),
      ISNUMBER(S"&amp;"EARCH(""CASH DEPOSIT"",$C304))
    ),
    """",
    IFERROR(TEXTJOIN(CHAR(10),TRUE,FILTER('SUMMARY DATA'!H:H,'SUMMARY DATA'!$D:$D=$C304,'SUMMARY DATA'!$B:$B=""RWS"",'SUMMARY DATA'!$H:$H=$D304)),"""")
  )
)"),"")</f>
      </c>
      <c r="I304" s="18" t="str">
        <f>IFERROR(__xludf.DUMMYFUNCTION("IF(H304="""","""",
SUM(ARRAYFORMULA(VALUE(SPLIT(H304,CHAR(10)))))
)"),"")</f>
      </c>
      <c r="J304" s="17" t="str">
        <f>IFERROR(__xludf.DUMMYFUNCTION("IFERROR(
  TEXTJOIN(CHAR(10),TRUE,FILTER('SUMMARY DATA'!I:I,'SUMMARY DATA'!$A:$A=$A304,'SUMMARY DATA'!$C:$C=$B304,'SUMMARY DATA'!$B:$B=""RWS"")),
  IF(
    OR(
      ISNUMBER(SEARCH(""CDM CASH DEPOSIT"",$C304)),
      ISNUMBER(SEARCH(""CASH DEPOSIT"",$C30"&amp;"4)),
      COUNTIFS('SUMMARY DATA'!$D:$D,$C304,'SUMMARY DATA'!$B:$B,""RWS"")&lt;&gt;1
    ),
    """",
    IFERROR(TEXTJOIN(CHAR(10),TRUE,FILTER('SUMMARY DATA'!I:I,'SUMMARY DATA'!$D:$D=$C304,'SUMMARY DATA'!$B:$B=""RWS"")),"""")
  )
)"),"")</f>
      </c>
      <c r="K304" s="2"/>
      <c r="L304" s="2"/>
      <c r="M304" s="2"/>
      <c r="N304" s="2"/>
      <c r="O304" s="2"/>
      <c r="P304" s="2"/>
      <c r="Q304" s="2"/>
      <c r="R304" s="2"/>
      <c r="S304" s="2"/>
      <c r="T304" s="2"/>
      <c r="U304" s="2"/>
      <c r="V304" s="2"/>
      <c r="W304" s="2"/>
      <c r="X304" s="2"/>
      <c r="Y304" s="2"/>
      <c r="Z304" s="2"/>
      <c r="AA304" s="2"/>
      <c r="AB304" s="2"/>
    </row>
    <row r="305" spans="1:28" customHeight="true">
      <c r="A305" s="2" t="s">
        <v>465</v>
      </c>
      <c r="B305" s="15">
        <v>45984</v>
      </c>
      <c r="C305" s="2" t="s">
        <v>466</v>
      </c>
      <c r="D305" s="3">
        <v>3.5</v>
      </c>
      <c r="E305" s="16" t="str">
        <f>IFERROR(__xludf.DUMMYFUNCTION("IFERROR(
  TEXTJOIN(CHAR(10),TRUE,FILTER('SUMMARY DATA'!E:E,'SUMMARY DATA'!$A:$A=$A305,'SUMMARY DATA'!$C:$C=$B305,'SUMMARY DATA'!$B:$B=""RWS"")),
  IF(
    OR(
      ISNUMBER(SEARCH(""CDM CASH DEPOSIT"",$C305)),
      ISNUMBER(SEARCH(""CASH DEPOSIT"",$C30"&amp;"5)),
      COUNTIFS('SUMMARY DATA'!$D:$D,$C305,'SUMMARY DATA'!$B:$B,""RWS"")&lt;&gt;1
    ),
    """",
    IFERROR(TEXTJOIN(CHAR(10),TRUE,FILTER('SUMMARY DATA'!E:E,'SUMMARY DATA'!$D:$D=$C305,'SUMMARY DATA'!$B:$B=""RWS"")),"""")
  )
)"),"")</f>
      </c>
      <c r="F305" s="17" t="str">
        <f>IFERROR(__xludf.DUMMYFUNCTION("IFERROR(
  TEXTJOIN(CHAR(10),TRUE,FILTER('SUMMARY DATA'!F:F,'SUMMARY DATA'!$A:$A=$A305,'SUMMARY DATA'!$C:$C=$B305,'SUMMARY DATA'!$B:$B=""RWS"")),
  IF(
    OR(
      ISNUMBER(SEARCH(""CDM CASH DEPOSIT"",$C305)),
      ISNUMBER(SEARCH(""CASH DEPOSIT"",$C30"&amp;"5)),
      COUNTIFS('SUMMARY DATA'!$D:$D,$C305,'SUMMARY DATA'!$B:$B,""RWS"")&lt;&gt;1
    ),
    """",
    IFERROR(TEXTJOIN(CHAR(10),TRUE,FILTER('SUMMARY DATA'!F:F,'SUMMARY DATA'!$D:$D=$C305,'SUMMARY DATA'!$B:$B=""RWS"")),"""")
  )
)"),"")</f>
      </c>
      <c r="G305" s="17" t="str">
        <f>IFERROR(__xludf.DUMMYFUNCTION("IFERROR(
  TEXTJOIN(CHAR(10),TRUE,FILTER('SUMMARY DATA'!G:G,'SUMMARY DATA'!$A:$A=$A305,'SUMMARY DATA'!$C:$C=$B305,'SUMMARY DATA'!$B:$B=""RWS"")),
  IF(
    OR(
      ISNUMBER(SEARCH(""CDM CASH DEPOSIT"",$C305)),
      ISNUMBER(SEARCH(""CASH DEPOSIT"",$C30"&amp;"5)),
      COUNTIFS('SUMMARY DATA'!$D:$D,$C305,'SUMMARY DATA'!$B:$B,""RWS"")&lt;&gt;1
    ),
    """",
    IFERROR(TEXTJOIN(CHAR(10),TRUE,FILTER('SUMMARY DATA'!G:G,'SUMMARY DATA'!$D:$D=$C305,'SUMMARY DATA'!$B:$B=""RWS"")),"""")
  )
)"),"")</f>
      </c>
      <c r="H305" s="18" t="str">
        <f>IFERROR(__xludf.DUMMYFUNCTION("IFERROR(
  TEXTJOIN(CHAR(10),TRUE,FILTER('SUMMARY DATA'!H:H,'SUMMARY DATA'!$A:$A=$A305,'SUMMARY DATA'!$C:$C=$B305,'SUMMARY DATA'!$B:$B=""RWS"",'SUMMARY DATA'!$H:$H=$D305)),
  IF(
    OR(
      ISNUMBER(SEARCH(""CDM CASH DEPOSIT"",$C305)),
      ISNUMBER(S"&amp;"EARCH(""CASH DEPOSIT"",$C305))
    ),
    """",
    IFERROR(TEXTJOIN(CHAR(10),TRUE,FILTER('SUMMARY DATA'!H:H,'SUMMARY DATA'!$D:$D=$C305,'SUMMARY DATA'!$B:$B=""RWS"",'SUMMARY DATA'!$H:$H=$D305)),"""")
  )
)"),"")</f>
      </c>
      <c r="I305" s="18" t="str">
        <f>IFERROR(__xludf.DUMMYFUNCTION("IF(H305="""","""",
SUM(ARRAYFORMULA(VALUE(SPLIT(H305,CHAR(10)))))
)"),"")</f>
      </c>
      <c r="J305" s="17" t="str">
        <f>IFERROR(__xludf.DUMMYFUNCTION("IFERROR(
  TEXTJOIN(CHAR(10),TRUE,FILTER('SUMMARY DATA'!I:I,'SUMMARY DATA'!$A:$A=$A305,'SUMMARY DATA'!$C:$C=$B305,'SUMMARY DATA'!$B:$B=""RWS"")),
  IF(
    OR(
      ISNUMBER(SEARCH(""CDM CASH DEPOSIT"",$C305)),
      ISNUMBER(SEARCH(""CASH DEPOSIT"",$C30"&amp;"5)),
      COUNTIFS('SUMMARY DATA'!$D:$D,$C305,'SUMMARY DATA'!$B:$B,""RWS"")&lt;&gt;1
    ),
    """",
    IFERROR(TEXTJOIN(CHAR(10),TRUE,FILTER('SUMMARY DATA'!I:I,'SUMMARY DATA'!$D:$D=$C305,'SUMMARY DATA'!$B:$B=""RWS"")),"""")
  )
)"),"")</f>
      </c>
      <c r="K305" s="2"/>
      <c r="L305" s="2"/>
      <c r="M305" s="2"/>
      <c r="N305" s="2"/>
      <c r="O305" s="2"/>
      <c r="P305" s="2"/>
      <c r="Q305" s="2"/>
      <c r="R305" s="2"/>
      <c r="S305" s="2"/>
      <c r="T305" s="2"/>
      <c r="U305" s="2"/>
      <c r="V305" s="2"/>
      <c r="W305" s="2"/>
      <c r="X305" s="2"/>
      <c r="Y305" s="2"/>
      <c r="Z305" s="2"/>
      <c r="AA305" s="2"/>
      <c r="AB305" s="2"/>
    </row>
    <row r="306" spans="1:28" customHeight="true">
      <c r="A306" s="2" t="s">
        <v>467</v>
      </c>
      <c r="B306" s="15">
        <v>45984</v>
      </c>
      <c r="C306" s="2" t="s">
        <v>468</v>
      </c>
      <c r="D306" s="3">
        <v>116.99</v>
      </c>
      <c r="E306" s="16" t="str">
        <f>IFERROR(__xludf.DUMMYFUNCTION("IFERROR(
  TEXTJOIN(CHAR(10),TRUE,FILTER('SUMMARY DATA'!E:E,'SUMMARY DATA'!$A:$A=$A306,'SUMMARY DATA'!$C:$C=$B306,'SUMMARY DATA'!$B:$B=""RWS"")),
  IF(
    OR(
      ISNUMBER(SEARCH(""CDM CASH DEPOSIT"",$C306)),
      ISNUMBER(SEARCH(""CASH DEPOSIT"",$C30"&amp;"6)),
      COUNTIFS('SUMMARY DATA'!$D:$D,$C306,'SUMMARY DATA'!$B:$B,""RWS"")&lt;&gt;1
    ),
    """",
    IFERROR(TEXTJOIN(CHAR(10),TRUE,FILTER('SUMMARY DATA'!E:E,'SUMMARY DATA'!$D:$D=$C306,'SUMMARY DATA'!$B:$B=""RWS"")),"""")
  )
)"),"")</f>
      </c>
      <c r="F306" s="17" t="str">
        <f>IFERROR(__xludf.DUMMYFUNCTION("IFERROR(
  TEXTJOIN(CHAR(10),TRUE,FILTER('SUMMARY DATA'!F:F,'SUMMARY DATA'!$A:$A=$A306,'SUMMARY DATA'!$C:$C=$B306,'SUMMARY DATA'!$B:$B=""RWS"")),
  IF(
    OR(
      ISNUMBER(SEARCH(""CDM CASH DEPOSIT"",$C306)),
      ISNUMBER(SEARCH(""CASH DEPOSIT"",$C30"&amp;"6)),
      COUNTIFS('SUMMARY DATA'!$D:$D,$C306,'SUMMARY DATA'!$B:$B,""RWS"")&lt;&gt;1
    ),
    """",
    IFERROR(TEXTJOIN(CHAR(10),TRUE,FILTER('SUMMARY DATA'!F:F,'SUMMARY DATA'!$D:$D=$C306,'SUMMARY DATA'!$B:$B=""RWS"")),"""")
  )
)"),"")</f>
      </c>
      <c r="G306" s="17" t="str">
        <f>IFERROR(__xludf.DUMMYFUNCTION("IFERROR(
  TEXTJOIN(CHAR(10),TRUE,FILTER('SUMMARY DATA'!G:G,'SUMMARY DATA'!$A:$A=$A306,'SUMMARY DATA'!$C:$C=$B306,'SUMMARY DATA'!$B:$B=""RWS"")),
  IF(
    OR(
      ISNUMBER(SEARCH(""CDM CASH DEPOSIT"",$C306)),
      ISNUMBER(SEARCH(""CASH DEPOSIT"",$C30"&amp;"6)),
      COUNTIFS('SUMMARY DATA'!$D:$D,$C306,'SUMMARY DATA'!$B:$B,""RWS"")&lt;&gt;1
    ),
    """",
    IFERROR(TEXTJOIN(CHAR(10),TRUE,FILTER('SUMMARY DATA'!G:G,'SUMMARY DATA'!$D:$D=$C306,'SUMMARY DATA'!$B:$B=""RWS"")),"""")
  )
)"),"")</f>
      </c>
      <c r="H306" s="18" t="str">
        <f>IFERROR(__xludf.DUMMYFUNCTION("IFERROR(
  TEXTJOIN(CHAR(10),TRUE,FILTER('SUMMARY DATA'!H:H,'SUMMARY DATA'!$A:$A=$A306,'SUMMARY DATA'!$C:$C=$B306,'SUMMARY DATA'!$B:$B=""RWS"",'SUMMARY DATA'!$H:$H=$D306)),
  IF(
    OR(
      ISNUMBER(SEARCH(""CDM CASH DEPOSIT"",$C306)),
      ISNUMBER(S"&amp;"EARCH(""CASH DEPOSIT"",$C306))
    ),
    """",
    IFERROR(TEXTJOIN(CHAR(10),TRUE,FILTER('SUMMARY DATA'!H:H,'SUMMARY DATA'!$D:$D=$C306,'SUMMARY DATA'!$B:$B=""RWS"",'SUMMARY DATA'!$H:$H=$D306)),"""")
  )
)"),"")</f>
      </c>
      <c r="I306" s="18" t="str">
        <f>IFERROR(__xludf.DUMMYFUNCTION("IF(H306="""","""",
SUM(ARRAYFORMULA(VALUE(SPLIT(H306,CHAR(10)))))
)"),"")</f>
      </c>
      <c r="J306" s="17" t="str">
        <f>IFERROR(__xludf.DUMMYFUNCTION("IFERROR(
  TEXTJOIN(CHAR(10),TRUE,FILTER('SUMMARY DATA'!I:I,'SUMMARY DATA'!$A:$A=$A306,'SUMMARY DATA'!$C:$C=$B306,'SUMMARY DATA'!$B:$B=""RWS"")),
  IF(
    OR(
      ISNUMBER(SEARCH(""CDM CASH DEPOSIT"",$C306)),
      ISNUMBER(SEARCH(""CASH DEPOSIT"",$C30"&amp;"6)),
      COUNTIFS('SUMMARY DATA'!$D:$D,$C306,'SUMMARY DATA'!$B:$B,""RWS"")&lt;&gt;1
    ),
    """",
    IFERROR(TEXTJOIN(CHAR(10),TRUE,FILTER('SUMMARY DATA'!I:I,'SUMMARY DATA'!$D:$D=$C306,'SUMMARY DATA'!$B:$B=""RWS"")),"""")
  )
)"),"")</f>
      </c>
      <c r="K306" s="2"/>
      <c r="L306" s="2"/>
      <c r="M306" s="2"/>
      <c r="N306" s="2"/>
      <c r="O306" s="2"/>
      <c r="P306" s="2"/>
      <c r="Q306" s="2"/>
      <c r="R306" s="2"/>
      <c r="S306" s="2"/>
      <c r="T306" s="2"/>
      <c r="U306" s="2"/>
      <c r="V306" s="2"/>
      <c r="W306" s="2"/>
      <c r="X306" s="2"/>
      <c r="Y306" s="2"/>
      <c r="Z306" s="2"/>
      <c r="AA306" s="2"/>
      <c r="AB306" s="2"/>
    </row>
    <row r="307" spans="1:28" customHeight="true">
      <c r="A307" s="2" t="s">
        <v>469</v>
      </c>
      <c r="B307" s="15">
        <v>45984</v>
      </c>
      <c r="C307" s="2" t="s">
        <v>470</v>
      </c>
      <c r="D307" s="3">
        <v>21.99</v>
      </c>
      <c r="E307" s="16" t="s">
        <v>2457</v>
      </c>
      <c r="F307" s="17" t="s">
        <v>2459</v>
      </c>
      <c r="G307" s="17" t="s">
        <v>2393</v>
      </c>
      <c r="H307" s="18">
        <v>21.99</v>
      </c>
      <c r="I307" s="18">
        <v>21.99</v>
      </c>
      <c r="J307" s="17" t="s">
        <v>2394</v>
      </c>
      <c r="K307" s="2" t="s">
        <v>2395</v>
      </c>
      <c r="L307" s="2"/>
      <c r="M307" s="2"/>
      <c r="N307" s="2"/>
      <c r="O307" s="2"/>
      <c r="P307" s="2"/>
      <c r="Q307" s="2"/>
      <c r="R307" s="2"/>
      <c r="S307" s="2"/>
      <c r="T307" s="2"/>
      <c r="U307" s="2"/>
      <c r="V307" s="2"/>
      <c r="W307" s="2"/>
      <c r="X307" s="2"/>
      <c r="Y307" s="2"/>
      <c r="Z307" s="2"/>
      <c r="AA307" s="2"/>
      <c r="AB307" s="2"/>
    </row>
    <row r="308" spans="1:28" customHeight="true">
      <c r="A308" s="2" t="s">
        <v>456</v>
      </c>
      <c r="B308" s="15">
        <v>45984</v>
      </c>
      <c r="C308" s="2" t="s">
        <v>457</v>
      </c>
      <c r="D308" s="3">
        <v>50.65</v>
      </c>
      <c r="E308" s="16" t="str">
        <f>IFERROR(__xludf.DUMMYFUNCTION("IFERROR(
  TEXTJOIN(CHAR(10),TRUE,FILTER('SUMMARY DATA'!E:E,'SUMMARY DATA'!$A:$A=$A308,'SUMMARY DATA'!$C:$C=$B308,'SUMMARY DATA'!$B:$B=""RWS"")),
  IF(
    OR(
      ISNUMBER(SEARCH(""CDM CASH DEPOSIT"",$C308)),
      ISNUMBER(SEARCH(""CASH DEPOSIT"",$C30"&amp;"8)),
      COUNTIFS('SUMMARY DATA'!$D:$D,$C308,'SUMMARY DATA'!$B:$B,""RWS"")&lt;&gt;1
    ),
    """",
    IFERROR(TEXTJOIN(CHAR(10),TRUE,FILTER('SUMMARY DATA'!E:E,'SUMMARY DATA'!$D:$D=$C308,'SUMMARY DATA'!$B:$B=""RWS"")),"""")
  )
)"),"")</f>
      </c>
      <c r="F308" s="17" t="str">
        <f>IFERROR(__xludf.DUMMYFUNCTION("IFERROR(
  TEXTJOIN(CHAR(10),TRUE,FILTER('SUMMARY DATA'!F:F,'SUMMARY DATA'!$A:$A=$A308,'SUMMARY DATA'!$C:$C=$B308,'SUMMARY DATA'!$B:$B=""RWS"")),
  IF(
    OR(
      ISNUMBER(SEARCH(""CDM CASH DEPOSIT"",$C308)),
      ISNUMBER(SEARCH(""CASH DEPOSIT"",$C30"&amp;"8)),
      COUNTIFS('SUMMARY DATA'!$D:$D,$C308,'SUMMARY DATA'!$B:$B,""RWS"")&lt;&gt;1
    ),
    """",
    IFERROR(TEXTJOIN(CHAR(10),TRUE,FILTER('SUMMARY DATA'!F:F,'SUMMARY DATA'!$D:$D=$C308,'SUMMARY DATA'!$B:$B=""RWS"")),"""")
  )
)"),"")</f>
      </c>
      <c r="G308" s="17" t="str">
        <f>IFERROR(__xludf.DUMMYFUNCTION("IFERROR(
  TEXTJOIN(CHAR(10),TRUE,FILTER('SUMMARY DATA'!G:G,'SUMMARY DATA'!$A:$A=$A308,'SUMMARY DATA'!$C:$C=$B308,'SUMMARY DATA'!$B:$B=""RWS"")),
  IF(
    OR(
      ISNUMBER(SEARCH(""CDM CASH DEPOSIT"",$C308)),
      ISNUMBER(SEARCH(""CASH DEPOSIT"",$C30"&amp;"8)),
      COUNTIFS('SUMMARY DATA'!$D:$D,$C308,'SUMMARY DATA'!$B:$B,""RWS"")&lt;&gt;1
    ),
    """",
    IFERROR(TEXTJOIN(CHAR(10),TRUE,FILTER('SUMMARY DATA'!G:G,'SUMMARY DATA'!$D:$D=$C308,'SUMMARY DATA'!$B:$B=""RWS"")),"""")
  )
)"),"")</f>
      </c>
      <c r="H308" s="18" t="str">
        <f>IFERROR(__xludf.DUMMYFUNCTION("IFERROR(
  TEXTJOIN(CHAR(10),TRUE,FILTER('SUMMARY DATA'!H:H,'SUMMARY DATA'!$A:$A=$A308,'SUMMARY DATA'!$C:$C=$B308,'SUMMARY DATA'!$B:$B=""RWS"",'SUMMARY DATA'!$H:$H=$D308)),
  IF(
    OR(
      ISNUMBER(SEARCH(""CDM CASH DEPOSIT"",$C308)),
      ISNUMBER(S"&amp;"EARCH(""CASH DEPOSIT"",$C308))
    ),
    """",
    IFERROR(TEXTJOIN(CHAR(10),TRUE,FILTER('SUMMARY DATA'!H:H,'SUMMARY DATA'!$D:$D=$C308,'SUMMARY DATA'!$B:$B=""RWS"",'SUMMARY DATA'!$H:$H=$D308)),"""")
  )
)"),"")</f>
      </c>
      <c r="I308" s="18" t="str">
        <f>IFERROR(__xludf.DUMMYFUNCTION("IF(H308="""","""",
SUM(ARRAYFORMULA(VALUE(SPLIT(H308,CHAR(10)))))
)"),"")</f>
      </c>
      <c r="J308" s="17" t="str">
        <f>IFERROR(__xludf.DUMMYFUNCTION("IFERROR(
  TEXTJOIN(CHAR(10),TRUE,FILTER('SUMMARY DATA'!I:I,'SUMMARY DATA'!$A:$A=$A308,'SUMMARY DATA'!$C:$C=$B308,'SUMMARY DATA'!$B:$B=""RWS"")),
  IF(
    OR(
      ISNUMBER(SEARCH(""CDM CASH DEPOSIT"",$C308)),
      ISNUMBER(SEARCH(""CASH DEPOSIT"",$C30"&amp;"8)),
      COUNTIFS('SUMMARY DATA'!$D:$D,$C308,'SUMMARY DATA'!$B:$B,""RWS"")&lt;&gt;1
    ),
    """",
    IFERROR(TEXTJOIN(CHAR(10),TRUE,FILTER('SUMMARY DATA'!I:I,'SUMMARY DATA'!$D:$D=$C308,'SUMMARY DATA'!$B:$B=""RWS"")),"""")
  )
)"),"")</f>
      </c>
      <c r="K308" s="2"/>
      <c r="L308" s="2"/>
      <c r="M308" s="2"/>
      <c r="N308" s="2"/>
      <c r="O308" s="2"/>
      <c r="P308" s="2"/>
      <c r="Q308" s="2"/>
      <c r="R308" s="2"/>
      <c r="S308" s="2"/>
      <c r="T308" s="2"/>
      <c r="U308" s="2"/>
      <c r="V308" s="2"/>
      <c r="W308" s="2"/>
      <c r="X308" s="2"/>
      <c r="Y308" s="2"/>
      <c r="Z308" s="2"/>
      <c r="AA308" s="2"/>
      <c r="AB308" s="2"/>
    </row>
    <row r="309" spans="1:28" customHeight="true">
      <c r="A309" s="2" t="s">
        <v>471</v>
      </c>
      <c r="B309" s="15">
        <v>45984</v>
      </c>
      <c r="C309" s="2" t="s">
        <v>472</v>
      </c>
      <c r="D309" s="3">
        <v>10</v>
      </c>
      <c r="E309" s="16" t="str">
        <f>IFERROR(__xludf.DUMMYFUNCTION("IFERROR(
  TEXTJOIN(CHAR(10),TRUE,FILTER('SUMMARY DATA'!E:E,'SUMMARY DATA'!$A:$A=$A309,'SUMMARY DATA'!$C:$C=$B309,'SUMMARY DATA'!$B:$B=""RWS"")),
  IF(
    OR(
      ISNUMBER(SEARCH(""CDM CASH DEPOSIT"",$C309)),
      ISNUMBER(SEARCH(""CASH DEPOSIT"",$C30"&amp;"9)),
      COUNTIFS('SUMMARY DATA'!$D:$D,$C309,'SUMMARY DATA'!$B:$B,""RWS"")&lt;&gt;1
    ),
    """",
    IFERROR(TEXTJOIN(CHAR(10),TRUE,FILTER('SUMMARY DATA'!E:E,'SUMMARY DATA'!$D:$D=$C309,'SUMMARY DATA'!$B:$B=""RWS"")),"""")
  )
)"),"")</f>
      </c>
      <c r="F309" s="17" t="str">
        <f>IFERROR(__xludf.DUMMYFUNCTION("IFERROR(
  TEXTJOIN(CHAR(10),TRUE,FILTER('SUMMARY DATA'!F:F,'SUMMARY DATA'!$A:$A=$A309,'SUMMARY DATA'!$C:$C=$B309,'SUMMARY DATA'!$B:$B=""RWS"")),
  IF(
    OR(
      ISNUMBER(SEARCH(""CDM CASH DEPOSIT"",$C309)),
      ISNUMBER(SEARCH(""CASH DEPOSIT"",$C30"&amp;"9)),
      COUNTIFS('SUMMARY DATA'!$D:$D,$C309,'SUMMARY DATA'!$B:$B,""RWS"")&lt;&gt;1
    ),
    """",
    IFERROR(TEXTJOIN(CHAR(10),TRUE,FILTER('SUMMARY DATA'!F:F,'SUMMARY DATA'!$D:$D=$C309,'SUMMARY DATA'!$B:$B=""RWS"")),"""")
  )
)"),"")</f>
      </c>
      <c r="G309" s="17" t="str">
        <f>IFERROR(__xludf.DUMMYFUNCTION("IFERROR(
  TEXTJOIN(CHAR(10),TRUE,FILTER('SUMMARY DATA'!G:G,'SUMMARY DATA'!$A:$A=$A309,'SUMMARY DATA'!$C:$C=$B309,'SUMMARY DATA'!$B:$B=""RWS"")),
  IF(
    OR(
      ISNUMBER(SEARCH(""CDM CASH DEPOSIT"",$C309)),
      ISNUMBER(SEARCH(""CASH DEPOSIT"",$C30"&amp;"9)),
      COUNTIFS('SUMMARY DATA'!$D:$D,$C309,'SUMMARY DATA'!$B:$B,""RWS"")&lt;&gt;1
    ),
    """",
    IFERROR(TEXTJOIN(CHAR(10),TRUE,FILTER('SUMMARY DATA'!G:G,'SUMMARY DATA'!$D:$D=$C309,'SUMMARY DATA'!$B:$B=""RWS"")),"""")
  )
)"),"")</f>
      </c>
      <c r="H309" s="18" t="str">
        <f>IFERROR(__xludf.DUMMYFUNCTION("IFERROR(
  TEXTJOIN(CHAR(10),TRUE,FILTER('SUMMARY DATA'!H:H,'SUMMARY DATA'!$A:$A=$A309,'SUMMARY DATA'!$C:$C=$B309,'SUMMARY DATA'!$B:$B=""RWS"",'SUMMARY DATA'!$H:$H=$D309)),
  IF(
    OR(
      ISNUMBER(SEARCH(""CDM CASH DEPOSIT"",$C309)),
      ISNUMBER(S"&amp;"EARCH(""CASH DEPOSIT"",$C309))
    ),
    """",
    IFERROR(TEXTJOIN(CHAR(10),TRUE,FILTER('SUMMARY DATA'!H:H,'SUMMARY DATA'!$D:$D=$C309,'SUMMARY DATA'!$B:$B=""RWS"",'SUMMARY DATA'!$H:$H=$D309)),"""")
  )
)"),"")</f>
      </c>
      <c r="I309" s="18" t="str">
        <f>IFERROR(__xludf.DUMMYFUNCTION("IF(H309="""","""",
SUM(ARRAYFORMULA(VALUE(SPLIT(H309,CHAR(10)))))
)"),"")</f>
      </c>
      <c r="J309" s="17" t="str">
        <f>IFERROR(__xludf.DUMMYFUNCTION("IFERROR(
  TEXTJOIN(CHAR(10),TRUE,FILTER('SUMMARY DATA'!I:I,'SUMMARY DATA'!$A:$A=$A309,'SUMMARY DATA'!$C:$C=$B309,'SUMMARY DATA'!$B:$B=""RWS"")),
  IF(
    OR(
      ISNUMBER(SEARCH(""CDM CASH DEPOSIT"",$C309)),
      ISNUMBER(SEARCH(""CASH DEPOSIT"",$C30"&amp;"9)),
      COUNTIFS('SUMMARY DATA'!$D:$D,$C309,'SUMMARY DATA'!$B:$B,""RWS"")&lt;&gt;1
    ),
    """",
    IFERROR(TEXTJOIN(CHAR(10),TRUE,FILTER('SUMMARY DATA'!I:I,'SUMMARY DATA'!$D:$D=$C309,'SUMMARY DATA'!$B:$B=""RWS"")),"""")
  )
)"),"")</f>
      </c>
      <c r="K309" s="2"/>
      <c r="L309" s="2"/>
      <c r="M309" s="2"/>
      <c r="N309" s="2"/>
      <c r="O309" s="2"/>
      <c r="P309" s="2"/>
      <c r="Q309" s="2"/>
      <c r="R309" s="2"/>
      <c r="S309" s="2"/>
      <c r="T309" s="2"/>
      <c r="U309" s="2"/>
      <c r="V309" s="2"/>
      <c r="W309" s="2"/>
      <c r="X309" s="2"/>
      <c r="Y309" s="2"/>
      <c r="Z309" s="2"/>
      <c r="AA309" s="2"/>
      <c r="AB309" s="2"/>
    </row>
    <row r="310" spans="1:28" customHeight="true">
      <c r="A310" s="2" t="s">
        <v>473</v>
      </c>
      <c r="B310" s="15">
        <v>45984</v>
      </c>
      <c r="C310" s="2" t="s">
        <v>474</v>
      </c>
      <c r="D310" s="3">
        <v>198.12</v>
      </c>
      <c r="E310" s="16" t="str">
        <f>IFERROR(__xludf.DUMMYFUNCTION("IFERROR(
  TEXTJOIN(CHAR(10),TRUE,FILTER('SUMMARY DATA'!E:E,'SUMMARY DATA'!$A:$A=$A310,'SUMMARY DATA'!$C:$C=$B310,'SUMMARY DATA'!$B:$B=""RWS"")),
  IF(
    OR(
      ISNUMBER(SEARCH(""CDM CASH DEPOSIT"",$C310)),
      ISNUMBER(SEARCH(""CASH DEPOSIT"",$C31"&amp;"0)),
      COUNTIFS('SUMMARY DATA'!$D:$D,$C310,'SUMMARY DATA'!$B:$B,""RWS"")&lt;&gt;1
    ),
    """",
    IFERROR(TEXTJOIN(CHAR(10),TRUE,FILTER('SUMMARY DATA'!E:E,'SUMMARY DATA'!$D:$D=$C310,'SUMMARY DATA'!$B:$B=""RWS"")),"""")
  )
)"),"")</f>
      </c>
      <c r="F310" s="17" t="str">
        <f>IFERROR(__xludf.DUMMYFUNCTION("IFERROR(
  TEXTJOIN(CHAR(10),TRUE,FILTER('SUMMARY DATA'!F:F,'SUMMARY DATA'!$A:$A=$A310,'SUMMARY DATA'!$C:$C=$B310,'SUMMARY DATA'!$B:$B=""RWS"")),
  IF(
    OR(
      ISNUMBER(SEARCH(""CDM CASH DEPOSIT"",$C310)),
      ISNUMBER(SEARCH(""CASH DEPOSIT"",$C31"&amp;"0)),
      COUNTIFS('SUMMARY DATA'!$D:$D,$C310,'SUMMARY DATA'!$B:$B,""RWS"")&lt;&gt;1
    ),
    """",
    IFERROR(TEXTJOIN(CHAR(10),TRUE,FILTER('SUMMARY DATA'!F:F,'SUMMARY DATA'!$D:$D=$C310,'SUMMARY DATA'!$B:$B=""RWS"")),"""")
  )
)"),"")</f>
      </c>
      <c r="G310" s="17" t="str">
        <f>IFERROR(__xludf.DUMMYFUNCTION("IFERROR(
  TEXTJOIN(CHAR(10),TRUE,FILTER('SUMMARY DATA'!G:G,'SUMMARY DATA'!$A:$A=$A310,'SUMMARY DATA'!$C:$C=$B310,'SUMMARY DATA'!$B:$B=""RWS"")),
  IF(
    OR(
      ISNUMBER(SEARCH(""CDM CASH DEPOSIT"",$C310)),
      ISNUMBER(SEARCH(""CASH DEPOSIT"",$C31"&amp;"0)),
      COUNTIFS('SUMMARY DATA'!$D:$D,$C310,'SUMMARY DATA'!$B:$B,""RWS"")&lt;&gt;1
    ),
    """",
    IFERROR(TEXTJOIN(CHAR(10),TRUE,FILTER('SUMMARY DATA'!G:G,'SUMMARY DATA'!$D:$D=$C310,'SUMMARY DATA'!$B:$B=""RWS"")),"""")
  )
)"),"")</f>
      </c>
      <c r="H310" s="18" t="str">
        <f>IFERROR(__xludf.DUMMYFUNCTION("IFERROR(
  TEXTJOIN(CHAR(10),TRUE,FILTER('SUMMARY DATA'!H:H,'SUMMARY DATA'!$A:$A=$A310,'SUMMARY DATA'!$C:$C=$B310,'SUMMARY DATA'!$B:$B=""RWS"",'SUMMARY DATA'!$H:$H=$D310)),
  IF(
    OR(
      ISNUMBER(SEARCH(""CDM CASH DEPOSIT"",$C310)),
      ISNUMBER(S"&amp;"EARCH(""CASH DEPOSIT"",$C310))
    ),
    """",
    IFERROR(TEXTJOIN(CHAR(10),TRUE,FILTER('SUMMARY DATA'!H:H,'SUMMARY DATA'!$D:$D=$C310,'SUMMARY DATA'!$B:$B=""RWS"",'SUMMARY DATA'!$H:$H=$D310)),"""")
  )
)"),"")</f>
      </c>
      <c r="I310" s="18" t="str">
        <f>IFERROR(__xludf.DUMMYFUNCTION("IF(H310="""","""",
SUM(ARRAYFORMULA(VALUE(SPLIT(H310,CHAR(10)))))
)"),"")</f>
      </c>
      <c r="J310" s="17" t="str">
        <f>IFERROR(__xludf.DUMMYFUNCTION("IFERROR(
  TEXTJOIN(CHAR(10),TRUE,FILTER('SUMMARY DATA'!I:I,'SUMMARY DATA'!$A:$A=$A310,'SUMMARY DATA'!$C:$C=$B310,'SUMMARY DATA'!$B:$B=""RWS"")),
  IF(
    OR(
      ISNUMBER(SEARCH(""CDM CASH DEPOSIT"",$C310)),
      ISNUMBER(SEARCH(""CASH DEPOSIT"",$C31"&amp;"0)),
      COUNTIFS('SUMMARY DATA'!$D:$D,$C310,'SUMMARY DATA'!$B:$B,""RWS"")&lt;&gt;1
    ),
    """",
    IFERROR(TEXTJOIN(CHAR(10),TRUE,FILTER('SUMMARY DATA'!I:I,'SUMMARY DATA'!$D:$D=$C310,'SUMMARY DATA'!$B:$B=""RWS"")),"""")
  )
)"),"")</f>
      </c>
      <c r="K310" s="2"/>
      <c r="L310" s="2"/>
      <c r="M310" s="2"/>
      <c r="N310" s="2"/>
      <c r="O310" s="2"/>
      <c r="P310" s="2"/>
      <c r="Q310" s="2"/>
      <c r="R310" s="2"/>
      <c r="S310" s="2"/>
      <c r="T310" s="2"/>
      <c r="U310" s="2"/>
      <c r="V310" s="2"/>
      <c r="W310" s="2"/>
      <c r="X310" s="2"/>
      <c r="Y310" s="2"/>
      <c r="Z310" s="2"/>
      <c r="AA310" s="2"/>
      <c r="AB310" s="2"/>
    </row>
    <row r="311" spans="1:28" customHeight="true">
      <c r="A311" s="2" t="s">
        <v>475</v>
      </c>
      <c r="B311" s="15">
        <v>45984</v>
      </c>
      <c r="C311" s="2" t="s">
        <v>476</v>
      </c>
      <c r="D311" s="3">
        <v>131.88</v>
      </c>
      <c r="E311" s="16" t="str">
        <f>IFERROR(__xludf.DUMMYFUNCTION("IFERROR(
  TEXTJOIN(CHAR(10),TRUE,FILTER('SUMMARY DATA'!E:E,'SUMMARY DATA'!$A:$A=$A311,'SUMMARY DATA'!$C:$C=$B311,'SUMMARY DATA'!$B:$B=""RWS"")),
  IF(
    OR(
      ISNUMBER(SEARCH(""CDM CASH DEPOSIT"",$C311)),
      ISNUMBER(SEARCH(""CASH DEPOSIT"",$C31"&amp;"1)),
      COUNTIFS('SUMMARY DATA'!$D:$D,$C311,'SUMMARY DATA'!$B:$B,""RWS"")&lt;&gt;1
    ),
    """",
    IFERROR(TEXTJOIN(CHAR(10),TRUE,FILTER('SUMMARY DATA'!E:E,'SUMMARY DATA'!$D:$D=$C311,'SUMMARY DATA'!$B:$B=""RWS"")),"""")
  )
)"),"")</f>
      </c>
      <c r="F311" s="17" t="str">
        <f>IFERROR(__xludf.DUMMYFUNCTION("IFERROR(
  TEXTJOIN(CHAR(10),TRUE,FILTER('SUMMARY DATA'!F:F,'SUMMARY DATA'!$A:$A=$A311,'SUMMARY DATA'!$C:$C=$B311,'SUMMARY DATA'!$B:$B=""RWS"")),
  IF(
    OR(
      ISNUMBER(SEARCH(""CDM CASH DEPOSIT"",$C311)),
      ISNUMBER(SEARCH(""CASH DEPOSIT"",$C31"&amp;"1)),
      COUNTIFS('SUMMARY DATA'!$D:$D,$C311,'SUMMARY DATA'!$B:$B,""RWS"")&lt;&gt;1
    ),
    """",
    IFERROR(TEXTJOIN(CHAR(10),TRUE,FILTER('SUMMARY DATA'!F:F,'SUMMARY DATA'!$D:$D=$C311,'SUMMARY DATA'!$B:$B=""RWS"")),"""")
  )
)"),"")</f>
      </c>
      <c r="G311" s="17" t="str">
        <f>IFERROR(__xludf.DUMMYFUNCTION("IFERROR(
  TEXTJOIN(CHAR(10),TRUE,FILTER('SUMMARY DATA'!G:G,'SUMMARY DATA'!$A:$A=$A311,'SUMMARY DATA'!$C:$C=$B311,'SUMMARY DATA'!$B:$B=""RWS"")),
  IF(
    OR(
      ISNUMBER(SEARCH(""CDM CASH DEPOSIT"",$C311)),
      ISNUMBER(SEARCH(""CASH DEPOSIT"",$C31"&amp;"1)),
      COUNTIFS('SUMMARY DATA'!$D:$D,$C311,'SUMMARY DATA'!$B:$B,""RWS"")&lt;&gt;1
    ),
    """",
    IFERROR(TEXTJOIN(CHAR(10),TRUE,FILTER('SUMMARY DATA'!G:G,'SUMMARY DATA'!$D:$D=$C311,'SUMMARY DATA'!$B:$B=""RWS"")),"""")
  )
)"),"")</f>
      </c>
      <c r="H311" s="18" t="str">
        <f>IFERROR(__xludf.DUMMYFUNCTION("IFERROR(
  TEXTJOIN(CHAR(10),TRUE,FILTER('SUMMARY DATA'!H:H,'SUMMARY DATA'!$A:$A=$A311,'SUMMARY DATA'!$C:$C=$B311,'SUMMARY DATA'!$B:$B=""RWS"",'SUMMARY DATA'!$H:$H=$D311)),
  IF(
    OR(
      ISNUMBER(SEARCH(""CDM CASH DEPOSIT"",$C311)),
      ISNUMBER(S"&amp;"EARCH(""CASH DEPOSIT"",$C311))
    ),
    """",
    IFERROR(TEXTJOIN(CHAR(10),TRUE,FILTER('SUMMARY DATA'!H:H,'SUMMARY DATA'!$D:$D=$C311,'SUMMARY DATA'!$B:$B=""RWS"",'SUMMARY DATA'!$H:$H=$D311)),"""")
  )
)"),"")</f>
      </c>
      <c r="I311" s="18" t="str">
        <f>IFERROR(__xludf.DUMMYFUNCTION("IF(H311="""","""",
SUM(ARRAYFORMULA(VALUE(SPLIT(H311,CHAR(10)))))
)"),"")</f>
      </c>
      <c r="J311" s="17" t="str">
        <f>IFERROR(__xludf.DUMMYFUNCTION("IFERROR(
  TEXTJOIN(CHAR(10),TRUE,FILTER('SUMMARY DATA'!I:I,'SUMMARY DATA'!$A:$A=$A311,'SUMMARY DATA'!$C:$C=$B311,'SUMMARY DATA'!$B:$B=""RWS"")),
  IF(
    OR(
      ISNUMBER(SEARCH(""CDM CASH DEPOSIT"",$C311)),
      ISNUMBER(SEARCH(""CASH DEPOSIT"",$C31"&amp;"1)),
      COUNTIFS('SUMMARY DATA'!$D:$D,$C311,'SUMMARY DATA'!$B:$B,""RWS"")&lt;&gt;1
    ),
    """",
    IFERROR(TEXTJOIN(CHAR(10),TRUE,FILTER('SUMMARY DATA'!I:I,'SUMMARY DATA'!$D:$D=$C311,'SUMMARY DATA'!$B:$B=""RWS"")),"""")
  )
)"),"")</f>
      </c>
      <c r="K311" s="2"/>
      <c r="L311" s="2"/>
      <c r="M311" s="2"/>
      <c r="N311" s="2"/>
      <c r="O311" s="2"/>
      <c r="P311" s="2"/>
      <c r="Q311" s="2"/>
      <c r="R311" s="2"/>
      <c r="S311" s="2"/>
      <c r="T311" s="2"/>
      <c r="U311" s="2"/>
      <c r="V311" s="2"/>
      <c r="W311" s="2"/>
      <c r="X311" s="2"/>
      <c r="Y311" s="2"/>
      <c r="Z311" s="2"/>
      <c r="AA311" s="2"/>
      <c r="AB311" s="2"/>
    </row>
    <row r="312" spans="1:28" customHeight="true">
      <c r="A312" s="2" t="s">
        <v>477</v>
      </c>
      <c r="B312" s="15">
        <v>45983</v>
      </c>
      <c r="C312" s="2" t="s">
        <v>478</v>
      </c>
      <c r="D312" s="3">
        <v>49.15</v>
      </c>
      <c r="E312" s="16" t="s">
        <v>2455</v>
      </c>
      <c r="F312" s="17" t="s">
        <v>2460</v>
      </c>
      <c r="G312" s="17" t="s">
        <v>2393</v>
      </c>
      <c r="H312" s="18">
        <v>49.15</v>
      </c>
      <c r="I312" s="18">
        <v>49.15</v>
      </c>
      <c r="J312" s="17" t="s">
        <v>2394</v>
      </c>
      <c r="K312" s="2" t="s">
        <v>2395</v>
      </c>
      <c r="L312" s="2"/>
      <c r="M312" s="2"/>
      <c r="N312" s="2"/>
      <c r="O312" s="2"/>
      <c r="P312" s="2"/>
      <c r="Q312" s="2"/>
      <c r="R312" s="2"/>
      <c r="S312" s="2"/>
      <c r="T312" s="2"/>
      <c r="U312" s="2"/>
      <c r="V312" s="2"/>
      <c r="W312" s="2"/>
      <c r="X312" s="2"/>
      <c r="Y312" s="2"/>
      <c r="Z312" s="2"/>
      <c r="AA312" s="2"/>
      <c r="AB312" s="2"/>
    </row>
    <row r="313" spans="1:28" customHeight="true">
      <c r="A313" s="2" t="s">
        <v>479</v>
      </c>
      <c r="B313" s="15">
        <v>45983</v>
      </c>
      <c r="C313" s="2" t="s">
        <v>480</v>
      </c>
      <c r="D313" s="3">
        <v>87.37</v>
      </c>
      <c r="E313" s="16" t="str">
        <f>IFERROR(__xludf.DUMMYFUNCTION("IFERROR(
  TEXTJOIN(CHAR(10),TRUE,FILTER('SUMMARY DATA'!E:E,'SUMMARY DATA'!$A:$A=$A313,'SUMMARY DATA'!$C:$C=$B313,'SUMMARY DATA'!$B:$B=""RWS"")),
  IF(
    OR(
      ISNUMBER(SEARCH(""CDM CASH DEPOSIT"",$C313)),
      ISNUMBER(SEARCH(""CASH DEPOSIT"",$C31"&amp;"3)),
      COUNTIFS('SUMMARY DATA'!$D:$D,$C313,'SUMMARY DATA'!$B:$B,""RWS"")&lt;&gt;1
    ),
    """",
    IFERROR(TEXTJOIN(CHAR(10),TRUE,FILTER('SUMMARY DATA'!E:E,'SUMMARY DATA'!$D:$D=$C313,'SUMMARY DATA'!$B:$B=""RWS"")),"""")
  )
)"),"")</f>
      </c>
      <c r="F313" s="17" t="str">
        <f>IFERROR(__xludf.DUMMYFUNCTION("IFERROR(
  TEXTJOIN(CHAR(10),TRUE,FILTER('SUMMARY DATA'!F:F,'SUMMARY DATA'!$A:$A=$A313,'SUMMARY DATA'!$C:$C=$B313,'SUMMARY DATA'!$B:$B=""RWS"")),
  IF(
    OR(
      ISNUMBER(SEARCH(""CDM CASH DEPOSIT"",$C313)),
      ISNUMBER(SEARCH(""CASH DEPOSIT"",$C31"&amp;"3)),
      COUNTIFS('SUMMARY DATA'!$D:$D,$C313,'SUMMARY DATA'!$B:$B,""RWS"")&lt;&gt;1
    ),
    """",
    IFERROR(TEXTJOIN(CHAR(10),TRUE,FILTER('SUMMARY DATA'!F:F,'SUMMARY DATA'!$D:$D=$C313,'SUMMARY DATA'!$B:$B=""RWS"")),"""")
  )
)"),"")</f>
      </c>
      <c r="G313" s="17" t="str">
        <f>IFERROR(__xludf.DUMMYFUNCTION("IFERROR(
  TEXTJOIN(CHAR(10),TRUE,FILTER('SUMMARY DATA'!G:G,'SUMMARY DATA'!$A:$A=$A313,'SUMMARY DATA'!$C:$C=$B313,'SUMMARY DATA'!$B:$B=""RWS"")),
  IF(
    OR(
      ISNUMBER(SEARCH(""CDM CASH DEPOSIT"",$C313)),
      ISNUMBER(SEARCH(""CASH DEPOSIT"",$C31"&amp;"3)),
      COUNTIFS('SUMMARY DATA'!$D:$D,$C313,'SUMMARY DATA'!$B:$B,""RWS"")&lt;&gt;1
    ),
    """",
    IFERROR(TEXTJOIN(CHAR(10),TRUE,FILTER('SUMMARY DATA'!G:G,'SUMMARY DATA'!$D:$D=$C313,'SUMMARY DATA'!$B:$B=""RWS"")),"""")
  )
)"),"")</f>
      </c>
      <c r="H313" s="18" t="str">
        <f>IFERROR(__xludf.DUMMYFUNCTION("IFERROR(
  TEXTJOIN(CHAR(10),TRUE,FILTER('SUMMARY DATA'!H:H,'SUMMARY DATA'!$A:$A=$A313,'SUMMARY DATA'!$C:$C=$B313,'SUMMARY DATA'!$B:$B=""RWS"",'SUMMARY DATA'!$H:$H=$D313)),
  IF(
    OR(
      ISNUMBER(SEARCH(""CDM CASH DEPOSIT"",$C313)),
      ISNUMBER(S"&amp;"EARCH(""CASH DEPOSIT"",$C313))
    ),
    """",
    IFERROR(TEXTJOIN(CHAR(10),TRUE,FILTER('SUMMARY DATA'!H:H,'SUMMARY DATA'!$D:$D=$C313,'SUMMARY DATA'!$B:$B=""RWS"",'SUMMARY DATA'!$H:$H=$D313)),"""")
  )
)"),"")</f>
      </c>
      <c r="I313" s="18" t="str">
        <f>IFERROR(__xludf.DUMMYFUNCTION("IF(H313="""","""",
SUM(ARRAYFORMULA(VALUE(SPLIT(H313,CHAR(10)))))
)"),"")</f>
      </c>
      <c r="J313" s="17" t="str">
        <f>IFERROR(__xludf.DUMMYFUNCTION("IFERROR(
  TEXTJOIN(CHAR(10),TRUE,FILTER('SUMMARY DATA'!I:I,'SUMMARY DATA'!$A:$A=$A313,'SUMMARY DATA'!$C:$C=$B313,'SUMMARY DATA'!$B:$B=""RWS"")),
  IF(
    OR(
      ISNUMBER(SEARCH(""CDM CASH DEPOSIT"",$C313)),
      ISNUMBER(SEARCH(""CASH DEPOSIT"",$C31"&amp;"3)),
      COUNTIFS('SUMMARY DATA'!$D:$D,$C313,'SUMMARY DATA'!$B:$B,""RWS"")&lt;&gt;1
    ),
    """",
    IFERROR(TEXTJOIN(CHAR(10),TRUE,FILTER('SUMMARY DATA'!I:I,'SUMMARY DATA'!$D:$D=$C313,'SUMMARY DATA'!$B:$B=""RWS"")),"""")
  )
)"),"")</f>
      </c>
      <c r="K313" s="2"/>
      <c r="L313" s="2"/>
      <c r="M313" s="2"/>
      <c r="N313" s="2"/>
      <c r="O313" s="2"/>
      <c r="P313" s="2"/>
      <c r="Q313" s="2"/>
      <c r="R313" s="2"/>
      <c r="S313" s="2"/>
      <c r="T313" s="2"/>
      <c r="U313" s="2"/>
      <c r="V313" s="2"/>
      <c r="W313" s="2"/>
      <c r="X313" s="2"/>
      <c r="Y313" s="2"/>
      <c r="Z313" s="2"/>
      <c r="AA313" s="2"/>
      <c r="AB313" s="2"/>
    </row>
    <row r="314" spans="1:28" customHeight="true">
      <c r="A314" s="2" t="s">
        <v>481</v>
      </c>
      <c r="B314" s="15">
        <v>45983</v>
      </c>
      <c r="C314" s="2" t="s">
        <v>482</v>
      </c>
      <c r="D314" s="3">
        <v>105.86</v>
      </c>
      <c r="E314" s="16" t="s">
        <v>2461</v>
      </c>
      <c r="F314" s="17" t="s">
        <v>2462</v>
      </c>
      <c r="G314" s="17" t="s">
        <v>2393</v>
      </c>
      <c r="H314" s="18">
        <v>105.86</v>
      </c>
      <c r="I314" s="18">
        <v>105.86</v>
      </c>
      <c r="J314" s="17" t="s">
        <v>2394</v>
      </c>
      <c r="K314" s="2" t="s">
        <v>2395</v>
      </c>
      <c r="L314" s="2"/>
      <c r="M314" s="2"/>
      <c r="N314" s="2"/>
      <c r="O314" s="2"/>
      <c r="P314" s="2"/>
      <c r="Q314" s="2"/>
      <c r="R314" s="2"/>
      <c r="S314" s="2"/>
      <c r="T314" s="2"/>
      <c r="U314" s="2"/>
      <c r="V314" s="2"/>
      <c r="W314" s="2"/>
      <c r="X314" s="2"/>
      <c r="Y314" s="2"/>
      <c r="Z314" s="2"/>
      <c r="AA314" s="2"/>
      <c r="AB314" s="2"/>
    </row>
    <row r="315" spans="1:28" customHeight="true">
      <c r="A315" s="2" t="s">
        <v>483</v>
      </c>
      <c r="B315" s="15">
        <v>45983</v>
      </c>
      <c r="C315" s="2" t="s">
        <v>484</v>
      </c>
      <c r="D315" s="3">
        <v>199.1</v>
      </c>
      <c r="E315" s="16" t="s">
        <v>2448</v>
      </c>
      <c r="F315" s="17" t="s">
        <v>2463</v>
      </c>
      <c r="G315" s="17" t="s">
        <v>2393</v>
      </c>
      <c r="H315" s="18">
        <v>199.1</v>
      </c>
      <c r="I315" s="18">
        <v>199.1</v>
      </c>
      <c r="J315" s="17" t="s">
        <v>2394</v>
      </c>
      <c r="K315" s="2" t="s">
        <v>2395</v>
      </c>
      <c r="L315" s="2"/>
      <c r="M315" s="2"/>
      <c r="N315" s="2"/>
      <c r="O315" s="2"/>
      <c r="P315" s="2"/>
      <c r="Q315" s="2"/>
      <c r="R315" s="2"/>
      <c r="S315" s="2"/>
      <c r="T315" s="2"/>
      <c r="U315" s="2"/>
      <c r="V315" s="2"/>
      <c r="W315" s="2"/>
      <c r="X315" s="2"/>
      <c r="Y315" s="2"/>
      <c r="Z315" s="2"/>
      <c r="AA315" s="2"/>
      <c r="AB315" s="2"/>
    </row>
    <row r="316" spans="1:28" customHeight="true">
      <c r="A316" s="2" t="s">
        <v>485</v>
      </c>
      <c r="B316" s="15">
        <v>45983</v>
      </c>
      <c r="C316" s="2" t="s">
        <v>486</v>
      </c>
      <c r="D316" s="3">
        <v>24</v>
      </c>
      <c r="E316" s="16" t="s">
        <v>2464</v>
      </c>
      <c r="F316" s="17" t="s">
        <v>2465</v>
      </c>
      <c r="G316" s="17" t="s">
        <v>2393</v>
      </c>
      <c r="H316" s="18">
        <v>24</v>
      </c>
      <c r="I316" s="18">
        <v>24</v>
      </c>
      <c r="J316" s="17" t="s">
        <v>2394</v>
      </c>
      <c r="K316" s="2" t="s">
        <v>2395</v>
      </c>
      <c r="L316" s="2"/>
      <c r="M316" s="2"/>
      <c r="N316" s="2"/>
      <c r="O316" s="2"/>
      <c r="P316" s="2"/>
      <c r="Q316" s="2"/>
      <c r="R316" s="2"/>
      <c r="S316" s="2"/>
      <c r="T316" s="2"/>
      <c r="U316" s="2"/>
      <c r="V316" s="2"/>
      <c r="W316" s="2"/>
      <c r="X316" s="2"/>
      <c r="Y316" s="2"/>
      <c r="Z316" s="2"/>
      <c r="AA316" s="2"/>
      <c r="AB316" s="2"/>
    </row>
    <row r="317" spans="1:28" customHeight="true">
      <c r="A317" s="2" t="s">
        <v>487</v>
      </c>
      <c r="B317" s="15">
        <v>45983</v>
      </c>
      <c r="C317" s="2" t="s">
        <v>488</v>
      </c>
      <c r="D317" s="3">
        <v>145</v>
      </c>
      <c r="E317" s="16" t="str">
        <f>IFERROR(__xludf.DUMMYFUNCTION("IFERROR(
  TEXTJOIN(CHAR(10),TRUE,FILTER('SUMMARY DATA'!E:E,'SUMMARY DATA'!$A:$A=$A317,'SUMMARY DATA'!$C:$C=$B317,'SUMMARY DATA'!$B:$B=""RWS"")),
  IF(
    OR(
      ISNUMBER(SEARCH(""CDM CASH DEPOSIT"",$C317)),
      ISNUMBER(SEARCH(""CASH DEPOSIT"",$C31"&amp;"7)),
      COUNTIFS('SUMMARY DATA'!$D:$D,$C317,'SUMMARY DATA'!$B:$B,""RWS"")&lt;&gt;1
    ),
    """",
    IFERROR(TEXTJOIN(CHAR(10),TRUE,FILTER('SUMMARY DATA'!E:E,'SUMMARY DATA'!$D:$D=$C317,'SUMMARY DATA'!$B:$B=""RWS"")),"""")
  )
)"),"")</f>
      </c>
      <c r="F317" s="17" t="str">
        <f>IFERROR(__xludf.DUMMYFUNCTION("IFERROR(
  TEXTJOIN(CHAR(10),TRUE,FILTER('SUMMARY DATA'!F:F,'SUMMARY DATA'!$A:$A=$A317,'SUMMARY DATA'!$C:$C=$B317,'SUMMARY DATA'!$B:$B=""RWS"")),
  IF(
    OR(
      ISNUMBER(SEARCH(""CDM CASH DEPOSIT"",$C317)),
      ISNUMBER(SEARCH(""CASH DEPOSIT"",$C31"&amp;"7)),
      COUNTIFS('SUMMARY DATA'!$D:$D,$C317,'SUMMARY DATA'!$B:$B,""RWS"")&lt;&gt;1
    ),
    """",
    IFERROR(TEXTJOIN(CHAR(10),TRUE,FILTER('SUMMARY DATA'!F:F,'SUMMARY DATA'!$D:$D=$C317,'SUMMARY DATA'!$B:$B=""RWS"")),"""")
  )
)"),"")</f>
      </c>
      <c r="G317" s="17" t="str">
        <f>IFERROR(__xludf.DUMMYFUNCTION("IFERROR(
  TEXTJOIN(CHAR(10),TRUE,FILTER('SUMMARY DATA'!G:G,'SUMMARY DATA'!$A:$A=$A317,'SUMMARY DATA'!$C:$C=$B317,'SUMMARY DATA'!$B:$B=""RWS"")),
  IF(
    OR(
      ISNUMBER(SEARCH(""CDM CASH DEPOSIT"",$C317)),
      ISNUMBER(SEARCH(""CASH DEPOSIT"",$C31"&amp;"7)),
      COUNTIFS('SUMMARY DATA'!$D:$D,$C317,'SUMMARY DATA'!$B:$B,""RWS"")&lt;&gt;1
    ),
    """",
    IFERROR(TEXTJOIN(CHAR(10),TRUE,FILTER('SUMMARY DATA'!G:G,'SUMMARY DATA'!$D:$D=$C317,'SUMMARY DATA'!$B:$B=""RWS"")),"""")
  )
)"),"")</f>
      </c>
      <c r="H317" s="18" t="str">
        <f>IFERROR(__xludf.DUMMYFUNCTION("IFERROR(
  TEXTJOIN(CHAR(10),TRUE,FILTER('SUMMARY DATA'!H:H,'SUMMARY DATA'!$A:$A=$A317,'SUMMARY DATA'!$C:$C=$B317,'SUMMARY DATA'!$B:$B=""RWS"",'SUMMARY DATA'!$H:$H=$D317)),
  IF(
    OR(
      ISNUMBER(SEARCH(""CDM CASH DEPOSIT"",$C317)),
      ISNUMBER(S"&amp;"EARCH(""CASH DEPOSIT"",$C317))
    ),
    """",
    IFERROR(TEXTJOIN(CHAR(10),TRUE,FILTER('SUMMARY DATA'!H:H,'SUMMARY DATA'!$D:$D=$C317,'SUMMARY DATA'!$B:$B=""RWS"",'SUMMARY DATA'!$H:$H=$D317)),"""")
  )
)"),"")</f>
      </c>
      <c r="I317" s="18" t="str">
        <f>IFERROR(__xludf.DUMMYFUNCTION("IF(H317="""","""",
SUM(ARRAYFORMULA(VALUE(SPLIT(H317,CHAR(10)))))
)"),"")</f>
      </c>
      <c r="J317" s="17" t="str">
        <f>IFERROR(__xludf.DUMMYFUNCTION("IFERROR(
  TEXTJOIN(CHAR(10),TRUE,FILTER('SUMMARY DATA'!I:I,'SUMMARY DATA'!$A:$A=$A317,'SUMMARY DATA'!$C:$C=$B317,'SUMMARY DATA'!$B:$B=""RWS"")),
  IF(
    OR(
      ISNUMBER(SEARCH(""CDM CASH DEPOSIT"",$C317)),
      ISNUMBER(SEARCH(""CASH DEPOSIT"",$C31"&amp;"7)),
      COUNTIFS('SUMMARY DATA'!$D:$D,$C317,'SUMMARY DATA'!$B:$B,""RWS"")&lt;&gt;1
    ),
    """",
    IFERROR(TEXTJOIN(CHAR(10),TRUE,FILTER('SUMMARY DATA'!I:I,'SUMMARY DATA'!$D:$D=$C317,'SUMMARY DATA'!$B:$B=""RWS"")),"""")
  )
)"),"")</f>
      </c>
      <c r="K317" s="2"/>
      <c r="L317" s="2"/>
      <c r="M317" s="2"/>
      <c r="N317" s="2"/>
      <c r="O317" s="2"/>
      <c r="P317" s="2"/>
      <c r="Q317" s="2"/>
      <c r="R317" s="2"/>
      <c r="S317" s="2"/>
      <c r="T317" s="2"/>
      <c r="U317" s="2"/>
      <c r="V317" s="2"/>
      <c r="W317" s="2"/>
      <c r="X317" s="2"/>
      <c r="Y317" s="2"/>
      <c r="Z317" s="2"/>
      <c r="AA317" s="2"/>
      <c r="AB317" s="2"/>
    </row>
    <row r="318" spans="1:28" customHeight="true">
      <c r="A318" s="2" t="s">
        <v>489</v>
      </c>
      <c r="B318" s="15">
        <v>45983</v>
      </c>
      <c r="C318" s="2" t="s">
        <v>490</v>
      </c>
      <c r="D318" s="3">
        <v>387</v>
      </c>
      <c r="E318" s="16" t="str">
        <f>IFERROR(__xludf.DUMMYFUNCTION("IFERROR(
  TEXTJOIN(CHAR(10),TRUE,FILTER('SUMMARY DATA'!E:E,'SUMMARY DATA'!$A:$A=$A318,'SUMMARY DATA'!$C:$C=$B318,'SUMMARY DATA'!$B:$B=""RWS"")),
  IF(
    OR(
      ISNUMBER(SEARCH(""CDM CASH DEPOSIT"",$C318)),
      ISNUMBER(SEARCH(""CASH DEPOSIT"",$C31"&amp;"8)),
      COUNTIFS('SUMMARY DATA'!$D:$D,$C318,'SUMMARY DATA'!$B:$B,""RWS"")&lt;&gt;1
    ),
    """",
    IFERROR(TEXTJOIN(CHAR(10),TRUE,FILTER('SUMMARY DATA'!E:E,'SUMMARY DATA'!$D:$D=$C318,'SUMMARY DATA'!$B:$B=""RWS"")),"""")
  )
)"),"")</f>
      </c>
      <c r="F318" s="17" t="str">
        <f>IFERROR(__xludf.DUMMYFUNCTION("IFERROR(
  TEXTJOIN(CHAR(10),TRUE,FILTER('SUMMARY DATA'!F:F,'SUMMARY DATA'!$A:$A=$A318,'SUMMARY DATA'!$C:$C=$B318,'SUMMARY DATA'!$B:$B=""RWS"")),
  IF(
    OR(
      ISNUMBER(SEARCH(""CDM CASH DEPOSIT"",$C318)),
      ISNUMBER(SEARCH(""CASH DEPOSIT"",$C31"&amp;"8)),
      COUNTIFS('SUMMARY DATA'!$D:$D,$C318,'SUMMARY DATA'!$B:$B,""RWS"")&lt;&gt;1
    ),
    """",
    IFERROR(TEXTJOIN(CHAR(10),TRUE,FILTER('SUMMARY DATA'!F:F,'SUMMARY DATA'!$D:$D=$C318,'SUMMARY DATA'!$B:$B=""RWS"")),"""")
  )
)"),"")</f>
      </c>
      <c r="G318" s="17" t="str">
        <f>IFERROR(__xludf.DUMMYFUNCTION("IFERROR(
  TEXTJOIN(CHAR(10),TRUE,FILTER('SUMMARY DATA'!G:G,'SUMMARY DATA'!$A:$A=$A318,'SUMMARY DATA'!$C:$C=$B318,'SUMMARY DATA'!$B:$B=""RWS"")),
  IF(
    OR(
      ISNUMBER(SEARCH(""CDM CASH DEPOSIT"",$C318)),
      ISNUMBER(SEARCH(""CASH DEPOSIT"",$C31"&amp;"8)),
      COUNTIFS('SUMMARY DATA'!$D:$D,$C318,'SUMMARY DATA'!$B:$B,""RWS"")&lt;&gt;1
    ),
    """",
    IFERROR(TEXTJOIN(CHAR(10),TRUE,FILTER('SUMMARY DATA'!G:G,'SUMMARY DATA'!$D:$D=$C318,'SUMMARY DATA'!$B:$B=""RWS"")),"""")
  )
)"),"")</f>
      </c>
      <c r="H318" s="18" t="str">
        <f>IFERROR(__xludf.DUMMYFUNCTION("IFERROR(
  TEXTJOIN(CHAR(10),TRUE,FILTER('SUMMARY DATA'!H:H,'SUMMARY DATA'!$A:$A=$A318,'SUMMARY DATA'!$C:$C=$B318,'SUMMARY DATA'!$B:$B=""RWS"",'SUMMARY DATA'!$H:$H=$D318)),
  IF(
    OR(
      ISNUMBER(SEARCH(""CDM CASH DEPOSIT"",$C318)),
      ISNUMBER(S"&amp;"EARCH(""CASH DEPOSIT"",$C318))
    ),
    """",
    IFERROR(TEXTJOIN(CHAR(10),TRUE,FILTER('SUMMARY DATA'!H:H,'SUMMARY DATA'!$D:$D=$C318,'SUMMARY DATA'!$B:$B=""RWS"",'SUMMARY DATA'!$H:$H=$D318)),"""")
  )
)"),"")</f>
      </c>
      <c r="I318" s="18" t="str">
        <f>IFERROR(__xludf.DUMMYFUNCTION("IF(H318="""","""",
SUM(ARRAYFORMULA(VALUE(SPLIT(H318,CHAR(10)))))
)"),"")</f>
      </c>
      <c r="J318" s="17" t="str">
        <f>IFERROR(__xludf.DUMMYFUNCTION("IFERROR(
  TEXTJOIN(CHAR(10),TRUE,FILTER('SUMMARY DATA'!I:I,'SUMMARY DATA'!$A:$A=$A318,'SUMMARY DATA'!$C:$C=$B318,'SUMMARY DATA'!$B:$B=""RWS"")),
  IF(
    OR(
      ISNUMBER(SEARCH(""CDM CASH DEPOSIT"",$C318)),
      ISNUMBER(SEARCH(""CASH DEPOSIT"",$C31"&amp;"8)),
      COUNTIFS('SUMMARY DATA'!$D:$D,$C318,'SUMMARY DATA'!$B:$B,""RWS"")&lt;&gt;1
    ),
    """",
    IFERROR(TEXTJOIN(CHAR(10),TRUE,FILTER('SUMMARY DATA'!I:I,'SUMMARY DATA'!$D:$D=$C318,'SUMMARY DATA'!$B:$B=""RWS"")),"""")
  )
)"),"")</f>
      </c>
      <c r="K318" s="2"/>
      <c r="L318" s="2"/>
      <c r="M318" s="2"/>
      <c r="N318" s="2"/>
      <c r="O318" s="2"/>
      <c r="P318" s="2"/>
      <c r="Q318" s="2"/>
      <c r="R318" s="2"/>
      <c r="S318" s="2"/>
      <c r="T318" s="2"/>
      <c r="U318" s="2"/>
      <c r="V318" s="2"/>
      <c r="W318" s="2"/>
      <c r="X318" s="2"/>
      <c r="Y318" s="2"/>
      <c r="Z318" s="2"/>
      <c r="AA318" s="2"/>
      <c r="AB318" s="2"/>
    </row>
    <row r="319" spans="1:28" customHeight="true">
      <c r="A319" s="2" t="s">
        <v>491</v>
      </c>
      <c r="B319" s="15">
        <v>45983</v>
      </c>
      <c r="C319" s="2" t="s">
        <v>492</v>
      </c>
      <c r="D319" s="3">
        <v>5.02</v>
      </c>
      <c r="E319" s="16" t="str">
        <f>IFERROR(__xludf.DUMMYFUNCTION("IFERROR(
  TEXTJOIN(CHAR(10),TRUE,FILTER('SUMMARY DATA'!E:E,'SUMMARY DATA'!$A:$A=$A319,'SUMMARY DATA'!$C:$C=$B319,'SUMMARY DATA'!$B:$B=""RWS"")),
  IF(
    OR(
      ISNUMBER(SEARCH(""CDM CASH DEPOSIT"",$C319)),
      ISNUMBER(SEARCH(""CASH DEPOSIT"",$C31"&amp;"9)),
      COUNTIFS('SUMMARY DATA'!$D:$D,$C319,'SUMMARY DATA'!$B:$B,""RWS"")&lt;&gt;1
    ),
    """",
    IFERROR(TEXTJOIN(CHAR(10),TRUE,FILTER('SUMMARY DATA'!E:E,'SUMMARY DATA'!$D:$D=$C319,'SUMMARY DATA'!$B:$B=""RWS"")),"""")
  )
)"),"")</f>
      </c>
      <c r="F319" s="17" t="str">
        <f>IFERROR(__xludf.DUMMYFUNCTION("IFERROR(
  TEXTJOIN(CHAR(10),TRUE,FILTER('SUMMARY DATA'!F:F,'SUMMARY DATA'!$A:$A=$A319,'SUMMARY DATA'!$C:$C=$B319,'SUMMARY DATA'!$B:$B=""RWS"")),
  IF(
    OR(
      ISNUMBER(SEARCH(""CDM CASH DEPOSIT"",$C319)),
      ISNUMBER(SEARCH(""CASH DEPOSIT"",$C31"&amp;"9)),
      COUNTIFS('SUMMARY DATA'!$D:$D,$C319,'SUMMARY DATA'!$B:$B,""RWS"")&lt;&gt;1
    ),
    """",
    IFERROR(TEXTJOIN(CHAR(10),TRUE,FILTER('SUMMARY DATA'!F:F,'SUMMARY DATA'!$D:$D=$C319,'SUMMARY DATA'!$B:$B=""RWS"")),"""")
  )
)"),"")</f>
      </c>
      <c r="G319" s="17" t="str">
        <f>IFERROR(__xludf.DUMMYFUNCTION("IFERROR(
  TEXTJOIN(CHAR(10),TRUE,FILTER('SUMMARY DATA'!G:G,'SUMMARY DATA'!$A:$A=$A319,'SUMMARY DATA'!$C:$C=$B319,'SUMMARY DATA'!$B:$B=""RWS"")),
  IF(
    OR(
      ISNUMBER(SEARCH(""CDM CASH DEPOSIT"",$C319)),
      ISNUMBER(SEARCH(""CASH DEPOSIT"",$C31"&amp;"9)),
      COUNTIFS('SUMMARY DATA'!$D:$D,$C319,'SUMMARY DATA'!$B:$B,""RWS"")&lt;&gt;1
    ),
    """",
    IFERROR(TEXTJOIN(CHAR(10),TRUE,FILTER('SUMMARY DATA'!G:G,'SUMMARY DATA'!$D:$D=$C319,'SUMMARY DATA'!$B:$B=""RWS"")),"""")
  )
)"),"")</f>
      </c>
      <c r="H319" s="18" t="str">
        <f>IFERROR(__xludf.DUMMYFUNCTION("IFERROR(
  TEXTJOIN(CHAR(10),TRUE,FILTER('SUMMARY DATA'!H:H,'SUMMARY DATA'!$A:$A=$A319,'SUMMARY DATA'!$C:$C=$B319,'SUMMARY DATA'!$B:$B=""RWS"",'SUMMARY DATA'!$H:$H=$D319)),
  IF(
    OR(
      ISNUMBER(SEARCH(""CDM CASH DEPOSIT"",$C319)),
      ISNUMBER(S"&amp;"EARCH(""CASH DEPOSIT"",$C319))
    ),
    """",
    IFERROR(TEXTJOIN(CHAR(10),TRUE,FILTER('SUMMARY DATA'!H:H,'SUMMARY DATA'!$D:$D=$C319,'SUMMARY DATA'!$B:$B=""RWS"",'SUMMARY DATA'!$H:$H=$D319)),"""")
  )
)"),"")</f>
      </c>
      <c r="I319" s="18" t="str">
        <f>IFERROR(__xludf.DUMMYFUNCTION("IF(H319="""","""",
SUM(ARRAYFORMULA(VALUE(SPLIT(H319,CHAR(10)))))
)"),"")</f>
      </c>
      <c r="J319" s="17" t="str">
        <f>IFERROR(__xludf.DUMMYFUNCTION("IFERROR(
  TEXTJOIN(CHAR(10),TRUE,FILTER('SUMMARY DATA'!I:I,'SUMMARY DATA'!$A:$A=$A319,'SUMMARY DATA'!$C:$C=$B319,'SUMMARY DATA'!$B:$B=""RWS"")),
  IF(
    OR(
      ISNUMBER(SEARCH(""CDM CASH DEPOSIT"",$C319)),
      ISNUMBER(SEARCH(""CASH DEPOSIT"",$C31"&amp;"9)),
      COUNTIFS('SUMMARY DATA'!$D:$D,$C319,'SUMMARY DATA'!$B:$B,""RWS"")&lt;&gt;1
    ),
    """",
    IFERROR(TEXTJOIN(CHAR(10),TRUE,FILTER('SUMMARY DATA'!I:I,'SUMMARY DATA'!$D:$D=$C319,'SUMMARY DATA'!$B:$B=""RWS"")),"""")
  )
)"),"")</f>
      </c>
      <c r="K319" s="2"/>
      <c r="L319" s="2"/>
      <c r="M319" s="2"/>
      <c r="N319" s="2"/>
      <c r="O319" s="2"/>
      <c r="P319" s="2"/>
      <c r="Q319" s="2"/>
      <c r="R319" s="2"/>
      <c r="S319" s="2"/>
      <c r="T319" s="2"/>
      <c r="U319" s="2"/>
      <c r="V319" s="2"/>
      <c r="W319" s="2"/>
      <c r="X319" s="2"/>
      <c r="Y319" s="2"/>
      <c r="Z319" s="2"/>
      <c r="AA319" s="2"/>
      <c r="AB319" s="2"/>
    </row>
    <row r="320" spans="1:28" customHeight="true">
      <c r="A320" s="2" t="s">
        <v>493</v>
      </c>
      <c r="B320" s="15">
        <v>45983</v>
      </c>
      <c r="C320" s="2" t="s">
        <v>494</v>
      </c>
      <c r="D320" s="3">
        <v>67.64</v>
      </c>
      <c r="E320" s="16" t="str">
        <f>IFERROR(__xludf.DUMMYFUNCTION("IFERROR(
  TEXTJOIN(CHAR(10),TRUE,FILTER('SUMMARY DATA'!E:E,'SUMMARY DATA'!$A:$A=$A320,'SUMMARY DATA'!$C:$C=$B320,'SUMMARY DATA'!$B:$B=""RWS"")),
  IF(
    OR(
      ISNUMBER(SEARCH(""CDM CASH DEPOSIT"",$C320)),
      ISNUMBER(SEARCH(""CASH DEPOSIT"",$C32"&amp;"0)),
      COUNTIFS('SUMMARY DATA'!$D:$D,$C320,'SUMMARY DATA'!$B:$B,""RWS"")&lt;&gt;1
    ),
    """",
    IFERROR(TEXTJOIN(CHAR(10),TRUE,FILTER('SUMMARY DATA'!E:E,'SUMMARY DATA'!$D:$D=$C320,'SUMMARY DATA'!$B:$B=""RWS"")),"""")
  )
)"),"")</f>
      </c>
      <c r="F320" s="17" t="str">
        <f>IFERROR(__xludf.DUMMYFUNCTION("IFERROR(
  TEXTJOIN(CHAR(10),TRUE,FILTER('SUMMARY DATA'!F:F,'SUMMARY DATA'!$A:$A=$A320,'SUMMARY DATA'!$C:$C=$B320,'SUMMARY DATA'!$B:$B=""RWS"")),
  IF(
    OR(
      ISNUMBER(SEARCH(""CDM CASH DEPOSIT"",$C320)),
      ISNUMBER(SEARCH(""CASH DEPOSIT"",$C32"&amp;"0)),
      COUNTIFS('SUMMARY DATA'!$D:$D,$C320,'SUMMARY DATA'!$B:$B,""RWS"")&lt;&gt;1
    ),
    """",
    IFERROR(TEXTJOIN(CHAR(10),TRUE,FILTER('SUMMARY DATA'!F:F,'SUMMARY DATA'!$D:$D=$C320,'SUMMARY DATA'!$B:$B=""RWS"")),"""")
  )
)"),"")</f>
      </c>
      <c r="G320" s="17" t="str">
        <f>IFERROR(__xludf.DUMMYFUNCTION("IFERROR(
  TEXTJOIN(CHAR(10),TRUE,FILTER('SUMMARY DATA'!G:G,'SUMMARY DATA'!$A:$A=$A320,'SUMMARY DATA'!$C:$C=$B320,'SUMMARY DATA'!$B:$B=""RWS"")),
  IF(
    OR(
      ISNUMBER(SEARCH(""CDM CASH DEPOSIT"",$C320)),
      ISNUMBER(SEARCH(""CASH DEPOSIT"",$C32"&amp;"0)),
      COUNTIFS('SUMMARY DATA'!$D:$D,$C320,'SUMMARY DATA'!$B:$B,""RWS"")&lt;&gt;1
    ),
    """",
    IFERROR(TEXTJOIN(CHAR(10),TRUE,FILTER('SUMMARY DATA'!G:G,'SUMMARY DATA'!$D:$D=$C320,'SUMMARY DATA'!$B:$B=""RWS"")),"""")
  )
)"),"")</f>
      </c>
      <c r="H320" s="18" t="str">
        <f>IFERROR(__xludf.DUMMYFUNCTION("IFERROR(
  TEXTJOIN(CHAR(10),TRUE,FILTER('SUMMARY DATA'!H:H,'SUMMARY DATA'!$A:$A=$A320,'SUMMARY DATA'!$C:$C=$B320,'SUMMARY DATA'!$B:$B=""RWS"",'SUMMARY DATA'!$H:$H=$D320)),
  IF(
    OR(
      ISNUMBER(SEARCH(""CDM CASH DEPOSIT"",$C320)),
      ISNUMBER(S"&amp;"EARCH(""CASH DEPOSIT"",$C320))
    ),
    """",
    IFERROR(TEXTJOIN(CHAR(10),TRUE,FILTER('SUMMARY DATA'!H:H,'SUMMARY DATA'!$D:$D=$C320,'SUMMARY DATA'!$B:$B=""RWS"",'SUMMARY DATA'!$H:$H=$D320)),"""")
  )
)"),"")</f>
      </c>
      <c r="I320" s="18" t="str">
        <f>IFERROR(__xludf.DUMMYFUNCTION("IF(H320="""","""",
SUM(ARRAYFORMULA(VALUE(SPLIT(H320,CHAR(10)))))
)"),"")</f>
      </c>
      <c r="J320" s="17" t="str">
        <f>IFERROR(__xludf.DUMMYFUNCTION("IFERROR(
  TEXTJOIN(CHAR(10),TRUE,FILTER('SUMMARY DATA'!I:I,'SUMMARY DATA'!$A:$A=$A320,'SUMMARY DATA'!$C:$C=$B320,'SUMMARY DATA'!$B:$B=""RWS"")),
  IF(
    OR(
      ISNUMBER(SEARCH(""CDM CASH DEPOSIT"",$C320)),
      ISNUMBER(SEARCH(""CASH DEPOSIT"",$C32"&amp;"0)),
      COUNTIFS('SUMMARY DATA'!$D:$D,$C320,'SUMMARY DATA'!$B:$B,""RWS"")&lt;&gt;1
    ),
    """",
    IFERROR(TEXTJOIN(CHAR(10),TRUE,FILTER('SUMMARY DATA'!I:I,'SUMMARY DATA'!$D:$D=$C320,'SUMMARY DATA'!$B:$B=""RWS"")),"""")
  )
)"),"")</f>
      </c>
      <c r="K320" s="2"/>
      <c r="L320" s="2"/>
      <c r="M320" s="2"/>
      <c r="N320" s="2"/>
      <c r="O320" s="2"/>
      <c r="P320" s="2"/>
      <c r="Q320" s="2"/>
      <c r="R320" s="2"/>
      <c r="S320" s="2"/>
      <c r="T320" s="2"/>
      <c r="U320" s="2"/>
      <c r="V320" s="2"/>
      <c r="W320" s="2"/>
      <c r="X320" s="2"/>
      <c r="Y320" s="2"/>
      <c r="Z320" s="2"/>
      <c r="AA320" s="2"/>
      <c r="AB320" s="2"/>
    </row>
    <row r="321" spans="1:28" customHeight="true">
      <c r="A321" s="2" t="s">
        <v>495</v>
      </c>
      <c r="B321" s="15">
        <v>45982</v>
      </c>
      <c r="C321" s="2" t="s">
        <v>496</v>
      </c>
      <c r="D321" s="3">
        <v>11.98</v>
      </c>
      <c r="E321" s="16" t="str">
        <f>IFERROR(__xludf.DUMMYFUNCTION("IFERROR(
  TEXTJOIN(CHAR(10),TRUE,FILTER('SUMMARY DATA'!E:E,'SUMMARY DATA'!$A:$A=$A321,'SUMMARY DATA'!$C:$C=$B321,'SUMMARY DATA'!$B:$B=""RWS"")),
  IF(
    OR(
      ISNUMBER(SEARCH(""CDM CASH DEPOSIT"",$C321)),
      ISNUMBER(SEARCH(""CASH DEPOSIT"",$C32"&amp;"1)),
      COUNTIFS('SUMMARY DATA'!$D:$D,$C321,'SUMMARY DATA'!$B:$B,""RWS"")&lt;&gt;1
    ),
    """",
    IFERROR(TEXTJOIN(CHAR(10),TRUE,FILTER('SUMMARY DATA'!E:E,'SUMMARY DATA'!$D:$D=$C321,'SUMMARY DATA'!$B:$B=""RWS"")),"""")
  )
)"),"")</f>
      </c>
      <c r="F321" s="17" t="str">
        <f>IFERROR(__xludf.DUMMYFUNCTION("IFERROR(
  TEXTJOIN(CHAR(10),TRUE,FILTER('SUMMARY DATA'!F:F,'SUMMARY DATA'!$A:$A=$A321,'SUMMARY DATA'!$C:$C=$B321,'SUMMARY DATA'!$B:$B=""RWS"")),
  IF(
    OR(
      ISNUMBER(SEARCH(""CDM CASH DEPOSIT"",$C321)),
      ISNUMBER(SEARCH(""CASH DEPOSIT"",$C32"&amp;"1)),
      COUNTIFS('SUMMARY DATA'!$D:$D,$C321,'SUMMARY DATA'!$B:$B,""RWS"")&lt;&gt;1
    ),
    """",
    IFERROR(TEXTJOIN(CHAR(10),TRUE,FILTER('SUMMARY DATA'!F:F,'SUMMARY DATA'!$D:$D=$C321,'SUMMARY DATA'!$B:$B=""RWS"")),"""")
  )
)"),"")</f>
      </c>
      <c r="G321" s="17" t="str">
        <f>IFERROR(__xludf.DUMMYFUNCTION("IFERROR(
  TEXTJOIN(CHAR(10),TRUE,FILTER('SUMMARY DATA'!G:G,'SUMMARY DATA'!$A:$A=$A321,'SUMMARY DATA'!$C:$C=$B321,'SUMMARY DATA'!$B:$B=""RWS"")),
  IF(
    OR(
      ISNUMBER(SEARCH(""CDM CASH DEPOSIT"",$C321)),
      ISNUMBER(SEARCH(""CASH DEPOSIT"",$C32"&amp;"1)),
      COUNTIFS('SUMMARY DATA'!$D:$D,$C321,'SUMMARY DATA'!$B:$B,""RWS"")&lt;&gt;1
    ),
    """",
    IFERROR(TEXTJOIN(CHAR(10),TRUE,FILTER('SUMMARY DATA'!G:G,'SUMMARY DATA'!$D:$D=$C321,'SUMMARY DATA'!$B:$B=""RWS"")),"""")
  )
)"),"")</f>
      </c>
      <c r="H321" s="18" t="str">
        <f>IFERROR(__xludf.DUMMYFUNCTION("IFERROR(
  TEXTJOIN(CHAR(10),TRUE,FILTER('SUMMARY DATA'!H:H,'SUMMARY DATA'!$A:$A=$A321,'SUMMARY DATA'!$C:$C=$B321,'SUMMARY DATA'!$B:$B=""RWS"",'SUMMARY DATA'!$H:$H=$D321)),
  IF(
    OR(
      ISNUMBER(SEARCH(""CDM CASH DEPOSIT"",$C321)),
      ISNUMBER(S"&amp;"EARCH(""CASH DEPOSIT"",$C321))
    ),
    """",
    IFERROR(TEXTJOIN(CHAR(10),TRUE,FILTER('SUMMARY DATA'!H:H,'SUMMARY DATA'!$D:$D=$C321,'SUMMARY DATA'!$B:$B=""RWS"",'SUMMARY DATA'!$H:$H=$D321)),"""")
  )
)"),"")</f>
      </c>
      <c r="I321" s="18" t="str">
        <f>IFERROR(__xludf.DUMMYFUNCTION("IF(H321="""","""",
SUM(ARRAYFORMULA(VALUE(SPLIT(H321,CHAR(10)))))
)"),"")</f>
      </c>
      <c r="J321" s="17" t="str">
        <f>IFERROR(__xludf.DUMMYFUNCTION("IFERROR(
  TEXTJOIN(CHAR(10),TRUE,FILTER('SUMMARY DATA'!I:I,'SUMMARY DATA'!$A:$A=$A321,'SUMMARY DATA'!$C:$C=$B321,'SUMMARY DATA'!$B:$B=""RWS"")),
  IF(
    OR(
      ISNUMBER(SEARCH(""CDM CASH DEPOSIT"",$C321)),
      ISNUMBER(SEARCH(""CASH DEPOSIT"",$C32"&amp;"1)),
      COUNTIFS('SUMMARY DATA'!$D:$D,$C321,'SUMMARY DATA'!$B:$B,""RWS"")&lt;&gt;1
    ),
    """",
    IFERROR(TEXTJOIN(CHAR(10),TRUE,FILTER('SUMMARY DATA'!I:I,'SUMMARY DATA'!$D:$D=$C321,'SUMMARY DATA'!$B:$B=""RWS"")),"""")
  )
)"),"")</f>
      </c>
      <c r="K321" s="2"/>
      <c r="L321" s="2"/>
      <c r="M321" s="2"/>
      <c r="N321" s="2"/>
      <c r="O321" s="2"/>
      <c r="P321" s="2"/>
      <c r="Q321" s="2"/>
      <c r="R321" s="2"/>
      <c r="S321" s="2"/>
      <c r="T321" s="2"/>
      <c r="U321" s="2"/>
      <c r="V321" s="2"/>
      <c r="W321" s="2"/>
      <c r="X321" s="2"/>
      <c r="Y321" s="2"/>
      <c r="Z321" s="2"/>
      <c r="AA321" s="2"/>
      <c r="AB321" s="2"/>
    </row>
    <row r="322" spans="1:28" customHeight="true">
      <c r="A322" s="2" t="s">
        <v>497</v>
      </c>
      <c r="B322" s="15">
        <v>45980</v>
      </c>
      <c r="C322" s="2" t="s">
        <v>498</v>
      </c>
      <c r="D322" s="3">
        <v>38</v>
      </c>
      <c r="E322" s="16" t="str">
        <f>IFERROR(__xludf.DUMMYFUNCTION("IFERROR(
  TEXTJOIN(CHAR(10),TRUE,FILTER('SUMMARY DATA'!E:E,'SUMMARY DATA'!$A:$A=$A322,'SUMMARY DATA'!$C:$C=$B322,'SUMMARY DATA'!$B:$B=""RWS"")),
  IF(
    OR(
      ISNUMBER(SEARCH(""CDM CASH DEPOSIT"",$C322)),
      ISNUMBER(SEARCH(""CASH DEPOSIT"",$C32"&amp;"2)),
      COUNTIFS('SUMMARY DATA'!$D:$D,$C322,'SUMMARY DATA'!$B:$B,""RWS"")&lt;&gt;1
    ),
    """",
    IFERROR(TEXTJOIN(CHAR(10),TRUE,FILTER('SUMMARY DATA'!E:E,'SUMMARY DATA'!$D:$D=$C322,'SUMMARY DATA'!$B:$B=""RWS"")),"""")
  )
)"),"")</f>
      </c>
      <c r="F322" s="17" t="str">
        <f>IFERROR(__xludf.DUMMYFUNCTION("IFERROR(
  TEXTJOIN(CHAR(10),TRUE,FILTER('SUMMARY DATA'!F:F,'SUMMARY DATA'!$A:$A=$A322,'SUMMARY DATA'!$C:$C=$B322,'SUMMARY DATA'!$B:$B=""RWS"")),
  IF(
    OR(
      ISNUMBER(SEARCH(""CDM CASH DEPOSIT"",$C322)),
      ISNUMBER(SEARCH(""CASH DEPOSIT"",$C32"&amp;"2)),
      COUNTIFS('SUMMARY DATA'!$D:$D,$C322,'SUMMARY DATA'!$B:$B,""RWS"")&lt;&gt;1
    ),
    """",
    IFERROR(TEXTJOIN(CHAR(10),TRUE,FILTER('SUMMARY DATA'!F:F,'SUMMARY DATA'!$D:$D=$C322,'SUMMARY DATA'!$B:$B=""RWS"")),"""")
  )
)"),"")</f>
      </c>
      <c r="G322" s="17" t="str">
        <f>IFERROR(__xludf.DUMMYFUNCTION("IFERROR(
  TEXTJOIN(CHAR(10),TRUE,FILTER('SUMMARY DATA'!G:G,'SUMMARY DATA'!$A:$A=$A322,'SUMMARY DATA'!$C:$C=$B322,'SUMMARY DATA'!$B:$B=""RWS"")),
  IF(
    OR(
      ISNUMBER(SEARCH(""CDM CASH DEPOSIT"",$C322)),
      ISNUMBER(SEARCH(""CASH DEPOSIT"",$C32"&amp;"2)),
      COUNTIFS('SUMMARY DATA'!$D:$D,$C322,'SUMMARY DATA'!$B:$B,""RWS"")&lt;&gt;1
    ),
    """",
    IFERROR(TEXTJOIN(CHAR(10),TRUE,FILTER('SUMMARY DATA'!G:G,'SUMMARY DATA'!$D:$D=$C322,'SUMMARY DATA'!$B:$B=""RWS"")),"""")
  )
)"),"")</f>
      </c>
      <c r="H322" s="18" t="str">
        <f>IFERROR(__xludf.DUMMYFUNCTION("IFERROR(
  TEXTJOIN(CHAR(10),TRUE,FILTER('SUMMARY DATA'!H:H,'SUMMARY DATA'!$A:$A=$A322,'SUMMARY DATA'!$C:$C=$B322,'SUMMARY DATA'!$B:$B=""RWS"",'SUMMARY DATA'!$H:$H=$D322)),
  IF(
    OR(
      ISNUMBER(SEARCH(""CDM CASH DEPOSIT"",$C322)),
      ISNUMBER(S"&amp;"EARCH(""CASH DEPOSIT"",$C322))
    ),
    """",
    IFERROR(TEXTJOIN(CHAR(10),TRUE,FILTER('SUMMARY DATA'!H:H,'SUMMARY DATA'!$D:$D=$C322,'SUMMARY DATA'!$B:$B=""RWS"",'SUMMARY DATA'!$H:$H=$D322)),"""")
  )
)"),"")</f>
      </c>
      <c r="I322" s="18" t="str">
        <f>IFERROR(__xludf.DUMMYFUNCTION("IF(H322="""","""",
SUM(ARRAYFORMULA(VALUE(SPLIT(H322,CHAR(10)))))
)"),"")</f>
      </c>
      <c r="J322" s="17" t="str">
        <f>IFERROR(__xludf.DUMMYFUNCTION("IFERROR(
  TEXTJOIN(CHAR(10),TRUE,FILTER('SUMMARY DATA'!I:I,'SUMMARY DATA'!$A:$A=$A322,'SUMMARY DATA'!$C:$C=$B322,'SUMMARY DATA'!$B:$B=""RWS"")),
  IF(
    OR(
      ISNUMBER(SEARCH(""CDM CASH DEPOSIT"",$C322)),
      ISNUMBER(SEARCH(""CASH DEPOSIT"",$C32"&amp;"2)),
      COUNTIFS('SUMMARY DATA'!$D:$D,$C322,'SUMMARY DATA'!$B:$B,""RWS"")&lt;&gt;1
    ),
    """",
    IFERROR(TEXTJOIN(CHAR(10),TRUE,FILTER('SUMMARY DATA'!I:I,'SUMMARY DATA'!$D:$D=$C322,'SUMMARY DATA'!$B:$B=""RWS"")),"""")
  )
)"),"")</f>
      </c>
      <c r="K322" s="2"/>
      <c r="L322" s="2"/>
      <c r="M322" s="2"/>
      <c r="N322" s="2"/>
      <c r="O322" s="2"/>
      <c r="P322" s="2"/>
      <c r="Q322" s="2"/>
      <c r="R322" s="2"/>
      <c r="S322" s="2"/>
      <c r="T322" s="2"/>
      <c r="U322" s="2"/>
      <c r="V322" s="2"/>
      <c r="W322" s="2"/>
      <c r="X322" s="2"/>
      <c r="Y322" s="2"/>
      <c r="Z322" s="2"/>
      <c r="AA322" s="2"/>
      <c r="AB322" s="2"/>
    </row>
    <row r="323" spans="1:28" customHeight="true">
      <c r="A323" s="2" t="s">
        <v>499</v>
      </c>
      <c r="B323" s="15">
        <v>45980</v>
      </c>
      <c r="C323" s="2" t="s">
        <v>500</v>
      </c>
      <c r="D323" s="3">
        <v>69</v>
      </c>
      <c r="E323" s="16" t="str">
        <f>IFERROR(__xludf.DUMMYFUNCTION("IFERROR(
  TEXTJOIN(CHAR(10),TRUE,FILTER('SUMMARY DATA'!E:E,'SUMMARY DATA'!$A:$A=$A323,'SUMMARY DATA'!$C:$C=$B323,'SUMMARY DATA'!$B:$B=""RWS"")),
  IF(
    OR(
      ISNUMBER(SEARCH(""CDM CASH DEPOSIT"",$C323)),
      ISNUMBER(SEARCH(""CASH DEPOSIT"",$C32"&amp;"3)),
      COUNTIFS('SUMMARY DATA'!$D:$D,$C323,'SUMMARY DATA'!$B:$B,""RWS"")&lt;&gt;1
    ),
    """",
    IFERROR(TEXTJOIN(CHAR(10),TRUE,FILTER('SUMMARY DATA'!E:E,'SUMMARY DATA'!$D:$D=$C323,'SUMMARY DATA'!$B:$B=""RWS"")),"""")
  )
)"),"")</f>
      </c>
      <c r="F323" s="17" t="str">
        <f>IFERROR(__xludf.DUMMYFUNCTION("IFERROR(
  TEXTJOIN(CHAR(10),TRUE,FILTER('SUMMARY DATA'!F:F,'SUMMARY DATA'!$A:$A=$A323,'SUMMARY DATA'!$C:$C=$B323,'SUMMARY DATA'!$B:$B=""RWS"")),
  IF(
    OR(
      ISNUMBER(SEARCH(""CDM CASH DEPOSIT"",$C323)),
      ISNUMBER(SEARCH(""CASH DEPOSIT"",$C32"&amp;"3)),
      COUNTIFS('SUMMARY DATA'!$D:$D,$C323,'SUMMARY DATA'!$B:$B,""RWS"")&lt;&gt;1
    ),
    """",
    IFERROR(TEXTJOIN(CHAR(10),TRUE,FILTER('SUMMARY DATA'!F:F,'SUMMARY DATA'!$D:$D=$C323,'SUMMARY DATA'!$B:$B=""RWS"")),"""")
  )
)"),"")</f>
      </c>
      <c r="G323" s="17" t="str">
        <f>IFERROR(__xludf.DUMMYFUNCTION("IFERROR(
  TEXTJOIN(CHAR(10),TRUE,FILTER('SUMMARY DATA'!G:G,'SUMMARY DATA'!$A:$A=$A323,'SUMMARY DATA'!$C:$C=$B323,'SUMMARY DATA'!$B:$B=""RWS"")),
  IF(
    OR(
      ISNUMBER(SEARCH(""CDM CASH DEPOSIT"",$C323)),
      ISNUMBER(SEARCH(""CASH DEPOSIT"",$C32"&amp;"3)),
      COUNTIFS('SUMMARY DATA'!$D:$D,$C323,'SUMMARY DATA'!$B:$B,""RWS"")&lt;&gt;1
    ),
    """",
    IFERROR(TEXTJOIN(CHAR(10),TRUE,FILTER('SUMMARY DATA'!G:G,'SUMMARY DATA'!$D:$D=$C323,'SUMMARY DATA'!$B:$B=""RWS"")),"""")
  )
)"),"")</f>
      </c>
      <c r="H323" s="18" t="str">
        <f>IFERROR(__xludf.DUMMYFUNCTION("IFERROR(
  TEXTJOIN(CHAR(10),TRUE,FILTER('SUMMARY DATA'!H:H,'SUMMARY DATA'!$A:$A=$A323,'SUMMARY DATA'!$C:$C=$B323,'SUMMARY DATA'!$B:$B=""RWS"",'SUMMARY DATA'!$H:$H=$D323)),
  IF(
    OR(
      ISNUMBER(SEARCH(""CDM CASH DEPOSIT"",$C323)),
      ISNUMBER(S"&amp;"EARCH(""CASH DEPOSIT"",$C323))
    ),
    """",
    IFERROR(TEXTJOIN(CHAR(10),TRUE,FILTER('SUMMARY DATA'!H:H,'SUMMARY DATA'!$D:$D=$C323,'SUMMARY DATA'!$B:$B=""RWS"",'SUMMARY DATA'!$H:$H=$D323)),"""")
  )
)"),"")</f>
      </c>
      <c r="I323" s="18" t="str">
        <f>IFERROR(__xludf.DUMMYFUNCTION("IF(H323="""","""",
SUM(ARRAYFORMULA(VALUE(SPLIT(H323,CHAR(10)))))
)"),"")</f>
      </c>
      <c r="J323" s="17" t="str">
        <f>IFERROR(__xludf.DUMMYFUNCTION("IFERROR(
  TEXTJOIN(CHAR(10),TRUE,FILTER('SUMMARY DATA'!I:I,'SUMMARY DATA'!$A:$A=$A323,'SUMMARY DATA'!$C:$C=$B323,'SUMMARY DATA'!$B:$B=""RWS"")),
  IF(
    OR(
      ISNUMBER(SEARCH(""CDM CASH DEPOSIT"",$C323)),
      ISNUMBER(SEARCH(""CASH DEPOSIT"",$C32"&amp;"3)),
      COUNTIFS('SUMMARY DATA'!$D:$D,$C323,'SUMMARY DATA'!$B:$B,""RWS"")&lt;&gt;1
    ),
    """",
    IFERROR(TEXTJOIN(CHAR(10),TRUE,FILTER('SUMMARY DATA'!I:I,'SUMMARY DATA'!$D:$D=$C323,'SUMMARY DATA'!$B:$B=""RWS"")),"""")
  )
)"),"")</f>
      </c>
      <c r="K323" s="2"/>
      <c r="L323" s="2"/>
      <c r="M323" s="2"/>
      <c r="N323" s="2"/>
      <c r="O323" s="2"/>
      <c r="P323" s="2"/>
      <c r="Q323" s="2"/>
      <c r="R323" s="2"/>
      <c r="S323" s="2"/>
      <c r="T323" s="2"/>
      <c r="U323" s="2"/>
      <c r="V323" s="2"/>
      <c r="W323" s="2"/>
      <c r="X323" s="2"/>
      <c r="Y323" s="2"/>
      <c r="Z323" s="2"/>
      <c r="AA323" s="2"/>
      <c r="AB323" s="2"/>
    </row>
    <row r="324" spans="1:28" customHeight="true">
      <c r="A324" s="2" t="s">
        <v>501</v>
      </c>
      <c r="B324" s="15">
        <v>45979</v>
      </c>
      <c r="C324" s="2" t="s">
        <v>502</v>
      </c>
      <c r="D324" s="3">
        <v>396.94</v>
      </c>
      <c r="E324" s="16" t="str">
        <f>IFERROR(__xludf.DUMMYFUNCTION("IFERROR(
  TEXTJOIN(CHAR(10),TRUE,FILTER('SUMMARY DATA'!E:E,'SUMMARY DATA'!$A:$A=$A324,'SUMMARY DATA'!$C:$C=$B324,'SUMMARY DATA'!$B:$B=""RWS"")),
  IF(
    OR(
      ISNUMBER(SEARCH(""CDM CASH DEPOSIT"",$C324)),
      ISNUMBER(SEARCH(""CASH DEPOSIT"",$C32"&amp;"4)),
      COUNTIFS('SUMMARY DATA'!$D:$D,$C324,'SUMMARY DATA'!$B:$B,""RWS"")&lt;&gt;1
    ),
    """",
    IFERROR(TEXTJOIN(CHAR(10),TRUE,FILTER('SUMMARY DATA'!E:E,'SUMMARY DATA'!$D:$D=$C324,'SUMMARY DATA'!$B:$B=""RWS"")),"""")
  )
)"),"")</f>
      </c>
      <c r="F324" s="17" t="str">
        <f>IFERROR(__xludf.DUMMYFUNCTION("IFERROR(
  TEXTJOIN(CHAR(10),TRUE,FILTER('SUMMARY DATA'!F:F,'SUMMARY DATA'!$A:$A=$A324,'SUMMARY DATA'!$C:$C=$B324,'SUMMARY DATA'!$B:$B=""RWS"")),
  IF(
    OR(
      ISNUMBER(SEARCH(""CDM CASH DEPOSIT"",$C324)),
      ISNUMBER(SEARCH(""CASH DEPOSIT"",$C32"&amp;"4)),
      COUNTIFS('SUMMARY DATA'!$D:$D,$C324,'SUMMARY DATA'!$B:$B,""RWS"")&lt;&gt;1
    ),
    """",
    IFERROR(TEXTJOIN(CHAR(10),TRUE,FILTER('SUMMARY DATA'!F:F,'SUMMARY DATA'!$D:$D=$C324,'SUMMARY DATA'!$B:$B=""RWS"")),"""")
  )
)"),"")</f>
      </c>
      <c r="G324" s="17" t="str">
        <f>IFERROR(__xludf.DUMMYFUNCTION("IFERROR(
  TEXTJOIN(CHAR(10),TRUE,FILTER('SUMMARY DATA'!G:G,'SUMMARY DATA'!$A:$A=$A324,'SUMMARY DATA'!$C:$C=$B324,'SUMMARY DATA'!$B:$B=""RWS"")),
  IF(
    OR(
      ISNUMBER(SEARCH(""CDM CASH DEPOSIT"",$C324)),
      ISNUMBER(SEARCH(""CASH DEPOSIT"",$C32"&amp;"4)),
      COUNTIFS('SUMMARY DATA'!$D:$D,$C324,'SUMMARY DATA'!$B:$B,""RWS"")&lt;&gt;1
    ),
    """",
    IFERROR(TEXTJOIN(CHAR(10),TRUE,FILTER('SUMMARY DATA'!G:G,'SUMMARY DATA'!$D:$D=$C324,'SUMMARY DATA'!$B:$B=""RWS"")),"""")
  )
)"),"")</f>
      </c>
      <c r="H324" s="18" t="str">
        <f>IFERROR(__xludf.DUMMYFUNCTION("IFERROR(
  TEXTJOIN(CHAR(10),TRUE,FILTER('SUMMARY DATA'!H:H,'SUMMARY DATA'!$A:$A=$A324,'SUMMARY DATA'!$C:$C=$B324,'SUMMARY DATA'!$B:$B=""RWS"",'SUMMARY DATA'!$H:$H=$D324)),
  IF(
    OR(
      ISNUMBER(SEARCH(""CDM CASH DEPOSIT"",$C324)),
      ISNUMBER(S"&amp;"EARCH(""CASH DEPOSIT"",$C324))
    ),
    """",
    IFERROR(TEXTJOIN(CHAR(10),TRUE,FILTER('SUMMARY DATA'!H:H,'SUMMARY DATA'!$D:$D=$C324,'SUMMARY DATA'!$B:$B=""RWS"",'SUMMARY DATA'!$H:$H=$D324)),"""")
  )
)"),"")</f>
      </c>
      <c r="I324" s="18" t="str">
        <f>IFERROR(__xludf.DUMMYFUNCTION("IF(H324="""","""",
SUM(ARRAYFORMULA(VALUE(SPLIT(H324,CHAR(10)))))
)"),"")</f>
      </c>
      <c r="J324" s="17" t="str">
        <f>IFERROR(__xludf.DUMMYFUNCTION("IFERROR(
  TEXTJOIN(CHAR(10),TRUE,FILTER('SUMMARY DATA'!I:I,'SUMMARY DATA'!$A:$A=$A324,'SUMMARY DATA'!$C:$C=$B324,'SUMMARY DATA'!$B:$B=""RWS"")),
  IF(
    OR(
      ISNUMBER(SEARCH(""CDM CASH DEPOSIT"",$C324)),
      ISNUMBER(SEARCH(""CASH DEPOSIT"",$C32"&amp;"4)),
      COUNTIFS('SUMMARY DATA'!$D:$D,$C324,'SUMMARY DATA'!$B:$B,""RWS"")&lt;&gt;1
    ),
    """",
    IFERROR(TEXTJOIN(CHAR(10),TRUE,FILTER('SUMMARY DATA'!I:I,'SUMMARY DATA'!$D:$D=$C324,'SUMMARY DATA'!$B:$B=""RWS"")),"""")
  )
)"),"")</f>
      </c>
      <c r="K324" s="2"/>
      <c r="L324" s="2"/>
      <c r="M324" s="2"/>
      <c r="N324" s="2"/>
      <c r="O324" s="2"/>
      <c r="P324" s="2"/>
      <c r="Q324" s="2"/>
      <c r="R324" s="2"/>
      <c r="S324" s="2"/>
      <c r="T324" s="2"/>
      <c r="U324" s="2"/>
      <c r="V324" s="2"/>
      <c r="W324" s="2"/>
      <c r="X324" s="2"/>
      <c r="Y324" s="2"/>
      <c r="Z324" s="2"/>
      <c r="AA324" s="2"/>
      <c r="AB324" s="2"/>
    </row>
    <row r="325" spans="1:28" customHeight="true">
      <c r="A325" s="2" t="s">
        <v>503</v>
      </c>
      <c r="B325" s="15">
        <v>45979</v>
      </c>
      <c r="C325" s="2" t="s">
        <v>504</v>
      </c>
      <c r="D325" s="3">
        <v>294.81</v>
      </c>
      <c r="E325" s="16" t="str">
        <f>IFERROR(__xludf.DUMMYFUNCTION("IFERROR(
  TEXTJOIN(CHAR(10),TRUE,FILTER('SUMMARY DATA'!E:E,'SUMMARY DATA'!$A:$A=$A325,'SUMMARY DATA'!$C:$C=$B325,'SUMMARY DATA'!$B:$B=""RWS"")),
  IF(
    OR(
      ISNUMBER(SEARCH(""CDM CASH DEPOSIT"",$C325)),
      ISNUMBER(SEARCH(""CASH DEPOSIT"",$C32"&amp;"5)),
      COUNTIFS('SUMMARY DATA'!$D:$D,$C325,'SUMMARY DATA'!$B:$B,""RWS"")&lt;&gt;1
    ),
    """",
    IFERROR(TEXTJOIN(CHAR(10),TRUE,FILTER('SUMMARY DATA'!E:E,'SUMMARY DATA'!$D:$D=$C325,'SUMMARY DATA'!$B:$B=""RWS"")),"""")
  )
)"),"")</f>
      </c>
      <c r="F325" s="17" t="str">
        <f>IFERROR(__xludf.DUMMYFUNCTION("IFERROR(
  TEXTJOIN(CHAR(10),TRUE,FILTER('SUMMARY DATA'!F:F,'SUMMARY DATA'!$A:$A=$A325,'SUMMARY DATA'!$C:$C=$B325,'SUMMARY DATA'!$B:$B=""RWS"")),
  IF(
    OR(
      ISNUMBER(SEARCH(""CDM CASH DEPOSIT"",$C325)),
      ISNUMBER(SEARCH(""CASH DEPOSIT"",$C32"&amp;"5)),
      COUNTIFS('SUMMARY DATA'!$D:$D,$C325,'SUMMARY DATA'!$B:$B,""RWS"")&lt;&gt;1
    ),
    """",
    IFERROR(TEXTJOIN(CHAR(10),TRUE,FILTER('SUMMARY DATA'!F:F,'SUMMARY DATA'!$D:$D=$C325,'SUMMARY DATA'!$B:$B=""RWS"")),"""")
  )
)"),"")</f>
      </c>
      <c r="G325" s="17" t="str">
        <f>IFERROR(__xludf.DUMMYFUNCTION("IFERROR(
  TEXTJOIN(CHAR(10),TRUE,FILTER('SUMMARY DATA'!G:G,'SUMMARY DATA'!$A:$A=$A325,'SUMMARY DATA'!$C:$C=$B325,'SUMMARY DATA'!$B:$B=""RWS"")),
  IF(
    OR(
      ISNUMBER(SEARCH(""CDM CASH DEPOSIT"",$C325)),
      ISNUMBER(SEARCH(""CASH DEPOSIT"",$C32"&amp;"5)),
      COUNTIFS('SUMMARY DATA'!$D:$D,$C325,'SUMMARY DATA'!$B:$B,""RWS"")&lt;&gt;1
    ),
    """",
    IFERROR(TEXTJOIN(CHAR(10),TRUE,FILTER('SUMMARY DATA'!G:G,'SUMMARY DATA'!$D:$D=$C325,'SUMMARY DATA'!$B:$B=""RWS"")),"""")
  )
)"),"")</f>
      </c>
      <c r="H325" s="18" t="str">
        <f>IFERROR(__xludf.DUMMYFUNCTION("IFERROR(
  TEXTJOIN(CHAR(10),TRUE,FILTER('SUMMARY DATA'!H:H,'SUMMARY DATA'!$A:$A=$A325,'SUMMARY DATA'!$C:$C=$B325,'SUMMARY DATA'!$B:$B=""RWS"",'SUMMARY DATA'!$H:$H=$D325)),
  IF(
    OR(
      ISNUMBER(SEARCH(""CDM CASH DEPOSIT"",$C325)),
      ISNUMBER(S"&amp;"EARCH(""CASH DEPOSIT"",$C325))
    ),
    """",
    IFERROR(TEXTJOIN(CHAR(10),TRUE,FILTER('SUMMARY DATA'!H:H,'SUMMARY DATA'!$D:$D=$C325,'SUMMARY DATA'!$B:$B=""RWS"",'SUMMARY DATA'!$H:$H=$D325)),"""")
  )
)"),"")</f>
      </c>
      <c r="I325" s="18" t="str">
        <f>IFERROR(__xludf.DUMMYFUNCTION("IF(H325="""","""",
SUM(ARRAYFORMULA(VALUE(SPLIT(H325,CHAR(10)))))
)"),"")</f>
      </c>
      <c r="J325" s="17" t="str">
        <f>IFERROR(__xludf.DUMMYFUNCTION("IFERROR(
  TEXTJOIN(CHAR(10),TRUE,FILTER('SUMMARY DATA'!I:I,'SUMMARY DATA'!$A:$A=$A325,'SUMMARY DATA'!$C:$C=$B325,'SUMMARY DATA'!$B:$B=""RWS"")),
  IF(
    OR(
      ISNUMBER(SEARCH(""CDM CASH DEPOSIT"",$C325)),
      ISNUMBER(SEARCH(""CASH DEPOSIT"",$C32"&amp;"5)),
      COUNTIFS('SUMMARY DATA'!$D:$D,$C325,'SUMMARY DATA'!$B:$B,""RWS"")&lt;&gt;1
    ),
    """",
    IFERROR(TEXTJOIN(CHAR(10),TRUE,FILTER('SUMMARY DATA'!I:I,'SUMMARY DATA'!$D:$D=$C325,'SUMMARY DATA'!$B:$B=""RWS"")),"""")
  )
)"),"")</f>
      </c>
      <c r="K325" s="2"/>
      <c r="L325" s="2"/>
      <c r="M325" s="2"/>
      <c r="N325" s="2"/>
      <c r="O325" s="2"/>
      <c r="P325" s="2"/>
      <c r="Q325" s="2"/>
      <c r="R325" s="2"/>
      <c r="S325" s="2"/>
      <c r="T325" s="2"/>
      <c r="U325" s="2"/>
      <c r="V325" s="2"/>
      <c r="W325" s="2"/>
      <c r="X325" s="2"/>
      <c r="Y325" s="2"/>
      <c r="Z325" s="2"/>
      <c r="AA325" s="2"/>
      <c r="AB325" s="2"/>
    </row>
    <row r="326" spans="1:28" customHeight="true">
      <c r="A326" s="2" t="s">
        <v>505</v>
      </c>
      <c r="B326" s="15">
        <v>45979</v>
      </c>
      <c r="C326" s="2" t="s">
        <v>506</v>
      </c>
      <c r="D326" s="3">
        <v>18.32</v>
      </c>
      <c r="E326" s="16" t="str">
        <f>IFERROR(__xludf.DUMMYFUNCTION("IFERROR(
  TEXTJOIN(CHAR(10),TRUE,FILTER('SUMMARY DATA'!E:E,'SUMMARY DATA'!$A:$A=$A326,'SUMMARY DATA'!$C:$C=$B326,'SUMMARY DATA'!$B:$B=""RWS"")),
  IF(
    OR(
      ISNUMBER(SEARCH(""CDM CASH DEPOSIT"",$C326)),
      ISNUMBER(SEARCH(""CASH DEPOSIT"",$C32"&amp;"6)),
      COUNTIFS('SUMMARY DATA'!$D:$D,$C326,'SUMMARY DATA'!$B:$B,""RWS"")&lt;&gt;1
    ),
    """",
    IFERROR(TEXTJOIN(CHAR(10),TRUE,FILTER('SUMMARY DATA'!E:E,'SUMMARY DATA'!$D:$D=$C326,'SUMMARY DATA'!$B:$B=""RWS"")),"""")
  )
)"),"")</f>
      </c>
      <c r="F326" s="17" t="str">
        <f>IFERROR(__xludf.DUMMYFUNCTION("IFERROR(
  TEXTJOIN(CHAR(10),TRUE,FILTER('SUMMARY DATA'!F:F,'SUMMARY DATA'!$A:$A=$A326,'SUMMARY DATA'!$C:$C=$B326,'SUMMARY DATA'!$B:$B=""RWS"")),
  IF(
    OR(
      ISNUMBER(SEARCH(""CDM CASH DEPOSIT"",$C326)),
      ISNUMBER(SEARCH(""CASH DEPOSIT"",$C32"&amp;"6)),
      COUNTIFS('SUMMARY DATA'!$D:$D,$C326,'SUMMARY DATA'!$B:$B,""RWS"")&lt;&gt;1
    ),
    """",
    IFERROR(TEXTJOIN(CHAR(10),TRUE,FILTER('SUMMARY DATA'!F:F,'SUMMARY DATA'!$D:$D=$C326,'SUMMARY DATA'!$B:$B=""RWS"")),"""")
  )
)"),"")</f>
      </c>
      <c r="G326" s="17" t="str">
        <f>IFERROR(__xludf.DUMMYFUNCTION("IFERROR(
  TEXTJOIN(CHAR(10),TRUE,FILTER('SUMMARY DATA'!G:G,'SUMMARY DATA'!$A:$A=$A326,'SUMMARY DATA'!$C:$C=$B326,'SUMMARY DATA'!$B:$B=""RWS"")),
  IF(
    OR(
      ISNUMBER(SEARCH(""CDM CASH DEPOSIT"",$C326)),
      ISNUMBER(SEARCH(""CASH DEPOSIT"",$C32"&amp;"6)),
      COUNTIFS('SUMMARY DATA'!$D:$D,$C326,'SUMMARY DATA'!$B:$B,""RWS"")&lt;&gt;1
    ),
    """",
    IFERROR(TEXTJOIN(CHAR(10),TRUE,FILTER('SUMMARY DATA'!G:G,'SUMMARY DATA'!$D:$D=$C326,'SUMMARY DATA'!$B:$B=""RWS"")),"""")
  )
)"),"")</f>
      </c>
      <c r="H326" s="18" t="str">
        <f>IFERROR(__xludf.DUMMYFUNCTION("IFERROR(
  TEXTJOIN(CHAR(10),TRUE,FILTER('SUMMARY DATA'!H:H,'SUMMARY DATA'!$A:$A=$A326,'SUMMARY DATA'!$C:$C=$B326,'SUMMARY DATA'!$B:$B=""RWS"",'SUMMARY DATA'!$H:$H=$D326)),
  IF(
    OR(
      ISNUMBER(SEARCH(""CDM CASH DEPOSIT"",$C326)),
      ISNUMBER(S"&amp;"EARCH(""CASH DEPOSIT"",$C326))
    ),
    """",
    IFERROR(TEXTJOIN(CHAR(10),TRUE,FILTER('SUMMARY DATA'!H:H,'SUMMARY DATA'!$D:$D=$C326,'SUMMARY DATA'!$B:$B=""RWS"",'SUMMARY DATA'!$H:$H=$D326)),"""")
  )
)"),"")</f>
      </c>
      <c r="I326" s="18" t="str">
        <f>IFERROR(__xludf.DUMMYFUNCTION("IF(H326="""","""",
SUM(ARRAYFORMULA(VALUE(SPLIT(H326,CHAR(10)))))
)"),"")</f>
      </c>
      <c r="J326" s="17" t="str">
        <f>IFERROR(__xludf.DUMMYFUNCTION("IFERROR(
  TEXTJOIN(CHAR(10),TRUE,FILTER('SUMMARY DATA'!I:I,'SUMMARY DATA'!$A:$A=$A326,'SUMMARY DATA'!$C:$C=$B326,'SUMMARY DATA'!$B:$B=""RWS"")),
  IF(
    OR(
      ISNUMBER(SEARCH(""CDM CASH DEPOSIT"",$C326)),
      ISNUMBER(SEARCH(""CASH DEPOSIT"",$C32"&amp;"6)),
      COUNTIFS('SUMMARY DATA'!$D:$D,$C326,'SUMMARY DATA'!$B:$B,""RWS"")&lt;&gt;1
    ),
    """",
    IFERROR(TEXTJOIN(CHAR(10),TRUE,FILTER('SUMMARY DATA'!I:I,'SUMMARY DATA'!$D:$D=$C326,'SUMMARY DATA'!$B:$B=""RWS"")),"""")
  )
)"),"")</f>
      </c>
      <c r="K326" s="2"/>
      <c r="L326" s="2"/>
      <c r="M326" s="2"/>
      <c r="N326" s="2"/>
      <c r="O326" s="2"/>
      <c r="P326" s="2"/>
      <c r="Q326" s="2"/>
      <c r="R326" s="2"/>
      <c r="S326" s="2"/>
      <c r="T326" s="2"/>
      <c r="U326" s="2"/>
      <c r="V326" s="2"/>
      <c r="W326" s="2"/>
      <c r="X326" s="2"/>
      <c r="Y326" s="2"/>
      <c r="Z326" s="2"/>
      <c r="AA326" s="2"/>
      <c r="AB326" s="2"/>
    </row>
    <row r="327" spans="1:28" customHeight="true">
      <c r="A327" s="2" t="s">
        <v>507</v>
      </c>
      <c r="B327" s="15">
        <v>45979</v>
      </c>
      <c r="C327" s="2" t="s">
        <v>508</v>
      </c>
      <c r="D327" s="3">
        <v>149</v>
      </c>
      <c r="E327" s="16" t="str">
        <f>IFERROR(__xludf.DUMMYFUNCTION("IFERROR(
  TEXTJOIN(CHAR(10),TRUE,FILTER('SUMMARY DATA'!E:E,'SUMMARY DATA'!$A:$A=$A327,'SUMMARY DATA'!$C:$C=$B327,'SUMMARY DATA'!$B:$B=""RWS"")),
  IF(
    OR(
      ISNUMBER(SEARCH(""CDM CASH DEPOSIT"",$C327)),
      ISNUMBER(SEARCH(""CASH DEPOSIT"",$C32"&amp;"7)),
      COUNTIFS('SUMMARY DATA'!$D:$D,$C327,'SUMMARY DATA'!$B:$B,""RWS"")&lt;&gt;1
    ),
    """",
    IFERROR(TEXTJOIN(CHAR(10),TRUE,FILTER('SUMMARY DATA'!E:E,'SUMMARY DATA'!$D:$D=$C327,'SUMMARY DATA'!$B:$B=""RWS"")),"""")
  )
)"),"")</f>
      </c>
      <c r="F327" s="17" t="str">
        <f>IFERROR(__xludf.DUMMYFUNCTION("IFERROR(
  TEXTJOIN(CHAR(10),TRUE,FILTER('SUMMARY DATA'!F:F,'SUMMARY DATA'!$A:$A=$A327,'SUMMARY DATA'!$C:$C=$B327,'SUMMARY DATA'!$B:$B=""RWS"")),
  IF(
    OR(
      ISNUMBER(SEARCH(""CDM CASH DEPOSIT"",$C327)),
      ISNUMBER(SEARCH(""CASH DEPOSIT"",$C32"&amp;"7)),
      COUNTIFS('SUMMARY DATA'!$D:$D,$C327,'SUMMARY DATA'!$B:$B,""RWS"")&lt;&gt;1
    ),
    """",
    IFERROR(TEXTJOIN(CHAR(10),TRUE,FILTER('SUMMARY DATA'!F:F,'SUMMARY DATA'!$D:$D=$C327,'SUMMARY DATA'!$B:$B=""RWS"")),"""")
  )
)"),"")</f>
      </c>
      <c r="G327" s="17" t="str">
        <f>IFERROR(__xludf.DUMMYFUNCTION("IFERROR(
  TEXTJOIN(CHAR(10),TRUE,FILTER('SUMMARY DATA'!G:G,'SUMMARY DATA'!$A:$A=$A327,'SUMMARY DATA'!$C:$C=$B327,'SUMMARY DATA'!$B:$B=""RWS"")),
  IF(
    OR(
      ISNUMBER(SEARCH(""CDM CASH DEPOSIT"",$C327)),
      ISNUMBER(SEARCH(""CASH DEPOSIT"",$C32"&amp;"7)),
      COUNTIFS('SUMMARY DATA'!$D:$D,$C327,'SUMMARY DATA'!$B:$B,""RWS"")&lt;&gt;1
    ),
    """",
    IFERROR(TEXTJOIN(CHAR(10),TRUE,FILTER('SUMMARY DATA'!G:G,'SUMMARY DATA'!$D:$D=$C327,'SUMMARY DATA'!$B:$B=""RWS"")),"""")
  )
)"),"")</f>
      </c>
      <c r="H327" s="18" t="str">
        <f>IFERROR(__xludf.DUMMYFUNCTION("IFERROR(
  TEXTJOIN(CHAR(10),TRUE,FILTER('SUMMARY DATA'!H:H,'SUMMARY DATA'!$A:$A=$A327,'SUMMARY DATA'!$C:$C=$B327,'SUMMARY DATA'!$B:$B=""RWS"",'SUMMARY DATA'!$H:$H=$D327)),
  IF(
    OR(
      ISNUMBER(SEARCH(""CDM CASH DEPOSIT"",$C327)),
      ISNUMBER(S"&amp;"EARCH(""CASH DEPOSIT"",$C327))
    ),
    """",
    IFERROR(TEXTJOIN(CHAR(10),TRUE,FILTER('SUMMARY DATA'!H:H,'SUMMARY DATA'!$D:$D=$C327,'SUMMARY DATA'!$B:$B=""RWS"",'SUMMARY DATA'!$H:$H=$D327)),"""")
  )
)"),"")</f>
      </c>
      <c r="I327" s="18" t="str">
        <f>IFERROR(__xludf.DUMMYFUNCTION("IF(H327="""","""",
SUM(ARRAYFORMULA(VALUE(SPLIT(H327,CHAR(10)))))
)"),"")</f>
      </c>
      <c r="J327" s="17" t="str">
        <f>IFERROR(__xludf.DUMMYFUNCTION("IFERROR(
  TEXTJOIN(CHAR(10),TRUE,FILTER('SUMMARY DATA'!I:I,'SUMMARY DATA'!$A:$A=$A327,'SUMMARY DATA'!$C:$C=$B327,'SUMMARY DATA'!$B:$B=""RWS"")),
  IF(
    OR(
      ISNUMBER(SEARCH(""CDM CASH DEPOSIT"",$C327)),
      ISNUMBER(SEARCH(""CASH DEPOSIT"",$C32"&amp;"7)),
      COUNTIFS('SUMMARY DATA'!$D:$D,$C327,'SUMMARY DATA'!$B:$B,""RWS"")&lt;&gt;1
    ),
    """",
    IFERROR(TEXTJOIN(CHAR(10),TRUE,FILTER('SUMMARY DATA'!I:I,'SUMMARY DATA'!$D:$D=$C327,'SUMMARY DATA'!$B:$B=""RWS"")),"""")
  )
)"),"")</f>
      </c>
      <c r="K327" s="2"/>
      <c r="L327" s="2"/>
      <c r="M327" s="2"/>
      <c r="N327" s="2"/>
      <c r="O327" s="2"/>
      <c r="P327" s="2"/>
      <c r="Q327" s="2"/>
      <c r="R327" s="2"/>
      <c r="S327" s="2"/>
      <c r="T327" s="2"/>
      <c r="U327" s="2"/>
      <c r="V327" s="2"/>
      <c r="W327" s="2"/>
      <c r="X327" s="2"/>
      <c r="Y327" s="2"/>
      <c r="Z327" s="2"/>
      <c r="AA327" s="2"/>
      <c r="AB327" s="2"/>
    </row>
    <row r="328" spans="1:28" customHeight="true">
      <c r="A328" s="2" t="s">
        <v>509</v>
      </c>
      <c r="B328" s="15">
        <v>45979</v>
      </c>
      <c r="C328" s="2" t="s">
        <v>510</v>
      </c>
      <c r="D328" s="3">
        <v>181.61</v>
      </c>
      <c r="E328" s="16" t="str">
        <f>IFERROR(__xludf.DUMMYFUNCTION("IFERROR(
  TEXTJOIN(CHAR(10),TRUE,FILTER('SUMMARY DATA'!E:E,'SUMMARY DATA'!$A:$A=$A328,'SUMMARY DATA'!$C:$C=$B328,'SUMMARY DATA'!$B:$B=""RWS"")),
  IF(
    OR(
      ISNUMBER(SEARCH(""CDM CASH DEPOSIT"",$C328)),
      ISNUMBER(SEARCH(""CASH DEPOSIT"",$C32"&amp;"8)),
      COUNTIFS('SUMMARY DATA'!$D:$D,$C328,'SUMMARY DATA'!$B:$B,""RWS"")&lt;&gt;1
    ),
    """",
    IFERROR(TEXTJOIN(CHAR(10),TRUE,FILTER('SUMMARY DATA'!E:E,'SUMMARY DATA'!$D:$D=$C328,'SUMMARY DATA'!$B:$B=""RWS"")),"""")
  )
)"),"")</f>
      </c>
      <c r="F328" s="17" t="str">
        <f>IFERROR(__xludf.DUMMYFUNCTION("IFERROR(
  TEXTJOIN(CHAR(10),TRUE,FILTER('SUMMARY DATA'!F:F,'SUMMARY DATA'!$A:$A=$A328,'SUMMARY DATA'!$C:$C=$B328,'SUMMARY DATA'!$B:$B=""RWS"")),
  IF(
    OR(
      ISNUMBER(SEARCH(""CDM CASH DEPOSIT"",$C328)),
      ISNUMBER(SEARCH(""CASH DEPOSIT"",$C32"&amp;"8)),
      COUNTIFS('SUMMARY DATA'!$D:$D,$C328,'SUMMARY DATA'!$B:$B,""RWS"")&lt;&gt;1
    ),
    """",
    IFERROR(TEXTJOIN(CHAR(10),TRUE,FILTER('SUMMARY DATA'!F:F,'SUMMARY DATA'!$D:$D=$C328,'SUMMARY DATA'!$B:$B=""RWS"")),"""")
  )
)"),"")</f>
      </c>
      <c r="G328" s="17" t="str">
        <f>IFERROR(__xludf.DUMMYFUNCTION("IFERROR(
  TEXTJOIN(CHAR(10),TRUE,FILTER('SUMMARY DATA'!G:G,'SUMMARY DATA'!$A:$A=$A328,'SUMMARY DATA'!$C:$C=$B328,'SUMMARY DATA'!$B:$B=""RWS"")),
  IF(
    OR(
      ISNUMBER(SEARCH(""CDM CASH DEPOSIT"",$C328)),
      ISNUMBER(SEARCH(""CASH DEPOSIT"",$C32"&amp;"8)),
      COUNTIFS('SUMMARY DATA'!$D:$D,$C328,'SUMMARY DATA'!$B:$B,""RWS"")&lt;&gt;1
    ),
    """",
    IFERROR(TEXTJOIN(CHAR(10),TRUE,FILTER('SUMMARY DATA'!G:G,'SUMMARY DATA'!$D:$D=$C328,'SUMMARY DATA'!$B:$B=""RWS"")),"""")
  )
)"),"")</f>
      </c>
      <c r="H328" s="18" t="str">
        <f>IFERROR(__xludf.DUMMYFUNCTION("IFERROR(
  TEXTJOIN(CHAR(10),TRUE,FILTER('SUMMARY DATA'!H:H,'SUMMARY DATA'!$A:$A=$A328,'SUMMARY DATA'!$C:$C=$B328,'SUMMARY DATA'!$B:$B=""RWS"",'SUMMARY DATA'!$H:$H=$D328)),
  IF(
    OR(
      ISNUMBER(SEARCH(""CDM CASH DEPOSIT"",$C328)),
      ISNUMBER(S"&amp;"EARCH(""CASH DEPOSIT"",$C328))
    ),
    """",
    IFERROR(TEXTJOIN(CHAR(10),TRUE,FILTER('SUMMARY DATA'!H:H,'SUMMARY DATA'!$D:$D=$C328,'SUMMARY DATA'!$B:$B=""RWS"",'SUMMARY DATA'!$H:$H=$D328)),"""")
  )
)"),"")</f>
      </c>
      <c r="I328" s="18" t="str">
        <f>IFERROR(__xludf.DUMMYFUNCTION("IF(H328="""","""",
SUM(ARRAYFORMULA(VALUE(SPLIT(H328,CHAR(10)))))
)"),"")</f>
      </c>
      <c r="J328" s="17" t="str">
        <f>IFERROR(__xludf.DUMMYFUNCTION("IFERROR(
  TEXTJOIN(CHAR(10),TRUE,FILTER('SUMMARY DATA'!I:I,'SUMMARY DATA'!$A:$A=$A328,'SUMMARY DATA'!$C:$C=$B328,'SUMMARY DATA'!$B:$B=""RWS"")),
  IF(
    OR(
      ISNUMBER(SEARCH(""CDM CASH DEPOSIT"",$C328)),
      ISNUMBER(SEARCH(""CASH DEPOSIT"",$C32"&amp;"8)),
      COUNTIFS('SUMMARY DATA'!$D:$D,$C328,'SUMMARY DATA'!$B:$B,""RWS"")&lt;&gt;1
    ),
    """",
    IFERROR(TEXTJOIN(CHAR(10),TRUE,FILTER('SUMMARY DATA'!I:I,'SUMMARY DATA'!$D:$D=$C328,'SUMMARY DATA'!$B:$B=""RWS"")),"""")
  )
)"),"")</f>
      </c>
      <c r="K328" s="2"/>
      <c r="L328" s="2"/>
      <c r="M328" s="2"/>
      <c r="N328" s="2"/>
      <c r="O328" s="2"/>
      <c r="P328" s="2"/>
      <c r="Q328" s="2"/>
      <c r="R328" s="2"/>
      <c r="S328" s="2"/>
      <c r="T328" s="2"/>
      <c r="U328" s="2"/>
      <c r="V328" s="2"/>
      <c r="W328" s="2"/>
      <c r="X328" s="2"/>
      <c r="Y328" s="2"/>
      <c r="Z328" s="2"/>
      <c r="AA328" s="2"/>
      <c r="AB328" s="2"/>
    </row>
    <row r="329" spans="1:28" customHeight="true">
      <c r="A329" s="2" t="s">
        <v>511</v>
      </c>
      <c r="B329" s="15">
        <v>45979</v>
      </c>
      <c r="C329" s="2" t="s">
        <v>512</v>
      </c>
      <c r="D329" s="3">
        <v>134.79</v>
      </c>
      <c r="E329" s="16" t="str">
        <f>IFERROR(__xludf.DUMMYFUNCTION("IFERROR(
  TEXTJOIN(CHAR(10),TRUE,FILTER('SUMMARY DATA'!E:E,'SUMMARY DATA'!$A:$A=$A329,'SUMMARY DATA'!$C:$C=$B329,'SUMMARY DATA'!$B:$B=""RWS"")),
  IF(
    OR(
      ISNUMBER(SEARCH(""CDM CASH DEPOSIT"",$C329)),
      ISNUMBER(SEARCH(""CASH DEPOSIT"",$C32"&amp;"9)),
      COUNTIFS('SUMMARY DATA'!$D:$D,$C329,'SUMMARY DATA'!$B:$B,""RWS"")&lt;&gt;1
    ),
    """",
    IFERROR(TEXTJOIN(CHAR(10),TRUE,FILTER('SUMMARY DATA'!E:E,'SUMMARY DATA'!$D:$D=$C329,'SUMMARY DATA'!$B:$B=""RWS"")),"""")
  )
)"),"")</f>
      </c>
      <c r="F329" s="17" t="str">
        <f>IFERROR(__xludf.DUMMYFUNCTION("IFERROR(
  TEXTJOIN(CHAR(10),TRUE,FILTER('SUMMARY DATA'!F:F,'SUMMARY DATA'!$A:$A=$A329,'SUMMARY DATA'!$C:$C=$B329,'SUMMARY DATA'!$B:$B=""RWS"")),
  IF(
    OR(
      ISNUMBER(SEARCH(""CDM CASH DEPOSIT"",$C329)),
      ISNUMBER(SEARCH(""CASH DEPOSIT"",$C32"&amp;"9)),
      COUNTIFS('SUMMARY DATA'!$D:$D,$C329,'SUMMARY DATA'!$B:$B,""RWS"")&lt;&gt;1
    ),
    """",
    IFERROR(TEXTJOIN(CHAR(10),TRUE,FILTER('SUMMARY DATA'!F:F,'SUMMARY DATA'!$D:$D=$C329,'SUMMARY DATA'!$B:$B=""RWS"")),"""")
  )
)"),"")</f>
      </c>
      <c r="G329" s="17" t="str">
        <f>IFERROR(__xludf.DUMMYFUNCTION("IFERROR(
  TEXTJOIN(CHAR(10),TRUE,FILTER('SUMMARY DATA'!G:G,'SUMMARY DATA'!$A:$A=$A329,'SUMMARY DATA'!$C:$C=$B329,'SUMMARY DATA'!$B:$B=""RWS"")),
  IF(
    OR(
      ISNUMBER(SEARCH(""CDM CASH DEPOSIT"",$C329)),
      ISNUMBER(SEARCH(""CASH DEPOSIT"",$C32"&amp;"9)),
      COUNTIFS('SUMMARY DATA'!$D:$D,$C329,'SUMMARY DATA'!$B:$B,""RWS"")&lt;&gt;1
    ),
    """",
    IFERROR(TEXTJOIN(CHAR(10),TRUE,FILTER('SUMMARY DATA'!G:G,'SUMMARY DATA'!$D:$D=$C329,'SUMMARY DATA'!$B:$B=""RWS"")),"""")
  )
)"),"")</f>
      </c>
      <c r="H329" s="18" t="str">
        <f>IFERROR(__xludf.DUMMYFUNCTION("IFERROR(
  TEXTJOIN(CHAR(10),TRUE,FILTER('SUMMARY DATA'!H:H,'SUMMARY DATA'!$A:$A=$A329,'SUMMARY DATA'!$C:$C=$B329,'SUMMARY DATA'!$B:$B=""RWS"",'SUMMARY DATA'!$H:$H=$D329)),
  IF(
    OR(
      ISNUMBER(SEARCH(""CDM CASH DEPOSIT"",$C329)),
      ISNUMBER(S"&amp;"EARCH(""CASH DEPOSIT"",$C329))
    ),
    """",
    IFERROR(TEXTJOIN(CHAR(10),TRUE,FILTER('SUMMARY DATA'!H:H,'SUMMARY DATA'!$D:$D=$C329,'SUMMARY DATA'!$B:$B=""RWS"",'SUMMARY DATA'!$H:$H=$D329)),"""")
  )
)"),"")</f>
      </c>
      <c r="I329" s="18" t="str">
        <f>IFERROR(__xludf.DUMMYFUNCTION("IF(H329="""","""",
SUM(ARRAYFORMULA(VALUE(SPLIT(H329,CHAR(10)))))
)"),"")</f>
      </c>
      <c r="J329" s="17" t="str">
        <f>IFERROR(__xludf.DUMMYFUNCTION("IFERROR(
  TEXTJOIN(CHAR(10),TRUE,FILTER('SUMMARY DATA'!I:I,'SUMMARY DATA'!$A:$A=$A329,'SUMMARY DATA'!$C:$C=$B329,'SUMMARY DATA'!$B:$B=""RWS"")),
  IF(
    OR(
      ISNUMBER(SEARCH(""CDM CASH DEPOSIT"",$C329)),
      ISNUMBER(SEARCH(""CASH DEPOSIT"",$C32"&amp;"9)),
      COUNTIFS('SUMMARY DATA'!$D:$D,$C329,'SUMMARY DATA'!$B:$B,""RWS"")&lt;&gt;1
    ),
    """",
    IFERROR(TEXTJOIN(CHAR(10),TRUE,FILTER('SUMMARY DATA'!I:I,'SUMMARY DATA'!$D:$D=$C329,'SUMMARY DATA'!$B:$B=""RWS"")),"""")
  )
)"),"")</f>
      </c>
      <c r="K329" s="2"/>
      <c r="L329" s="2"/>
      <c r="M329" s="2"/>
      <c r="N329" s="2"/>
      <c r="O329" s="2"/>
      <c r="P329" s="2"/>
      <c r="Q329" s="2"/>
      <c r="R329" s="2"/>
      <c r="S329" s="2"/>
      <c r="T329" s="2"/>
      <c r="U329" s="2"/>
      <c r="V329" s="2"/>
      <c r="W329" s="2"/>
      <c r="X329" s="2"/>
      <c r="Y329" s="2"/>
      <c r="Z329" s="2"/>
      <c r="AA329" s="2"/>
      <c r="AB329" s="2"/>
    </row>
    <row r="330" spans="1:28" customHeight="true">
      <c r="A330" s="2" t="s">
        <v>513</v>
      </c>
      <c r="B330" s="15">
        <v>45979</v>
      </c>
      <c r="C330" s="2" t="s">
        <v>514</v>
      </c>
      <c r="D330" s="3">
        <v>182.58</v>
      </c>
      <c r="E330" s="16" t="s">
        <v>2457</v>
      </c>
      <c r="F330" s="17" t="s">
        <v>2466</v>
      </c>
      <c r="G330" s="17" t="s">
        <v>2393</v>
      </c>
      <c r="H330" s="18">
        <v>182.58</v>
      </c>
      <c r="I330" s="18">
        <v>182.58</v>
      </c>
      <c r="J330" s="17" t="s">
        <v>2394</v>
      </c>
      <c r="K330" s="2" t="s">
        <v>2395</v>
      </c>
      <c r="L330" s="2"/>
      <c r="M330" s="2"/>
      <c r="N330" s="2"/>
      <c r="O330" s="2"/>
      <c r="P330" s="2"/>
      <c r="Q330" s="2"/>
      <c r="R330" s="2"/>
      <c r="S330" s="2"/>
      <c r="T330" s="2"/>
      <c r="U330" s="2"/>
      <c r="V330" s="2"/>
      <c r="W330" s="2"/>
      <c r="X330" s="2"/>
      <c r="Y330" s="2"/>
      <c r="Z330" s="2"/>
      <c r="AA330" s="2"/>
      <c r="AB330" s="2"/>
    </row>
    <row r="331" spans="1:28" customHeight="true">
      <c r="A331" s="2" t="s">
        <v>515</v>
      </c>
      <c r="B331" s="15">
        <v>45979</v>
      </c>
      <c r="C331" s="2" t="s">
        <v>516</v>
      </c>
      <c r="D331" s="3">
        <v>94.02</v>
      </c>
      <c r="E331" s="16" t="str">
        <f>IFERROR(__xludf.DUMMYFUNCTION("IFERROR(
  TEXTJOIN(CHAR(10),TRUE,FILTER('SUMMARY DATA'!E:E,'SUMMARY DATA'!$A:$A=$A331,'SUMMARY DATA'!$C:$C=$B331,'SUMMARY DATA'!$B:$B=""RWS"")),
  IF(
    OR(
      ISNUMBER(SEARCH(""CDM CASH DEPOSIT"",$C331)),
      ISNUMBER(SEARCH(""CASH DEPOSIT"",$C33"&amp;"1)),
      COUNTIFS('SUMMARY DATA'!$D:$D,$C331,'SUMMARY DATA'!$B:$B,""RWS"")&lt;&gt;1
    ),
    """",
    IFERROR(TEXTJOIN(CHAR(10),TRUE,FILTER('SUMMARY DATA'!E:E,'SUMMARY DATA'!$D:$D=$C331,'SUMMARY DATA'!$B:$B=""RWS"")),"""")
  )
)"),"")</f>
      </c>
      <c r="F331" s="17" t="str">
        <f>IFERROR(__xludf.DUMMYFUNCTION("IFERROR(
  TEXTJOIN(CHAR(10),TRUE,FILTER('SUMMARY DATA'!F:F,'SUMMARY DATA'!$A:$A=$A331,'SUMMARY DATA'!$C:$C=$B331,'SUMMARY DATA'!$B:$B=""RWS"")),
  IF(
    OR(
      ISNUMBER(SEARCH(""CDM CASH DEPOSIT"",$C331)),
      ISNUMBER(SEARCH(""CASH DEPOSIT"",$C33"&amp;"1)),
      COUNTIFS('SUMMARY DATA'!$D:$D,$C331,'SUMMARY DATA'!$B:$B,""RWS"")&lt;&gt;1
    ),
    """",
    IFERROR(TEXTJOIN(CHAR(10),TRUE,FILTER('SUMMARY DATA'!F:F,'SUMMARY DATA'!$D:$D=$C331,'SUMMARY DATA'!$B:$B=""RWS"")),"""")
  )
)"),"")</f>
      </c>
      <c r="G331" s="17" t="str">
        <f>IFERROR(__xludf.DUMMYFUNCTION("IFERROR(
  TEXTJOIN(CHAR(10),TRUE,FILTER('SUMMARY DATA'!G:G,'SUMMARY DATA'!$A:$A=$A331,'SUMMARY DATA'!$C:$C=$B331,'SUMMARY DATA'!$B:$B=""RWS"")),
  IF(
    OR(
      ISNUMBER(SEARCH(""CDM CASH DEPOSIT"",$C331)),
      ISNUMBER(SEARCH(""CASH DEPOSIT"",$C33"&amp;"1)),
      COUNTIFS('SUMMARY DATA'!$D:$D,$C331,'SUMMARY DATA'!$B:$B,""RWS"")&lt;&gt;1
    ),
    """",
    IFERROR(TEXTJOIN(CHAR(10),TRUE,FILTER('SUMMARY DATA'!G:G,'SUMMARY DATA'!$D:$D=$C331,'SUMMARY DATA'!$B:$B=""RWS"")),"""")
  )
)"),"")</f>
      </c>
      <c r="H331" s="18" t="str">
        <f>IFERROR(__xludf.DUMMYFUNCTION("IFERROR(
  TEXTJOIN(CHAR(10),TRUE,FILTER('SUMMARY DATA'!H:H,'SUMMARY DATA'!$A:$A=$A331,'SUMMARY DATA'!$C:$C=$B331,'SUMMARY DATA'!$B:$B=""RWS"",'SUMMARY DATA'!$H:$H=$D331)),
  IF(
    OR(
      ISNUMBER(SEARCH(""CDM CASH DEPOSIT"",$C331)),
      ISNUMBER(S"&amp;"EARCH(""CASH DEPOSIT"",$C331))
    ),
    """",
    IFERROR(TEXTJOIN(CHAR(10),TRUE,FILTER('SUMMARY DATA'!H:H,'SUMMARY DATA'!$D:$D=$C331,'SUMMARY DATA'!$B:$B=""RWS"",'SUMMARY DATA'!$H:$H=$D331)),"""")
  )
)"),"")</f>
      </c>
      <c r="I331" s="18" t="str">
        <f>IFERROR(__xludf.DUMMYFUNCTION("IF(H331="""","""",
SUM(ARRAYFORMULA(VALUE(SPLIT(H331,CHAR(10)))))
)"),"")</f>
      </c>
      <c r="J331" s="17" t="str">
        <f>IFERROR(__xludf.DUMMYFUNCTION("IFERROR(
  TEXTJOIN(CHAR(10),TRUE,FILTER('SUMMARY DATA'!I:I,'SUMMARY DATA'!$A:$A=$A331,'SUMMARY DATA'!$C:$C=$B331,'SUMMARY DATA'!$B:$B=""RWS"")),
  IF(
    OR(
      ISNUMBER(SEARCH(""CDM CASH DEPOSIT"",$C331)),
      ISNUMBER(SEARCH(""CASH DEPOSIT"",$C33"&amp;"1)),
      COUNTIFS('SUMMARY DATA'!$D:$D,$C331,'SUMMARY DATA'!$B:$B,""RWS"")&lt;&gt;1
    ),
    """",
    IFERROR(TEXTJOIN(CHAR(10),TRUE,FILTER('SUMMARY DATA'!I:I,'SUMMARY DATA'!$D:$D=$C331,'SUMMARY DATA'!$B:$B=""RWS"")),"""")
  )
)"),"")</f>
      </c>
      <c r="K331" s="2"/>
      <c r="L331" s="2"/>
      <c r="M331" s="2"/>
      <c r="N331" s="2"/>
      <c r="O331" s="2"/>
      <c r="P331" s="2"/>
      <c r="Q331" s="2"/>
      <c r="R331" s="2"/>
      <c r="S331" s="2"/>
      <c r="T331" s="2"/>
      <c r="U331" s="2"/>
      <c r="V331" s="2"/>
      <c r="W331" s="2"/>
      <c r="X331" s="2"/>
      <c r="Y331" s="2"/>
      <c r="Z331" s="2"/>
      <c r="AA331" s="2"/>
      <c r="AB331" s="2"/>
    </row>
    <row r="332" spans="1:28" customHeight="true">
      <c r="A332" s="2" t="s">
        <v>517</v>
      </c>
      <c r="B332" s="15">
        <v>45978</v>
      </c>
      <c r="C332" s="2" t="s">
        <v>518</v>
      </c>
      <c r="D332" s="3">
        <v>121.85</v>
      </c>
      <c r="E332" s="16" t="str">
        <f>IFERROR(__xludf.DUMMYFUNCTION("IFERROR(
  TEXTJOIN(CHAR(10),TRUE,FILTER('SUMMARY DATA'!E:E,'SUMMARY DATA'!$A:$A=$A332,'SUMMARY DATA'!$C:$C=$B332,'SUMMARY DATA'!$B:$B=""RWS"")),
  IF(
    OR(
      ISNUMBER(SEARCH(""CDM CASH DEPOSIT"",$C332)),
      ISNUMBER(SEARCH(""CASH DEPOSIT"",$C33"&amp;"2)),
      COUNTIFS('SUMMARY DATA'!$D:$D,$C332,'SUMMARY DATA'!$B:$B,""RWS"")&lt;&gt;1
    ),
    """",
    IFERROR(TEXTJOIN(CHAR(10),TRUE,FILTER('SUMMARY DATA'!E:E,'SUMMARY DATA'!$D:$D=$C332,'SUMMARY DATA'!$B:$B=""RWS"")),"""")
  )
)"),"")</f>
      </c>
      <c r="F332" s="17" t="str">
        <f>IFERROR(__xludf.DUMMYFUNCTION("IFERROR(
  TEXTJOIN(CHAR(10),TRUE,FILTER('SUMMARY DATA'!F:F,'SUMMARY DATA'!$A:$A=$A332,'SUMMARY DATA'!$C:$C=$B332,'SUMMARY DATA'!$B:$B=""RWS"")),
  IF(
    OR(
      ISNUMBER(SEARCH(""CDM CASH DEPOSIT"",$C332)),
      ISNUMBER(SEARCH(""CASH DEPOSIT"",$C33"&amp;"2)),
      COUNTIFS('SUMMARY DATA'!$D:$D,$C332,'SUMMARY DATA'!$B:$B,""RWS"")&lt;&gt;1
    ),
    """",
    IFERROR(TEXTJOIN(CHAR(10),TRUE,FILTER('SUMMARY DATA'!F:F,'SUMMARY DATA'!$D:$D=$C332,'SUMMARY DATA'!$B:$B=""RWS"")),"""")
  )
)"),"")</f>
      </c>
      <c r="G332" s="17" t="str">
        <f>IFERROR(__xludf.DUMMYFUNCTION("IFERROR(
  TEXTJOIN(CHAR(10),TRUE,FILTER('SUMMARY DATA'!G:G,'SUMMARY DATA'!$A:$A=$A332,'SUMMARY DATA'!$C:$C=$B332,'SUMMARY DATA'!$B:$B=""RWS"")),
  IF(
    OR(
      ISNUMBER(SEARCH(""CDM CASH DEPOSIT"",$C332)),
      ISNUMBER(SEARCH(""CASH DEPOSIT"",$C33"&amp;"2)),
      COUNTIFS('SUMMARY DATA'!$D:$D,$C332,'SUMMARY DATA'!$B:$B,""RWS"")&lt;&gt;1
    ),
    """",
    IFERROR(TEXTJOIN(CHAR(10),TRUE,FILTER('SUMMARY DATA'!G:G,'SUMMARY DATA'!$D:$D=$C332,'SUMMARY DATA'!$B:$B=""RWS"")),"""")
  )
)"),"")</f>
      </c>
      <c r="H332" s="18" t="str">
        <f>IFERROR(__xludf.DUMMYFUNCTION("IFERROR(
  TEXTJOIN(CHAR(10),TRUE,FILTER('SUMMARY DATA'!H:H,'SUMMARY DATA'!$A:$A=$A332,'SUMMARY DATA'!$C:$C=$B332,'SUMMARY DATA'!$B:$B=""RWS"",'SUMMARY DATA'!$H:$H=$D332)),
  IF(
    OR(
      ISNUMBER(SEARCH(""CDM CASH DEPOSIT"",$C332)),
      ISNUMBER(S"&amp;"EARCH(""CASH DEPOSIT"",$C332))
    ),
    """",
    IFERROR(TEXTJOIN(CHAR(10),TRUE,FILTER('SUMMARY DATA'!H:H,'SUMMARY DATA'!$D:$D=$C332,'SUMMARY DATA'!$B:$B=""RWS"",'SUMMARY DATA'!$H:$H=$D332)),"""")
  )
)"),"")</f>
      </c>
      <c r="I332" s="18" t="str">
        <f>IFERROR(__xludf.DUMMYFUNCTION("IF(H332="""","""",
SUM(ARRAYFORMULA(VALUE(SPLIT(H332,CHAR(10)))))
)"),"")</f>
      </c>
      <c r="J332" s="17" t="str">
        <f>IFERROR(__xludf.DUMMYFUNCTION("IFERROR(
  TEXTJOIN(CHAR(10),TRUE,FILTER('SUMMARY DATA'!I:I,'SUMMARY DATA'!$A:$A=$A332,'SUMMARY DATA'!$C:$C=$B332,'SUMMARY DATA'!$B:$B=""RWS"")),
  IF(
    OR(
      ISNUMBER(SEARCH(""CDM CASH DEPOSIT"",$C332)),
      ISNUMBER(SEARCH(""CASH DEPOSIT"",$C33"&amp;"2)),
      COUNTIFS('SUMMARY DATA'!$D:$D,$C332,'SUMMARY DATA'!$B:$B,""RWS"")&lt;&gt;1
    ),
    """",
    IFERROR(TEXTJOIN(CHAR(10),TRUE,FILTER('SUMMARY DATA'!I:I,'SUMMARY DATA'!$D:$D=$C332,'SUMMARY DATA'!$B:$B=""RWS"")),"""")
  )
)"),"")</f>
      </c>
      <c r="K332" s="2"/>
      <c r="L332" s="2"/>
      <c r="M332" s="2"/>
      <c r="N332" s="2"/>
      <c r="O332" s="2"/>
      <c r="P332" s="2"/>
      <c r="Q332" s="2"/>
      <c r="R332" s="2"/>
      <c r="S332" s="2"/>
      <c r="T332" s="2"/>
      <c r="U332" s="2"/>
      <c r="V332" s="2"/>
      <c r="W332" s="2"/>
      <c r="X332" s="2"/>
      <c r="Y332" s="2"/>
      <c r="Z332" s="2"/>
      <c r="AA332" s="2"/>
      <c r="AB332" s="2"/>
    </row>
    <row r="333" spans="1:28" customHeight="true">
      <c r="A333" s="2" t="s">
        <v>519</v>
      </c>
      <c r="B333" s="15">
        <v>45978</v>
      </c>
      <c r="C333" s="2" t="s">
        <v>520</v>
      </c>
      <c r="D333" s="3">
        <v>284.56</v>
      </c>
      <c r="E333" s="16" t="str">
        <f>IFERROR(__xludf.DUMMYFUNCTION("IFERROR(
  TEXTJOIN(CHAR(10),TRUE,FILTER('SUMMARY DATA'!E:E,'SUMMARY DATA'!$A:$A=$A333,'SUMMARY DATA'!$C:$C=$B333,'SUMMARY DATA'!$B:$B=""RWS"")),
  IF(
    OR(
      ISNUMBER(SEARCH(""CDM CASH DEPOSIT"",$C333)),
      ISNUMBER(SEARCH(""CASH DEPOSIT"",$C33"&amp;"3)),
      COUNTIFS('SUMMARY DATA'!$D:$D,$C333,'SUMMARY DATA'!$B:$B,""RWS"")&lt;&gt;1
    ),
    """",
    IFERROR(TEXTJOIN(CHAR(10),TRUE,FILTER('SUMMARY DATA'!E:E,'SUMMARY DATA'!$D:$D=$C333,'SUMMARY DATA'!$B:$B=""RWS"")),"""")
  )
)"),"")</f>
      </c>
      <c r="F333" s="17" t="str">
        <f>IFERROR(__xludf.DUMMYFUNCTION("IFERROR(
  TEXTJOIN(CHAR(10),TRUE,FILTER('SUMMARY DATA'!F:F,'SUMMARY DATA'!$A:$A=$A333,'SUMMARY DATA'!$C:$C=$B333,'SUMMARY DATA'!$B:$B=""RWS"")),
  IF(
    OR(
      ISNUMBER(SEARCH(""CDM CASH DEPOSIT"",$C333)),
      ISNUMBER(SEARCH(""CASH DEPOSIT"",$C33"&amp;"3)),
      COUNTIFS('SUMMARY DATA'!$D:$D,$C333,'SUMMARY DATA'!$B:$B,""RWS"")&lt;&gt;1
    ),
    """",
    IFERROR(TEXTJOIN(CHAR(10),TRUE,FILTER('SUMMARY DATA'!F:F,'SUMMARY DATA'!$D:$D=$C333,'SUMMARY DATA'!$B:$B=""RWS"")),"""")
  )
)"),"")</f>
      </c>
      <c r="G333" s="17" t="str">
        <f>IFERROR(__xludf.DUMMYFUNCTION("IFERROR(
  TEXTJOIN(CHAR(10),TRUE,FILTER('SUMMARY DATA'!G:G,'SUMMARY DATA'!$A:$A=$A333,'SUMMARY DATA'!$C:$C=$B333,'SUMMARY DATA'!$B:$B=""RWS"")),
  IF(
    OR(
      ISNUMBER(SEARCH(""CDM CASH DEPOSIT"",$C333)),
      ISNUMBER(SEARCH(""CASH DEPOSIT"",$C33"&amp;"3)),
      COUNTIFS('SUMMARY DATA'!$D:$D,$C333,'SUMMARY DATA'!$B:$B,""RWS"")&lt;&gt;1
    ),
    """",
    IFERROR(TEXTJOIN(CHAR(10),TRUE,FILTER('SUMMARY DATA'!G:G,'SUMMARY DATA'!$D:$D=$C333,'SUMMARY DATA'!$B:$B=""RWS"")),"""")
  )
)"),"")</f>
      </c>
      <c r="H333" s="18" t="str">
        <f>IFERROR(__xludf.DUMMYFUNCTION("IFERROR(
  TEXTJOIN(CHAR(10),TRUE,FILTER('SUMMARY DATA'!H:H,'SUMMARY DATA'!$A:$A=$A333,'SUMMARY DATA'!$C:$C=$B333,'SUMMARY DATA'!$B:$B=""RWS"",'SUMMARY DATA'!$H:$H=$D333)),
  IF(
    OR(
      ISNUMBER(SEARCH(""CDM CASH DEPOSIT"",$C333)),
      ISNUMBER(S"&amp;"EARCH(""CASH DEPOSIT"",$C333))
    ),
    """",
    IFERROR(TEXTJOIN(CHAR(10),TRUE,FILTER('SUMMARY DATA'!H:H,'SUMMARY DATA'!$D:$D=$C333,'SUMMARY DATA'!$B:$B=""RWS"",'SUMMARY DATA'!$H:$H=$D333)),"""")
  )
)"),"")</f>
      </c>
      <c r="I333" s="18" t="str">
        <f>IFERROR(__xludf.DUMMYFUNCTION("IF(H333="""","""",
SUM(ARRAYFORMULA(VALUE(SPLIT(H333,CHAR(10)))))
)"),"")</f>
      </c>
      <c r="J333" s="17" t="str">
        <f>IFERROR(__xludf.DUMMYFUNCTION("IFERROR(
  TEXTJOIN(CHAR(10),TRUE,FILTER('SUMMARY DATA'!I:I,'SUMMARY DATA'!$A:$A=$A333,'SUMMARY DATA'!$C:$C=$B333,'SUMMARY DATA'!$B:$B=""RWS"")),
  IF(
    OR(
      ISNUMBER(SEARCH(""CDM CASH DEPOSIT"",$C333)),
      ISNUMBER(SEARCH(""CASH DEPOSIT"",$C33"&amp;"3)),
      COUNTIFS('SUMMARY DATA'!$D:$D,$C333,'SUMMARY DATA'!$B:$B,""RWS"")&lt;&gt;1
    ),
    """",
    IFERROR(TEXTJOIN(CHAR(10),TRUE,FILTER('SUMMARY DATA'!I:I,'SUMMARY DATA'!$D:$D=$C333,'SUMMARY DATA'!$B:$B=""RWS"")),"""")
  )
)"),"")</f>
      </c>
      <c r="K333" s="2"/>
      <c r="L333" s="2"/>
      <c r="M333" s="2"/>
      <c r="N333" s="2"/>
      <c r="O333" s="2"/>
      <c r="P333" s="2"/>
      <c r="Q333" s="2"/>
      <c r="R333" s="2"/>
      <c r="S333" s="2"/>
      <c r="T333" s="2"/>
      <c r="U333" s="2"/>
      <c r="V333" s="2"/>
      <c r="W333" s="2"/>
      <c r="X333" s="2"/>
      <c r="Y333" s="2"/>
      <c r="Z333" s="2"/>
      <c r="AA333" s="2"/>
      <c r="AB333" s="2"/>
    </row>
    <row r="334" spans="1:28" customHeight="true">
      <c r="A334" s="2" t="s">
        <v>521</v>
      </c>
      <c r="B334" s="15">
        <v>45978</v>
      </c>
      <c r="C334" s="2" t="s">
        <v>522</v>
      </c>
      <c r="D334" s="3">
        <v>13.98</v>
      </c>
      <c r="E334" s="16" t="str">
        <f>IFERROR(__xludf.DUMMYFUNCTION("IFERROR(
  TEXTJOIN(CHAR(10),TRUE,FILTER('SUMMARY DATA'!E:E,'SUMMARY DATA'!$A:$A=$A334,'SUMMARY DATA'!$C:$C=$B334,'SUMMARY DATA'!$B:$B=""RWS"")),
  IF(
    OR(
      ISNUMBER(SEARCH(""CDM CASH DEPOSIT"",$C334)),
      ISNUMBER(SEARCH(""CASH DEPOSIT"",$C33"&amp;"4)),
      COUNTIFS('SUMMARY DATA'!$D:$D,$C334,'SUMMARY DATA'!$B:$B,""RWS"")&lt;&gt;1
    ),
    """",
    IFERROR(TEXTJOIN(CHAR(10),TRUE,FILTER('SUMMARY DATA'!E:E,'SUMMARY DATA'!$D:$D=$C334,'SUMMARY DATA'!$B:$B=""RWS"")),"""")
  )
)"),"")</f>
      </c>
      <c r="F334" s="17" t="str">
        <f>IFERROR(__xludf.DUMMYFUNCTION("IFERROR(
  TEXTJOIN(CHAR(10),TRUE,FILTER('SUMMARY DATA'!F:F,'SUMMARY DATA'!$A:$A=$A334,'SUMMARY DATA'!$C:$C=$B334,'SUMMARY DATA'!$B:$B=""RWS"")),
  IF(
    OR(
      ISNUMBER(SEARCH(""CDM CASH DEPOSIT"",$C334)),
      ISNUMBER(SEARCH(""CASH DEPOSIT"",$C33"&amp;"4)),
      COUNTIFS('SUMMARY DATA'!$D:$D,$C334,'SUMMARY DATA'!$B:$B,""RWS"")&lt;&gt;1
    ),
    """",
    IFERROR(TEXTJOIN(CHAR(10),TRUE,FILTER('SUMMARY DATA'!F:F,'SUMMARY DATA'!$D:$D=$C334,'SUMMARY DATA'!$B:$B=""RWS"")),"""")
  )
)"),"")</f>
      </c>
      <c r="G334" s="17" t="str">
        <f>IFERROR(__xludf.DUMMYFUNCTION("IFERROR(
  TEXTJOIN(CHAR(10),TRUE,FILTER('SUMMARY DATA'!G:G,'SUMMARY DATA'!$A:$A=$A334,'SUMMARY DATA'!$C:$C=$B334,'SUMMARY DATA'!$B:$B=""RWS"")),
  IF(
    OR(
      ISNUMBER(SEARCH(""CDM CASH DEPOSIT"",$C334)),
      ISNUMBER(SEARCH(""CASH DEPOSIT"",$C33"&amp;"4)),
      COUNTIFS('SUMMARY DATA'!$D:$D,$C334,'SUMMARY DATA'!$B:$B,""RWS"")&lt;&gt;1
    ),
    """",
    IFERROR(TEXTJOIN(CHAR(10),TRUE,FILTER('SUMMARY DATA'!G:G,'SUMMARY DATA'!$D:$D=$C334,'SUMMARY DATA'!$B:$B=""RWS"")),"""")
  )
)"),"")</f>
      </c>
      <c r="H334" s="18" t="str">
        <f>IFERROR(__xludf.DUMMYFUNCTION("IFERROR(
  TEXTJOIN(CHAR(10),TRUE,FILTER('SUMMARY DATA'!H:H,'SUMMARY DATA'!$A:$A=$A334,'SUMMARY DATA'!$C:$C=$B334,'SUMMARY DATA'!$B:$B=""RWS"",'SUMMARY DATA'!$H:$H=$D334)),
  IF(
    OR(
      ISNUMBER(SEARCH(""CDM CASH DEPOSIT"",$C334)),
      ISNUMBER(S"&amp;"EARCH(""CASH DEPOSIT"",$C334))
    ),
    """",
    IFERROR(TEXTJOIN(CHAR(10),TRUE,FILTER('SUMMARY DATA'!H:H,'SUMMARY DATA'!$D:$D=$C334,'SUMMARY DATA'!$B:$B=""RWS"",'SUMMARY DATA'!$H:$H=$D334)),"""")
  )
)"),"")</f>
      </c>
      <c r="I334" s="18" t="str">
        <f>IFERROR(__xludf.DUMMYFUNCTION("IF(H334="""","""",
SUM(ARRAYFORMULA(VALUE(SPLIT(H334,CHAR(10)))))
)"),"")</f>
      </c>
      <c r="J334" s="17" t="str">
        <f>IFERROR(__xludf.DUMMYFUNCTION("IFERROR(
  TEXTJOIN(CHAR(10),TRUE,FILTER('SUMMARY DATA'!I:I,'SUMMARY DATA'!$A:$A=$A334,'SUMMARY DATA'!$C:$C=$B334,'SUMMARY DATA'!$B:$B=""RWS"")),
  IF(
    OR(
      ISNUMBER(SEARCH(""CDM CASH DEPOSIT"",$C334)),
      ISNUMBER(SEARCH(""CASH DEPOSIT"",$C33"&amp;"4)),
      COUNTIFS('SUMMARY DATA'!$D:$D,$C334,'SUMMARY DATA'!$B:$B,""RWS"")&lt;&gt;1
    ),
    """",
    IFERROR(TEXTJOIN(CHAR(10),TRUE,FILTER('SUMMARY DATA'!I:I,'SUMMARY DATA'!$D:$D=$C334,'SUMMARY DATA'!$B:$B=""RWS"")),"""")
  )
)"),"")</f>
      </c>
      <c r="K334" s="2"/>
      <c r="L334" s="2"/>
      <c r="M334" s="2"/>
      <c r="N334" s="2"/>
      <c r="O334" s="2"/>
      <c r="P334" s="2"/>
      <c r="Q334" s="2"/>
      <c r="R334" s="2"/>
      <c r="S334" s="2"/>
      <c r="T334" s="2"/>
      <c r="U334" s="2"/>
      <c r="V334" s="2"/>
      <c r="W334" s="2"/>
      <c r="X334" s="2"/>
      <c r="Y334" s="2"/>
      <c r="Z334" s="2"/>
      <c r="AA334" s="2"/>
      <c r="AB334" s="2"/>
    </row>
    <row r="335" spans="1:28" customHeight="true">
      <c r="A335" s="2" t="s">
        <v>523</v>
      </c>
      <c r="B335" s="15">
        <v>45978</v>
      </c>
      <c r="C335" s="2" t="s">
        <v>524</v>
      </c>
      <c r="D335" s="3">
        <v>283.73</v>
      </c>
      <c r="E335" s="16" t="s">
        <v>2448</v>
      </c>
      <c r="F335" s="17" t="s">
        <v>2467</v>
      </c>
      <c r="G335" s="17" t="s">
        <v>2393</v>
      </c>
      <c r="H335" s="18">
        <v>283.73</v>
      </c>
      <c r="I335" s="18">
        <v>283.73</v>
      </c>
      <c r="J335" s="17" t="s">
        <v>2394</v>
      </c>
      <c r="K335" s="2" t="s">
        <v>2395</v>
      </c>
      <c r="L335" s="2"/>
      <c r="M335" s="2"/>
      <c r="N335" s="2"/>
      <c r="O335" s="2"/>
      <c r="P335" s="2"/>
      <c r="Q335" s="2"/>
      <c r="R335" s="2"/>
      <c r="S335" s="2"/>
      <c r="T335" s="2"/>
      <c r="U335" s="2"/>
      <c r="V335" s="2"/>
      <c r="W335" s="2"/>
      <c r="X335" s="2"/>
      <c r="Y335" s="2"/>
      <c r="Z335" s="2"/>
      <c r="AA335" s="2"/>
      <c r="AB335" s="2"/>
    </row>
    <row r="336" spans="1:28" customHeight="true">
      <c r="A336" s="2" t="s">
        <v>525</v>
      </c>
      <c r="B336" s="15">
        <v>45978</v>
      </c>
      <c r="C336" s="2" t="s">
        <v>526</v>
      </c>
      <c r="D336" s="3">
        <v>91.86</v>
      </c>
      <c r="E336" s="16" t="str">
        <f>IFERROR(__xludf.DUMMYFUNCTION("IFERROR(
  TEXTJOIN(CHAR(10),TRUE,FILTER('SUMMARY DATA'!E:E,'SUMMARY DATA'!$A:$A=$A336,'SUMMARY DATA'!$C:$C=$B336,'SUMMARY DATA'!$B:$B=""RWS"")),
  IF(
    OR(
      ISNUMBER(SEARCH(""CDM CASH DEPOSIT"",$C336)),
      ISNUMBER(SEARCH(""CASH DEPOSIT"",$C33"&amp;"6)),
      COUNTIFS('SUMMARY DATA'!$D:$D,$C336,'SUMMARY DATA'!$B:$B,""RWS"")&lt;&gt;1
    ),
    """",
    IFERROR(TEXTJOIN(CHAR(10),TRUE,FILTER('SUMMARY DATA'!E:E,'SUMMARY DATA'!$D:$D=$C336,'SUMMARY DATA'!$B:$B=""RWS"")),"""")
  )
)"),"")</f>
      </c>
      <c r="F336" s="17" t="str">
        <f>IFERROR(__xludf.DUMMYFUNCTION("IFERROR(
  TEXTJOIN(CHAR(10),TRUE,FILTER('SUMMARY DATA'!F:F,'SUMMARY DATA'!$A:$A=$A336,'SUMMARY DATA'!$C:$C=$B336,'SUMMARY DATA'!$B:$B=""RWS"")),
  IF(
    OR(
      ISNUMBER(SEARCH(""CDM CASH DEPOSIT"",$C336)),
      ISNUMBER(SEARCH(""CASH DEPOSIT"",$C33"&amp;"6)),
      COUNTIFS('SUMMARY DATA'!$D:$D,$C336,'SUMMARY DATA'!$B:$B,""RWS"")&lt;&gt;1
    ),
    """",
    IFERROR(TEXTJOIN(CHAR(10),TRUE,FILTER('SUMMARY DATA'!F:F,'SUMMARY DATA'!$D:$D=$C336,'SUMMARY DATA'!$B:$B=""RWS"")),"""")
  )
)"),"")</f>
      </c>
      <c r="G336" s="17" t="str">
        <f>IFERROR(__xludf.DUMMYFUNCTION("IFERROR(
  TEXTJOIN(CHAR(10),TRUE,FILTER('SUMMARY DATA'!G:G,'SUMMARY DATA'!$A:$A=$A336,'SUMMARY DATA'!$C:$C=$B336,'SUMMARY DATA'!$B:$B=""RWS"")),
  IF(
    OR(
      ISNUMBER(SEARCH(""CDM CASH DEPOSIT"",$C336)),
      ISNUMBER(SEARCH(""CASH DEPOSIT"",$C33"&amp;"6)),
      COUNTIFS('SUMMARY DATA'!$D:$D,$C336,'SUMMARY DATA'!$B:$B,""RWS"")&lt;&gt;1
    ),
    """",
    IFERROR(TEXTJOIN(CHAR(10),TRUE,FILTER('SUMMARY DATA'!G:G,'SUMMARY DATA'!$D:$D=$C336,'SUMMARY DATA'!$B:$B=""RWS"")),"""")
  )
)"),"")</f>
      </c>
      <c r="H336" s="18" t="str">
        <f>IFERROR(__xludf.DUMMYFUNCTION("IFERROR(
  TEXTJOIN(CHAR(10),TRUE,FILTER('SUMMARY DATA'!H:H,'SUMMARY DATA'!$A:$A=$A336,'SUMMARY DATA'!$C:$C=$B336,'SUMMARY DATA'!$B:$B=""RWS"",'SUMMARY DATA'!$H:$H=$D336)),
  IF(
    OR(
      ISNUMBER(SEARCH(""CDM CASH DEPOSIT"",$C336)),
      ISNUMBER(S"&amp;"EARCH(""CASH DEPOSIT"",$C336))
    ),
    """",
    IFERROR(TEXTJOIN(CHAR(10),TRUE,FILTER('SUMMARY DATA'!H:H,'SUMMARY DATA'!$D:$D=$C336,'SUMMARY DATA'!$B:$B=""RWS"",'SUMMARY DATA'!$H:$H=$D336)),"""")
  )
)"),"")</f>
      </c>
      <c r="I336" s="18" t="str">
        <f>IFERROR(__xludf.DUMMYFUNCTION("IF(H336="""","""",
SUM(ARRAYFORMULA(VALUE(SPLIT(H336,CHAR(10)))))
)"),"")</f>
      </c>
      <c r="J336" s="17" t="str">
        <f>IFERROR(__xludf.DUMMYFUNCTION("IFERROR(
  TEXTJOIN(CHAR(10),TRUE,FILTER('SUMMARY DATA'!I:I,'SUMMARY DATA'!$A:$A=$A336,'SUMMARY DATA'!$C:$C=$B336,'SUMMARY DATA'!$B:$B=""RWS"")),
  IF(
    OR(
      ISNUMBER(SEARCH(""CDM CASH DEPOSIT"",$C336)),
      ISNUMBER(SEARCH(""CASH DEPOSIT"",$C33"&amp;"6)),
      COUNTIFS('SUMMARY DATA'!$D:$D,$C336,'SUMMARY DATA'!$B:$B,""RWS"")&lt;&gt;1
    ),
    """",
    IFERROR(TEXTJOIN(CHAR(10),TRUE,FILTER('SUMMARY DATA'!I:I,'SUMMARY DATA'!$D:$D=$C336,'SUMMARY DATA'!$B:$B=""RWS"")),"""")
  )
)"),"")</f>
      </c>
      <c r="K336" s="2"/>
      <c r="L336" s="2"/>
      <c r="M336" s="2"/>
      <c r="N336" s="2"/>
      <c r="O336" s="2"/>
      <c r="P336" s="2"/>
      <c r="Q336" s="2"/>
      <c r="R336" s="2"/>
      <c r="S336" s="2"/>
      <c r="T336" s="2"/>
      <c r="U336" s="2"/>
      <c r="V336" s="2"/>
      <c r="W336" s="2"/>
      <c r="X336" s="2"/>
      <c r="Y336" s="2"/>
      <c r="Z336" s="2"/>
      <c r="AA336" s="2"/>
      <c r="AB336" s="2"/>
    </row>
    <row r="337" spans="1:28" customHeight="true">
      <c r="A337" s="2" t="s">
        <v>527</v>
      </c>
      <c r="B337" s="15">
        <v>45978</v>
      </c>
      <c r="C337" s="2" t="s">
        <v>528</v>
      </c>
      <c r="D337" s="3">
        <v>129.94</v>
      </c>
      <c r="E337" s="16" t="s">
        <v>2468</v>
      </c>
      <c r="F337" s="17" t="s">
        <v>2469</v>
      </c>
      <c r="G337" s="17" t="s">
        <v>2393</v>
      </c>
      <c r="H337" s="18">
        <v>129.94</v>
      </c>
      <c r="I337" s="18">
        <v>129.94</v>
      </c>
      <c r="J337" s="17" t="s">
        <v>2394</v>
      </c>
      <c r="K337" s="2" t="s">
        <v>2395</v>
      </c>
      <c r="L337" s="2"/>
      <c r="M337" s="2"/>
      <c r="N337" s="2"/>
      <c r="O337" s="2"/>
      <c r="P337" s="2"/>
      <c r="Q337" s="2"/>
      <c r="R337" s="2"/>
      <c r="S337" s="2"/>
      <c r="T337" s="2"/>
      <c r="U337" s="2"/>
      <c r="V337" s="2"/>
      <c r="W337" s="2"/>
      <c r="X337" s="2"/>
      <c r="Y337" s="2"/>
      <c r="Z337" s="2"/>
      <c r="AA337" s="2"/>
      <c r="AB337" s="2"/>
    </row>
    <row r="338" spans="1:28" customHeight="true">
      <c r="A338" s="2" t="s">
        <v>529</v>
      </c>
      <c r="B338" s="15">
        <v>45978</v>
      </c>
      <c r="C338" s="2" t="s">
        <v>530</v>
      </c>
      <c r="D338" s="3">
        <v>159.99</v>
      </c>
      <c r="E338" s="16" t="s">
        <v>2446</v>
      </c>
      <c r="F338" s="17" t="s">
        <v>2470</v>
      </c>
      <c r="G338" s="17" t="s">
        <v>2393</v>
      </c>
      <c r="H338" s="18">
        <v>159.99</v>
      </c>
      <c r="I338" s="18">
        <v>159.99</v>
      </c>
      <c r="J338" s="17" t="s">
        <v>2394</v>
      </c>
      <c r="K338" s="2" t="s">
        <v>2395</v>
      </c>
      <c r="L338" s="2"/>
      <c r="M338" s="2"/>
      <c r="N338" s="2"/>
      <c r="O338" s="2"/>
      <c r="P338" s="2"/>
      <c r="Q338" s="2"/>
      <c r="R338" s="2"/>
      <c r="S338" s="2"/>
      <c r="T338" s="2"/>
      <c r="U338" s="2"/>
      <c r="V338" s="2"/>
      <c r="W338" s="2"/>
      <c r="X338" s="2"/>
      <c r="Y338" s="2"/>
      <c r="Z338" s="2"/>
      <c r="AA338" s="2"/>
      <c r="AB338" s="2"/>
    </row>
    <row r="339" spans="1:28" customHeight="true">
      <c r="A339" s="2" t="s">
        <v>531</v>
      </c>
      <c r="B339" s="15">
        <v>45977</v>
      </c>
      <c r="C339" s="2" t="s">
        <v>532</v>
      </c>
      <c r="D339" s="3">
        <v>81.97</v>
      </c>
      <c r="E339" s="16" t="str">
        <f>IFERROR(__xludf.DUMMYFUNCTION("IFERROR(
  TEXTJOIN(CHAR(10),TRUE,FILTER('SUMMARY DATA'!E:E,'SUMMARY DATA'!$A:$A=$A339,'SUMMARY DATA'!$C:$C=$B339,'SUMMARY DATA'!$B:$B=""RWS"")),
  IF(
    OR(
      ISNUMBER(SEARCH(""CDM CASH DEPOSIT"",$C339)),
      ISNUMBER(SEARCH(""CASH DEPOSIT"",$C33"&amp;"9)),
      COUNTIFS('SUMMARY DATA'!$D:$D,$C339,'SUMMARY DATA'!$B:$B,""RWS"")&lt;&gt;1
    ),
    """",
    IFERROR(TEXTJOIN(CHAR(10),TRUE,FILTER('SUMMARY DATA'!E:E,'SUMMARY DATA'!$D:$D=$C339,'SUMMARY DATA'!$B:$B=""RWS"")),"""")
  )
)"),"")</f>
      </c>
      <c r="F339" s="17" t="str">
        <f>IFERROR(__xludf.DUMMYFUNCTION("IFERROR(
  TEXTJOIN(CHAR(10),TRUE,FILTER('SUMMARY DATA'!F:F,'SUMMARY DATA'!$A:$A=$A339,'SUMMARY DATA'!$C:$C=$B339,'SUMMARY DATA'!$B:$B=""RWS"")),
  IF(
    OR(
      ISNUMBER(SEARCH(""CDM CASH DEPOSIT"",$C339)),
      ISNUMBER(SEARCH(""CASH DEPOSIT"",$C33"&amp;"9)),
      COUNTIFS('SUMMARY DATA'!$D:$D,$C339,'SUMMARY DATA'!$B:$B,""RWS"")&lt;&gt;1
    ),
    """",
    IFERROR(TEXTJOIN(CHAR(10),TRUE,FILTER('SUMMARY DATA'!F:F,'SUMMARY DATA'!$D:$D=$C339,'SUMMARY DATA'!$B:$B=""RWS"")),"""")
  )
)"),"")</f>
      </c>
      <c r="G339" s="17" t="str">
        <f>IFERROR(__xludf.DUMMYFUNCTION("IFERROR(
  TEXTJOIN(CHAR(10),TRUE,FILTER('SUMMARY DATA'!G:G,'SUMMARY DATA'!$A:$A=$A339,'SUMMARY DATA'!$C:$C=$B339,'SUMMARY DATA'!$B:$B=""RWS"")),
  IF(
    OR(
      ISNUMBER(SEARCH(""CDM CASH DEPOSIT"",$C339)),
      ISNUMBER(SEARCH(""CASH DEPOSIT"",$C33"&amp;"9)),
      COUNTIFS('SUMMARY DATA'!$D:$D,$C339,'SUMMARY DATA'!$B:$B,""RWS"")&lt;&gt;1
    ),
    """",
    IFERROR(TEXTJOIN(CHAR(10),TRUE,FILTER('SUMMARY DATA'!G:G,'SUMMARY DATA'!$D:$D=$C339,'SUMMARY DATA'!$B:$B=""RWS"")),"""")
  )
)"),"")</f>
      </c>
      <c r="H339" s="18" t="str">
        <f>IFERROR(__xludf.DUMMYFUNCTION("IFERROR(
  TEXTJOIN(CHAR(10),TRUE,FILTER('SUMMARY DATA'!H:H,'SUMMARY DATA'!$A:$A=$A339,'SUMMARY DATA'!$C:$C=$B339,'SUMMARY DATA'!$B:$B=""RWS"",'SUMMARY DATA'!$H:$H=$D339)),
  IF(
    OR(
      ISNUMBER(SEARCH(""CDM CASH DEPOSIT"",$C339)),
      ISNUMBER(S"&amp;"EARCH(""CASH DEPOSIT"",$C339))
    ),
    """",
    IFERROR(TEXTJOIN(CHAR(10),TRUE,FILTER('SUMMARY DATA'!H:H,'SUMMARY DATA'!$D:$D=$C339,'SUMMARY DATA'!$B:$B=""RWS"",'SUMMARY DATA'!$H:$H=$D339)),"""")
  )
)"),"")</f>
      </c>
      <c r="I339" s="18" t="str">
        <f>IFERROR(__xludf.DUMMYFUNCTION("IF(H339="""","""",
SUM(ARRAYFORMULA(VALUE(SPLIT(H339,CHAR(10)))))
)"),"")</f>
      </c>
      <c r="J339" s="17" t="str">
        <f>IFERROR(__xludf.DUMMYFUNCTION("IFERROR(
  TEXTJOIN(CHAR(10),TRUE,FILTER('SUMMARY DATA'!I:I,'SUMMARY DATA'!$A:$A=$A339,'SUMMARY DATA'!$C:$C=$B339,'SUMMARY DATA'!$B:$B=""RWS"")),
  IF(
    OR(
      ISNUMBER(SEARCH(""CDM CASH DEPOSIT"",$C339)),
      ISNUMBER(SEARCH(""CASH DEPOSIT"",$C33"&amp;"9)),
      COUNTIFS('SUMMARY DATA'!$D:$D,$C339,'SUMMARY DATA'!$B:$B,""RWS"")&lt;&gt;1
    ),
    """",
    IFERROR(TEXTJOIN(CHAR(10),TRUE,FILTER('SUMMARY DATA'!I:I,'SUMMARY DATA'!$D:$D=$C339,'SUMMARY DATA'!$B:$B=""RWS"")),"""")
  )
)"),"")</f>
      </c>
      <c r="K339" s="2"/>
      <c r="L339" s="2"/>
      <c r="M339" s="2"/>
      <c r="N339" s="2"/>
      <c r="O339" s="2"/>
      <c r="P339" s="2"/>
      <c r="Q339" s="2"/>
      <c r="R339" s="2"/>
      <c r="S339" s="2"/>
      <c r="T339" s="2"/>
      <c r="U339" s="2"/>
      <c r="V339" s="2"/>
      <c r="W339" s="2"/>
      <c r="X339" s="2"/>
      <c r="Y339" s="2"/>
      <c r="Z339" s="2"/>
      <c r="AA339" s="2"/>
      <c r="AB339" s="2"/>
    </row>
    <row r="340" spans="1:28" customHeight="true">
      <c r="A340" s="2" t="s">
        <v>533</v>
      </c>
      <c r="B340" s="15">
        <v>45977</v>
      </c>
      <c r="C340" s="2" t="s">
        <v>534</v>
      </c>
      <c r="D340" s="3">
        <v>764.71</v>
      </c>
      <c r="E340" s="16" t="s">
        <v>2468</v>
      </c>
      <c r="F340" s="17" t="s">
        <v>2471</v>
      </c>
      <c r="G340" s="17" t="s">
        <v>2393</v>
      </c>
      <c r="H340" s="18">
        <v>764.71</v>
      </c>
      <c r="I340" s="18">
        <v>764.71</v>
      </c>
      <c r="J340" s="17" t="s">
        <v>2394</v>
      </c>
      <c r="K340" s="2" t="s">
        <v>2395</v>
      </c>
      <c r="L340" s="2"/>
      <c r="M340" s="2"/>
      <c r="N340" s="2"/>
      <c r="O340" s="2"/>
      <c r="P340" s="2"/>
      <c r="Q340" s="2"/>
      <c r="R340" s="2"/>
      <c r="S340" s="2"/>
      <c r="T340" s="2"/>
      <c r="U340" s="2"/>
      <c r="V340" s="2"/>
      <c r="W340" s="2"/>
      <c r="X340" s="2"/>
      <c r="Y340" s="2"/>
      <c r="Z340" s="2"/>
      <c r="AA340" s="2"/>
      <c r="AB340" s="2"/>
    </row>
    <row r="341" spans="1:28" customHeight="true">
      <c r="A341" s="2" t="s">
        <v>535</v>
      </c>
      <c r="B341" s="15">
        <v>45977</v>
      </c>
      <c r="C341" s="2" t="s">
        <v>536</v>
      </c>
      <c r="D341" s="3">
        <v>51</v>
      </c>
      <c r="E341" s="16" t="str">
        <f>IFERROR(__xludf.DUMMYFUNCTION("IFERROR(
  TEXTJOIN(CHAR(10),TRUE,FILTER('SUMMARY DATA'!E:E,'SUMMARY DATA'!$A:$A=$A341,'SUMMARY DATA'!$C:$C=$B341,'SUMMARY DATA'!$B:$B=""RWS"")),
  IF(
    OR(
      ISNUMBER(SEARCH(""CDM CASH DEPOSIT"",$C341)),
      ISNUMBER(SEARCH(""CASH DEPOSIT"",$C34"&amp;"1)),
      COUNTIFS('SUMMARY DATA'!$D:$D,$C341,'SUMMARY DATA'!$B:$B,""RWS"")&lt;&gt;1
    ),
    """",
    IFERROR(TEXTJOIN(CHAR(10),TRUE,FILTER('SUMMARY DATA'!E:E,'SUMMARY DATA'!$D:$D=$C341,'SUMMARY DATA'!$B:$B=""RWS"")),"""")
  )
)"),"")</f>
      </c>
      <c r="F341" s="17" t="str">
        <f>IFERROR(__xludf.DUMMYFUNCTION("IFERROR(
  TEXTJOIN(CHAR(10),TRUE,FILTER('SUMMARY DATA'!F:F,'SUMMARY DATA'!$A:$A=$A341,'SUMMARY DATA'!$C:$C=$B341,'SUMMARY DATA'!$B:$B=""RWS"")),
  IF(
    OR(
      ISNUMBER(SEARCH(""CDM CASH DEPOSIT"",$C341)),
      ISNUMBER(SEARCH(""CASH DEPOSIT"",$C34"&amp;"1)),
      COUNTIFS('SUMMARY DATA'!$D:$D,$C341,'SUMMARY DATA'!$B:$B,""RWS"")&lt;&gt;1
    ),
    """",
    IFERROR(TEXTJOIN(CHAR(10),TRUE,FILTER('SUMMARY DATA'!F:F,'SUMMARY DATA'!$D:$D=$C341,'SUMMARY DATA'!$B:$B=""RWS"")),"""")
  )
)"),"")</f>
      </c>
      <c r="G341" s="17" t="str">
        <f>IFERROR(__xludf.DUMMYFUNCTION("IFERROR(
  TEXTJOIN(CHAR(10),TRUE,FILTER('SUMMARY DATA'!G:G,'SUMMARY DATA'!$A:$A=$A341,'SUMMARY DATA'!$C:$C=$B341,'SUMMARY DATA'!$B:$B=""RWS"")),
  IF(
    OR(
      ISNUMBER(SEARCH(""CDM CASH DEPOSIT"",$C341)),
      ISNUMBER(SEARCH(""CASH DEPOSIT"",$C34"&amp;"1)),
      COUNTIFS('SUMMARY DATA'!$D:$D,$C341,'SUMMARY DATA'!$B:$B,""RWS"")&lt;&gt;1
    ),
    """",
    IFERROR(TEXTJOIN(CHAR(10),TRUE,FILTER('SUMMARY DATA'!G:G,'SUMMARY DATA'!$D:$D=$C341,'SUMMARY DATA'!$B:$B=""RWS"")),"""")
  )
)"),"")</f>
      </c>
      <c r="H341" s="18" t="str">
        <f>IFERROR(__xludf.DUMMYFUNCTION("IFERROR(
  TEXTJOIN(CHAR(10),TRUE,FILTER('SUMMARY DATA'!H:H,'SUMMARY DATA'!$A:$A=$A341,'SUMMARY DATA'!$C:$C=$B341,'SUMMARY DATA'!$B:$B=""RWS"",'SUMMARY DATA'!$H:$H=$D341)),
  IF(
    OR(
      ISNUMBER(SEARCH(""CDM CASH DEPOSIT"",$C341)),
      ISNUMBER(S"&amp;"EARCH(""CASH DEPOSIT"",$C341))
    ),
    """",
    IFERROR(TEXTJOIN(CHAR(10),TRUE,FILTER('SUMMARY DATA'!H:H,'SUMMARY DATA'!$D:$D=$C341,'SUMMARY DATA'!$B:$B=""RWS"",'SUMMARY DATA'!$H:$H=$D341)),"""")
  )
)"),"")</f>
      </c>
      <c r="I341" s="18" t="str">
        <f>IFERROR(__xludf.DUMMYFUNCTION("IF(H341="""","""",
SUM(ARRAYFORMULA(VALUE(SPLIT(H341,CHAR(10)))))
)"),"")</f>
      </c>
      <c r="J341" s="17" t="str">
        <f>IFERROR(__xludf.DUMMYFUNCTION("IFERROR(
  TEXTJOIN(CHAR(10),TRUE,FILTER('SUMMARY DATA'!I:I,'SUMMARY DATA'!$A:$A=$A341,'SUMMARY DATA'!$C:$C=$B341,'SUMMARY DATA'!$B:$B=""RWS"")),
  IF(
    OR(
      ISNUMBER(SEARCH(""CDM CASH DEPOSIT"",$C341)),
      ISNUMBER(SEARCH(""CASH DEPOSIT"",$C34"&amp;"1)),
      COUNTIFS('SUMMARY DATA'!$D:$D,$C341,'SUMMARY DATA'!$B:$B,""RWS"")&lt;&gt;1
    ),
    """",
    IFERROR(TEXTJOIN(CHAR(10),TRUE,FILTER('SUMMARY DATA'!I:I,'SUMMARY DATA'!$D:$D=$C341,'SUMMARY DATA'!$B:$B=""RWS"")),"""")
  )
)"),"")</f>
      </c>
      <c r="K341" s="2"/>
      <c r="L341" s="2"/>
      <c r="M341" s="2"/>
      <c r="N341" s="2"/>
      <c r="O341" s="2"/>
      <c r="P341" s="2"/>
      <c r="Q341" s="2"/>
      <c r="R341" s="2"/>
      <c r="S341" s="2"/>
      <c r="T341" s="2"/>
      <c r="U341" s="2"/>
      <c r="V341" s="2"/>
      <c r="W341" s="2"/>
      <c r="X341" s="2"/>
      <c r="Y341" s="2"/>
      <c r="Z341" s="2"/>
      <c r="AA341" s="2"/>
      <c r="AB341" s="2"/>
    </row>
    <row r="342" spans="1:28" customHeight="true">
      <c r="A342" s="2" t="s">
        <v>537</v>
      </c>
      <c r="B342" s="15">
        <v>45977</v>
      </c>
      <c r="C342" s="2" t="s">
        <v>538</v>
      </c>
      <c r="D342" s="3">
        <v>182.5</v>
      </c>
      <c r="E342" s="16" t="str">
        <f>IFERROR(__xludf.DUMMYFUNCTION("IFERROR(
  TEXTJOIN(CHAR(10),TRUE,FILTER('SUMMARY DATA'!E:E,'SUMMARY DATA'!$A:$A=$A342,'SUMMARY DATA'!$C:$C=$B342,'SUMMARY DATA'!$B:$B=""RWS"")),
  IF(
    OR(
      ISNUMBER(SEARCH(""CDM CASH DEPOSIT"",$C342)),
      ISNUMBER(SEARCH(""CASH DEPOSIT"",$C34"&amp;"2)),
      COUNTIFS('SUMMARY DATA'!$D:$D,$C342,'SUMMARY DATA'!$B:$B,""RWS"")&lt;&gt;1
    ),
    """",
    IFERROR(TEXTJOIN(CHAR(10),TRUE,FILTER('SUMMARY DATA'!E:E,'SUMMARY DATA'!$D:$D=$C342,'SUMMARY DATA'!$B:$B=""RWS"")),"""")
  )
)"),"")</f>
      </c>
      <c r="F342" s="17" t="str">
        <f>IFERROR(__xludf.DUMMYFUNCTION("IFERROR(
  TEXTJOIN(CHAR(10),TRUE,FILTER('SUMMARY DATA'!F:F,'SUMMARY DATA'!$A:$A=$A342,'SUMMARY DATA'!$C:$C=$B342,'SUMMARY DATA'!$B:$B=""RWS"")),
  IF(
    OR(
      ISNUMBER(SEARCH(""CDM CASH DEPOSIT"",$C342)),
      ISNUMBER(SEARCH(""CASH DEPOSIT"",$C34"&amp;"2)),
      COUNTIFS('SUMMARY DATA'!$D:$D,$C342,'SUMMARY DATA'!$B:$B,""RWS"")&lt;&gt;1
    ),
    """",
    IFERROR(TEXTJOIN(CHAR(10),TRUE,FILTER('SUMMARY DATA'!F:F,'SUMMARY DATA'!$D:$D=$C342,'SUMMARY DATA'!$B:$B=""RWS"")),"""")
  )
)"),"")</f>
      </c>
      <c r="G342" s="17" t="str">
        <f>IFERROR(__xludf.DUMMYFUNCTION("IFERROR(
  TEXTJOIN(CHAR(10),TRUE,FILTER('SUMMARY DATA'!G:G,'SUMMARY DATA'!$A:$A=$A342,'SUMMARY DATA'!$C:$C=$B342,'SUMMARY DATA'!$B:$B=""RWS"")),
  IF(
    OR(
      ISNUMBER(SEARCH(""CDM CASH DEPOSIT"",$C342)),
      ISNUMBER(SEARCH(""CASH DEPOSIT"",$C34"&amp;"2)),
      COUNTIFS('SUMMARY DATA'!$D:$D,$C342,'SUMMARY DATA'!$B:$B,""RWS"")&lt;&gt;1
    ),
    """",
    IFERROR(TEXTJOIN(CHAR(10),TRUE,FILTER('SUMMARY DATA'!G:G,'SUMMARY DATA'!$D:$D=$C342,'SUMMARY DATA'!$B:$B=""RWS"")),"""")
  )
)"),"")</f>
      </c>
      <c r="H342" s="18" t="str">
        <f>IFERROR(__xludf.DUMMYFUNCTION("IFERROR(
  TEXTJOIN(CHAR(10),TRUE,FILTER('SUMMARY DATA'!H:H,'SUMMARY DATA'!$A:$A=$A342,'SUMMARY DATA'!$C:$C=$B342,'SUMMARY DATA'!$B:$B=""RWS"",'SUMMARY DATA'!$H:$H=$D342)),
  IF(
    OR(
      ISNUMBER(SEARCH(""CDM CASH DEPOSIT"",$C342)),
      ISNUMBER(S"&amp;"EARCH(""CASH DEPOSIT"",$C342))
    ),
    """",
    IFERROR(TEXTJOIN(CHAR(10),TRUE,FILTER('SUMMARY DATA'!H:H,'SUMMARY DATA'!$D:$D=$C342,'SUMMARY DATA'!$B:$B=""RWS"",'SUMMARY DATA'!$H:$H=$D342)),"""")
  )
)"),"")</f>
      </c>
      <c r="I342" s="18" t="str">
        <f>IFERROR(__xludf.DUMMYFUNCTION("IF(H342="""","""",
SUM(ARRAYFORMULA(VALUE(SPLIT(H342,CHAR(10)))))
)"),"")</f>
      </c>
      <c r="J342" s="17" t="str">
        <f>IFERROR(__xludf.DUMMYFUNCTION("IFERROR(
  TEXTJOIN(CHAR(10),TRUE,FILTER('SUMMARY DATA'!I:I,'SUMMARY DATA'!$A:$A=$A342,'SUMMARY DATA'!$C:$C=$B342,'SUMMARY DATA'!$B:$B=""RWS"")),
  IF(
    OR(
      ISNUMBER(SEARCH(""CDM CASH DEPOSIT"",$C342)),
      ISNUMBER(SEARCH(""CASH DEPOSIT"",$C34"&amp;"2)),
      COUNTIFS('SUMMARY DATA'!$D:$D,$C342,'SUMMARY DATA'!$B:$B,""RWS"")&lt;&gt;1
    ),
    """",
    IFERROR(TEXTJOIN(CHAR(10),TRUE,FILTER('SUMMARY DATA'!I:I,'SUMMARY DATA'!$D:$D=$C342,'SUMMARY DATA'!$B:$B=""RWS"")),"""")
  )
)"),"")</f>
      </c>
      <c r="K342" s="2"/>
      <c r="L342" s="2"/>
      <c r="M342" s="2"/>
      <c r="N342" s="2"/>
      <c r="O342" s="2"/>
      <c r="P342" s="2"/>
      <c r="Q342" s="2"/>
      <c r="R342" s="2"/>
      <c r="S342" s="2"/>
      <c r="T342" s="2"/>
      <c r="U342" s="2"/>
      <c r="V342" s="2"/>
      <c r="W342" s="2"/>
      <c r="X342" s="2"/>
      <c r="Y342" s="2"/>
      <c r="Z342" s="2"/>
      <c r="AA342" s="2"/>
      <c r="AB342" s="2"/>
    </row>
    <row r="343" spans="1:28" customHeight="true">
      <c r="A343" s="2" t="s">
        <v>523</v>
      </c>
      <c r="B343" s="15">
        <v>45977</v>
      </c>
      <c r="C343" s="2" t="s">
        <v>524</v>
      </c>
      <c r="D343" s="3">
        <v>892</v>
      </c>
      <c r="E343" s="16" t="str">
        <f>IFERROR(__xludf.DUMMYFUNCTION("IFERROR(
  TEXTJOIN(CHAR(10),TRUE,FILTER('SUMMARY DATA'!E:E,'SUMMARY DATA'!$A:$A=$A343,'SUMMARY DATA'!$C:$C=$B343,'SUMMARY DATA'!$B:$B=""RWS"")),
  IF(
    OR(
      ISNUMBER(SEARCH(""CDM CASH DEPOSIT"",$C343)),
      ISNUMBER(SEARCH(""CASH DEPOSIT"",$C34"&amp;"3)),
      COUNTIFS('SUMMARY DATA'!$D:$D,$C343,'SUMMARY DATA'!$B:$B,""RWS"")&lt;&gt;1
    ),
    """",
    IFERROR(TEXTJOIN(CHAR(10),TRUE,FILTER('SUMMARY DATA'!E:E,'SUMMARY DATA'!$D:$D=$C343,'SUMMARY DATA'!$B:$B=""RWS"")),"""")
  )
)"),"")</f>
      </c>
      <c r="F343" s="17" t="str">
        <f>IFERROR(__xludf.DUMMYFUNCTION("IFERROR(
  TEXTJOIN(CHAR(10),TRUE,FILTER('SUMMARY DATA'!F:F,'SUMMARY DATA'!$A:$A=$A343,'SUMMARY DATA'!$C:$C=$B343,'SUMMARY DATA'!$B:$B=""RWS"")),
  IF(
    OR(
      ISNUMBER(SEARCH(""CDM CASH DEPOSIT"",$C343)),
      ISNUMBER(SEARCH(""CASH DEPOSIT"",$C34"&amp;"3)),
      COUNTIFS('SUMMARY DATA'!$D:$D,$C343,'SUMMARY DATA'!$B:$B,""RWS"")&lt;&gt;1
    ),
    """",
    IFERROR(TEXTJOIN(CHAR(10),TRUE,FILTER('SUMMARY DATA'!F:F,'SUMMARY DATA'!$D:$D=$C343,'SUMMARY DATA'!$B:$B=""RWS"")),"""")
  )
)"),"")</f>
      </c>
      <c r="G343" s="17" t="str">
        <f>IFERROR(__xludf.DUMMYFUNCTION("IFERROR(
  TEXTJOIN(CHAR(10),TRUE,FILTER('SUMMARY DATA'!G:G,'SUMMARY DATA'!$A:$A=$A343,'SUMMARY DATA'!$C:$C=$B343,'SUMMARY DATA'!$B:$B=""RWS"")),
  IF(
    OR(
      ISNUMBER(SEARCH(""CDM CASH DEPOSIT"",$C343)),
      ISNUMBER(SEARCH(""CASH DEPOSIT"",$C34"&amp;"3)),
      COUNTIFS('SUMMARY DATA'!$D:$D,$C343,'SUMMARY DATA'!$B:$B,""RWS"")&lt;&gt;1
    ),
    """",
    IFERROR(TEXTJOIN(CHAR(10),TRUE,FILTER('SUMMARY DATA'!G:G,'SUMMARY DATA'!$D:$D=$C343,'SUMMARY DATA'!$B:$B=""RWS"")),"""")
  )
)"),"")</f>
      </c>
      <c r="H343" s="18" t="str">
        <f>IFERROR(__xludf.DUMMYFUNCTION("IFERROR(
  TEXTJOIN(CHAR(10),TRUE,FILTER('SUMMARY DATA'!H:H,'SUMMARY DATA'!$A:$A=$A343,'SUMMARY DATA'!$C:$C=$B343,'SUMMARY DATA'!$B:$B=""RWS"",'SUMMARY DATA'!$H:$H=$D343)),
  IF(
    OR(
      ISNUMBER(SEARCH(""CDM CASH DEPOSIT"",$C343)),
      ISNUMBER(S"&amp;"EARCH(""CASH DEPOSIT"",$C343))
    ),
    """",
    IFERROR(TEXTJOIN(CHAR(10),TRUE,FILTER('SUMMARY DATA'!H:H,'SUMMARY DATA'!$D:$D=$C343,'SUMMARY DATA'!$B:$B=""RWS"",'SUMMARY DATA'!$H:$H=$D343)),"""")
  )
)"),"")</f>
      </c>
      <c r="I343" s="18" t="str">
        <f>IFERROR(__xludf.DUMMYFUNCTION("IF(H343="""","""",
SUM(ARRAYFORMULA(VALUE(SPLIT(H343,CHAR(10)))))
)"),"")</f>
      </c>
      <c r="J343" s="17" t="str">
        <f>IFERROR(__xludf.DUMMYFUNCTION("IFERROR(
  TEXTJOIN(CHAR(10),TRUE,FILTER('SUMMARY DATA'!I:I,'SUMMARY DATA'!$A:$A=$A343,'SUMMARY DATA'!$C:$C=$B343,'SUMMARY DATA'!$B:$B=""RWS"")),
  IF(
    OR(
      ISNUMBER(SEARCH(""CDM CASH DEPOSIT"",$C343)),
      ISNUMBER(SEARCH(""CASH DEPOSIT"",$C34"&amp;"3)),
      COUNTIFS('SUMMARY DATA'!$D:$D,$C343,'SUMMARY DATA'!$B:$B,""RWS"")&lt;&gt;1
    ),
    """",
    IFERROR(TEXTJOIN(CHAR(10),TRUE,FILTER('SUMMARY DATA'!I:I,'SUMMARY DATA'!$D:$D=$C343,'SUMMARY DATA'!$B:$B=""RWS"")),"""")
  )
)"),"")</f>
      </c>
      <c r="K343" s="2"/>
      <c r="L343" s="2"/>
      <c r="M343" s="2"/>
      <c r="N343" s="2"/>
      <c r="O343" s="2"/>
      <c r="P343" s="2"/>
      <c r="Q343" s="2"/>
      <c r="R343" s="2"/>
      <c r="S343" s="2"/>
      <c r="T343" s="2"/>
      <c r="U343" s="2"/>
      <c r="V343" s="2"/>
      <c r="W343" s="2"/>
      <c r="X343" s="2"/>
      <c r="Y343" s="2"/>
      <c r="Z343" s="2"/>
      <c r="AA343" s="2"/>
      <c r="AB343" s="2"/>
    </row>
    <row r="344" spans="1:28" customHeight="true">
      <c r="A344" s="2" t="s">
        <v>539</v>
      </c>
      <c r="B344" s="15">
        <v>45976</v>
      </c>
      <c r="C344" s="2" t="s">
        <v>540</v>
      </c>
      <c r="D344" s="3">
        <v>29.4</v>
      </c>
      <c r="E344" s="16" t="str">
        <f>IFERROR(__xludf.DUMMYFUNCTION("IFERROR(
  TEXTJOIN(CHAR(10),TRUE,FILTER('SUMMARY DATA'!E:E,'SUMMARY DATA'!$A:$A=$A344,'SUMMARY DATA'!$C:$C=$B344,'SUMMARY DATA'!$B:$B=""RWS"")),
  IF(
    OR(
      ISNUMBER(SEARCH(""CDM CASH DEPOSIT"",$C344)),
      ISNUMBER(SEARCH(""CASH DEPOSIT"",$C34"&amp;"4)),
      COUNTIFS('SUMMARY DATA'!$D:$D,$C344,'SUMMARY DATA'!$B:$B,""RWS"")&lt;&gt;1
    ),
    """",
    IFERROR(TEXTJOIN(CHAR(10),TRUE,FILTER('SUMMARY DATA'!E:E,'SUMMARY DATA'!$D:$D=$C344,'SUMMARY DATA'!$B:$B=""RWS"")),"""")
  )
)"),"")</f>
      </c>
      <c r="F344" s="17" t="str">
        <f>IFERROR(__xludf.DUMMYFUNCTION("IFERROR(
  TEXTJOIN(CHAR(10),TRUE,FILTER('SUMMARY DATA'!F:F,'SUMMARY DATA'!$A:$A=$A344,'SUMMARY DATA'!$C:$C=$B344,'SUMMARY DATA'!$B:$B=""RWS"")),
  IF(
    OR(
      ISNUMBER(SEARCH(""CDM CASH DEPOSIT"",$C344)),
      ISNUMBER(SEARCH(""CASH DEPOSIT"",$C34"&amp;"4)),
      COUNTIFS('SUMMARY DATA'!$D:$D,$C344,'SUMMARY DATA'!$B:$B,""RWS"")&lt;&gt;1
    ),
    """",
    IFERROR(TEXTJOIN(CHAR(10),TRUE,FILTER('SUMMARY DATA'!F:F,'SUMMARY DATA'!$D:$D=$C344,'SUMMARY DATA'!$B:$B=""RWS"")),"""")
  )
)"),"")</f>
      </c>
      <c r="G344" s="17" t="str">
        <f>IFERROR(__xludf.DUMMYFUNCTION("IFERROR(
  TEXTJOIN(CHAR(10),TRUE,FILTER('SUMMARY DATA'!G:G,'SUMMARY DATA'!$A:$A=$A344,'SUMMARY DATA'!$C:$C=$B344,'SUMMARY DATA'!$B:$B=""RWS"")),
  IF(
    OR(
      ISNUMBER(SEARCH(""CDM CASH DEPOSIT"",$C344)),
      ISNUMBER(SEARCH(""CASH DEPOSIT"",$C34"&amp;"4)),
      COUNTIFS('SUMMARY DATA'!$D:$D,$C344,'SUMMARY DATA'!$B:$B,""RWS"")&lt;&gt;1
    ),
    """",
    IFERROR(TEXTJOIN(CHAR(10),TRUE,FILTER('SUMMARY DATA'!G:G,'SUMMARY DATA'!$D:$D=$C344,'SUMMARY DATA'!$B:$B=""RWS"")),"""")
  )
)"),"")</f>
      </c>
      <c r="H344" s="18" t="str">
        <f>IFERROR(__xludf.DUMMYFUNCTION("IFERROR(
  TEXTJOIN(CHAR(10),TRUE,FILTER('SUMMARY DATA'!H:H,'SUMMARY DATA'!$A:$A=$A344,'SUMMARY DATA'!$C:$C=$B344,'SUMMARY DATA'!$B:$B=""RWS"",'SUMMARY DATA'!$H:$H=$D344)),
  IF(
    OR(
      ISNUMBER(SEARCH(""CDM CASH DEPOSIT"",$C344)),
      ISNUMBER(S"&amp;"EARCH(""CASH DEPOSIT"",$C344))
    ),
    """",
    IFERROR(TEXTJOIN(CHAR(10),TRUE,FILTER('SUMMARY DATA'!H:H,'SUMMARY DATA'!$D:$D=$C344,'SUMMARY DATA'!$B:$B=""RWS"",'SUMMARY DATA'!$H:$H=$D344)),"""")
  )
)"),"")</f>
      </c>
      <c r="I344" s="18" t="str">
        <f>IFERROR(__xludf.DUMMYFUNCTION("IF(H344="""","""",
SUM(ARRAYFORMULA(VALUE(SPLIT(H344,CHAR(10)))))
)"),"")</f>
      </c>
      <c r="J344" s="17" t="str">
        <f>IFERROR(__xludf.DUMMYFUNCTION("IFERROR(
  TEXTJOIN(CHAR(10),TRUE,FILTER('SUMMARY DATA'!I:I,'SUMMARY DATA'!$A:$A=$A344,'SUMMARY DATA'!$C:$C=$B344,'SUMMARY DATA'!$B:$B=""RWS"")),
  IF(
    OR(
      ISNUMBER(SEARCH(""CDM CASH DEPOSIT"",$C344)),
      ISNUMBER(SEARCH(""CASH DEPOSIT"",$C34"&amp;"4)),
      COUNTIFS('SUMMARY DATA'!$D:$D,$C344,'SUMMARY DATA'!$B:$B,""RWS"")&lt;&gt;1
    ),
    """",
    IFERROR(TEXTJOIN(CHAR(10),TRUE,FILTER('SUMMARY DATA'!I:I,'SUMMARY DATA'!$D:$D=$C344,'SUMMARY DATA'!$B:$B=""RWS"")),"""")
  )
)"),"")</f>
      </c>
      <c r="K344" s="2"/>
      <c r="L344" s="2"/>
      <c r="M344" s="2"/>
      <c r="N344" s="2"/>
      <c r="O344" s="2"/>
      <c r="P344" s="2"/>
      <c r="Q344" s="2"/>
      <c r="R344" s="2"/>
      <c r="S344" s="2"/>
      <c r="T344" s="2"/>
      <c r="U344" s="2"/>
      <c r="V344" s="2"/>
      <c r="W344" s="2"/>
      <c r="X344" s="2"/>
      <c r="Y344" s="2"/>
      <c r="Z344" s="2"/>
      <c r="AA344" s="2"/>
      <c r="AB344" s="2"/>
    </row>
    <row r="345" spans="1:28" customHeight="true">
      <c r="A345" s="2" t="s">
        <v>541</v>
      </c>
      <c r="B345" s="15">
        <v>45976</v>
      </c>
      <c r="C345" s="2" t="s">
        <v>542</v>
      </c>
      <c r="D345" s="3">
        <v>4.99</v>
      </c>
      <c r="E345" s="16" t="str">
        <f>IFERROR(__xludf.DUMMYFUNCTION("IFERROR(
  TEXTJOIN(CHAR(10),TRUE,FILTER('SUMMARY DATA'!E:E,'SUMMARY DATA'!$A:$A=$A345,'SUMMARY DATA'!$C:$C=$B345,'SUMMARY DATA'!$B:$B=""RWS"")),
  IF(
    OR(
      ISNUMBER(SEARCH(""CDM CASH DEPOSIT"",$C345)),
      ISNUMBER(SEARCH(""CASH DEPOSIT"",$C34"&amp;"5)),
      COUNTIFS('SUMMARY DATA'!$D:$D,$C345,'SUMMARY DATA'!$B:$B,""RWS"")&lt;&gt;1
    ),
    """",
    IFERROR(TEXTJOIN(CHAR(10),TRUE,FILTER('SUMMARY DATA'!E:E,'SUMMARY DATA'!$D:$D=$C345,'SUMMARY DATA'!$B:$B=""RWS"")),"""")
  )
)"),"")</f>
      </c>
      <c r="F345" s="17" t="str">
        <f>IFERROR(__xludf.DUMMYFUNCTION("IFERROR(
  TEXTJOIN(CHAR(10),TRUE,FILTER('SUMMARY DATA'!F:F,'SUMMARY DATA'!$A:$A=$A345,'SUMMARY DATA'!$C:$C=$B345,'SUMMARY DATA'!$B:$B=""RWS"")),
  IF(
    OR(
      ISNUMBER(SEARCH(""CDM CASH DEPOSIT"",$C345)),
      ISNUMBER(SEARCH(""CASH DEPOSIT"",$C34"&amp;"5)),
      COUNTIFS('SUMMARY DATA'!$D:$D,$C345,'SUMMARY DATA'!$B:$B,""RWS"")&lt;&gt;1
    ),
    """",
    IFERROR(TEXTJOIN(CHAR(10),TRUE,FILTER('SUMMARY DATA'!F:F,'SUMMARY DATA'!$D:$D=$C345,'SUMMARY DATA'!$B:$B=""RWS"")),"""")
  )
)"),"")</f>
      </c>
      <c r="G345" s="17" t="str">
        <f>IFERROR(__xludf.DUMMYFUNCTION("IFERROR(
  TEXTJOIN(CHAR(10),TRUE,FILTER('SUMMARY DATA'!G:G,'SUMMARY DATA'!$A:$A=$A345,'SUMMARY DATA'!$C:$C=$B345,'SUMMARY DATA'!$B:$B=""RWS"")),
  IF(
    OR(
      ISNUMBER(SEARCH(""CDM CASH DEPOSIT"",$C345)),
      ISNUMBER(SEARCH(""CASH DEPOSIT"",$C34"&amp;"5)),
      COUNTIFS('SUMMARY DATA'!$D:$D,$C345,'SUMMARY DATA'!$B:$B,""RWS"")&lt;&gt;1
    ),
    """",
    IFERROR(TEXTJOIN(CHAR(10),TRUE,FILTER('SUMMARY DATA'!G:G,'SUMMARY DATA'!$D:$D=$C345,'SUMMARY DATA'!$B:$B=""RWS"")),"""")
  )
)"),"")</f>
      </c>
      <c r="H345" s="18" t="str">
        <f>IFERROR(__xludf.DUMMYFUNCTION("IFERROR(
  TEXTJOIN(CHAR(10),TRUE,FILTER('SUMMARY DATA'!H:H,'SUMMARY DATA'!$A:$A=$A345,'SUMMARY DATA'!$C:$C=$B345,'SUMMARY DATA'!$B:$B=""RWS"",'SUMMARY DATA'!$H:$H=$D345)),
  IF(
    OR(
      ISNUMBER(SEARCH(""CDM CASH DEPOSIT"",$C345)),
      ISNUMBER(S"&amp;"EARCH(""CASH DEPOSIT"",$C345))
    ),
    """",
    IFERROR(TEXTJOIN(CHAR(10),TRUE,FILTER('SUMMARY DATA'!H:H,'SUMMARY DATA'!$D:$D=$C345,'SUMMARY DATA'!$B:$B=""RWS"",'SUMMARY DATA'!$H:$H=$D345)),"""")
  )
)"),"")</f>
      </c>
      <c r="I345" s="18" t="str">
        <f>IFERROR(__xludf.DUMMYFUNCTION("IF(H345="""","""",
SUM(ARRAYFORMULA(VALUE(SPLIT(H345,CHAR(10)))))
)"),"")</f>
      </c>
      <c r="J345" s="17" t="str">
        <f>IFERROR(__xludf.DUMMYFUNCTION("IFERROR(
  TEXTJOIN(CHAR(10),TRUE,FILTER('SUMMARY DATA'!I:I,'SUMMARY DATA'!$A:$A=$A345,'SUMMARY DATA'!$C:$C=$B345,'SUMMARY DATA'!$B:$B=""RWS"")),
  IF(
    OR(
      ISNUMBER(SEARCH(""CDM CASH DEPOSIT"",$C345)),
      ISNUMBER(SEARCH(""CASH DEPOSIT"",$C34"&amp;"5)),
      COUNTIFS('SUMMARY DATA'!$D:$D,$C345,'SUMMARY DATA'!$B:$B,""RWS"")&lt;&gt;1
    ),
    """",
    IFERROR(TEXTJOIN(CHAR(10),TRUE,FILTER('SUMMARY DATA'!I:I,'SUMMARY DATA'!$D:$D=$C345,'SUMMARY DATA'!$B:$B=""RWS"")),"""")
  )
)"),"")</f>
      </c>
      <c r="K345" s="2"/>
      <c r="L345" s="2"/>
      <c r="M345" s="2"/>
      <c r="N345" s="2"/>
      <c r="O345" s="2"/>
      <c r="P345" s="2"/>
      <c r="Q345" s="2"/>
      <c r="R345" s="2"/>
      <c r="S345" s="2"/>
      <c r="T345" s="2"/>
      <c r="U345" s="2"/>
      <c r="V345" s="2"/>
      <c r="W345" s="2"/>
      <c r="X345" s="2"/>
      <c r="Y345" s="2"/>
      <c r="Z345" s="2"/>
      <c r="AA345" s="2"/>
      <c r="AB345" s="2"/>
    </row>
    <row r="346" spans="1:28" customHeight="true">
      <c r="A346" s="2" t="s">
        <v>543</v>
      </c>
      <c r="B346" s="15">
        <v>45976</v>
      </c>
      <c r="C346" s="2" t="s">
        <v>544</v>
      </c>
      <c r="D346" s="3">
        <v>399</v>
      </c>
      <c r="E346" s="16" t="str">
        <f>IFERROR(__xludf.DUMMYFUNCTION("IFERROR(
  TEXTJOIN(CHAR(10),TRUE,FILTER('SUMMARY DATA'!E:E,'SUMMARY DATA'!$A:$A=$A346,'SUMMARY DATA'!$C:$C=$B346,'SUMMARY DATA'!$B:$B=""RWS"")),
  IF(
    OR(
      ISNUMBER(SEARCH(""CDM CASH DEPOSIT"",$C346)),
      ISNUMBER(SEARCH(""CASH DEPOSIT"",$C34"&amp;"6)),
      COUNTIFS('SUMMARY DATA'!$D:$D,$C346,'SUMMARY DATA'!$B:$B,""RWS"")&lt;&gt;1
    ),
    """",
    IFERROR(TEXTJOIN(CHAR(10),TRUE,FILTER('SUMMARY DATA'!E:E,'SUMMARY DATA'!$D:$D=$C346,'SUMMARY DATA'!$B:$B=""RWS"")),"""")
  )
)"),"")</f>
      </c>
      <c r="F346" s="17" t="str">
        <f>IFERROR(__xludf.DUMMYFUNCTION("IFERROR(
  TEXTJOIN(CHAR(10),TRUE,FILTER('SUMMARY DATA'!F:F,'SUMMARY DATA'!$A:$A=$A346,'SUMMARY DATA'!$C:$C=$B346,'SUMMARY DATA'!$B:$B=""RWS"")),
  IF(
    OR(
      ISNUMBER(SEARCH(""CDM CASH DEPOSIT"",$C346)),
      ISNUMBER(SEARCH(""CASH DEPOSIT"",$C34"&amp;"6)),
      COUNTIFS('SUMMARY DATA'!$D:$D,$C346,'SUMMARY DATA'!$B:$B,""RWS"")&lt;&gt;1
    ),
    """",
    IFERROR(TEXTJOIN(CHAR(10),TRUE,FILTER('SUMMARY DATA'!F:F,'SUMMARY DATA'!$D:$D=$C346,'SUMMARY DATA'!$B:$B=""RWS"")),"""")
  )
)"),"")</f>
      </c>
      <c r="G346" s="17" t="str">
        <f>IFERROR(__xludf.DUMMYFUNCTION("IFERROR(
  TEXTJOIN(CHAR(10),TRUE,FILTER('SUMMARY DATA'!G:G,'SUMMARY DATA'!$A:$A=$A346,'SUMMARY DATA'!$C:$C=$B346,'SUMMARY DATA'!$B:$B=""RWS"")),
  IF(
    OR(
      ISNUMBER(SEARCH(""CDM CASH DEPOSIT"",$C346)),
      ISNUMBER(SEARCH(""CASH DEPOSIT"",$C34"&amp;"6)),
      COUNTIFS('SUMMARY DATA'!$D:$D,$C346,'SUMMARY DATA'!$B:$B,""RWS"")&lt;&gt;1
    ),
    """",
    IFERROR(TEXTJOIN(CHAR(10),TRUE,FILTER('SUMMARY DATA'!G:G,'SUMMARY DATA'!$D:$D=$C346,'SUMMARY DATA'!$B:$B=""RWS"")),"""")
  )
)"),"")</f>
      </c>
      <c r="H346" s="18" t="str">
        <f>IFERROR(__xludf.DUMMYFUNCTION("IFERROR(
  TEXTJOIN(CHAR(10),TRUE,FILTER('SUMMARY DATA'!H:H,'SUMMARY DATA'!$A:$A=$A346,'SUMMARY DATA'!$C:$C=$B346,'SUMMARY DATA'!$B:$B=""RWS"",'SUMMARY DATA'!$H:$H=$D346)),
  IF(
    OR(
      ISNUMBER(SEARCH(""CDM CASH DEPOSIT"",$C346)),
      ISNUMBER(S"&amp;"EARCH(""CASH DEPOSIT"",$C346))
    ),
    """",
    IFERROR(TEXTJOIN(CHAR(10),TRUE,FILTER('SUMMARY DATA'!H:H,'SUMMARY DATA'!$D:$D=$C346,'SUMMARY DATA'!$B:$B=""RWS"",'SUMMARY DATA'!$H:$H=$D346)),"""")
  )
)"),"")</f>
      </c>
      <c r="I346" s="18" t="str">
        <f>IFERROR(__xludf.DUMMYFUNCTION("IF(H346="""","""",
SUM(ARRAYFORMULA(VALUE(SPLIT(H346,CHAR(10)))))
)"),"")</f>
      </c>
      <c r="J346" s="17" t="str">
        <f>IFERROR(__xludf.DUMMYFUNCTION("IFERROR(
  TEXTJOIN(CHAR(10),TRUE,FILTER('SUMMARY DATA'!I:I,'SUMMARY DATA'!$A:$A=$A346,'SUMMARY DATA'!$C:$C=$B346,'SUMMARY DATA'!$B:$B=""RWS"")),
  IF(
    OR(
      ISNUMBER(SEARCH(""CDM CASH DEPOSIT"",$C346)),
      ISNUMBER(SEARCH(""CASH DEPOSIT"",$C34"&amp;"6)),
      COUNTIFS('SUMMARY DATA'!$D:$D,$C346,'SUMMARY DATA'!$B:$B,""RWS"")&lt;&gt;1
    ),
    """",
    IFERROR(TEXTJOIN(CHAR(10),TRUE,FILTER('SUMMARY DATA'!I:I,'SUMMARY DATA'!$D:$D=$C346,'SUMMARY DATA'!$B:$B=""RWS"")),"""")
  )
)"),"")</f>
      </c>
      <c r="K346" s="2"/>
      <c r="L346" s="2"/>
      <c r="M346" s="2"/>
      <c r="N346" s="2"/>
      <c r="O346" s="2"/>
      <c r="P346" s="2"/>
      <c r="Q346" s="2"/>
      <c r="R346" s="2"/>
      <c r="S346" s="2"/>
      <c r="T346" s="2"/>
      <c r="U346" s="2"/>
      <c r="V346" s="2"/>
      <c r="W346" s="2"/>
      <c r="X346" s="2"/>
      <c r="Y346" s="2"/>
      <c r="Z346" s="2"/>
      <c r="AA346" s="2"/>
      <c r="AB346" s="2"/>
    </row>
    <row r="347" spans="1:28" customHeight="true">
      <c r="A347" s="2" t="s">
        <v>545</v>
      </c>
      <c r="B347" s="15">
        <v>45976</v>
      </c>
      <c r="C347" s="2" t="s">
        <v>546</v>
      </c>
      <c r="D347" s="3">
        <v>998.21</v>
      </c>
      <c r="E347" s="16" t="s">
        <v>2468</v>
      </c>
      <c r="F347" s="17" t="s">
        <v>2472</v>
      </c>
      <c r="G347" s="17" t="s">
        <v>2393</v>
      </c>
      <c r="H347" s="18">
        <v>998.21</v>
      </c>
      <c r="I347" s="18">
        <v>998.21</v>
      </c>
      <c r="J347" s="17" t="s">
        <v>2394</v>
      </c>
      <c r="K347" s="2" t="s">
        <v>2395</v>
      </c>
      <c r="L347" s="2"/>
      <c r="M347" s="2"/>
      <c r="N347" s="2"/>
      <c r="O347" s="2"/>
      <c r="P347" s="2"/>
      <c r="Q347" s="2"/>
      <c r="R347" s="2"/>
      <c r="S347" s="2"/>
      <c r="T347" s="2"/>
      <c r="U347" s="2"/>
      <c r="V347" s="2"/>
      <c r="W347" s="2"/>
      <c r="X347" s="2"/>
      <c r="Y347" s="2"/>
      <c r="Z347" s="2"/>
      <c r="AA347" s="2"/>
      <c r="AB347" s="2"/>
    </row>
    <row r="348" spans="1:28" customHeight="true">
      <c r="A348" s="2" t="s">
        <v>547</v>
      </c>
      <c r="B348" s="15">
        <v>45976</v>
      </c>
      <c r="C348" s="2" t="s">
        <v>548</v>
      </c>
      <c r="D348" s="3">
        <v>119</v>
      </c>
      <c r="E348" s="16" t="str">
        <f>IFERROR(__xludf.DUMMYFUNCTION("IFERROR(
  TEXTJOIN(CHAR(10),TRUE,FILTER('SUMMARY DATA'!E:E,'SUMMARY DATA'!$A:$A=$A348,'SUMMARY DATA'!$C:$C=$B348,'SUMMARY DATA'!$B:$B=""RWS"")),
  IF(
    OR(
      ISNUMBER(SEARCH(""CDM CASH DEPOSIT"",$C348)),
      ISNUMBER(SEARCH(""CASH DEPOSIT"",$C34"&amp;"8)),
      COUNTIFS('SUMMARY DATA'!$D:$D,$C348,'SUMMARY DATA'!$B:$B,""RWS"")&lt;&gt;1
    ),
    """",
    IFERROR(TEXTJOIN(CHAR(10),TRUE,FILTER('SUMMARY DATA'!E:E,'SUMMARY DATA'!$D:$D=$C348,'SUMMARY DATA'!$B:$B=""RWS"")),"""")
  )
)"),"")</f>
      </c>
      <c r="F348" s="17" t="str">
        <f>IFERROR(__xludf.DUMMYFUNCTION("IFERROR(
  TEXTJOIN(CHAR(10),TRUE,FILTER('SUMMARY DATA'!F:F,'SUMMARY DATA'!$A:$A=$A348,'SUMMARY DATA'!$C:$C=$B348,'SUMMARY DATA'!$B:$B=""RWS"")),
  IF(
    OR(
      ISNUMBER(SEARCH(""CDM CASH DEPOSIT"",$C348)),
      ISNUMBER(SEARCH(""CASH DEPOSIT"",$C34"&amp;"8)),
      COUNTIFS('SUMMARY DATA'!$D:$D,$C348,'SUMMARY DATA'!$B:$B,""RWS"")&lt;&gt;1
    ),
    """",
    IFERROR(TEXTJOIN(CHAR(10),TRUE,FILTER('SUMMARY DATA'!F:F,'SUMMARY DATA'!$D:$D=$C348,'SUMMARY DATA'!$B:$B=""RWS"")),"""")
  )
)"),"")</f>
      </c>
      <c r="G348" s="17" t="str">
        <f>IFERROR(__xludf.DUMMYFUNCTION("IFERROR(
  TEXTJOIN(CHAR(10),TRUE,FILTER('SUMMARY DATA'!G:G,'SUMMARY DATA'!$A:$A=$A348,'SUMMARY DATA'!$C:$C=$B348,'SUMMARY DATA'!$B:$B=""RWS"")),
  IF(
    OR(
      ISNUMBER(SEARCH(""CDM CASH DEPOSIT"",$C348)),
      ISNUMBER(SEARCH(""CASH DEPOSIT"",$C34"&amp;"8)),
      COUNTIFS('SUMMARY DATA'!$D:$D,$C348,'SUMMARY DATA'!$B:$B,""RWS"")&lt;&gt;1
    ),
    """",
    IFERROR(TEXTJOIN(CHAR(10),TRUE,FILTER('SUMMARY DATA'!G:G,'SUMMARY DATA'!$D:$D=$C348,'SUMMARY DATA'!$B:$B=""RWS"")),"""")
  )
)"),"")</f>
      </c>
      <c r="H348" s="18" t="str">
        <f>IFERROR(__xludf.DUMMYFUNCTION("IFERROR(
  TEXTJOIN(CHAR(10),TRUE,FILTER('SUMMARY DATA'!H:H,'SUMMARY DATA'!$A:$A=$A348,'SUMMARY DATA'!$C:$C=$B348,'SUMMARY DATA'!$B:$B=""RWS"",'SUMMARY DATA'!$H:$H=$D348)),
  IF(
    OR(
      ISNUMBER(SEARCH(""CDM CASH DEPOSIT"",$C348)),
      ISNUMBER(S"&amp;"EARCH(""CASH DEPOSIT"",$C348))
    ),
    """",
    IFERROR(TEXTJOIN(CHAR(10),TRUE,FILTER('SUMMARY DATA'!H:H,'SUMMARY DATA'!$D:$D=$C348,'SUMMARY DATA'!$B:$B=""RWS"",'SUMMARY DATA'!$H:$H=$D348)),"""")
  )
)"),"")</f>
      </c>
      <c r="I348" s="18" t="str">
        <f>IFERROR(__xludf.DUMMYFUNCTION("IF(H348="""","""",
SUM(ARRAYFORMULA(VALUE(SPLIT(H348,CHAR(10)))))
)"),"")</f>
      </c>
      <c r="J348" s="17" t="str">
        <f>IFERROR(__xludf.DUMMYFUNCTION("IFERROR(
  TEXTJOIN(CHAR(10),TRUE,FILTER('SUMMARY DATA'!I:I,'SUMMARY DATA'!$A:$A=$A348,'SUMMARY DATA'!$C:$C=$B348,'SUMMARY DATA'!$B:$B=""RWS"")),
  IF(
    OR(
      ISNUMBER(SEARCH(""CDM CASH DEPOSIT"",$C348)),
      ISNUMBER(SEARCH(""CASH DEPOSIT"",$C34"&amp;"8)),
      COUNTIFS('SUMMARY DATA'!$D:$D,$C348,'SUMMARY DATA'!$B:$B,""RWS"")&lt;&gt;1
    ),
    """",
    IFERROR(TEXTJOIN(CHAR(10),TRUE,FILTER('SUMMARY DATA'!I:I,'SUMMARY DATA'!$D:$D=$C348,'SUMMARY DATA'!$B:$B=""RWS"")),"""")
  )
)"),"")</f>
      </c>
      <c r="K348" s="2"/>
      <c r="L348" s="2"/>
      <c r="M348" s="2"/>
      <c r="N348" s="2"/>
      <c r="O348" s="2"/>
      <c r="P348" s="2"/>
      <c r="Q348" s="2"/>
      <c r="R348" s="2"/>
      <c r="S348" s="2"/>
      <c r="T348" s="2"/>
      <c r="U348" s="2"/>
      <c r="V348" s="2"/>
      <c r="W348" s="2"/>
      <c r="X348" s="2"/>
      <c r="Y348" s="2"/>
      <c r="Z348" s="2"/>
      <c r="AA348" s="2"/>
      <c r="AB348" s="2"/>
    </row>
    <row r="349" spans="1:28" customHeight="true">
      <c r="A349" s="2" t="s">
        <v>549</v>
      </c>
      <c r="B349" s="15">
        <v>45975</v>
      </c>
      <c r="C349" s="2" t="s">
        <v>550</v>
      </c>
      <c r="D349" s="3">
        <v>69</v>
      </c>
      <c r="E349" s="16" t="str">
        <f>IFERROR(__xludf.DUMMYFUNCTION("IFERROR(
  TEXTJOIN(CHAR(10),TRUE,FILTER('SUMMARY DATA'!E:E,'SUMMARY DATA'!$A:$A=$A349,'SUMMARY DATA'!$C:$C=$B349,'SUMMARY DATA'!$B:$B=""RWS"")),
  IF(
    OR(
      ISNUMBER(SEARCH(""CDM CASH DEPOSIT"",$C349)),
      ISNUMBER(SEARCH(""CASH DEPOSIT"",$C34"&amp;"9)),
      COUNTIFS('SUMMARY DATA'!$D:$D,$C349,'SUMMARY DATA'!$B:$B,""RWS"")&lt;&gt;1
    ),
    """",
    IFERROR(TEXTJOIN(CHAR(10),TRUE,FILTER('SUMMARY DATA'!E:E,'SUMMARY DATA'!$D:$D=$C349,'SUMMARY DATA'!$B:$B=""RWS"")),"""")
  )
)"),"")</f>
      </c>
      <c r="F349" s="17" t="str">
        <f>IFERROR(__xludf.DUMMYFUNCTION("IFERROR(
  TEXTJOIN(CHAR(10),TRUE,FILTER('SUMMARY DATA'!F:F,'SUMMARY DATA'!$A:$A=$A349,'SUMMARY DATA'!$C:$C=$B349,'SUMMARY DATA'!$B:$B=""RWS"")),
  IF(
    OR(
      ISNUMBER(SEARCH(""CDM CASH DEPOSIT"",$C349)),
      ISNUMBER(SEARCH(""CASH DEPOSIT"",$C34"&amp;"9)),
      COUNTIFS('SUMMARY DATA'!$D:$D,$C349,'SUMMARY DATA'!$B:$B,""RWS"")&lt;&gt;1
    ),
    """",
    IFERROR(TEXTJOIN(CHAR(10),TRUE,FILTER('SUMMARY DATA'!F:F,'SUMMARY DATA'!$D:$D=$C349,'SUMMARY DATA'!$B:$B=""RWS"")),"""")
  )
)"),"")</f>
      </c>
      <c r="G349" s="17" t="str">
        <f>IFERROR(__xludf.DUMMYFUNCTION("IFERROR(
  TEXTJOIN(CHAR(10),TRUE,FILTER('SUMMARY DATA'!G:G,'SUMMARY DATA'!$A:$A=$A349,'SUMMARY DATA'!$C:$C=$B349,'SUMMARY DATA'!$B:$B=""RWS"")),
  IF(
    OR(
      ISNUMBER(SEARCH(""CDM CASH DEPOSIT"",$C349)),
      ISNUMBER(SEARCH(""CASH DEPOSIT"",$C34"&amp;"9)),
      COUNTIFS('SUMMARY DATA'!$D:$D,$C349,'SUMMARY DATA'!$B:$B,""RWS"")&lt;&gt;1
    ),
    """",
    IFERROR(TEXTJOIN(CHAR(10),TRUE,FILTER('SUMMARY DATA'!G:G,'SUMMARY DATA'!$D:$D=$C349,'SUMMARY DATA'!$B:$B=""RWS"")),"""")
  )
)"),"")</f>
      </c>
      <c r="H349" s="18" t="str">
        <f>IFERROR(__xludf.DUMMYFUNCTION("IFERROR(
  TEXTJOIN(CHAR(10),TRUE,FILTER('SUMMARY DATA'!H:H,'SUMMARY DATA'!$A:$A=$A349,'SUMMARY DATA'!$C:$C=$B349,'SUMMARY DATA'!$B:$B=""RWS"",'SUMMARY DATA'!$H:$H=$D349)),
  IF(
    OR(
      ISNUMBER(SEARCH(""CDM CASH DEPOSIT"",$C349)),
      ISNUMBER(S"&amp;"EARCH(""CASH DEPOSIT"",$C349))
    ),
    """",
    IFERROR(TEXTJOIN(CHAR(10),TRUE,FILTER('SUMMARY DATA'!H:H,'SUMMARY DATA'!$D:$D=$C349,'SUMMARY DATA'!$B:$B=""RWS"",'SUMMARY DATA'!$H:$H=$D349)),"""")
  )
)"),"")</f>
      </c>
      <c r="I349" s="18" t="str">
        <f>IFERROR(__xludf.DUMMYFUNCTION("IF(H349="""","""",
SUM(ARRAYFORMULA(VALUE(SPLIT(H349,CHAR(10)))))
)"),"")</f>
      </c>
      <c r="J349" s="17" t="str">
        <f>IFERROR(__xludf.DUMMYFUNCTION("IFERROR(
  TEXTJOIN(CHAR(10),TRUE,FILTER('SUMMARY DATA'!I:I,'SUMMARY DATA'!$A:$A=$A349,'SUMMARY DATA'!$C:$C=$B349,'SUMMARY DATA'!$B:$B=""RWS"")),
  IF(
    OR(
      ISNUMBER(SEARCH(""CDM CASH DEPOSIT"",$C349)),
      ISNUMBER(SEARCH(""CASH DEPOSIT"",$C34"&amp;"9)),
      COUNTIFS('SUMMARY DATA'!$D:$D,$C349,'SUMMARY DATA'!$B:$B,""RWS"")&lt;&gt;1
    ),
    """",
    IFERROR(TEXTJOIN(CHAR(10),TRUE,FILTER('SUMMARY DATA'!I:I,'SUMMARY DATA'!$D:$D=$C349,'SUMMARY DATA'!$B:$B=""RWS"")),"""")
  )
)"),"")</f>
      </c>
      <c r="K349" s="2"/>
      <c r="L349" s="2"/>
      <c r="M349" s="2"/>
      <c r="N349" s="2"/>
      <c r="O349" s="2"/>
      <c r="P349" s="2"/>
      <c r="Q349" s="2"/>
      <c r="R349" s="2"/>
      <c r="S349" s="2"/>
      <c r="T349" s="2"/>
      <c r="U349" s="2"/>
      <c r="V349" s="2"/>
      <c r="W349" s="2"/>
      <c r="X349" s="2"/>
      <c r="Y349" s="2"/>
      <c r="Z349" s="2"/>
      <c r="AA349" s="2"/>
      <c r="AB349" s="2"/>
    </row>
    <row r="350" spans="1:28" customHeight="true">
      <c r="A350" s="2" t="s">
        <v>551</v>
      </c>
      <c r="B350" s="15">
        <v>45975</v>
      </c>
      <c r="C350" s="2" t="s">
        <v>552</v>
      </c>
      <c r="D350" s="3">
        <v>186</v>
      </c>
      <c r="E350" s="16" t="str">
        <f>IFERROR(__xludf.DUMMYFUNCTION("IFERROR(
  TEXTJOIN(CHAR(10),TRUE,FILTER('SUMMARY DATA'!E:E,'SUMMARY DATA'!$A:$A=$A350,'SUMMARY DATA'!$C:$C=$B350,'SUMMARY DATA'!$B:$B=""RWS"")),
  IF(
    OR(
      ISNUMBER(SEARCH(""CDM CASH DEPOSIT"",$C350)),
      ISNUMBER(SEARCH(""CASH DEPOSIT"",$C35"&amp;"0)),
      COUNTIFS('SUMMARY DATA'!$D:$D,$C350,'SUMMARY DATA'!$B:$B,""RWS"")&lt;&gt;1
    ),
    """",
    IFERROR(TEXTJOIN(CHAR(10),TRUE,FILTER('SUMMARY DATA'!E:E,'SUMMARY DATA'!$D:$D=$C350,'SUMMARY DATA'!$B:$B=""RWS"")),"""")
  )
)"),"")</f>
      </c>
      <c r="F350" s="17" t="str">
        <f>IFERROR(__xludf.DUMMYFUNCTION("IFERROR(
  TEXTJOIN(CHAR(10),TRUE,FILTER('SUMMARY DATA'!F:F,'SUMMARY DATA'!$A:$A=$A350,'SUMMARY DATA'!$C:$C=$B350,'SUMMARY DATA'!$B:$B=""RWS"")),
  IF(
    OR(
      ISNUMBER(SEARCH(""CDM CASH DEPOSIT"",$C350)),
      ISNUMBER(SEARCH(""CASH DEPOSIT"",$C35"&amp;"0)),
      COUNTIFS('SUMMARY DATA'!$D:$D,$C350,'SUMMARY DATA'!$B:$B,""RWS"")&lt;&gt;1
    ),
    """",
    IFERROR(TEXTJOIN(CHAR(10),TRUE,FILTER('SUMMARY DATA'!F:F,'SUMMARY DATA'!$D:$D=$C350,'SUMMARY DATA'!$B:$B=""RWS"")),"""")
  )
)"),"")</f>
      </c>
      <c r="G350" s="17" t="str">
        <f>IFERROR(__xludf.DUMMYFUNCTION("IFERROR(
  TEXTJOIN(CHAR(10),TRUE,FILTER('SUMMARY DATA'!G:G,'SUMMARY DATA'!$A:$A=$A350,'SUMMARY DATA'!$C:$C=$B350,'SUMMARY DATA'!$B:$B=""RWS"")),
  IF(
    OR(
      ISNUMBER(SEARCH(""CDM CASH DEPOSIT"",$C350)),
      ISNUMBER(SEARCH(""CASH DEPOSIT"",$C35"&amp;"0)),
      COUNTIFS('SUMMARY DATA'!$D:$D,$C350,'SUMMARY DATA'!$B:$B,""RWS"")&lt;&gt;1
    ),
    """",
    IFERROR(TEXTJOIN(CHAR(10),TRUE,FILTER('SUMMARY DATA'!G:G,'SUMMARY DATA'!$D:$D=$C350,'SUMMARY DATA'!$B:$B=""RWS"")),"""")
  )
)"),"")</f>
      </c>
      <c r="H350" s="18" t="str">
        <f>IFERROR(__xludf.DUMMYFUNCTION("IFERROR(
  TEXTJOIN(CHAR(10),TRUE,FILTER('SUMMARY DATA'!H:H,'SUMMARY DATA'!$A:$A=$A350,'SUMMARY DATA'!$C:$C=$B350,'SUMMARY DATA'!$B:$B=""RWS"",'SUMMARY DATA'!$H:$H=$D350)),
  IF(
    OR(
      ISNUMBER(SEARCH(""CDM CASH DEPOSIT"",$C350)),
      ISNUMBER(S"&amp;"EARCH(""CASH DEPOSIT"",$C350))
    ),
    """",
    IFERROR(TEXTJOIN(CHAR(10),TRUE,FILTER('SUMMARY DATA'!H:H,'SUMMARY DATA'!$D:$D=$C350,'SUMMARY DATA'!$B:$B=""RWS"",'SUMMARY DATA'!$H:$H=$D350)),"""")
  )
)"),"")</f>
      </c>
      <c r="I350" s="18" t="str">
        <f>IFERROR(__xludf.DUMMYFUNCTION("IF(H350="""","""",
SUM(ARRAYFORMULA(VALUE(SPLIT(H350,CHAR(10)))))
)"),"")</f>
      </c>
      <c r="J350" s="17" t="str">
        <f>IFERROR(__xludf.DUMMYFUNCTION("IFERROR(
  TEXTJOIN(CHAR(10),TRUE,FILTER('SUMMARY DATA'!I:I,'SUMMARY DATA'!$A:$A=$A350,'SUMMARY DATA'!$C:$C=$B350,'SUMMARY DATA'!$B:$B=""RWS"")),
  IF(
    OR(
      ISNUMBER(SEARCH(""CDM CASH DEPOSIT"",$C350)),
      ISNUMBER(SEARCH(""CASH DEPOSIT"",$C35"&amp;"0)),
      COUNTIFS('SUMMARY DATA'!$D:$D,$C350,'SUMMARY DATA'!$B:$B,""RWS"")&lt;&gt;1
    ),
    """",
    IFERROR(TEXTJOIN(CHAR(10),TRUE,FILTER('SUMMARY DATA'!I:I,'SUMMARY DATA'!$D:$D=$C350,'SUMMARY DATA'!$B:$B=""RWS"")),"""")
  )
)"),"")</f>
      </c>
      <c r="K350" s="2"/>
      <c r="L350" s="2"/>
      <c r="M350" s="2"/>
      <c r="N350" s="2"/>
      <c r="O350" s="2"/>
      <c r="P350" s="2"/>
      <c r="Q350" s="2"/>
      <c r="R350" s="2"/>
      <c r="S350" s="2"/>
      <c r="T350" s="2"/>
      <c r="U350" s="2"/>
      <c r="V350" s="2"/>
      <c r="W350" s="2"/>
      <c r="X350" s="2"/>
      <c r="Y350" s="2"/>
      <c r="Z350" s="2"/>
      <c r="AA350" s="2"/>
      <c r="AB350" s="2"/>
    </row>
    <row r="351" spans="1:28" customHeight="true">
      <c r="A351" s="2" t="s">
        <v>553</v>
      </c>
      <c r="B351" s="15">
        <v>45974</v>
      </c>
      <c r="C351" s="2" t="s">
        <v>554</v>
      </c>
      <c r="D351" s="3">
        <v>350</v>
      </c>
      <c r="E351" s="16" t="str">
        <f>IFERROR(__xludf.DUMMYFUNCTION("IFERROR(
  TEXTJOIN(CHAR(10),TRUE,FILTER('SUMMARY DATA'!E:E,'SUMMARY DATA'!$A:$A=$A351,'SUMMARY DATA'!$C:$C=$B351,'SUMMARY DATA'!$B:$B=""RWS"")),
  IF(
    OR(
      ISNUMBER(SEARCH(""CDM CASH DEPOSIT"",$C351)),
      ISNUMBER(SEARCH(""CASH DEPOSIT"",$C35"&amp;"1)),
      COUNTIFS('SUMMARY DATA'!$D:$D,$C351,'SUMMARY DATA'!$B:$B,""RWS"")&lt;&gt;1
    ),
    """",
    IFERROR(TEXTJOIN(CHAR(10),TRUE,FILTER('SUMMARY DATA'!E:E,'SUMMARY DATA'!$D:$D=$C351,'SUMMARY DATA'!$B:$B=""RWS"")),"""")
  )
)"),"")</f>
      </c>
      <c r="F351" s="17" t="str">
        <f>IFERROR(__xludf.DUMMYFUNCTION("IFERROR(
  TEXTJOIN(CHAR(10),TRUE,FILTER('SUMMARY DATA'!F:F,'SUMMARY DATA'!$A:$A=$A351,'SUMMARY DATA'!$C:$C=$B351,'SUMMARY DATA'!$B:$B=""RWS"")),
  IF(
    OR(
      ISNUMBER(SEARCH(""CDM CASH DEPOSIT"",$C351)),
      ISNUMBER(SEARCH(""CASH DEPOSIT"",$C35"&amp;"1)),
      COUNTIFS('SUMMARY DATA'!$D:$D,$C351,'SUMMARY DATA'!$B:$B,""RWS"")&lt;&gt;1
    ),
    """",
    IFERROR(TEXTJOIN(CHAR(10),TRUE,FILTER('SUMMARY DATA'!F:F,'SUMMARY DATA'!$D:$D=$C351,'SUMMARY DATA'!$B:$B=""RWS"")),"""")
  )
)"),"")</f>
      </c>
      <c r="G351" s="17" t="str">
        <f>IFERROR(__xludf.DUMMYFUNCTION("IFERROR(
  TEXTJOIN(CHAR(10),TRUE,FILTER('SUMMARY DATA'!G:G,'SUMMARY DATA'!$A:$A=$A351,'SUMMARY DATA'!$C:$C=$B351,'SUMMARY DATA'!$B:$B=""RWS"")),
  IF(
    OR(
      ISNUMBER(SEARCH(""CDM CASH DEPOSIT"",$C351)),
      ISNUMBER(SEARCH(""CASH DEPOSIT"",$C35"&amp;"1)),
      COUNTIFS('SUMMARY DATA'!$D:$D,$C351,'SUMMARY DATA'!$B:$B,""RWS"")&lt;&gt;1
    ),
    """",
    IFERROR(TEXTJOIN(CHAR(10),TRUE,FILTER('SUMMARY DATA'!G:G,'SUMMARY DATA'!$D:$D=$C351,'SUMMARY DATA'!$B:$B=""RWS"")),"""")
  )
)"),"")</f>
      </c>
      <c r="H351" s="18" t="str">
        <f>IFERROR(__xludf.DUMMYFUNCTION("IFERROR(
  TEXTJOIN(CHAR(10),TRUE,FILTER('SUMMARY DATA'!H:H,'SUMMARY DATA'!$A:$A=$A351,'SUMMARY DATA'!$C:$C=$B351,'SUMMARY DATA'!$B:$B=""RWS"",'SUMMARY DATA'!$H:$H=$D351)),
  IF(
    OR(
      ISNUMBER(SEARCH(""CDM CASH DEPOSIT"",$C351)),
      ISNUMBER(S"&amp;"EARCH(""CASH DEPOSIT"",$C351))
    ),
    """",
    IFERROR(TEXTJOIN(CHAR(10),TRUE,FILTER('SUMMARY DATA'!H:H,'SUMMARY DATA'!$D:$D=$C351,'SUMMARY DATA'!$B:$B=""RWS"",'SUMMARY DATA'!$H:$H=$D351)),"""")
  )
)"),"")</f>
      </c>
      <c r="I351" s="18" t="str">
        <f>IFERROR(__xludf.DUMMYFUNCTION("IF(H351="""","""",
SUM(ARRAYFORMULA(VALUE(SPLIT(H351,CHAR(10)))))
)"),"")</f>
      </c>
      <c r="J351" s="17" t="str">
        <f>IFERROR(__xludf.DUMMYFUNCTION("IFERROR(
  TEXTJOIN(CHAR(10),TRUE,FILTER('SUMMARY DATA'!I:I,'SUMMARY DATA'!$A:$A=$A351,'SUMMARY DATA'!$C:$C=$B351,'SUMMARY DATA'!$B:$B=""RWS"")),
  IF(
    OR(
      ISNUMBER(SEARCH(""CDM CASH DEPOSIT"",$C351)),
      ISNUMBER(SEARCH(""CASH DEPOSIT"",$C35"&amp;"1)),
      COUNTIFS('SUMMARY DATA'!$D:$D,$C351,'SUMMARY DATA'!$B:$B,""RWS"")&lt;&gt;1
    ),
    """",
    IFERROR(TEXTJOIN(CHAR(10),TRUE,FILTER('SUMMARY DATA'!I:I,'SUMMARY DATA'!$D:$D=$C351,'SUMMARY DATA'!$B:$B=""RWS"")),"""")
  )
)"),"")</f>
      </c>
      <c r="K351" s="2"/>
      <c r="L351" s="2"/>
      <c r="M351" s="2"/>
      <c r="N351" s="2"/>
      <c r="O351" s="2"/>
      <c r="P351" s="2"/>
      <c r="Q351" s="2"/>
      <c r="R351" s="2"/>
      <c r="S351" s="2"/>
      <c r="T351" s="2"/>
      <c r="U351" s="2"/>
      <c r="V351" s="2"/>
      <c r="W351" s="2"/>
      <c r="X351" s="2"/>
      <c r="Y351" s="2"/>
      <c r="Z351" s="2"/>
      <c r="AA351" s="2"/>
      <c r="AB351" s="2"/>
    </row>
    <row r="352" spans="1:28" customHeight="true">
      <c r="A352" s="2" t="s">
        <v>555</v>
      </c>
      <c r="B352" s="15">
        <v>45973</v>
      </c>
      <c r="C352" s="2" t="s">
        <v>556</v>
      </c>
      <c r="D352" s="3">
        <v>69.85</v>
      </c>
      <c r="E352" s="16" t="str">
        <f>IFERROR(__xludf.DUMMYFUNCTION("IFERROR(
  TEXTJOIN(CHAR(10),TRUE,FILTER('SUMMARY DATA'!E:E,'SUMMARY DATA'!$A:$A=$A352,'SUMMARY DATA'!$C:$C=$B352,'SUMMARY DATA'!$B:$B=""RWS"")),
  IF(
    OR(
      ISNUMBER(SEARCH(""CDM CASH DEPOSIT"",$C352)),
      ISNUMBER(SEARCH(""CASH DEPOSIT"",$C35"&amp;"2)),
      COUNTIFS('SUMMARY DATA'!$D:$D,$C352,'SUMMARY DATA'!$B:$B,""RWS"")&lt;&gt;1
    ),
    """",
    IFERROR(TEXTJOIN(CHAR(10),TRUE,FILTER('SUMMARY DATA'!E:E,'SUMMARY DATA'!$D:$D=$C352,'SUMMARY DATA'!$B:$B=""RWS"")),"""")
  )
)"),"")</f>
      </c>
      <c r="F352" s="17" t="str">
        <f>IFERROR(__xludf.DUMMYFUNCTION("IFERROR(
  TEXTJOIN(CHAR(10),TRUE,FILTER('SUMMARY DATA'!F:F,'SUMMARY DATA'!$A:$A=$A352,'SUMMARY DATA'!$C:$C=$B352,'SUMMARY DATA'!$B:$B=""RWS"")),
  IF(
    OR(
      ISNUMBER(SEARCH(""CDM CASH DEPOSIT"",$C352)),
      ISNUMBER(SEARCH(""CASH DEPOSIT"",$C35"&amp;"2)),
      COUNTIFS('SUMMARY DATA'!$D:$D,$C352,'SUMMARY DATA'!$B:$B,""RWS"")&lt;&gt;1
    ),
    """",
    IFERROR(TEXTJOIN(CHAR(10),TRUE,FILTER('SUMMARY DATA'!F:F,'SUMMARY DATA'!$D:$D=$C352,'SUMMARY DATA'!$B:$B=""RWS"")),"""")
  )
)"),"")</f>
      </c>
      <c r="G352" s="17" t="str">
        <f>IFERROR(__xludf.DUMMYFUNCTION("IFERROR(
  TEXTJOIN(CHAR(10),TRUE,FILTER('SUMMARY DATA'!G:G,'SUMMARY DATA'!$A:$A=$A352,'SUMMARY DATA'!$C:$C=$B352,'SUMMARY DATA'!$B:$B=""RWS"")),
  IF(
    OR(
      ISNUMBER(SEARCH(""CDM CASH DEPOSIT"",$C352)),
      ISNUMBER(SEARCH(""CASH DEPOSIT"",$C35"&amp;"2)),
      COUNTIFS('SUMMARY DATA'!$D:$D,$C352,'SUMMARY DATA'!$B:$B,""RWS"")&lt;&gt;1
    ),
    """",
    IFERROR(TEXTJOIN(CHAR(10),TRUE,FILTER('SUMMARY DATA'!G:G,'SUMMARY DATA'!$D:$D=$C352,'SUMMARY DATA'!$B:$B=""RWS"")),"""")
  )
)"),"")</f>
      </c>
      <c r="H352" s="18" t="str">
        <f>IFERROR(__xludf.DUMMYFUNCTION("IFERROR(
  TEXTJOIN(CHAR(10),TRUE,FILTER('SUMMARY DATA'!H:H,'SUMMARY DATA'!$A:$A=$A352,'SUMMARY DATA'!$C:$C=$B352,'SUMMARY DATA'!$B:$B=""RWS"",'SUMMARY DATA'!$H:$H=$D352)),
  IF(
    OR(
      ISNUMBER(SEARCH(""CDM CASH DEPOSIT"",$C352)),
      ISNUMBER(S"&amp;"EARCH(""CASH DEPOSIT"",$C352))
    ),
    """",
    IFERROR(TEXTJOIN(CHAR(10),TRUE,FILTER('SUMMARY DATA'!H:H,'SUMMARY DATA'!$D:$D=$C352,'SUMMARY DATA'!$B:$B=""RWS"",'SUMMARY DATA'!$H:$H=$D352)),"""")
  )
)"),"")</f>
      </c>
      <c r="I352" s="18" t="str">
        <f>IFERROR(__xludf.DUMMYFUNCTION("IF(H352="""","""",
SUM(ARRAYFORMULA(VALUE(SPLIT(H352,CHAR(10)))))
)"),"")</f>
      </c>
      <c r="J352" s="17" t="str">
        <f>IFERROR(__xludf.DUMMYFUNCTION("IFERROR(
  TEXTJOIN(CHAR(10),TRUE,FILTER('SUMMARY DATA'!I:I,'SUMMARY DATA'!$A:$A=$A352,'SUMMARY DATA'!$C:$C=$B352,'SUMMARY DATA'!$B:$B=""RWS"")),
  IF(
    OR(
      ISNUMBER(SEARCH(""CDM CASH DEPOSIT"",$C352)),
      ISNUMBER(SEARCH(""CASH DEPOSIT"",$C35"&amp;"2)),
      COUNTIFS('SUMMARY DATA'!$D:$D,$C352,'SUMMARY DATA'!$B:$B,""RWS"")&lt;&gt;1
    ),
    """",
    IFERROR(TEXTJOIN(CHAR(10),TRUE,FILTER('SUMMARY DATA'!I:I,'SUMMARY DATA'!$D:$D=$C352,'SUMMARY DATA'!$B:$B=""RWS"")),"""")
  )
)"),"")</f>
      </c>
      <c r="K352" s="2"/>
      <c r="L352" s="2"/>
      <c r="M352" s="2"/>
      <c r="N352" s="2"/>
      <c r="O352" s="2"/>
      <c r="P352" s="2"/>
      <c r="Q352" s="2"/>
      <c r="R352" s="2"/>
      <c r="S352" s="2"/>
      <c r="T352" s="2"/>
      <c r="U352" s="2"/>
      <c r="V352" s="2"/>
      <c r="W352" s="2"/>
      <c r="X352" s="2"/>
      <c r="Y352" s="2"/>
      <c r="Z352" s="2"/>
      <c r="AA352" s="2"/>
      <c r="AB352" s="2"/>
    </row>
    <row r="353" spans="1:28" customHeight="true">
      <c r="A353" s="2" t="s">
        <v>557</v>
      </c>
      <c r="B353" s="15">
        <v>45973</v>
      </c>
      <c r="C353" s="2" t="s">
        <v>558</v>
      </c>
      <c r="D353" s="3">
        <v>593.94</v>
      </c>
      <c r="E353" s="16" t="str">
        <f>IFERROR(__xludf.DUMMYFUNCTION("IFERROR(
  TEXTJOIN(CHAR(10),TRUE,FILTER('SUMMARY DATA'!E:E,'SUMMARY DATA'!$A:$A=$A353,'SUMMARY DATA'!$C:$C=$B353,'SUMMARY DATA'!$B:$B=""RWS"")),
  IF(
    OR(
      ISNUMBER(SEARCH(""CDM CASH DEPOSIT"",$C353)),
      ISNUMBER(SEARCH(""CASH DEPOSIT"",$C35"&amp;"3)),
      COUNTIFS('SUMMARY DATA'!$D:$D,$C353,'SUMMARY DATA'!$B:$B,""RWS"")&lt;&gt;1
    ),
    """",
    IFERROR(TEXTJOIN(CHAR(10),TRUE,FILTER('SUMMARY DATA'!E:E,'SUMMARY DATA'!$D:$D=$C353,'SUMMARY DATA'!$B:$B=""RWS"")),"""")
  )
)"),"")</f>
      </c>
      <c r="F353" s="17" t="str">
        <f>IFERROR(__xludf.DUMMYFUNCTION("IFERROR(
  TEXTJOIN(CHAR(10),TRUE,FILTER('SUMMARY DATA'!F:F,'SUMMARY DATA'!$A:$A=$A353,'SUMMARY DATA'!$C:$C=$B353,'SUMMARY DATA'!$B:$B=""RWS"")),
  IF(
    OR(
      ISNUMBER(SEARCH(""CDM CASH DEPOSIT"",$C353)),
      ISNUMBER(SEARCH(""CASH DEPOSIT"",$C35"&amp;"3)),
      COUNTIFS('SUMMARY DATA'!$D:$D,$C353,'SUMMARY DATA'!$B:$B,""RWS"")&lt;&gt;1
    ),
    """",
    IFERROR(TEXTJOIN(CHAR(10),TRUE,FILTER('SUMMARY DATA'!F:F,'SUMMARY DATA'!$D:$D=$C353,'SUMMARY DATA'!$B:$B=""RWS"")),"""")
  )
)"),"")</f>
      </c>
      <c r="G353" s="17" t="str">
        <f>IFERROR(__xludf.DUMMYFUNCTION("IFERROR(
  TEXTJOIN(CHAR(10),TRUE,FILTER('SUMMARY DATA'!G:G,'SUMMARY DATA'!$A:$A=$A353,'SUMMARY DATA'!$C:$C=$B353,'SUMMARY DATA'!$B:$B=""RWS"")),
  IF(
    OR(
      ISNUMBER(SEARCH(""CDM CASH DEPOSIT"",$C353)),
      ISNUMBER(SEARCH(""CASH DEPOSIT"",$C35"&amp;"3)),
      COUNTIFS('SUMMARY DATA'!$D:$D,$C353,'SUMMARY DATA'!$B:$B,""RWS"")&lt;&gt;1
    ),
    """",
    IFERROR(TEXTJOIN(CHAR(10),TRUE,FILTER('SUMMARY DATA'!G:G,'SUMMARY DATA'!$D:$D=$C353,'SUMMARY DATA'!$B:$B=""RWS"")),"""")
  )
)"),"")</f>
      </c>
      <c r="H353" s="18" t="str">
        <f>IFERROR(__xludf.DUMMYFUNCTION("IFERROR(
  TEXTJOIN(CHAR(10),TRUE,FILTER('SUMMARY DATA'!H:H,'SUMMARY DATA'!$A:$A=$A353,'SUMMARY DATA'!$C:$C=$B353,'SUMMARY DATA'!$B:$B=""RWS"",'SUMMARY DATA'!$H:$H=$D353)),
  IF(
    OR(
      ISNUMBER(SEARCH(""CDM CASH DEPOSIT"",$C353)),
      ISNUMBER(S"&amp;"EARCH(""CASH DEPOSIT"",$C353))
    ),
    """",
    IFERROR(TEXTJOIN(CHAR(10),TRUE,FILTER('SUMMARY DATA'!H:H,'SUMMARY DATA'!$D:$D=$C353,'SUMMARY DATA'!$B:$B=""RWS"",'SUMMARY DATA'!$H:$H=$D353)),"""")
  )
)"),"")</f>
      </c>
      <c r="I353" s="18" t="str">
        <f>IFERROR(__xludf.DUMMYFUNCTION("IF(H353="""","""",
SUM(ARRAYFORMULA(VALUE(SPLIT(H353,CHAR(10)))))
)"),"")</f>
      </c>
      <c r="J353" s="17" t="str">
        <f>IFERROR(__xludf.DUMMYFUNCTION("IFERROR(
  TEXTJOIN(CHAR(10),TRUE,FILTER('SUMMARY DATA'!I:I,'SUMMARY DATA'!$A:$A=$A353,'SUMMARY DATA'!$C:$C=$B353,'SUMMARY DATA'!$B:$B=""RWS"")),
  IF(
    OR(
      ISNUMBER(SEARCH(""CDM CASH DEPOSIT"",$C353)),
      ISNUMBER(SEARCH(""CASH DEPOSIT"",$C35"&amp;"3)),
      COUNTIFS('SUMMARY DATA'!$D:$D,$C353,'SUMMARY DATA'!$B:$B,""RWS"")&lt;&gt;1
    ),
    """",
    IFERROR(TEXTJOIN(CHAR(10),TRUE,FILTER('SUMMARY DATA'!I:I,'SUMMARY DATA'!$D:$D=$C353,'SUMMARY DATA'!$B:$B=""RWS"")),"""")
  )
)"),"")</f>
      </c>
      <c r="K353" s="2"/>
      <c r="L353" s="2"/>
      <c r="M353" s="2"/>
      <c r="N353" s="2"/>
      <c r="O353" s="2"/>
      <c r="P353" s="2"/>
      <c r="Q353" s="2"/>
      <c r="R353" s="2"/>
      <c r="S353" s="2"/>
      <c r="T353" s="2"/>
      <c r="U353" s="2"/>
      <c r="V353" s="2"/>
      <c r="W353" s="2"/>
      <c r="X353" s="2"/>
      <c r="Y353" s="2"/>
      <c r="Z353" s="2"/>
      <c r="AA353" s="2"/>
      <c r="AB353" s="2"/>
    </row>
    <row r="354" spans="1:28" customHeight="true">
      <c r="A354" s="2" t="s">
        <v>559</v>
      </c>
      <c r="B354" s="15">
        <v>45973</v>
      </c>
      <c r="C354" s="2" t="s">
        <v>560</v>
      </c>
      <c r="D354" s="3">
        <v>50.4</v>
      </c>
      <c r="E354" s="16" t="str">
        <f>IFERROR(__xludf.DUMMYFUNCTION("IFERROR(
  TEXTJOIN(CHAR(10),TRUE,FILTER('SUMMARY DATA'!E:E,'SUMMARY DATA'!$A:$A=$A354,'SUMMARY DATA'!$C:$C=$B354,'SUMMARY DATA'!$B:$B=""RWS"")),
  IF(
    OR(
      ISNUMBER(SEARCH(""CDM CASH DEPOSIT"",$C354)),
      ISNUMBER(SEARCH(""CASH DEPOSIT"",$C35"&amp;"4)),
      COUNTIFS('SUMMARY DATA'!$D:$D,$C354,'SUMMARY DATA'!$B:$B,""RWS"")&lt;&gt;1
    ),
    """",
    IFERROR(TEXTJOIN(CHAR(10),TRUE,FILTER('SUMMARY DATA'!E:E,'SUMMARY DATA'!$D:$D=$C354,'SUMMARY DATA'!$B:$B=""RWS"")),"""")
  )
)"),"")</f>
      </c>
      <c r="F354" s="17" t="str">
        <f>IFERROR(__xludf.DUMMYFUNCTION("IFERROR(
  TEXTJOIN(CHAR(10),TRUE,FILTER('SUMMARY DATA'!F:F,'SUMMARY DATA'!$A:$A=$A354,'SUMMARY DATA'!$C:$C=$B354,'SUMMARY DATA'!$B:$B=""RWS"")),
  IF(
    OR(
      ISNUMBER(SEARCH(""CDM CASH DEPOSIT"",$C354)),
      ISNUMBER(SEARCH(""CASH DEPOSIT"",$C35"&amp;"4)),
      COUNTIFS('SUMMARY DATA'!$D:$D,$C354,'SUMMARY DATA'!$B:$B,""RWS"")&lt;&gt;1
    ),
    """",
    IFERROR(TEXTJOIN(CHAR(10),TRUE,FILTER('SUMMARY DATA'!F:F,'SUMMARY DATA'!$D:$D=$C354,'SUMMARY DATA'!$B:$B=""RWS"")),"""")
  )
)"),"")</f>
      </c>
      <c r="G354" s="17" t="str">
        <f>IFERROR(__xludf.DUMMYFUNCTION("IFERROR(
  TEXTJOIN(CHAR(10),TRUE,FILTER('SUMMARY DATA'!G:G,'SUMMARY DATA'!$A:$A=$A354,'SUMMARY DATA'!$C:$C=$B354,'SUMMARY DATA'!$B:$B=""RWS"")),
  IF(
    OR(
      ISNUMBER(SEARCH(""CDM CASH DEPOSIT"",$C354)),
      ISNUMBER(SEARCH(""CASH DEPOSIT"",$C35"&amp;"4)),
      COUNTIFS('SUMMARY DATA'!$D:$D,$C354,'SUMMARY DATA'!$B:$B,""RWS"")&lt;&gt;1
    ),
    """",
    IFERROR(TEXTJOIN(CHAR(10),TRUE,FILTER('SUMMARY DATA'!G:G,'SUMMARY DATA'!$D:$D=$C354,'SUMMARY DATA'!$B:$B=""RWS"")),"""")
  )
)"),"")</f>
      </c>
      <c r="H354" s="18" t="str">
        <f>IFERROR(__xludf.DUMMYFUNCTION("IFERROR(
  TEXTJOIN(CHAR(10),TRUE,FILTER('SUMMARY DATA'!H:H,'SUMMARY DATA'!$A:$A=$A354,'SUMMARY DATA'!$C:$C=$B354,'SUMMARY DATA'!$B:$B=""RWS"",'SUMMARY DATA'!$H:$H=$D354)),
  IF(
    OR(
      ISNUMBER(SEARCH(""CDM CASH DEPOSIT"",$C354)),
      ISNUMBER(S"&amp;"EARCH(""CASH DEPOSIT"",$C354))
    ),
    """",
    IFERROR(TEXTJOIN(CHAR(10),TRUE,FILTER('SUMMARY DATA'!H:H,'SUMMARY DATA'!$D:$D=$C354,'SUMMARY DATA'!$B:$B=""RWS"",'SUMMARY DATA'!$H:$H=$D354)),"""")
  )
)"),"")</f>
      </c>
      <c r="I354" s="18" t="str">
        <f>IFERROR(__xludf.DUMMYFUNCTION("IF(H354="""","""",
SUM(ARRAYFORMULA(VALUE(SPLIT(H354,CHAR(10)))))
)"),"")</f>
      </c>
      <c r="J354" s="17" t="str">
        <f>IFERROR(__xludf.DUMMYFUNCTION("IFERROR(
  TEXTJOIN(CHAR(10),TRUE,FILTER('SUMMARY DATA'!I:I,'SUMMARY DATA'!$A:$A=$A354,'SUMMARY DATA'!$C:$C=$B354,'SUMMARY DATA'!$B:$B=""RWS"")),
  IF(
    OR(
      ISNUMBER(SEARCH(""CDM CASH DEPOSIT"",$C354)),
      ISNUMBER(SEARCH(""CASH DEPOSIT"",$C35"&amp;"4)),
      COUNTIFS('SUMMARY DATA'!$D:$D,$C354,'SUMMARY DATA'!$B:$B,""RWS"")&lt;&gt;1
    ),
    """",
    IFERROR(TEXTJOIN(CHAR(10),TRUE,FILTER('SUMMARY DATA'!I:I,'SUMMARY DATA'!$D:$D=$C354,'SUMMARY DATA'!$B:$B=""RWS"")),"""")
  )
)"),"")</f>
      </c>
      <c r="K354" s="2"/>
      <c r="L354" s="2"/>
      <c r="M354" s="2"/>
      <c r="N354" s="2"/>
      <c r="O354" s="2"/>
      <c r="P354" s="2"/>
      <c r="Q354" s="2"/>
      <c r="R354" s="2"/>
      <c r="S354" s="2"/>
      <c r="T354" s="2"/>
      <c r="U354" s="2"/>
      <c r="V354" s="2"/>
      <c r="W354" s="2"/>
      <c r="X354" s="2"/>
      <c r="Y354" s="2"/>
      <c r="Z354" s="2"/>
      <c r="AA354" s="2"/>
      <c r="AB354" s="2"/>
    </row>
    <row r="355" spans="1:28" customHeight="true">
      <c r="A355" s="2" t="s">
        <v>561</v>
      </c>
      <c r="B355" s="15">
        <v>45973</v>
      </c>
      <c r="C355" s="2" t="s">
        <v>562</v>
      </c>
      <c r="D355" s="3">
        <v>165.78</v>
      </c>
      <c r="E355" s="16" t="s">
        <v>2464</v>
      </c>
      <c r="F355" s="17" t="s">
        <v>2473</v>
      </c>
      <c r="G355" s="17" t="s">
        <v>2393</v>
      </c>
      <c r="H355" s="18">
        <v>165.78</v>
      </c>
      <c r="I355" s="18">
        <v>165.78</v>
      </c>
      <c r="J355" s="17" t="s">
        <v>2394</v>
      </c>
      <c r="K355" s="2" t="s">
        <v>2395</v>
      </c>
      <c r="L355" s="2"/>
      <c r="M355" s="2"/>
      <c r="N355" s="2"/>
      <c r="O355" s="2"/>
      <c r="P355" s="2"/>
      <c r="Q355" s="2"/>
      <c r="R355" s="2"/>
      <c r="S355" s="2"/>
      <c r="T355" s="2"/>
      <c r="U355" s="2"/>
      <c r="V355" s="2"/>
      <c r="W355" s="2"/>
      <c r="X355" s="2"/>
      <c r="Y355" s="2"/>
      <c r="Z355" s="2"/>
      <c r="AA355" s="2"/>
      <c r="AB355" s="2"/>
    </row>
    <row r="356" spans="1:28" customHeight="true">
      <c r="A356" s="2" t="s">
        <v>563</v>
      </c>
      <c r="B356" s="15">
        <v>45972</v>
      </c>
      <c r="C356" s="2" t="s">
        <v>564</v>
      </c>
      <c r="D356" s="3">
        <v>1</v>
      </c>
      <c r="E356" s="16" t="str">
        <f>IFERROR(__xludf.DUMMYFUNCTION("IFERROR(
  TEXTJOIN(CHAR(10),TRUE,FILTER('SUMMARY DATA'!E:E,'SUMMARY DATA'!$A:$A=$A356,'SUMMARY DATA'!$C:$C=$B356,'SUMMARY DATA'!$B:$B=""RWS"")),
  IF(
    OR(
      ISNUMBER(SEARCH(""CDM CASH DEPOSIT"",$C356)),
      ISNUMBER(SEARCH(""CASH DEPOSIT"",$C35"&amp;"6)),
      COUNTIFS('SUMMARY DATA'!$D:$D,$C356,'SUMMARY DATA'!$B:$B,""RWS"")&lt;&gt;1
    ),
    """",
    IFERROR(TEXTJOIN(CHAR(10),TRUE,FILTER('SUMMARY DATA'!E:E,'SUMMARY DATA'!$D:$D=$C356,'SUMMARY DATA'!$B:$B=""RWS"")),"""")
  )
)"),"")</f>
      </c>
      <c r="F356" s="17" t="str">
        <f>IFERROR(__xludf.DUMMYFUNCTION("IFERROR(
  TEXTJOIN(CHAR(10),TRUE,FILTER('SUMMARY DATA'!F:F,'SUMMARY DATA'!$A:$A=$A356,'SUMMARY DATA'!$C:$C=$B356,'SUMMARY DATA'!$B:$B=""RWS"")),
  IF(
    OR(
      ISNUMBER(SEARCH(""CDM CASH DEPOSIT"",$C356)),
      ISNUMBER(SEARCH(""CASH DEPOSIT"",$C35"&amp;"6)),
      COUNTIFS('SUMMARY DATA'!$D:$D,$C356,'SUMMARY DATA'!$B:$B,""RWS"")&lt;&gt;1
    ),
    """",
    IFERROR(TEXTJOIN(CHAR(10),TRUE,FILTER('SUMMARY DATA'!F:F,'SUMMARY DATA'!$D:$D=$C356,'SUMMARY DATA'!$B:$B=""RWS"")),"""")
  )
)"),"")</f>
      </c>
      <c r="G356" s="17" t="str">
        <f>IFERROR(__xludf.DUMMYFUNCTION("IFERROR(
  TEXTJOIN(CHAR(10),TRUE,FILTER('SUMMARY DATA'!G:G,'SUMMARY DATA'!$A:$A=$A356,'SUMMARY DATA'!$C:$C=$B356,'SUMMARY DATA'!$B:$B=""RWS"")),
  IF(
    OR(
      ISNUMBER(SEARCH(""CDM CASH DEPOSIT"",$C356)),
      ISNUMBER(SEARCH(""CASH DEPOSIT"",$C35"&amp;"6)),
      COUNTIFS('SUMMARY DATA'!$D:$D,$C356,'SUMMARY DATA'!$B:$B,""RWS"")&lt;&gt;1
    ),
    """",
    IFERROR(TEXTJOIN(CHAR(10),TRUE,FILTER('SUMMARY DATA'!G:G,'SUMMARY DATA'!$D:$D=$C356,'SUMMARY DATA'!$B:$B=""RWS"")),"""")
  )
)"),"")</f>
      </c>
      <c r="H356" s="18" t="str">
        <f>IFERROR(__xludf.DUMMYFUNCTION("IFERROR(
  TEXTJOIN(CHAR(10),TRUE,FILTER('SUMMARY DATA'!H:H,'SUMMARY DATA'!$A:$A=$A356,'SUMMARY DATA'!$C:$C=$B356,'SUMMARY DATA'!$B:$B=""RWS"",'SUMMARY DATA'!$H:$H=$D356)),
  IF(
    OR(
      ISNUMBER(SEARCH(""CDM CASH DEPOSIT"",$C356)),
      ISNUMBER(S"&amp;"EARCH(""CASH DEPOSIT"",$C356))
    ),
    """",
    IFERROR(TEXTJOIN(CHAR(10),TRUE,FILTER('SUMMARY DATA'!H:H,'SUMMARY DATA'!$D:$D=$C356,'SUMMARY DATA'!$B:$B=""RWS"",'SUMMARY DATA'!$H:$H=$D356)),"""")
  )
)"),"")</f>
      </c>
      <c r="I356" s="18" t="str">
        <f>IFERROR(__xludf.DUMMYFUNCTION("IF(H356="""","""",
SUM(ARRAYFORMULA(VALUE(SPLIT(H356,CHAR(10)))))
)"),"")</f>
      </c>
      <c r="J356" s="17" t="str">
        <f>IFERROR(__xludf.DUMMYFUNCTION("IFERROR(
  TEXTJOIN(CHAR(10),TRUE,FILTER('SUMMARY DATA'!I:I,'SUMMARY DATA'!$A:$A=$A356,'SUMMARY DATA'!$C:$C=$B356,'SUMMARY DATA'!$B:$B=""RWS"")),
  IF(
    OR(
      ISNUMBER(SEARCH(""CDM CASH DEPOSIT"",$C356)),
      ISNUMBER(SEARCH(""CASH DEPOSIT"",$C35"&amp;"6)),
      COUNTIFS('SUMMARY DATA'!$D:$D,$C356,'SUMMARY DATA'!$B:$B,""RWS"")&lt;&gt;1
    ),
    """",
    IFERROR(TEXTJOIN(CHAR(10),TRUE,FILTER('SUMMARY DATA'!I:I,'SUMMARY DATA'!$D:$D=$C356,'SUMMARY DATA'!$B:$B=""RWS"")),"""")
  )
)"),"")</f>
      </c>
      <c r="K356" s="2"/>
      <c r="L356" s="2"/>
      <c r="M356" s="2"/>
      <c r="N356" s="2"/>
      <c r="O356" s="2"/>
      <c r="P356" s="2"/>
      <c r="Q356" s="2"/>
      <c r="R356" s="2"/>
      <c r="S356" s="2"/>
      <c r="T356" s="2"/>
      <c r="U356" s="2"/>
      <c r="V356" s="2"/>
      <c r="W356" s="2"/>
      <c r="X356" s="2"/>
      <c r="Y356" s="2"/>
      <c r="Z356" s="2"/>
      <c r="AA356" s="2"/>
      <c r="AB356" s="2"/>
    </row>
    <row r="357" spans="1:28" customHeight="true">
      <c r="A357" s="2" t="s">
        <v>565</v>
      </c>
      <c r="B357" s="15">
        <v>45972</v>
      </c>
      <c r="C357" s="2" t="s">
        <v>566</v>
      </c>
      <c r="D357" s="3">
        <v>53.36</v>
      </c>
      <c r="E357" s="16" t="str">
        <f>IFERROR(__xludf.DUMMYFUNCTION("IFERROR(
  TEXTJOIN(CHAR(10),TRUE,FILTER('SUMMARY DATA'!E:E,'SUMMARY DATA'!$A:$A=$A357,'SUMMARY DATA'!$C:$C=$B357,'SUMMARY DATA'!$B:$B=""RWS"")),
  IF(
    OR(
      ISNUMBER(SEARCH(""CDM CASH DEPOSIT"",$C357)),
      ISNUMBER(SEARCH(""CASH DEPOSIT"",$C35"&amp;"7)),
      COUNTIFS('SUMMARY DATA'!$D:$D,$C357,'SUMMARY DATA'!$B:$B,""RWS"")&lt;&gt;1
    ),
    """",
    IFERROR(TEXTJOIN(CHAR(10),TRUE,FILTER('SUMMARY DATA'!E:E,'SUMMARY DATA'!$D:$D=$C357,'SUMMARY DATA'!$B:$B=""RWS"")),"""")
  )
)"),"")</f>
      </c>
      <c r="F357" s="17" t="str">
        <f>IFERROR(__xludf.DUMMYFUNCTION("IFERROR(
  TEXTJOIN(CHAR(10),TRUE,FILTER('SUMMARY DATA'!F:F,'SUMMARY DATA'!$A:$A=$A357,'SUMMARY DATA'!$C:$C=$B357,'SUMMARY DATA'!$B:$B=""RWS"")),
  IF(
    OR(
      ISNUMBER(SEARCH(""CDM CASH DEPOSIT"",$C357)),
      ISNUMBER(SEARCH(""CASH DEPOSIT"",$C35"&amp;"7)),
      COUNTIFS('SUMMARY DATA'!$D:$D,$C357,'SUMMARY DATA'!$B:$B,""RWS"")&lt;&gt;1
    ),
    """",
    IFERROR(TEXTJOIN(CHAR(10),TRUE,FILTER('SUMMARY DATA'!F:F,'SUMMARY DATA'!$D:$D=$C357,'SUMMARY DATA'!$B:$B=""RWS"")),"""")
  )
)"),"")</f>
      </c>
      <c r="G357" s="17" t="str">
        <f>IFERROR(__xludf.DUMMYFUNCTION("IFERROR(
  TEXTJOIN(CHAR(10),TRUE,FILTER('SUMMARY DATA'!G:G,'SUMMARY DATA'!$A:$A=$A357,'SUMMARY DATA'!$C:$C=$B357,'SUMMARY DATA'!$B:$B=""RWS"")),
  IF(
    OR(
      ISNUMBER(SEARCH(""CDM CASH DEPOSIT"",$C357)),
      ISNUMBER(SEARCH(""CASH DEPOSIT"",$C35"&amp;"7)),
      COUNTIFS('SUMMARY DATA'!$D:$D,$C357,'SUMMARY DATA'!$B:$B,""RWS"")&lt;&gt;1
    ),
    """",
    IFERROR(TEXTJOIN(CHAR(10),TRUE,FILTER('SUMMARY DATA'!G:G,'SUMMARY DATA'!$D:$D=$C357,'SUMMARY DATA'!$B:$B=""RWS"")),"""")
  )
)"),"")</f>
      </c>
      <c r="H357" s="18" t="str">
        <f>IFERROR(__xludf.DUMMYFUNCTION("IFERROR(
  TEXTJOIN(CHAR(10),TRUE,FILTER('SUMMARY DATA'!H:H,'SUMMARY DATA'!$A:$A=$A357,'SUMMARY DATA'!$C:$C=$B357,'SUMMARY DATA'!$B:$B=""RWS"",'SUMMARY DATA'!$H:$H=$D357)),
  IF(
    OR(
      ISNUMBER(SEARCH(""CDM CASH DEPOSIT"",$C357)),
      ISNUMBER(S"&amp;"EARCH(""CASH DEPOSIT"",$C357))
    ),
    """",
    IFERROR(TEXTJOIN(CHAR(10),TRUE,FILTER('SUMMARY DATA'!H:H,'SUMMARY DATA'!$D:$D=$C357,'SUMMARY DATA'!$B:$B=""RWS"",'SUMMARY DATA'!$H:$H=$D357)),"""")
  )
)"),"")</f>
      </c>
      <c r="I357" s="18" t="str">
        <f>IFERROR(__xludf.DUMMYFUNCTION("IF(H357="""","""",
SUM(ARRAYFORMULA(VALUE(SPLIT(H357,CHAR(10)))))
)"),"")</f>
      </c>
      <c r="J357" s="17" t="str">
        <f>IFERROR(__xludf.DUMMYFUNCTION("IFERROR(
  TEXTJOIN(CHAR(10),TRUE,FILTER('SUMMARY DATA'!I:I,'SUMMARY DATA'!$A:$A=$A357,'SUMMARY DATA'!$C:$C=$B357,'SUMMARY DATA'!$B:$B=""RWS"")),
  IF(
    OR(
      ISNUMBER(SEARCH(""CDM CASH DEPOSIT"",$C357)),
      ISNUMBER(SEARCH(""CASH DEPOSIT"",$C35"&amp;"7)),
      COUNTIFS('SUMMARY DATA'!$D:$D,$C357,'SUMMARY DATA'!$B:$B,""RWS"")&lt;&gt;1
    ),
    """",
    IFERROR(TEXTJOIN(CHAR(10),TRUE,FILTER('SUMMARY DATA'!I:I,'SUMMARY DATA'!$D:$D=$C357,'SUMMARY DATA'!$B:$B=""RWS"")),"""")
  )
)"),"")</f>
      </c>
      <c r="K357" s="2"/>
      <c r="L357" s="2"/>
      <c r="M357" s="2"/>
      <c r="N357" s="2"/>
      <c r="O357" s="2"/>
      <c r="P357" s="2"/>
      <c r="Q357" s="2"/>
      <c r="R357" s="2"/>
      <c r="S357" s="2"/>
      <c r="T357" s="2"/>
      <c r="U357" s="2"/>
      <c r="V357" s="2"/>
      <c r="W357" s="2"/>
      <c r="X357" s="2"/>
      <c r="Y357" s="2"/>
      <c r="Z357" s="2"/>
      <c r="AA357" s="2"/>
      <c r="AB357" s="2"/>
    </row>
    <row r="358" spans="1:28" customHeight="true">
      <c r="A358" s="2" t="s">
        <v>567</v>
      </c>
      <c r="B358" s="15">
        <v>45972</v>
      </c>
      <c r="C358" s="2" t="s">
        <v>568</v>
      </c>
      <c r="D358" s="3">
        <v>65.64</v>
      </c>
      <c r="E358" s="16" t="str">
        <f>IFERROR(__xludf.DUMMYFUNCTION("IFERROR(
  TEXTJOIN(CHAR(10),TRUE,FILTER('SUMMARY DATA'!E:E,'SUMMARY DATA'!$A:$A=$A358,'SUMMARY DATA'!$C:$C=$B358,'SUMMARY DATA'!$B:$B=""RWS"")),
  IF(
    OR(
      ISNUMBER(SEARCH(""CDM CASH DEPOSIT"",$C358)),
      ISNUMBER(SEARCH(""CASH DEPOSIT"",$C35"&amp;"8)),
      COUNTIFS('SUMMARY DATA'!$D:$D,$C358,'SUMMARY DATA'!$B:$B,""RWS"")&lt;&gt;1
    ),
    """",
    IFERROR(TEXTJOIN(CHAR(10),TRUE,FILTER('SUMMARY DATA'!E:E,'SUMMARY DATA'!$D:$D=$C358,'SUMMARY DATA'!$B:$B=""RWS"")),"""")
  )
)"),"")</f>
      </c>
      <c r="F358" s="17" t="str">
        <f>IFERROR(__xludf.DUMMYFUNCTION("IFERROR(
  TEXTJOIN(CHAR(10),TRUE,FILTER('SUMMARY DATA'!F:F,'SUMMARY DATA'!$A:$A=$A358,'SUMMARY DATA'!$C:$C=$B358,'SUMMARY DATA'!$B:$B=""RWS"")),
  IF(
    OR(
      ISNUMBER(SEARCH(""CDM CASH DEPOSIT"",$C358)),
      ISNUMBER(SEARCH(""CASH DEPOSIT"",$C35"&amp;"8)),
      COUNTIFS('SUMMARY DATA'!$D:$D,$C358,'SUMMARY DATA'!$B:$B,""RWS"")&lt;&gt;1
    ),
    """",
    IFERROR(TEXTJOIN(CHAR(10),TRUE,FILTER('SUMMARY DATA'!F:F,'SUMMARY DATA'!$D:$D=$C358,'SUMMARY DATA'!$B:$B=""RWS"")),"""")
  )
)"),"")</f>
      </c>
      <c r="G358" s="17" t="str">
        <f>IFERROR(__xludf.DUMMYFUNCTION("IFERROR(
  TEXTJOIN(CHAR(10),TRUE,FILTER('SUMMARY DATA'!G:G,'SUMMARY DATA'!$A:$A=$A358,'SUMMARY DATA'!$C:$C=$B358,'SUMMARY DATA'!$B:$B=""RWS"")),
  IF(
    OR(
      ISNUMBER(SEARCH(""CDM CASH DEPOSIT"",$C358)),
      ISNUMBER(SEARCH(""CASH DEPOSIT"",$C35"&amp;"8)),
      COUNTIFS('SUMMARY DATA'!$D:$D,$C358,'SUMMARY DATA'!$B:$B,""RWS"")&lt;&gt;1
    ),
    """",
    IFERROR(TEXTJOIN(CHAR(10),TRUE,FILTER('SUMMARY DATA'!G:G,'SUMMARY DATA'!$D:$D=$C358,'SUMMARY DATA'!$B:$B=""RWS"")),"""")
  )
)"),"")</f>
      </c>
      <c r="H358" s="18" t="str">
        <f>IFERROR(__xludf.DUMMYFUNCTION("IFERROR(
  TEXTJOIN(CHAR(10),TRUE,FILTER('SUMMARY DATA'!H:H,'SUMMARY DATA'!$A:$A=$A358,'SUMMARY DATA'!$C:$C=$B358,'SUMMARY DATA'!$B:$B=""RWS"",'SUMMARY DATA'!$H:$H=$D358)),
  IF(
    OR(
      ISNUMBER(SEARCH(""CDM CASH DEPOSIT"",$C358)),
      ISNUMBER(S"&amp;"EARCH(""CASH DEPOSIT"",$C358))
    ),
    """",
    IFERROR(TEXTJOIN(CHAR(10),TRUE,FILTER('SUMMARY DATA'!H:H,'SUMMARY DATA'!$D:$D=$C358,'SUMMARY DATA'!$B:$B=""RWS"",'SUMMARY DATA'!$H:$H=$D358)),"""")
  )
)"),"")</f>
      </c>
      <c r="I358" s="18" t="str">
        <f>IFERROR(__xludf.DUMMYFUNCTION("IF(H358="""","""",
SUM(ARRAYFORMULA(VALUE(SPLIT(H358,CHAR(10)))))
)"),"")</f>
      </c>
      <c r="J358" s="17" t="str">
        <f>IFERROR(__xludf.DUMMYFUNCTION("IFERROR(
  TEXTJOIN(CHAR(10),TRUE,FILTER('SUMMARY DATA'!I:I,'SUMMARY DATA'!$A:$A=$A358,'SUMMARY DATA'!$C:$C=$B358,'SUMMARY DATA'!$B:$B=""RWS"")),
  IF(
    OR(
      ISNUMBER(SEARCH(""CDM CASH DEPOSIT"",$C358)),
      ISNUMBER(SEARCH(""CASH DEPOSIT"",$C35"&amp;"8)),
      COUNTIFS('SUMMARY DATA'!$D:$D,$C358,'SUMMARY DATA'!$B:$B,""RWS"")&lt;&gt;1
    ),
    """",
    IFERROR(TEXTJOIN(CHAR(10),TRUE,FILTER('SUMMARY DATA'!I:I,'SUMMARY DATA'!$D:$D=$C358,'SUMMARY DATA'!$B:$B=""RWS"")),"""")
  )
)"),"")</f>
      </c>
      <c r="K358" s="2"/>
      <c r="L358" s="2"/>
      <c r="M358" s="2"/>
      <c r="N358" s="2"/>
      <c r="O358" s="2"/>
      <c r="P358" s="2"/>
      <c r="Q358" s="2"/>
      <c r="R358" s="2"/>
      <c r="S358" s="2"/>
      <c r="T358" s="2"/>
      <c r="U358" s="2"/>
      <c r="V358" s="2"/>
      <c r="W358" s="2"/>
      <c r="X358" s="2"/>
      <c r="Y358" s="2"/>
      <c r="Z358" s="2"/>
      <c r="AA358" s="2"/>
      <c r="AB358" s="2"/>
    </row>
    <row r="359" spans="1:28" customHeight="true">
      <c r="A359" s="2" t="s">
        <v>569</v>
      </c>
      <c r="B359" s="15">
        <v>45972</v>
      </c>
      <c r="C359" s="2" t="s">
        <v>570</v>
      </c>
      <c r="D359" s="3">
        <v>59</v>
      </c>
      <c r="E359" s="16" t="str">
        <f>IFERROR(__xludf.DUMMYFUNCTION("IFERROR(
  TEXTJOIN(CHAR(10),TRUE,FILTER('SUMMARY DATA'!E:E,'SUMMARY DATA'!$A:$A=$A359,'SUMMARY DATA'!$C:$C=$B359,'SUMMARY DATA'!$B:$B=""RWS"")),
  IF(
    OR(
      ISNUMBER(SEARCH(""CDM CASH DEPOSIT"",$C359)),
      ISNUMBER(SEARCH(""CASH DEPOSIT"",$C35"&amp;"9)),
      COUNTIFS('SUMMARY DATA'!$D:$D,$C359,'SUMMARY DATA'!$B:$B,""RWS"")&lt;&gt;1
    ),
    """",
    IFERROR(TEXTJOIN(CHAR(10),TRUE,FILTER('SUMMARY DATA'!E:E,'SUMMARY DATA'!$D:$D=$C359,'SUMMARY DATA'!$B:$B=""RWS"")),"""")
  )
)"),"")</f>
      </c>
      <c r="F359" s="17" t="str">
        <f>IFERROR(__xludf.DUMMYFUNCTION("IFERROR(
  TEXTJOIN(CHAR(10),TRUE,FILTER('SUMMARY DATA'!F:F,'SUMMARY DATA'!$A:$A=$A359,'SUMMARY DATA'!$C:$C=$B359,'SUMMARY DATA'!$B:$B=""RWS"")),
  IF(
    OR(
      ISNUMBER(SEARCH(""CDM CASH DEPOSIT"",$C359)),
      ISNUMBER(SEARCH(""CASH DEPOSIT"",$C35"&amp;"9)),
      COUNTIFS('SUMMARY DATA'!$D:$D,$C359,'SUMMARY DATA'!$B:$B,""RWS"")&lt;&gt;1
    ),
    """",
    IFERROR(TEXTJOIN(CHAR(10),TRUE,FILTER('SUMMARY DATA'!F:F,'SUMMARY DATA'!$D:$D=$C359,'SUMMARY DATA'!$B:$B=""RWS"")),"""")
  )
)"),"")</f>
      </c>
      <c r="G359" s="17" t="str">
        <f>IFERROR(__xludf.DUMMYFUNCTION("IFERROR(
  TEXTJOIN(CHAR(10),TRUE,FILTER('SUMMARY DATA'!G:G,'SUMMARY DATA'!$A:$A=$A359,'SUMMARY DATA'!$C:$C=$B359,'SUMMARY DATA'!$B:$B=""RWS"")),
  IF(
    OR(
      ISNUMBER(SEARCH(""CDM CASH DEPOSIT"",$C359)),
      ISNUMBER(SEARCH(""CASH DEPOSIT"",$C35"&amp;"9)),
      COUNTIFS('SUMMARY DATA'!$D:$D,$C359,'SUMMARY DATA'!$B:$B,""RWS"")&lt;&gt;1
    ),
    """",
    IFERROR(TEXTJOIN(CHAR(10),TRUE,FILTER('SUMMARY DATA'!G:G,'SUMMARY DATA'!$D:$D=$C359,'SUMMARY DATA'!$B:$B=""RWS"")),"""")
  )
)"),"")</f>
      </c>
      <c r="H359" s="18" t="str">
        <f>IFERROR(__xludf.DUMMYFUNCTION("IFERROR(
  TEXTJOIN(CHAR(10),TRUE,FILTER('SUMMARY DATA'!H:H,'SUMMARY DATA'!$A:$A=$A359,'SUMMARY DATA'!$C:$C=$B359,'SUMMARY DATA'!$B:$B=""RWS"",'SUMMARY DATA'!$H:$H=$D359)),
  IF(
    OR(
      ISNUMBER(SEARCH(""CDM CASH DEPOSIT"",$C359)),
      ISNUMBER(S"&amp;"EARCH(""CASH DEPOSIT"",$C359))
    ),
    """",
    IFERROR(TEXTJOIN(CHAR(10),TRUE,FILTER('SUMMARY DATA'!H:H,'SUMMARY DATA'!$D:$D=$C359,'SUMMARY DATA'!$B:$B=""RWS"",'SUMMARY DATA'!$H:$H=$D359)),"""")
  )
)"),"")</f>
      </c>
      <c r="I359" s="18" t="str">
        <f>IFERROR(__xludf.DUMMYFUNCTION("IF(H359="""","""",
SUM(ARRAYFORMULA(VALUE(SPLIT(H359,CHAR(10)))))
)"),"")</f>
      </c>
      <c r="J359" s="17" t="str">
        <f>IFERROR(__xludf.DUMMYFUNCTION("IFERROR(
  TEXTJOIN(CHAR(10),TRUE,FILTER('SUMMARY DATA'!I:I,'SUMMARY DATA'!$A:$A=$A359,'SUMMARY DATA'!$C:$C=$B359,'SUMMARY DATA'!$B:$B=""RWS"")),
  IF(
    OR(
      ISNUMBER(SEARCH(""CDM CASH DEPOSIT"",$C359)),
      ISNUMBER(SEARCH(""CASH DEPOSIT"",$C35"&amp;"9)),
      COUNTIFS('SUMMARY DATA'!$D:$D,$C359,'SUMMARY DATA'!$B:$B,""RWS"")&lt;&gt;1
    ),
    """",
    IFERROR(TEXTJOIN(CHAR(10),TRUE,FILTER('SUMMARY DATA'!I:I,'SUMMARY DATA'!$D:$D=$C359,'SUMMARY DATA'!$B:$B=""RWS"")),"""")
  )
)"),"")</f>
      </c>
      <c r="K359" s="2"/>
      <c r="L359" s="2"/>
      <c r="M359" s="2"/>
      <c r="N359" s="2"/>
      <c r="O359" s="2"/>
      <c r="P359" s="2"/>
      <c r="Q359" s="2"/>
      <c r="R359" s="2"/>
      <c r="S359" s="2"/>
      <c r="T359" s="2"/>
      <c r="U359" s="2"/>
      <c r="V359" s="2"/>
      <c r="W359" s="2"/>
      <c r="X359" s="2"/>
      <c r="Y359" s="2"/>
      <c r="Z359" s="2"/>
      <c r="AA359" s="2"/>
      <c r="AB359" s="2"/>
    </row>
    <row r="360" spans="1:28" customHeight="true">
      <c r="A360" s="2" t="s">
        <v>571</v>
      </c>
      <c r="B360" s="15">
        <v>45971</v>
      </c>
      <c r="C360" s="2" t="s">
        <v>572</v>
      </c>
      <c r="D360" s="3">
        <v>285.36</v>
      </c>
      <c r="E360" s="16" t="str">
        <f>IFERROR(__xludf.DUMMYFUNCTION("IFERROR(
  TEXTJOIN(CHAR(10),TRUE,FILTER('SUMMARY DATA'!E:E,'SUMMARY DATA'!$A:$A=$A360,'SUMMARY DATA'!$C:$C=$B360,'SUMMARY DATA'!$B:$B=""RWS"")),
  IF(
    OR(
      ISNUMBER(SEARCH(""CDM CASH DEPOSIT"",$C360)),
      ISNUMBER(SEARCH(""CASH DEPOSIT"",$C36"&amp;"0)),
      COUNTIFS('SUMMARY DATA'!$D:$D,$C360,'SUMMARY DATA'!$B:$B,""RWS"")&lt;&gt;1
    ),
    """",
    IFERROR(TEXTJOIN(CHAR(10),TRUE,FILTER('SUMMARY DATA'!E:E,'SUMMARY DATA'!$D:$D=$C360,'SUMMARY DATA'!$B:$B=""RWS"")),"""")
  )
)"),"")</f>
      </c>
      <c r="F360" s="17" t="str">
        <f>IFERROR(__xludf.DUMMYFUNCTION("IFERROR(
  TEXTJOIN(CHAR(10),TRUE,FILTER('SUMMARY DATA'!F:F,'SUMMARY DATA'!$A:$A=$A360,'SUMMARY DATA'!$C:$C=$B360,'SUMMARY DATA'!$B:$B=""RWS"")),
  IF(
    OR(
      ISNUMBER(SEARCH(""CDM CASH DEPOSIT"",$C360)),
      ISNUMBER(SEARCH(""CASH DEPOSIT"",$C36"&amp;"0)),
      COUNTIFS('SUMMARY DATA'!$D:$D,$C360,'SUMMARY DATA'!$B:$B,""RWS"")&lt;&gt;1
    ),
    """",
    IFERROR(TEXTJOIN(CHAR(10),TRUE,FILTER('SUMMARY DATA'!F:F,'SUMMARY DATA'!$D:$D=$C360,'SUMMARY DATA'!$B:$B=""RWS"")),"""")
  )
)"),"")</f>
      </c>
      <c r="G360" s="17" t="str">
        <f>IFERROR(__xludf.DUMMYFUNCTION("IFERROR(
  TEXTJOIN(CHAR(10),TRUE,FILTER('SUMMARY DATA'!G:G,'SUMMARY DATA'!$A:$A=$A360,'SUMMARY DATA'!$C:$C=$B360,'SUMMARY DATA'!$B:$B=""RWS"")),
  IF(
    OR(
      ISNUMBER(SEARCH(""CDM CASH DEPOSIT"",$C360)),
      ISNUMBER(SEARCH(""CASH DEPOSIT"",$C36"&amp;"0)),
      COUNTIFS('SUMMARY DATA'!$D:$D,$C360,'SUMMARY DATA'!$B:$B,""RWS"")&lt;&gt;1
    ),
    """",
    IFERROR(TEXTJOIN(CHAR(10),TRUE,FILTER('SUMMARY DATA'!G:G,'SUMMARY DATA'!$D:$D=$C360,'SUMMARY DATA'!$B:$B=""RWS"")),"""")
  )
)"),"")</f>
      </c>
      <c r="H360" s="18" t="str">
        <f>IFERROR(__xludf.DUMMYFUNCTION("IFERROR(
  TEXTJOIN(CHAR(10),TRUE,FILTER('SUMMARY DATA'!H:H,'SUMMARY DATA'!$A:$A=$A360,'SUMMARY DATA'!$C:$C=$B360,'SUMMARY DATA'!$B:$B=""RWS"",'SUMMARY DATA'!$H:$H=$D360)),
  IF(
    OR(
      ISNUMBER(SEARCH(""CDM CASH DEPOSIT"",$C360)),
      ISNUMBER(S"&amp;"EARCH(""CASH DEPOSIT"",$C360))
    ),
    """",
    IFERROR(TEXTJOIN(CHAR(10),TRUE,FILTER('SUMMARY DATA'!H:H,'SUMMARY DATA'!$D:$D=$C360,'SUMMARY DATA'!$B:$B=""RWS"",'SUMMARY DATA'!$H:$H=$D360)),"""")
  )
)"),"")</f>
      </c>
      <c r="I360" s="18" t="str">
        <f>IFERROR(__xludf.DUMMYFUNCTION("IF(H360="""","""",
SUM(ARRAYFORMULA(VALUE(SPLIT(H360,CHAR(10)))))
)"),"")</f>
      </c>
      <c r="J360" s="17" t="str">
        <f>IFERROR(__xludf.DUMMYFUNCTION("IFERROR(
  TEXTJOIN(CHAR(10),TRUE,FILTER('SUMMARY DATA'!I:I,'SUMMARY DATA'!$A:$A=$A360,'SUMMARY DATA'!$C:$C=$B360,'SUMMARY DATA'!$B:$B=""RWS"")),
  IF(
    OR(
      ISNUMBER(SEARCH(""CDM CASH DEPOSIT"",$C360)),
      ISNUMBER(SEARCH(""CASH DEPOSIT"",$C36"&amp;"0)),
      COUNTIFS('SUMMARY DATA'!$D:$D,$C360,'SUMMARY DATA'!$B:$B,""RWS"")&lt;&gt;1
    ),
    """",
    IFERROR(TEXTJOIN(CHAR(10),TRUE,FILTER('SUMMARY DATA'!I:I,'SUMMARY DATA'!$D:$D=$C360,'SUMMARY DATA'!$B:$B=""RWS"")),"""")
  )
)"),"")</f>
      </c>
      <c r="K360" s="2"/>
      <c r="L360" s="2"/>
      <c r="M360" s="2"/>
      <c r="N360" s="2"/>
      <c r="O360" s="2"/>
      <c r="P360" s="2"/>
      <c r="Q360" s="2"/>
      <c r="R360" s="2"/>
      <c r="S360" s="2"/>
      <c r="T360" s="2"/>
      <c r="U360" s="2"/>
      <c r="V360" s="2"/>
      <c r="W360" s="2"/>
      <c r="X360" s="2"/>
      <c r="Y360" s="2"/>
      <c r="Z360" s="2"/>
      <c r="AA360" s="2"/>
      <c r="AB360" s="2"/>
    </row>
    <row r="361" spans="1:28" customHeight="true">
      <c r="A361" s="2" t="s">
        <v>573</v>
      </c>
      <c r="B361" s="15">
        <v>45971</v>
      </c>
      <c r="C361" s="2" t="s">
        <v>574</v>
      </c>
      <c r="D361" s="3">
        <v>0</v>
      </c>
      <c r="E361" s="16" t="str">
        <f>IFERROR(__xludf.DUMMYFUNCTION("IFERROR(
  TEXTJOIN(CHAR(10),TRUE,FILTER('SUMMARY DATA'!E:E,'SUMMARY DATA'!$A:$A=$A361,'SUMMARY DATA'!$C:$C=$B361,'SUMMARY DATA'!$B:$B=""RWS"")),
  IF(
    OR(
      ISNUMBER(SEARCH(""CDM CASH DEPOSIT"",$C361)),
      ISNUMBER(SEARCH(""CASH DEPOSIT"",$C36"&amp;"1)),
      COUNTIFS('SUMMARY DATA'!$D:$D,$C361,'SUMMARY DATA'!$B:$B,""RWS"")&lt;&gt;1
    ),
    """",
    IFERROR(TEXTJOIN(CHAR(10),TRUE,FILTER('SUMMARY DATA'!E:E,'SUMMARY DATA'!$D:$D=$C361,'SUMMARY DATA'!$B:$B=""RWS"")),"""")
  )
)"),"")</f>
      </c>
      <c r="F361" s="17" t="str">
        <f>IFERROR(__xludf.DUMMYFUNCTION("IFERROR(
  TEXTJOIN(CHAR(10),TRUE,FILTER('SUMMARY DATA'!F:F,'SUMMARY DATA'!$A:$A=$A361,'SUMMARY DATA'!$C:$C=$B361,'SUMMARY DATA'!$B:$B=""RWS"")),
  IF(
    OR(
      ISNUMBER(SEARCH(""CDM CASH DEPOSIT"",$C361)),
      ISNUMBER(SEARCH(""CASH DEPOSIT"",$C36"&amp;"1)),
      COUNTIFS('SUMMARY DATA'!$D:$D,$C361,'SUMMARY DATA'!$B:$B,""RWS"")&lt;&gt;1
    ),
    """",
    IFERROR(TEXTJOIN(CHAR(10),TRUE,FILTER('SUMMARY DATA'!F:F,'SUMMARY DATA'!$D:$D=$C361,'SUMMARY DATA'!$B:$B=""RWS"")),"""")
  )
)"),"")</f>
      </c>
      <c r="G361" s="17" t="str">
        <f>IFERROR(__xludf.DUMMYFUNCTION("IFERROR(
  TEXTJOIN(CHAR(10),TRUE,FILTER('SUMMARY DATA'!G:G,'SUMMARY DATA'!$A:$A=$A361,'SUMMARY DATA'!$C:$C=$B361,'SUMMARY DATA'!$B:$B=""RWS"")),
  IF(
    OR(
      ISNUMBER(SEARCH(""CDM CASH DEPOSIT"",$C361)),
      ISNUMBER(SEARCH(""CASH DEPOSIT"",$C36"&amp;"1)),
      COUNTIFS('SUMMARY DATA'!$D:$D,$C361,'SUMMARY DATA'!$B:$B,""RWS"")&lt;&gt;1
    ),
    """",
    IFERROR(TEXTJOIN(CHAR(10),TRUE,FILTER('SUMMARY DATA'!G:G,'SUMMARY DATA'!$D:$D=$C361,'SUMMARY DATA'!$B:$B=""RWS"")),"""")
  )
)"),"")</f>
      </c>
      <c r="H361" s="18" t="str">
        <f>IFERROR(__xludf.DUMMYFUNCTION("IFERROR(
  TEXTJOIN(CHAR(10),TRUE,FILTER('SUMMARY DATA'!H:H,'SUMMARY DATA'!$A:$A=$A361,'SUMMARY DATA'!$C:$C=$B361,'SUMMARY DATA'!$B:$B=""RWS"",'SUMMARY DATA'!$H:$H=$D361)),
  IF(
    OR(
      ISNUMBER(SEARCH(""CDM CASH DEPOSIT"",$C361)),
      ISNUMBER(S"&amp;"EARCH(""CASH DEPOSIT"",$C361))
    ),
    """",
    IFERROR(TEXTJOIN(CHAR(10),TRUE,FILTER('SUMMARY DATA'!H:H,'SUMMARY DATA'!$D:$D=$C361,'SUMMARY DATA'!$B:$B=""RWS"",'SUMMARY DATA'!$H:$H=$D361)),"""")
  )
)"),"")</f>
      </c>
      <c r="I361" s="18" t="str">
        <f>IFERROR(__xludf.DUMMYFUNCTION("IF(H361="""","""",
SUM(ARRAYFORMULA(VALUE(SPLIT(H361,CHAR(10)))))
)"),"")</f>
      </c>
      <c r="J361" s="17" t="str">
        <f>IFERROR(__xludf.DUMMYFUNCTION("IFERROR(
  TEXTJOIN(CHAR(10),TRUE,FILTER('SUMMARY DATA'!I:I,'SUMMARY DATA'!$A:$A=$A361,'SUMMARY DATA'!$C:$C=$B361,'SUMMARY DATA'!$B:$B=""RWS"")),
  IF(
    OR(
      ISNUMBER(SEARCH(""CDM CASH DEPOSIT"",$C361)),
      ISNUMBER(SEARCH(""CASH DEPOSIT"",$C36"&amp;"1)),
      COUNTIFS('SUMMARY DATA'!$D:$D,$C361,'SUMMARY DATA'!$B:$B,""RWS"")&lt;&gt;1
    ),
    """",
    IFERROR(TEXTJOIN(CHAR(10),TRUE,FILTER('SUMMARY DATA'!I:I,'SUMMARY DATA'!$D:$D=$C361,'SUMMARY DATA'!$B:$B=""RWS"")),"""")
  )
)"),"")</f>
      </c>
      <c r="K361" s="2"/>
      <c r="L361" s="2"/>
      <c r="M361" s="2"/>
      <c r="N361" s="2"/>
      <c r="O361" s="2"/>
      <c r="P361" s="2"/>
      <c r="Q361" s="2"/>
      <c r="R361" s="2"/>
      <c r="S361" s="2"/>
      <c r="T361" s="2"/>
      <c r="U361" s="2"/>
      <c r="V361" s="2"/>
      <c r="W361" s="2"/>
      <c r="X361" s="2"/>
      <c r="Y361" s="2"/>
      <c r="Z361" s="2"/>
      <c r="AA361" s="2"/>
      <c r="AB361" s="2"/>
    </row>
    <row r="362" spans="1:28" customHeight="true">
      <c r="A362" s="2" t="s">
        <v>575</v>
      </c>
      <c r="B362" s="15">
        <v>45971</v>
      </c>
      <c r="C362" s="2" t="s">
        <v>576</v>
      </c>
      <c r="D362" s="3">
        <v>390</v>
      </c>
      <c r="E362" s="16" t="s">
        <v>2468</v>
      </c>
      <c r="F362" s="17" t="s">
        <v>2474</v>
      </c>
      <c r="G362" s="17" t="s">
        <v>2393</v>
      </c>
      <c r="H362" s="18">
        <v>390</v>
      </c>
      <c r="I362" s="18">
        <v>390</v>
      </c>
      <c r="J362" s="17" t="s">
        <v>2394</v>
      </c>
      <c r="K362" s="2" t="s">
        <v>2395</v>
      </c>
      <c r="L362" s="2"/>
      <c r="M362" s="2"/>
      <c r="N362" s="2"/>
      <c r="O362" s="2"/>
      <c r="P362" s="2"/>
      <c r="Q362" s="2"/>
      <c r="R362" s="2"/>
      <c r="S362" s="2"/>
      <c r="T362" s="2"/>
      <c r="U362" s="2"/>
      <c r="V362" s="2"/>
      <c r="W362" s="2"/>
      <c r="X362" s="2"/>
      <c r="Y362" s="2"/>
      <c r="Z362" s="2"/>
      <c r="AA362" s="2"/>
      <c r="AB362" s="2"/>
    </row>
    <row r="363" spans="1:28" customHeight="true">
      <c r="A363" s="2" t="s">
        <v>577</v>
      </c>
      <c r="B363" s="15">
        <v>45971</v>
      </c>
      <c r="C363" s="2" t="s">
        <v>578</v>
      </c>
      <c r="D363" s="3">
        <v>386.15</v>
      </c>
      <c r="E363" s="16" t="s">
        <v>2413</v>
      </c>
      <c r="F363" s="17" t="s">
        <v>2475</v>
      </c>
      <c r="G363" s="17" t="s">
        <v>2393</v>
      </c>
      <c r="H363" s="18">
        <v>386.15</v>
      </c>
      <c r="I363" s="18">
        <v>386.15</v>
      </c>
      <c r="J363" s="17" t="s">
        <v>2394</v>
      </c>
      <c r="K363" s="2" t="s">
        <v>2395</v>
      </c>
      <c r="L363" s="2"/>
      <c r="M363" s="2"/>
      <c r="N363" s="2"/>
      <c r="O363" s="2"/>
      <c r="P363" s="2"/>
      <c r="Q363" s="2"/>
      <c r="R363" s="2"/>
      <c r="S363" s="2"/>
      <c r="T363" s="2"/>
      <c r="U363" s="2"/>
      <c r="V363" s="2"/>
      <c r="W363" s="2"/>
      <c r="X363" s="2"/>
      <c r="Y363" s="2"/>
      <c r="Z363" s="2"/>
      <c r="AA363" s="2"/>
      <c r="AB363" s="2"/>
    </row>
    <row r="364" spans="1:28" customHeight="true">
      <c r="A364" s="2" t="s">
        <v>579</v>
      </c>
      <c r="B364" s="15">
        <v>45971</v>
      </c>
      <c r="C364" s="2" t="s">
        <v>580</v>
      </c>
      <c r="D364" s="3">
        <v>230.88</v>
      </c>
      <c r="E364" s="16" t="str">
        <f>IFERROR(__xludf.DUMMYFUNCTION("IFERROR(
  TEXTJOIN(CHAR(10),TRUE,FILTER('SUMMARY DATA'!E:E,'SUMMARY DATA'!$A:$A=$A364,'SUMMARY DATA'!$C:$C=$B364,'SUMMARY DATA'!$B:$B=""RWS"")),
  IF(
    OR(
      ISNUMBER(SEARCH(""CDM CASH DEPOSIT"",$C364)),
      ISNUMBER(SEARCH(""CASH DEPOSIT"",$C36"&amp;"4)),
      COUNTIFS('SUMMARY DATA'!$D:$D,$C364,'SUMMARY DATA'!$B:$B,""RWS"")&lt;&gt;1
    ),
    """",
    IFERROR(TEXTJOIN(CHAR(10),TRUE,FILTER('SUMMARY DATA'!E:E,'SUMMARY DATA'!$D:$D=$C364,'SUMMARY DATA'!$B:$B=""RWS"")),"""")
  )
)"),"")</f>
      </c>
      <c r="F364" s="17" t="str">
        <f>IFERROR(__xludf.DUMMYFUNCTION("IFERROR(
  TEXTJOIN(CHAR(10),TRUE,FILTER('SUMMARY DATA'!F:F,'SUMMARY DATA'!$A:$A=$A364,'SUMMARY DATA'!$C:$C=$B364,'SUMMARY DATA'!$B:$B=""RWS"")),
  IF(
    OR(
      ISNUMBER(SEARCH(""CDM CASH DEPOSIT"",$C364)),
      ISNUMBER(SEARCH(""CASH DEPOSIT"",$C36"&amp;"4)),
      COUNTIFS('SUMMARY DATA'!$D:$D,$C364,'SUMMARY DATA'!$B:$B,""RWS"")&lt;&gt;1
    ),
    """",
    IFERROR(TEXTJOIN(CHAR(10),TRUE,FILTER('SUMMARY DATA'!F:F,'SUMMARY DATA'!$D:$D=$C364,'SUMMARY DATA'!$B:$B=""RWS"")),"""")
  )
)"),"")</f>
      </c>
      <c r="G364" s="17" t="str">
        <f>IFERROR(__xludf.DUMMYFUNCTION("IFERROR(
  TEXTJOIN(CHAR(10),TRUE,FILTER('SUMMARY DATA'!G:G,'SUMMARY DATA'!$A:$A=$A364,'SUMMARY DATA'!$C:$C=$B364,'SUMMARY DATA'!$B:$B=""RWS"")),
  IF(
    OR(
      ISNUMBER(SEARCH(""CDM CASH DEPOSIT"",$C364)),
      ISNUMBER(SEARCH(""CASH DEPOSIT"",$C36"&amp;"4)),
      COUNTIFS('SUMMARY DATA'!$D:$D,$C364,'SUMMARY DATA'!$B:$B,""RWS"")&lt;&gt;1
    ),
    """",
    IFERROR(TEXTJOIN(CHAR(10),TRUE,FILTER('SUMMARY DATA'!G:G,'SUMMARY DATA'!$D:$D=$C364,'SUMMARY DATA'!$B:$B=""RWS"")),"""")
  )
)"),"")</f>
      </c>
      <c r="H364" s="18" t="str">
        <f>IFERROR(__xludf.DUMMYFUNCTION("IFERROR(
  TEXTJOIN(CHAR(10),TRUE,FILTER('SUMMARY DATA'!H:H,'SUMMARY DATA'!$A:$A=$A364,'SUMMARY DATA'!$C:$C=$B364,'SUMMARY DATA'!$B:$B=""RWS"",'SUMMARY DATA'!$H:$H=$D364)),
  IF(
    OR(
      ISNUMBER(SEARCH(""CDM CASH DEPOSIT"",$C364)),
      ISNUMBER(S"&amp;"EARCH(""CASH DEPOSIT"",$C364))
    ),
    """",
    IFERROR(TEXTJOIN(CHAR(10),TRUE,FILTER('SUMMARY DATA'!H:H,'SUMMARY DATA'!$D:$D=$C364,'SUMMARY DATA'!$B:$B=""RWS"",'SUMMARY DATA'!$H:$H=$D364)),"""")
  )
)"),"")</f>
      </c>
      <c r="I364" s="18" t="str">
        <f>IFERROR(__xludf.DUMMYFUNCTION("IF(H364="""","""",
SUM(ARRAYFORMULA(VALUE(SPLIT(H364,CHAR(10)))))
)"),"")</f>
      </c>
      <c r="J364" s="17" t="str">
        <f>IFERROR(__xludf.DUMMYFUNCTION("IFERROR(
  TEXTJOIN(CHAR(10),TRUE,FILTER('SUMMARY DATA'!I:I,'SUMMARY DATA'!$A:$A=$A364,'SUMMARY DATA'!$C:$C=$B364,'SUMMARY DATA'!$B:$B=""RWS"")),
  IF(
    OR(
      ISNUMBER(SEARCH(""CDM CASH DEPOSIT"",$C364)),
      ISNUMBER(SEARCH(""CASH DEPOSIT"",$C36"&amp;"4)),
      COUNTIFS('SUMMARY DATA'!$D:$D,$C364,'SUMMARY DATA'!$B:$B,""RWS"")&lt;&gt;1
    ),
    """",
    IFERROR(TEXTJOIN(CHAR(10),TRUE,FILTER('SUMMARY DATA'!I:I,'SUMMARY DATA'!$D:$D=$C364,'SUMMARY DATA'!$B:$B=""RWS"")),"""")
  )
)"),"")</f>
      </c>
      <c r="K364" s="2"/>
      <c r="L364" s="2"/>
      <c r="M364" s="2"/>
      <c r="N364" s="2"/>
      <c r="O364" s="2"/>
      <c r="P364" s="2"/>
      <c r="Q364" s="2"/>
      <c r="R364" s="2"/>
      <c r="S364" s="2"/>
      <c r="T364" s="2"/>
      <c r="U364" s="2"/>
      <c r="V364" s="2"/>
      <c r="W364" s="2"/>
      <c r="X364" s="2"/>
      <c r="Y364" s="2"/>
      <c r="Z364" s="2"/>
      <c r="AA364" s="2"/>
      <c r="AB364" s="2"/>
    </row>
    <row r="365" spans="1:28" customHeight="true">
      <c r="A365" s="2" t="s">
        <v>581</v>
      </c>
      <c r="B365" s="15">
        <v>45971</v>
      </c>
      <c r="C365" s="2" t="s">
        <v>582</v>
      </c>
      <c r="D365" s="3">
        <v>0</v>
      </c>
      <c r="E365" s="16" t="str">
        <f>IFERROR(__xludf.DUMMYFUNCTION("IFERROR(
  TEXTJOIN(CHAR(10),TRUE,FILTER('SUMMARY DATA'!E:E,'SUMMARY DATA'!$A:$A=$A365,'SUMMARY DATA'!$C:$C=$B365,'SUMMARY DATA'!$B:$B=""RWS"")),
  IF(
    OR(
      ISNUMBER(SEARCH(""CDM CASH DEPOSIT"",$C365)),
      ISNUMBER(SEARCH(""CASH DEPOSIT"",$C36"&amp;"5)),
      COUNTIFS('SUMMARY DATA'!$D:$D,$C365,'SUMMARY DATA'!$B:$B,""RWS"")&lt;&gt;1
    ),
    """",
    IFERROR(TEXTJOIN(CHAR(10),TRUE,FILTER('SUMMARY DATA'!E:E,'SUMMARY DATA'!$D:$D=$C365,'SUMMARY DATA'!$B:$B=""RWS"")),"""")
  )
)"),"")</f>
      </c>
      <c r="F365" s="17" t="str">
        <f>IFERROR(__xludf.DUMMYFUNCTION("IFERROR(
  TEXTJOIN(CHAR(10),TRUE,FILTER('SUMMARY DATA'!F:F,'SUMMARY DATA'!$A:$A=$A365,'SUMMARY DATA'!$C:$C=$B365,'SUMMARY DATA'!$B:$B=""RWS"")),
  IF(
    OR(
      ISNUMBER(SEARCH(""CDM CASH DEPOSIT"",$C365)),
      ISNUMBER(SEARCH(""CASH DEPOSIT"",$C36"&amp;"5)),
      COUNTIFS('SUMMARY DATA'!$D:$D,$C365,'SUMMARY DATA'!$B:$B,""RWS"")&lt;&gt;1
    ),
    """",
    IFERROR(TEXTJOIN(CHAR(10),TRUE,FILTER('SUMMARY DATA'!F:F,'SUMMARY DATA'!$D:$D=$C365,'SUMMARY DATA'!$B:$B=""RWS"")),"""")
  )
)"),"")</f>
      </c>
      <c r="G365" s="17" t="str">
        <f>IFERROR(__xludf.DUMMYFUNCTION("IFERROR(
  TEXTJOIN(CHAR(10),TRUE,FILTER('SUMMARY DATA'!G:G,'SUMMARY DATA'!$A:$A=$A365,'SUMMARY DATA'!$C:$C=$B365,'SUMMARY DATA'!$B:$B=""RWS"")),
  IF(
    OR(
      ISNUMBER(SEARCH(""CDM CASH DEPOSIT"",$C365)),
      ISNUMBER(SEARCH(""CASH DEPOSIT"",$C36"&amp;"5)),
      COUNTIFS('SUMMARY DATA'!$D:$D,$C365,'SUMMARY DATA'!$B:$B,""RWS"")&lt;&gt;1
    ),
    """",
    IFERROR(TEXTJOIN(CHAR(10),TRUE,FILTER('SUMMARY DATA'!G:G,'SUMMARY DATA'!$D:$D=$C365,'SUMMARY DATA'!$B:$B=""RWS"")),"""")
  )
)"),"")</f>
      </c>
      <c r="H365" s="18" t="str">
        <f>IFERROR(__xludf.DUMMYFUNCTION("IFERROR(
  TEXTJOIN(CHAR(10),TRUE,FILTER('SUMMARY DATA'!H:H,'SUMMARY DATA'!$A:$A=$A365,'SUMMARY DATA'!$C:$C=$B365,'SUMMARY DATA'!$B:$B=""RWS"",'SUMMARY DATA'!$H:$H=$D365)),
  IF(
    OR(
      ISNUMBER(SEARCH(""CDM CASH DEPOSIT"",$C365)),
      ISNUMBER(S"&amp;"EARCH(""CASH DEPOSIT"",$C365))
    ),
    """",
    IFERROR(TEXTJOIN(CHAR(10),TRUE,FILTER('SUMMARY DATA'!H:H,'SUMMARY DATA'!$D:$D=$C365,'SUMMARY DATA'!$B:$B=""RWS"",'SUMMARY DATA'!$H:$H=$D365)),"""")
  )
)"),"")</f>
      </c>
      <c r="I365" s="18" t="str">
        <f>IFERROR(__xludf.DUMMYFUNCTION("IF(H365="""","""",
SUM(ARRAYFORMULA(VALUE(SPLIT(H365,CHAR(10)))))
)"),"")</f>
      </c>
      <c r="J365" s="17" t="str">
        <f>IFERROR(__xludf.DUMMYFUNCTION("IFERROR(
  TEXTJOIN(CHAR(10),TRUE,FILTER('SUMMARY DATA'!I:I,'SUMMARY DATA'!$A:$A=$A365,'SUMMARY DATA'!$C:$C=$B365,'SUMMARY DATA'!$B:$B=""RWS"")),
  IF(
    OR(
      ISNUMBER(SEARCH(""CDM CASH DEPOSIT"",$C365)),
      ISNUMBER(SEARCH(""CASH DEPOSIT"",$C36"&amp;"5)),
      COUNTIFS('SUMMARY DATA'!$D:$D,$C365,'SUMMARY DATA'!$B:$B,""RWS"")&lt;&gt;1
    ),
    """",
    IFERROR(TEXTJOIN(CHAR(10),TRUE,FILTER('SUMMARY DATA'!I:I,'SUMMARY DATA'!$D:$D=$C365,'SUMMARY DATA'!$B:$B=""RWS"")),"""")
  )
)"),"")</f>
      </c>
      <c r="K365" s="2"/>
      <c r="L365" s="2"/>
      <c r="M365" s="2"/>
      <c r="N365" s="2"/>
      <c r="O365" s="2"/>
      <c r="P365" s="2"/>
      <c r="Q365" s="2"/>
      <c r="R365" s="2"/>
      <c r="S365" s="2"/>
      <c r="T365" s="2"/>
      <c r="U365" s="2"/>
      <c r="V365" s="2"/>
      <c r="W365" s="2"/>
      <c r="X365" s="2"/>
      <c r="Y365" s="2"/>
      <c r="Z365" s="2"/>
      <c r="AA365" s="2"/>
      <c r="AB365" s="2"/>
    </row>
    <row r="366" spans="1:28" customHeight="true">
      <c r="A366" s="2" t="s">
        <v>583</v>
      </c>
      <c r="B366" s="15">
        <v>45971</v>
      </c>
      <c r="C366" s="2" t="s">
        <v>584</v>
      </c>
      <c r="D366" s="3">
        <v>290</v>
      </c>
      <c r="E366" s="16" t="s">
        <v>2413</v>
      </c>
      <c r="F366" s="17" t="s">
        <v>2476</v>
      </c>
      <c r="G366" s="17" t="s">
        <v>2393</v>
      </c>
      <c r="H366" s="18">
        <v>290</v>
      </c>
      <c r="I366" s="18">
        <v>290</v>
      </c>
      <c r="J366" s="17" t="s">
        <v>2394</v>
      </c>
      <c r="K366" s="2" t="s">
        <v>2395</v>
      </c>
      <c r="L366" s="2"/>
      <c r="M366" s="2"/>
      <c r="N366" s="2"/>
      <c r="O366" s="2"/>
      <c r="P366" s="2"/>
      <c r="Q366" s="2"/>
      <c r="R366" s="2"/>
      <c r="S366" s="2"/>
      <c r="T366" s="2"/>
      <c r="U366" s="2"/>
      <c r="V366" s="2"/>
      <c r="W366" s="2"/>
      <c r="X366" s="2"/>
      <c r="Y366" s="2"/>
      <c r="Z366" s="2"/>
      <c r="AA366" s="2"/>
      <c r="AB366" s="2"/>
    </row>
    <row r="367" spans="1:28" customHeight="true">
      <c r="A367" s="2" t="s">
        <v>585</v>
      </c>
      <c r="B367" s="15">
        <v>45971</v>
      </c>
      <c r="C367" s="2" t="s">
        <v>586</v>
      </c>
      <c r="D367" s="3">
        <v>341.96</v>
      </c>
      <c r="E367" s="16" t="s">
        <v>2413</v>
      </c>
      <c r="F367" s="17" t="s">
        <v>2477</v>
      </c>
      <c r="G367" s="17" t="s">
        <v>2393</v>
      </c>
      <c r="H367" s="18">
        <v>341.96</v>
      </c>
      <c r="I367" s="18">
        <v>341.96</v>
      </c>
      <c r="J367" s="17" t="s">
        <v>2394</v>
      </c>
      <c r="K367" s="2" t="s">
        <v>2395</v>
      </c>
      <c r="L367" s="2"/>
      <c r="M367" s="2"/>
      <c r="N367" s="2"/>
      <c r="O367" s="2"/>
      <c r="P367" s="2"/>
      <c r="Q367" s="2"/>
      <c r="R367" s="2"/>
      <c r="S367" s="2"/>
      <c r="T367" s="2"/>
      <c r="U367" s="2"/>
      <c r="V367" s="2"/>
      <c r="W367" s="2"/>
      <c r="X367" s="2"/>
      <c r="Y367" s="2"/>
      <c r="Z367" s="2"/>
      <c r="AA367" s="2"/>
      <c r="AB367" s="2"/>
    </row>
    <row r="368" spans="1:28" customHeight="true">
      <c r="A368" s="2" t="s">
        <v>587</v>
      </c>
      <c r="B368" s="15">
        <v>45970</v>
      </c>
      <c r="C368" s="2" t="s">
        <v>588</v>
      </c>
      <c r="D368" s="3">
        <v>6</v>
      </c>
      <c r="E368" s="16" t="str">
        <f>IFERROR(__xludf.DUMMYFUNCTION("IFERROR(
  TEXTJOIN(CHAR(10),TRUE,FILTER('SUMMARY DATA'!E:E,'SUMMARY DATA'!$A:$A=$A368,'SUMMARY DATA'!$C:$C=$B368,'SUMMARY DATA'!$B:$B=""RWS"")),
  IF(
    OR(
      ISNUMBER(SEARCH(""CDM CASH DEPOSIT"",$C368)),
      ISNUMBER(SEARCH(""CASH DEPOSIT"",$C36"&amp;"8)),
      COUNTIFS('SUMMARY DATA'!$D:$D,$C368,'SUMMARY DATA'!$B:$B,""RWS"")&lt;&gt;1
    ),
    """",
    IFERROR(TEXTJOIN(CHAR(10),TRUE,FILTER('SUMMARY DATA'!E:E,'SUMMARY DATA'!$D:$D=$C368,'SUMMARY DATA'!$B:$B=""RWS"")),"""")
  )
)"),"")</f>
      </c>
      <c r="F368" s="17" t="str">
        <f>IFERROR(__xludf.DUMMYFUNCTION("IFERROR(
  TEXTJOIN(CHAR(10),TRUE,FILTER('SUMMARY DATA'!F:F,'SUMMARY DATA'!$A:$A=$A368,'SUMMARY DATA'!$C:$C=$B368,'SUMMARY DATA'!$B:$B=""RWS"")),
  IF(
    OR(
      ISNUMBER(SEARCH(""CDM CASH DEPOSIT"",$C368)),
      ISNUMBER(SEARCH(""CASH DEPOSIT"",$C36"&amp;"8)),
      COUNTIFS('SUMMARY DATA'!$D:$D,$C368,'SUMMARY DATA'!$B:$B,""RWS"")&lt;&gt;1
    ),
    """",
    IFERROR(TEXTJOIN(CHAR(10),TRUE,FILTER('SUMMARY DATA'!F:F,'SUMMARY DATA'!$D:$D=$C368,'SUMMARY DATA'!$B:$B=""RWS"")),"""")
  )
)"),"")</f>
      </c>
      <c r="G368" s="17" t="str">
        <f>IFERROR(__xludf.DUMMYFUNCTION("IFERROR(
  TEXTJOIN(CHAR(10),TRUE,FILTER('SUMMARY DATA'!G:G,'SUMMARY DATA'!$A:$A=$A368,'SUMMARY DATA'!$C:$C=$B368,'SUMMARY DATA'!$B:$B=""RWS"")),
  IF(
    OR(
      ISNUMBER(SEARCH(""CDM CASH DEPOSIT"",$C368)),
      ISNUMBER(SEARCH(""CASH DEPOSIT"",$C36"&amp;"8)),
      COUNTIFS('SUMMARY DATA'!$D:$D,$C368,'SUMMARY DATA'!$B:$B,""RWS"")&lt;&gt;1
    ),
    """",
    IFERROR(TEXTJOIN(CHAR(10),TRUE,FILTER('SUMMARY DATA'!G:G,'SUMMARY DATA'!$D:$D=$C368,'SUMMARY DATA'!$B:$B=""RWS"")),"""")
  )
)"),"")</f>
      </c>
      <c r="H368" s="18" t="str">
        <f>IFERROR(__xludf.DUMMYFUNCTION("IFERROR(
  TEXTJOIN(CHAR(10),TRUE,FILTER('SUMMARY DATA'!H:H,'SUMMARY DATA'!$A:$A=$A368,'SUMMARY DATA'!$C:$C=$B368,'SUMMARY DATA'!$B:$B=""RWS"",'SUMMARY DATA'!$H:$H=$D368)),
  IF(
    OR(
      ISNUMBER(SEARCH(""CDM CASH DEPOSIT"",$C368)),
      ISNUMBER(S"&amp;"EARCH(""CASH DEPOSIT"",$C368))
    ),
    """",
    IFERROR(TEXTJOIN(CHAR(10),TRUE,FILTER('SUMMARY DATA'!H:H,'SUMMARY DATA'!$D:$D=$C368,'SUMMARY DATA'!$B:$B=""RWS"",'SUMMARY DATA'!$H:$H=$D368)),"""")
  )
)"),"")</f>
      </c>
      <c r="I368" s="18" t="str">
        <f>IFERROR(__xludf.DUMMYFUNCTION("IF(H368="""","""",
SUM(ARRAYFORMULA(VALUE(SPLIT(H368,CHAR(10)))))
)"),"")</f>
      </c>
      <c r="J368" s="17" t="str">
        <f>IFERROR(__xludf.DUMMYFUNCTION("IFERROR(
  TEXTJOIN(CHAR(10),TRUE,FILTER('SUMMARY DATA'!I:I,'SUMMARY DATA'!$A:$A=$A368,'SUMMARY DATA'!$C:$C=$B368,'SUMMARY DATA'!$B:$B=""RWS"")),
  IF(
    OR(
      ISNUMBER(SEARCH(""CDM CASH DEPOSIT"",$C368)),
      ISNUMBER(SEARCH(""CASH DEPOSIT"",$C36"&amp;"8)),
      COUNTIFS('SUMMARY DATA'!$D:$D,$C368,'SUMMARY DATA'!$B:$B,""RWS"")&lt;&gt;1
    ),
    """",
    IFERROR(TEXTJOIN(CHAR(10),TRUE,FILTER('SUMMARY DATA'!I:I,'SUMMARY DATA'!$D:$D=$C368,'SUMMARY DATA'!$B:$B=""RWS"")),"""")
  )
)"),"")</f>
      </c>
      <c r="K368" s="2"/>
      <c r="L368" s="2"/>
      <c r="M368" s="2"/>
      <c r="N368" s="2"/>
      <c r="O368" s="2"/>
      <c r="P368" s="2"/>
      <c r="Q368" s="2"/>
      <c r="R368" s="2"/>
      <c r="S368" s="2"/>
      <c r="T368" s="2"/>
      <c r="U368" s="2"/>
      <c r="V368" s="2"/>
      <c r="W368" s="2"/>
      <c r="X368" s="2"/>
      <c r="Y368" s="2"/>
      <c r="Z368" s="2"/>
      <c r="AA368" s="2"/>
      <c r="AB368" s="2"/>
    </row>
    <row r="369" spans="1:28" customHeight="true">
      <c r="A369" s="2" t="s">
        <v>589</v>
      </c>
      <c r="B369" s="15">
        <v>45970</v>
      </c>
      <c r="C369" s="2" t="s">
        <v>590</v>
      </c>
      <c r="D369" s="3">
        <v>156.7</v>
      </c>
      <c r="E369" s="16" t="s">
        <v>2468</v>
      </c>
      <c r="F369" s="17" t="s">
        <v>2478</v>
      </c>
      <c r="G369" s="17" t="s">
        <v>2393</v>
      </c>
      <c r="H369" s="18">
        <v>156.7</v>
      </c>
      <c r="I369" s="18">
        <v>156.7</v>
      </c>
      <c r="J369" s="17" t="s">
        <v>2394</v>
      </c>
      <c r="K369" s="2" t="s">
        <v>2395</v>
      </c>
      <c r="L369" s="2"/>
      <c r="M369" s="2"/>
      <c r="N369" s="2"/>
      <c r="O369" s="2"/>
      <c r="P369" s="2"/>
      <c r="Q369" s="2"/>
      <c r="R369" s="2"/>
      <c r="S369" s="2"/>
      <c r="T369" s="2"/>
      <c r="U369" s="2"/>
      <c r="V369" s="2"/>
      <c r="W369" s="2"/>
      <c r="X369" s="2"/>
      <c r="Y369" s="2"/>
      <c r="Z369" s="2"/>
      <c r="AA369" s="2"/>
      <c r="AB369" s="2"/>
    </row>
    <row r="370" spans="1:28" customHeight="true">
      <c r="A370" s="2" t="s">
        <v>591</v>
      </c>
      <c r="B370" s="15">
        <v>45970</v>
      </c>
      <c r="C370" s="2" t="s">
        <v>592</v>
      </c>
      <c r="D370" s="3">
        <v>321</v>
      </c>
      <c r="E370" s="16" t="s">
        <v>2413</v>
      </c>
      <c r="F370" s="17" t="s">
        <v>2479</v>
      </c>
      <c r="G370" s="17" t="s">
        <v>2393</v>
      </c>
      <c r="H370" s="18">
        <v>321</v>
      </c>
      <c r="I370" s="18">
        <v>321</v>
      </c>
      <c r="J370" s="17" t="s">
        <v>2394</v>
      </c>
      <c r="K370" s="2" t="s">
        <v>2395</v>
      </c>
      <c r="L370" s="2"/>
      <c r="M370" s="2"/>
      <c r="N370" s="2"/>
      <c r="O370" s="2"/>
      <c r="P370" s="2"/>
      <c r="Q370" s="2"/>
      <c r="R370" s="2"/>
      <c r="S370" s="2"/>
      <c r="T370" s="2"/>
      <c r="U370" s="2"/>
      <c r="V370" s="2"/>
      <c r="W370" s="2"/>
      <c r="X370" s="2"/>
      <c r="Y370" s="2"/>
      <c r="Z370" s="2"/>
      <c r="AA370" s="2"/>
      <c r="AB370" s="2"/>
    </row>
    <row r="371" spans="1:28" customHeight="true">
      <c r="A371" s="2" t="s">
        <v>593</v>
      </c>
      <c r="B371" s="15">
        <v>45970</v>
      </c>
      <c r="C371" s="2" t="s">
        <v>594</v>
      </c>
      <c r="D371" s="3">
        <v>10</v>
      </c>
      <c r="E371" s="16" t="str">
        <f>IFERROR(__xludf.DUMMYFUNCTION("IFERROR(
  TEXTJOIN(CHAR(10),TRUE,FILTER('SUMMARY DATA'!E:E,'SUMMARY DATA'!$A:$A=$A371,'SUMMARY DATA'!$C:$C=$B371,'SUMMARY DATA'!$B:$B=""RWS"")),
  IF(
    OR(
      ISNUMBER(SEARCH(""CDM CASH DEPOSIT"",$C371)),
      ISNUMBER(SEARCH(""CASH DEPOSIT"",$C37"&amp;"1)),
      COUNTIFS('SUMMARY DATA'!$D:$D,$C371,'SUMMARY DATA'!$B:$B,""RWS"")&lt;&gt;1
    ),
    """",
    IFERROR(TEXTJOIN(CHAR(10),TRUE,FILTER('SUMMARY DATA'!E:E,'SUMMARY DATA'!$D:$D=$C371,'SUMMARY DATA'!$B:$B=""RWS"")),"""")
  )
)"),"")</f>
      </c>
      <c r="F371" s="17" t="str">
        <f>IFERROR(__xludf.DUMMYFUNCTION("IFERROR(
  TEXTJOIN(CHAR(10),TRUE,FILTER('SUMMARY DATA'!F:F,'SUMMARY DATA'!$A:$A=$A371,'SUMMARY DATA'!$C:$C=$B371,'SUMMARY DATA'!$B:$B=""RWS"")),
  IF(
    OR(
      ISNUMBER(SEARCH(""CDM CASH DEPOSIT"",$C371)),
      ISNUMBER(SEARCH(""CASH DEPOSIT"",$C37"&amp;"1)),
      COUNTIFS('SUMMARY DATA'!$D:$D,$C371,'SUMMARY DATA'!$B:$B,""RWS"")&lt;&gt;1
    ),
    """",
    IFERROR(TEXTJOIN(CHAR(10),TRUE,FILTER('SUMMARY DATA'!F:F,'SUMMARY DATA'!$D:$D=$C371,'SUMMARY DATA'!$B:$B=""RWS"")),"""")
  )
)"),"")</f>
      </c>
      <c r="G371" s="17" t="str">
        <f>IFERROR(__xludf.DUMMYFUNCTION("IFERROR(
  TEXTJOIN(CHAR(10),TRUE,FILTER('SUMMARY DATA'!G:G,'SUMMARY DATA'!$A:$A=$A371,'SUMMARY DATA'!$C:$C=$B371,'SUMMARY DATA'!$B:$B=""RWS"")),
  IF(
    OR(
      ISNUMBER(SEARCH(""CDM CASH DEPOSIT"",$C371)),
      ISNUMBER(SEARCH(""CASH DEPOSIT"",$C37"&amp;"1)),
      COUNTIFS('SUMMARY DATA'!$D:$D,$C371,'SUMMARY DATA'!$B:$B,""RWS"")&lt;&gt;1
    ),
    """",
    IFERROR(TEXTJOIN(CHAR(10),TRUE,FILTER('SUMMARY DATA'!G:G,'SUMMARY DATA'!$D:$D=$C371,'SUMMARY DATA'!$B:$B=""RWS"")),"""")
  )
)"),"")</f>
      </c>
      <c r="H371" s="18" t="str">
        <f>IFERROR(__xludf.DUMMYFUNCTION("IFERROR(
  TEXTJOIN(CHAR(10),TRUE,FILTER('SUMMARY DATA'!H:H,'SUMMARY DATA'!$A:$A=$A371,'SUMMARY DATA'!$C:$C=$B371,'SUMMARY DATA'!$B:$B=""RWS"",'SUMMARY DATA'!$H:$H=$D371)),
  IF(
    OR(
      ISNUMBER(SEARCH(""CDM CASH DEPOSIT"",$C371)),
      ISNUMBER(S"&amp;"EARCH(""CASH DEPOSIT"",$C371))
    ),
    """",
    IFERROR(TEXTJOIN(CHAR(10),TRUE,FILTER('SUMMARY DATA'!H:H,'SUMMARY DATA'!$D:$D=$C371,'SUMMARY DATA'!$B:$B=""RWS"",'SUMMARY DATA'!$H:$H=$D371)),"""")
  )
)"),"")</f>
      </c>
      <c r="I371" s="18" t="str">
        <f>IFERROR(__xludf.DUMMYFUNCTION("IF(H371="""","""",
SUM(ARRAYFORMULA(VALUE(SPLIT(H371,CHAR(10)))))
)"),"")</f>
      </c>
      <c r="J371" s="17" t="str">
        <f>IFERROR(__xludf.DUMMYFUNCTION("IFERROR(
  TEXTJOIN(CHAR(10),TRUE,FILTER('SUMMARY DATA'!I:I,'SUMMARY DATA'!$A:$A=$A371,'SUMMARY DATA'!$C:$C=$B371,'SUMMARY DATA'!$B:$B=""RWS"")),
  IF(
    OR(
      ISNUMBER(SEARCH(""CDM CASH DEPOSIT"",$C371)),
      ISNUMBER(SEARCH(""CASH DEPOSIT"",$C37"&amp;"1)),
      COUNTIFS('SUMMARY DATA'!$D:$D,$C371,'SUMMARY DATA'!$B:$B,""RWS"")&lt;&gt;1
    ),
    """",
    IFERROR(TEXTJOIN(CHAR(10),TRUE,FILTER('SUMMARY DATA'!I:I,'SUMMARY DATA'!$D:$D=$C371,'SUMMARY DATA'!$B:$B=""RWS"")),"""")
  )
)"),"")</f>
      </c>
      <c r="K371" s="2"/>
      <c r="L371" s="2"/>
      <c r="M371" s="2"/>
      <c r="N371" s="2"/>
      <c r="O371" s="2"/>
      <c r="P371" s="2"/>
      <c r="Q371" s="2"/>
      <c r="R371" s="2"/>
      <c r="S371" s="2"/>
      <c r="T371" s="2"/>
      <c r="U371" s="2"/>
      <c r="V371" s="2"/>
      <c r="W371" s="2"/>
      <c r="X371" s="2"/>
      <c r="Y371" s="2"/>
      <c r="Z371" s="2"/>
      <c r="AA371" s="2"/>
      <c r="AB371" s="2"/>
    </row>
    <row r="372" spans="1:28" customHeight="true">
      <c r="A372" s="2" t="s">
        <v>595</v>
      </c>
      <c r="B372" s="15">
        <v>45969</v>
      </c>
      <c r="C372" s="2" t="s">
        <v>596</v>
      </c>
      <c r="D372" s="3">
        <v>28.88</v>
      </c>
      <c r="E372" s="16" t="str">
        <f>IFERROR(__xludf.DUMMYFUNCTION("IFERROR(
  TEXTJOIN(CHAR(10),TRUE,FILTER('SUMMARY DATA'!E:E,'SUMMARY DATA'!$A:$A=$A372,'SUMMARY DATA'!$C:$C=$B372,'SUMMARY DATA'!$B:$B=""RWS"")),
  IF(
    OR(
      ISNUMBER(SEARCH(""CDM CASH DEPOSIT"",$C372)),
      ISNUMBER(SEARCH(""CASH DEPOSIT"",$C37"&amp;"2)),
      COUNTIFS('SUMMARY DATA'!$D:$D,$C372,'SUMMARY DATA'!$B:$B,""RWS"")&lt;&gt;1
    ),
    """",
    IFERROR(TEXTJOIN(CHAR(10),TRUE,FILTER('SUMMARY DATA'!E:E,'SUMMARY DATA'!$D:$D=$C372,'SUMMARY DATA'!$B:$B=""RWS"")),"""")
  )
)"),"")</f>
      </c>
      <c r="F372" s="17" t="str">
        <f>IFERROR(__xludf.DUMMYFUNCTION("IFERROR(
  TEXTJOIN(CHAR(10),TRUE,FILTER('SUMMARY DATA'!F:F,'SUMMARY DATA'!$A:$A=$A372,'SUMMARY DATA'!$C:$C=$B372,'SUMMARY DATA'!$B:$B=""RWS"")),
  IF(
    OR(
      ISNUMBER(SEARCH(""CDM CASH DEPOSIT"",$C372)),
      ISNUMBER(SEARCH(""CASH DEPOSIT"",$C37"&amp;"2)),
      COUNTIFS('SUMMARY DATA'!$D:$D,$C372,'SUMMARY DATA'!$B:$B,""RWS"")&lt;&gt;1
    ),
    """",
    IFERROR(TEXTJOIN(CHAR(10),TRUE,FILTER('SUMMARY DATA'!F:F,'SUMMARY DATA'!$D:$D=$C372,'SUMMARY DATA'!$B:$B=""RWS"")),"""")
  )
)"),"")</f>
      </c>
      <c r="G372" s="17" t="str">
        <f>IFERROR(__xludf.DUMMYFUNCTION("IFERROR(
  TEXTJOIN(CHAR(10),TRUE,FILTER('SUMMARY DATA'!G:G,'SUMMARY DATA'!$A:$A=$A372,'SUMMARY DATA'!$C:$C=$B372,'SUMMARY DATA'!$B:$B=""RWS"")),
  IF(
    OR(
      ISNUMBER(SEARCH(""CDM CASH DEPOSIT"",$C372)),
      ISNUMBER(SEARCH(""CASH DEPOSIT"",$C37"&amp;"2)),
      COUNTIFS('SUMMARY DATA'!$D:$D,$C372,'SUMMARY DATA'!$B:$B,""RWS"")&lt;&gt;1
    ),
    """",
    IFERROR(TEXTJOIN(CHAR(10),TRUE,FILTER('SUMMARY DATA'!G:G,'SUMMARY DATA'!$D:$D=$C372,'SUMMARY DATA'!$B:$B=""RWS"")),"""")
  )
)"),"")</f>
      </c>
      <c r="H372" s="18" t="str">
        <f>IFERROR(__xludf.DUMMYFUNCTION("IFERROR(
  TEXTJOIN(CHAR(10),TRUE,FILTER('SUMMARY DATA'!H:H,'SUMMARY DATA'!$A:$A=$A372,'SUMMARY DATA'!$C:$C=$B372,'SUMMARY DATA'!$B:$B=""RWS"",'SUMMARY DATA'!$H:$H=$D372)),
  IF(
    OR(
      ISNUMBER(SEARCH(""CDM CASH DEPOSIT"",$C372)),
      ISNUMBER(S"&amp;"EARCH(""CASH DEPOSIT"",$C372))
    ),
    """",
    IFERROR(TEXTJOIN(CHAR(10),TRUE,FILTER('SUMMARY DATA'!H:H,'SUMMARY DATA'!$D:$D=$C372,'SUMMARY DATA'!$B:$B=""RWS"",'SUMMARY DATA'!$H:$H=$D372)),"""")
  )
)"),"")</f>
      </c>
      <c r="I372" s="18" t="str">
        <f>IFERROR(__xludf.DUMMYFUNCTION("IF(H372="""","""",
SUM(ARRAYFORMULA(VALUE(SPLIT(H372,CHAR(10)))))
)"),"")</f>
      </c>
      <c r="J372" s="17" t="str">
        <f>IFERROR(__xludf.DUMMYFUNCTION("IFERROR(
  TEXTJOIN(CHAR(10),TRUE,FILTER('SUMMARY DATA'!I:I,'SUMMARY DATA'!$A:$A=$A372,'SUMMARY DATA'!$C:$C=$B372,'SUMMARY DATA'!$B:$B=""RWS"")),
  IF(
    OR(
      ISNUMBER(SEARCH(""CDM CASH DEPOSIT"",$C372)),
      ISNUMBER(SEARCH(""CASH DEPOSIT"",$C37"&amp;"2)),
      COUNTIFS('SUMMARY DATA'!$D:$D,$C372,'SUMMARY DATA'!$B:$B,""RWS"")&lt;&gt;1
    ),
    """",
    IFERROR(TEXTJOIN(CHAR(10),TRUE,FILTER('SUMMARY DATA'!I:I,'SUMMARY DATA'!$D:$D=$C372,'SUMMARY DATA'!$B:$B=""RWS"")),"""")
  )
)"),"")</f>
      </c>
      <c r="K372" s="2"/>
      <c r="L372" s="2"/>
      <c r="M372" s="2"/>
      <c r="N372" s="2"/>
      <c r="O372" s="2"/>
      <c r="P372" s="2"/>
      <c r="Q372" s="2"/>
      <c r="R372" s="2"/>
      <c r="S372" s="2"/>
      <c r="T372" s="2"/>
      <c r="U372" s="2"/>
      <c r="V372" s="2"/>
      <c r="W372" s="2"/>
      <c r="X372" s="2"/>
      <c r="Y372" s="2"/>
      <c r="Z372" s="2"/>
      <c r="AA372" s="2"/>
      <c r="AB372" s="2"/>
    </row>
    <row r="373" spans="1:28" customHeight="true">
      <c r="A373" s="2" t="s">
        <v>597</v>
      </c>
      <c r="B373" s="15">
        <v>45969</v>
      </c>
      <c r="C373" s="2" t="s">
        <v>598</v>
      </c>
      <c r="D373" s="3">
        <v>41.9</v>
      </c>
      <c r="E373" s="16" t="s">
        <v>2480</v>
      </c>
      <c r="F373" s="17" t="s">
        <v>2481</v>
      </c>
      <c r="G373" s="17" t="s">
        <v>2393</v>
      </c>
      <c r="H373" s="18">
        <v>41.9</v>
      </c>
      <c r="I373" s="18">
        <v>41.9</v>
      </c>
      <c r="J373" s="17" t="s">
        <v>2394</v>
      </c>
      <c r="K373" s="2" t="s">
        <v>2395</v>
      </c>
      <c r="L373" s="2"/>
      <c r="M373" s="2"/>
      <c r="N373" s="2"/>
      <c r="O373" s="2"/>
      <c r="P373" s="2"/>
      <c r="Q373" s="2"/>
      <c r="R373" s="2"/>
      <c r="S373" s="2"/>
      <c r="T373" s="2"/>
      <c r="U373" s="2"/>
      <c r="V373" s="2"/>
      <c r="W373" s="2"/>
      <c r="X373" s="2"/>
      <c r="Y373" s="2"/>
      <c r="Z373" s="2"/>
      <c r="AA373" s="2"/>
      <c r="AB373" s="2"/>
    </row>
    <row r="374" spans="1:28" customHeight="true">
      <c r="A374" s="2" t="s">
        <v>599</v>
      </c>
      <c r="B374" s="15">
        <v>45969</v>
      </c>
      <c r="C374" s="2" t="s">
        <v>600</v>
      </c>
      <c r="D374" s="3">
        <v>1</v>
      </c>
      <c r="E374" s="16" t="str">
        <f>IFERROR(__xludf.DUMMYFUNCTION("IFERROR(
  TEXTJOIN(CHAR(10),TRUE,FILTER('SUMMARY DATA'!E:E,'SUMMARY DATA'!$A:$A=$A374,'SUMMARY DATA'!$C:$C=$B374,'SUMMARY DATA'!$B:$B=""RWS"")),
  IF(
    OR(
      ISNUMBER(SEARCH(""CDM CASH DEPOSIT"",$C374)),
      ISNUMBER(SEARCH(""CASH DEPOSIT"",$C37"&amp;"4)),
      COUNTIFS('SUMMARY DATA'!$D:$D,$C374,'SUMMARY DATA'!$B:$B,""RWS"")&lt;&gt;1
    ),
    """",
    IFERROR(TEXTJOIN(CHAR(10),TRUE,FILTER('SUMMARY DATA'!E:E,'SUMMARY DATA'!$D:$D=$C374,'SUMMARY DATA'!$B:$B=""RWS"")),"""")
  )
)"),"")</f>
      </c>
      <c r="F374" s="17" t="str">
        <f>IFERROR(__xludf.DUMMYFUNCTION("IFERROR(
  TEXTJOIN(CHAR(10),TRUE,FILTER('SUMMARY DATA'!F:F,'SUMMARY DATA'!$A:$A=$A374,'SUMMARY DATA'!$C:$C=$B374,'SUMMARY DATA'!$B:$B=""RWS"")),
  IF(
    OR(
      ISNUMBER(SEARCH(""CDM CASH DEPOSIT"",$C374)),
      ISNUMBER(SEARCH(""CASH DEPOSIT"",$C37"&amp;"4)),
      COUNTIFS('SUMMARY DATA'!$D:$D,$C374,'SUMMARY DATA'!$B:$B,""RWS"")&lt;&gt;1
    ),
    """",
    IFERROR(TEXTJOIN(CHAR(10),TRUE,FILTER('SUMMARY DATA'!F:F,'SUMMARY DATA'!$D:$D=$C374,'SUMMARY DATA'!$B:$B=""RWS"")),"""")
  )
)"),"")</f>
      </c>
      <c r="G374" s="17" t="str">
        <f>IFERROR(__xludf.DUMMYFUNCTION("IFERROR(
  TEXTJOIN(CHAR(10),TRUE,FILTER('SUMMARY DATA'!G:G,'SUMMARY DATA'!$A:$A=$A374,'SUMMARY DATA'!$C:$C=$B374,'SUMMARY DATA'!$B:$B=""RWS"")),
  IF(
    OR(
      ISNUMBER(SEARCH(""CDM CASH DEPOSIT"",$C374)),
      ISNUMBER(SEARCH(""CASH DEPOSIT"",$C37"&amp;"4)),
      COUNTIFS('SUMMARY DATA'!$D:$D,$C374,'SUMMARY DATA'!$B:$B,""RWS"")&lt;&gt;1
    ),
    """",
    IFERROR(TEXTJOIN(CHAR(10),TRUE,FILTER('SUMMARY DATA'!G:G,'SUMMARY DATA'!$D:$D=$C374,'SUMMARY DATA'!$B:$B=""RWS"")),"""")
  )
)"),"")</f>
      </c>
      <c r="H374" s="18" t="str">
        <f>IFERROR(__xludf.DUMMYFUNCTION("IFERROR(
  TEXTJOIN(CHAR(10),TRUE,FILTER('SUMMARY DATA'!H:H,'SUMMARY DATA'!$A:$A=$A374,'SUMMARY DATA'!$C:$C=$B374,'SUMMARY DATA'!$B:$B=""RWS"",'SUMMARY DATA'!$H:$H=$D374)),
  IF(
    OR(
      ISNUMBER(SEARCH(""CDM CASH DEPOSIT"",$C374)),
      ISNUMBER(S"&amp;"EARCH(""CASH DEPOSIT"",$C374))
    ),
    """",
    IFERROR(TEXTJOIN(CHAR(10),TRUE,FILTER('SUMMARY DATA'!H:H,'SUMMARY DATA'!$D:$D=$C374,'SUMMARY DATA'!$B:$B=""RWS"",'SUMMARY DATA'!$H:$H=$D374)),"""")
  )
)"),"")</f>
      </c>
      <c r="I374" s="18" t="str">
        <f>IFERROR(__xludf.DUMMYFUNCTION("IF(H374="""","""",
SUM(ARRAYFORMULA(VALUE(SPLIT(H374,CHAR(10)))))
)"),"")</f>
      </c>
      <c r="J374" s="17" t="str">
        <f>IFERROR(__xludf.DUMMYFUNCTION("IFERROR(
  TEXTJOIN(CHAR(10),TRUE,FILTER('SUMMARY DATA'!I:I,'SUMMARY DATA'!$A:$A=$A374,'SUMMARY DATA'!$C:$C=$B374,'SUMMARY DATA'!$B:$B=""RWS"")),
  IF(
    OR(
      ISNUMBER(SEARCH(""CDM CASH DEPOSIT"",$C374)),
      ISNUMBER(SEARCH(""CASH DEPOSIT"",$C37"&amp;"4)),
      COUNTIFS('SUMMARY DATA'!$D:$D,$C374,'SUMMARY DATA'!$B:$B,""RWS"")&lt;&gt;1
    ),
    """",
    IFERROR(TEXTJOIN(CHAR(10),TRUE,FILTER('SUMMARY DATA'!I:I,'SUMMARY DATA'!$D:$D=$C374,'SUMMARY DATA'!$B:$B=""RWS"")),"""")
  )
)"),"")</f>
      </c>
      <c r="K374" s="2"/>
      <c r="L374" s="2"/>
      <c r="M374" s="2"/>
      <c r="N374" s="2"/>
      <c r="O374" s="2"/>
      <c r="P374" s="2"/>
      <c r="Q374" s="2"/>
      <c r="R374" s="2"/>
      <c r="S374" s="2"/>
      <c r="T374" s="2"/>
      <c r="U374" s="2"/>
      <c r="V374" s="2"/>
      <c r="W374" s="2"/>
      <c r="X374" s="2"/>
      <c r="Y374" s="2"/>
      <c r="Z374" s="2"/>
      <c r="AA374" s="2"/>
      <c r="AB374" s="2"/>
    </row>
    <row r="375" spans="1:28" customHeight="true">
      <c r="A375" s="2" t="s">
        <v>601</v>
      </c>
      <c r="B375" s="15">
        <v>45969</v>
      </c>
      <c r="C375" s="2" t="s">
        <v>602</v>
      </c>
      <c r="D375" s="3">
        <v>0</v>
      </c>
      <c r="E375" s="16" t="str">
        <f>IFERROR(__xludf.DUMMYFUNCTION("IFERROR(
  TEXTJOIN(CHAR(10),TRUE,FILTER('SUMMARY DATA'!E:E,'SUMMARY DATA'!$A:$A=$A375,'SUMMARY DATA'!$C:$C=$B375,'SUMMARY DATA'!$B:$B=""RWS"")),
  IF(
    OR(
      ISNUMBER(SEARCH(""CDM CASH DEPOSIT"",$C375)),
      ISNUMBER(SEARCH(""CASH DEPOSIT"",$C37"&amp;"5)),
      COUNTIFS('SUMMARY DATA'!$D:$D,$C375,'SUMMARY DATA'!$B:$B,""RWS"")&lt;&gt;1
    ),
    """",
    IFERROR(TEXTJOIN(CHAR(10),TRUE,FILTER('SUMMARY DATA'!E:E,'SUMMARY DATA'!$D:$D=$C375,'SUMMARY DATA'!$B:$B=""RWS"")),"""")
  )
)"),"")</f>
      </c>
      <c r="F375" s="17" t="str">
        <f>IFERROR(__xludf.DUMMYFUNCTION("IFERROR(
  TEXTJOIN(CHAR(10),TRUE,FILTER('SUMMARY DATA'!F:F,'SUMMARY DATA'!$A:$A=$A375,'SUMMARY DATA'!$C:$C=$B375,'SUMMARY DATA'!$B:$B=""RWS"")),
  IF(
    OR(
      ISNUMBER(SEARCH(""CDM CASH DEPOSIT"",$C375)),
      ISNUMBER(SEARCH(""CASH DEPOSIT"",$C37"&amp;"5)),
      COUNTIFS('SUMMARY DATA'!$D:$D,$C375,'SUMMARY DATA'!$B:$B,""RWS"")&lt;&gt;1
    ),
    """",
    IFERROR(TEXTJOIN(CHAR(10),TRUE,FILTER('SUMMARY DATA'!F:F,'SUMMARY DATA'!$D:$D=$C375,'SUMMARY DATA'!$B:$B=""RWS"")),"""")
  )
)"),"")</f>
      </c>
      <c r="G375" s="17" t="str">
        <f>IFERROR(__xludf.DUMMYFUNCTION("IFERROR(
  TEXTJOIN(CHAR(10),TRUE,FILTER('SUMMARY DATA'!G:G,'SUMMARY DATA'!$A:$A=$A375,'SUMMARY DATA'!$C:$C=$B375,'SUMMARY DATA'!$B:$B=""RWS"")),
  IF(
    OR(
      ISNUMBER(SEARCH(""CDM CASH DEPOSIT"",$C375)),
      ISNUMBER(SEARCH(""CASH DEPOSIT"",$C37"&amp;"5)),
      COUNTIFS('SUMMARY DATA'!$D:$D,$C375,'SUMMARY DATA'!$B:$B,""RWS"")&lt;&gt;1
    ),
    """",
    IFERROR(TEXTJOIN(CHAR(10),TRUE,FILTER('SUMMARY DATA'!G:G,'SUMMARY DATA'!$D:$D=$C375,'SUMMARY DATA'!$B:$B=""RWS"")),"""")
  )
)"),"")</f>
      </c>
      <c r="H375" s="18" t="str">
        <f>IFERROR(__xludf.DUMMYFUNCTION("IFERROR(
  TEXTJOIN(CHAR(10),TRUE,FILTER('SUMMARY DATA'!H:H,'SUMMARY DATA'!$A:$A=$A375,'SUMMARY DATA'!$C:$C=$B375,'SUMMARY DATA'!$B:$B=""RWS"",'SUMMARY DATA'!$H:$H=$D375)),
  IF(
    OR(
      ISNUMBER(SEARCH(""CDM CASH DEPOSIT"",$C375)),
      ISNUMBER(S"&amp;"EARCH(""CASH DEPOSIT"",$C375))
    ),
    """",
    IFERROR(TEXTJOIN(CHAR(10),TRUE,FILTER('SUMMARY DATA'!H:H,'SUMMARY DATA'!$D:$D=$C375,'SUMMARY DATA'!$B:$B=""RWS"",'SUMMARY DATA'!$H:$H=$D375)),"""")
  )
)"),"")</f>
      </c>
      <c r="I375" s="18" t="str">
        <f>IFERROR(__xludf.DUMMYFUNCTION("IF(H375="""","""",
SUM(ARRAYFORMULA(VALUE(SPLIT(H375,CHAR(10)))))
)"),"")</f>
      </c>
      <c r="J375" s="17" t="str">
        <f>IFERROR(__xludf.DUMMYFUNCTION("IFERROR(
  TEXTJOIN(CHAR(10),TRUE,FILTER('SUMMARY DATA'!I:I,'SUMMARY DATA'!$A:$A=$A375,'SUMMARY DATA'!$C:$C=$B375,'SUMMARY DATA'!$B:$B=""RWS"")),
  IF(
    OR(
      ISNUMBER(SEARCH(""CDM CASH DEPOSIT"",$C375)),
      ISNUMBER(SEARCH(""CASH DEPOSIT"",$C37"&amp;"5)),
      COUNTIFS('SUMMARY DATA'!$D:$D,$C375,'SUMMARY DATA'!$B:$B,""RWS"")&lt;&gt;1
    ),
    """",
    IFERROR(TEXTJOIN(CHAR(10),TRUE,FILTER('SUMMARY DATA'!I:I,'SUMMARY DATA'!$D:$D=$C375,'SUMMARY DATA'!$B:$B=""RWS"")),"""")
  )
)"),"")</f>
      </c>
      <c r="K375" s="2"/>
      <c r="L375" s="2"/>
      <c r="M375" s="2"/>
      <c r="N375" s="2"/>
      <c r="O375" s="2"/>
      <c r="P375" s="2"/>
      <c r="Q375" s="2"/>
      <c r="R375" s="2"/>
      <c r="S375" s="2"/>
      <c r="T375" s="2"/>
      <c r="U375" s="2"/>
      <c r="V375" s="2"/>
      <c r="W375" s="2"/>
      <c r="X375" s="2"/>
      <c r="Y375" s="2"/>
      <c r="Z375" s="2"/>
      <c r="AA375" s="2"/>
      <c r="AB375" s="2"/>
    </row>
    <row r="376" spans="1:28" customHeight="true">
      <c r="A376" s="2" t="s">
        <v>603</v>
      </c>
      <c r="B376" s="15">
        <v>45968</v>
      </c>
      <c r="C376" s="2" t="s">
        <v>604</v>
      </c>
      <c r="D376" s="3">
        <v>20</v>
      </c>
      <c r="E376" s="16" t="str">
        <f>IFERROR(__xludf.DUMMYFUNCTION("IFERROR(
  TEXTJOIN(CHAR(10),TRUE,FILTER('SUMMARY DATA'!E:E,'SUMMARY DATA'!$A:$A=$A376,'SUMMARY DATA'!$C:$C=$B376,'SUMMARY DATA'!$B:$B=""RWS"")),
  IF(
    OR(
      ISNUMBER(SEARCH(""CDM CASH DEPOSIT"",$C376)),
      ISNUMBER(SEARCH(""CASH DEPOSIT"",$C37"&amp;"6)),
      COUNTIFS('SUMMARY DATA'!$D:$D,$C376,'SUMMARY DATA'!$B:$B,""RWS"")&lt;&gt;1
    ),
    """",
    IFERROR(TEXTJOIN(CHAR(10),TRUE,FILTER('SUMMARY DATA'!E:E,'SUMMARY DATA'!$D:$D=$C376,'SUMMARY DATA'!$B:$B=""RWS"")),"""")
  )
)"),"")</f>
      </c>
      <c r="F376" s="17" t="str">
        <f>IFERROR(__xludf.DUMMYFUNCTION("IFERROR(
  TEXTJOIN(CHAR(10),TRUE,FILTER('SUMMARY DATA'!F:F,'SUMMARY DATA'!$A:$A=$A376,'SUMMARY DATA'!$C:$C=$B376,'SUMMARY DATA'!$B:$B=""RWS"")),
  IF(
    OR(
      ISNUMBER(SEARCH(""CDM CASH DEPOSIT"",$C376)),
      ISNUMBER(SEARCH(""CASH DEPOSIT"",$C37"&amp;"6)),
      COUNTIFS('SUMMARY DATA'!$D:$D,$C376,'SUMMARY DATA'!$B:$B,""RWS"")&lt;&gt;1
    ),
    """",
    IFERROR(TEXTJOIN(CHAR(10),TRUE,FILTER('SUMMARY DATA'!F:F,'SUMMARY DATA'!$D:$D=$C376,'SUMMARY DATA'!$B:$B=""RWS"")),"""")
  )
)"),"")</f>
      </c>
      <c r="G376" s="17" t="str">
        <f>IFERROR(__xludf.DUMMYFUNCTION("IFERROR(
  TEXTJOIN(CHAR(10),TRUE,FILTER('SUMMARY DATA'!G:G,'SUMMARY DATA'!$A:$A=$A376,'SUMMARY DATA'!$C:$C=$B376,'SUMMARY DATA'!$B:$B=""RWS"")),
  IF(
    OR(
      ISNUMBER(SEARCH(""CDM CASH DEPOSIT"",$C376)),
      ISNUMBER(SEARCH(""CASH DEPOSIT"",$C37"&amp;"6)),
      COUNTIFS('SUMMARY DATA'!$D:$D,$C376,'SUMMARY DATA'!$B:$B,""RWS"")&lt;&gt;1
    ),
    """",
    IFERROR(TEXTJOIN(CHAR(10),TRUE,FILTER('SUMMARY DATA'!G:G,'SUMMARY DATA'!$D:$D=$C376,'SUMMARY DATA'!$B:$B=""RWS"")),"""")
  )
)"),"")</f>
      </c>
      <c r="H376" s="18" t="str">
        <f>IFERROR(__xludf.DUMMYFUNCTION("IFERROR(
  TEXTJOIN(CHAR(10),TRUE,FILTER('SUMMARY DATA'!H:H,'SUMMARY DATA'!$A:$A=$A376,'SUMMARY DATA'!$C:$C=$B376,'SUMMARY DATA'!$B:$B=""RWS"",'SUMMARY DATA'!$H:$H=$D376)),
  IF(
    OR(
      ISNUMBER(SEARCH(""CDM CASH DEPOSIT"",$C376)),
      ISNUMBER(S"&amp;"EARCH(""CASH DEPOSIT"",$C376))
    ),
    """",
    IFERROR(TEXTJOIN(CHAR(10),TRUE,FILTER('SUMMARY DATA'!H:H,'SUMMARY DATA'!$D:$D=$C376,'SUMMARY DATA'!$B:$B=""RWS"",'SUMMARY DATA'!$H:$H=$D376)),"""")
  )
)"),"")</f>
      </c>
      <c r="I376" s="18" t="str">
        <f>IFERROR(__xludf.DUMMYFUNCTION("IF(H376="""","""",
SUM(ARRAYFORMULA(VALUE(SPLIT(H376,CHAR(10)))))
)"),"")</f>
      </c>
      <c r="J376" s="17" t="str">
        <f>IFERROR(__xludf.DUMMYFUNCTION("IFERROR(
  TEXTJOIN(CHAR(10),TRUE,FILTER('SUMMARY DATA'!I:I,'SUMMARY DATA'!$A:$A=$A376,'SUMMARY DATA'!$C:$C=$B376,'SUMMARY DATA'!$B:$B=""RWS"")),
  IF(
    OR(
      ISNUMBER(SEARCH(""CDM CASH DEPOSIT"",$C376)),
      ISNUMBER(SEARCH(""CASH DEPOSIT"",$C37"&amp;"6)),
      COUNTIFS('SUMMARY DATA'!$D:$D,$C376,'SUMMARY DATA'!$B:$B,""RWS"")&lt;&gt;1
    ),
    """",
    IFERROR(TEXTJOIN(CHAR(10),TRUE,FILTER('SUMMARY DATA'!I:I,'SUMMARY DATA'!$D:$D=$C376,'SUMMARY DATA'!$B:$B=""RWS"")),"""")
  )
)"),"")</f>
      </c>
      <c r="K376" s="2"/>
      <c r="L376" s="2"/>
      <c r="M376" s="2"/>
      <c r="N376" s="2"/>
      <c r="O376" s="2"/>
      <c r="P376" s="2"/>
      <c r="Q376" s="2"/>
      <c r="R376" s="2"/>
      <c r="S376" s="2"/>
      <c r="T376" s="2"/>
      <c r="U376" s="2"/>
      <c r="V376" s="2"/>
      <c r="W376" s="2"/>
      <c r="X376" s="2"/>
      <c r="Y376" s="2"/>
      <c r="Z376" s="2"/>
      <c r="AA376" s="2"/>
      <c r="AB376" s="2"/>
    </row>
    <row r="377" spans="1:28" customHeight="true">
      <c r="A377" s="2" t="s">
        <v>605</v>
      </c>
      <c r="B377" s="15">
        <v>45968</v>
      </c>
      <c r="C377" s="2" t="s">
        <v>606</v>
      </c>
      <c r="D377" s="3">
        <v>0</v>
      </c>
      <c r="E377" s="16" t="str">
        <f>IFERROR(__xludf.DUMMYFUNCTION("IFERROR(
  TEXTJOIN(CHAR(10),TRUE,FILTER('SUMMARY DATA'!E:E,'SUMMARY DATA'!$A:$A=$A377,'SUMMARY DATA'!$C:$C=$B377,'SUMMARY DATA'!$B:$B=""RWS"")),
  IF(
    OR(
      ISNUMBER(SEARCH(""CDM CASH DEPOSIT"",$C377)),
      ISNUMBER(SEARCH(""CASH DEPOSIT"",$C37"&amp;"7)),
      COUNTIFS('SUMMARY DATA'!$D:$D,$C377,'SUMMARY DATA'!$B:$B,""RWS"")&lt;&gt;1
    ),
    """",
    IFERROR(TEXTJOIN(CHAR(10),TRUE,FILTER('SUMMARY DATA'!E:E,'SUMMARY DATA'!$D:$D=$C377,'SUMMARY DATA'!$B:$B=""RWS"")),"""")
  )
)"),"")</f>
      </c>
      <c r="F377" s="17" t="str">
        <f>IFERROR(__xludf.DUMMYFUNCTION("IFERROR(
  TEXTJOIN(CHAR(10),TRUE,FILTER('SUMMARY DATA'!F:F,'SUMMARY DATA'!$A:$A=$A377,'SUMMARY DATA'!$C:$C=$B377,'SUMMARY DATA'!$B:$B=""RWS"")),
  IF(
    OR(
      ISNUMBER(SEARCH(""CDM CASH DEPOSIT"",$C377)),
      ISNUMBER(SEARCH(""CASH DEPOSIT"",$C37"&amp;"7)),
      COUNTIFS('SUMMARY DATA'!$D:$D,$C377,'SUMMARY DATA'!$B:$B,""RWS"")&lt;&gt;1
    ),
    """",
    IFERROR(TEXTJOIN(CHAR(10),TRUE,FILTER('SUMMARY DATA'!F:F,'SUMMARY DATA'!$D:$D=$C377,'SUMMARY DATA'!$B:$B=""RWS"")),"""")
  )
)"),"")</f>
      </c>
      <c r="G377" s="17" t="str">
        <f>IFERROR(__xludf.DUMMYFUNCTION("IFERROR(
  TEXTJOIN(CHAR(10),TRUE,FILTER('SUMMARY DATA'!G:G,'SUMMARY DATA'!$A:$A=$A377,'SUMMARY DATA'!$C:$C=$B377,'SUMMARY DATA'!$B:$B=""RWS"")),
  IF(
    OR(
      ISNUMBER(SEARCH(""CDM CASH DEPOSIT"",$C377)),
      ISNUMBER(SEARCH(""CASH DEPOSIT"",$C37"&amp;"7)),
      COUNTIFS('SUMMARY DATA'!$D:$D,$C377,'SUMMARY DATA'!$B:$B,""RWS"")&lt;&gt;1
    ),
    """",
    IFERROR(TEXTJOIN(CHAR(10),TRUE,FILTER('SUMMARY DATA'!G:G,'SUMMARY DATA'!$D:$D=$C377,'SUMMARY DATA'!$B:$B=""RWS"")),"""")
  )
)"),"")</f>
      </c>
      <c r="H377" s="18" t="str">
        <f>IFERROR(__xludf.DUMMYFUNCTION("IFERROR(
  TEXTJOIN(CHAR(10),TRUE,FILTER('SUMMARY DATA'!H:H,'SUMMARY DATA'!$A:$A=$A377,'SUMMARY DATA'!$C:$C=$B377,'SUMMARY DATA'!$B:$B=""RWS"",'SUMMARY DATA'!$H:$H=$D377)),
  IF(
    OR(
      ISNUMBER(SEARCH(""CDM CASH DEPOSIT"",$C377)),
      ISNUMBER(S"&amp;"EARCH(""CASH DEPOSIT"",$C377))
    ),
    """",
    IFERROR(TEXTJOIN(CHAR(10),TRUE,FILTER('SUMMARY DATA'!H:H,'SUMMARY DATA'!$D:$D=$C377,'SUMMARY DATA'!$B:$B=""RWS"",'SUMMARY DATA'!$H:$H=$D377)),"""")
  )
)"),"")</f>
      </c>
      <c r="I377" s="18" t="str">
        <f>IFERROR(__xludf.DUMMYFUNCTION("IF(H377="""","""",
SUM(ARRAYFORMULA(VALUE(SPLIT(H377,CHAR(10)))))
)"),"")</f>
      </c>
      <c r="J377" s="17" t="str">
        <f>IFERROR(__xludf.DUMMYFUNCTION("IFERROR(
  TEXTJOIN(CHAR(10),TRUE,FILTER('SUMMARY DATA'!I:I,'SUMMARY DATA'!$A:$A=$A377,'SUMMARY DATA'!$C:$C=$B377,'SUMMARY DATA'!$B:$B=""RWS"")),
  IF(
    OR(
      ISNUMBER(SEARCH(""CDM CASH DEPOSIT"",$C377)),
      ISNUMBER(SEARCH(""CASH DEPOSIT"",$C37"&amp;"7)),
      COUNTIFS('SUMMARY DATA'!$D:$D,$C377,'SUMMARY DATA'!$B:$B,""RWS"")&lt;&gt;1
    ),
    """",
    IFERROR(TEXTJOIN(CHAR(10),TRUE,FILTER('SUMMARY DATA'!I:I,'SUMMARY DATA'!$D:$D=$C377,'SUMMARY DATA'!$B:$B=""RWS"")),"""")
  )
)"),"")</f>
      </c>
      <c r="K377" s="2"/>
      <c r="L377" s="2"/>
      <c r="M377" s="2"/>
      <c r="N377" s="2"/>
      <c r="O377" s="2"/>
      <c r="P377" s="2"/>
      <c r="Q377" s="2"/>
      <c r="R377" s="2"/>
      <c r="S377" s="2"/>
      <c r="T377" s="2"/>
      <c r="U377" s="2"/>
      <c r="V377" s="2"/>
      <c r="W377" s="2"/>
      <c r="X377" s="2"/>
      <c r="Y377" s="2"/>
      <c r="Z377" s="2"/>
      <c r="AA377" s="2"/>
      <c r="AB377" s="2"/>
    </row>
    <row r="378" spans="1:28" customHeight="true">
      <c r="A378" s="2" t="s">
        <v>607</v>
      </c>
      <c r="B378" s="15">
        <v>45968</v>
      </c>
      <c r="C378" s="2" t="s">
        <v>608</v>
      </c>
      <c r="D378" s="3">
        <v>13.6</v>
      </c>
      <c r="E378" s="16" t="s">
        <v>2423</v>
      </c>
      <c r="F378" s="17" t="s">
        <v>2482</v>
      </c>
      <c r="G378" s="17" t="s">
        <v>2393</v>
      </c>
      <c r="H378" s="18">
        <v>13.6</v>
      </c>
      <c r="I378" s="18">
        <v>13.6</v>
      </c>
      <c r="J378" s="17" t="s">
        <v>2394</v>
      </c>
      <c r="K378" s="2" t="s">
        <v>2395</v>
      </c>
      <c r="L378" s="2"/>
      <c r="M378" s="2"/>
      <c r="N378" s="2"/>
      <c r="O378" s="2"/>
      <c r="P378" s="2"/>
      <c r="Q378" s="2"/>
      <c r="R378" s="2"/>
      <c r="S378" s="2"/>
      <c r="T378" s="2"/>
      <c r="U378" s="2"/>
      <c r="V378" s="2"/>
      <c r="W378" s="2"/>
      <c r="X378" s="2"/>
      <c r="Y378" s="2"/>
      <c r="Z378" s="2"/>
      <c r="AA378" s="2"/>
      <c r="AB378" s="2"/>
    </row>
    <row r="379" spans="1:28" customHeight="true">
      <c r="A379" s="2" t="s">
        <v>609</v>
      </c>
      <c r="B379" s="15">
        <v>45968</v>
      </c>
      <c r="C379" s="2" t="s">
        <v>610</v>
      </c>
      <c r="D379" s="3">
        <v>0</v>
      </c>
      <c r="E379" s="16" t="str">
        <f>IFERROR(__xludf.DUMMYFUNCTION("IFERROR(
  TEXTJOIN(CHAR(10),TRUE,FILTER('SUMMARY DATA'!E:E,'SUMMARY DATA'!$A:$A=$A379,'SUMMARY DATA'!$C:$C=$B379,'SUMMARY DATA'!$B:$B=""RWS"")),
  IF(
    OR(
      ISNUMBER(SEARCH(""CDM CASH DEPOSIT"",$C379)),
      ISNUMBER(SEARCH(""CASH DEPOSIT"",$C37"&amp;"9)),
      COUNTIFS('SUMMARY DATA'!$D:$D,$C379,'SUMMARY DATA'!$B:$B,""RWS"")&lt;&gt;1
    ),
    """",
    IFERROR(TEXTJOIN(CHAR(10),TRUE,FILTER('SUMMARY DATA'!E:E,'SUMMARY DATA'!$D:$D=$C379,'SUMMARY DATA'!$B:$B=""RWS"")),"""")
  )
)"),"")</f>
      </c>
      <c r="F379" s="17" t="str">
        <f>IFERROR(__xludf.DUMMYFUNCTION("IFERROR(
  TEXTJOIN(CHAR(10),TRUE,FILTER('SUMMARY DATA'!F:F,'SUMMARY DATA'!$A:$A=$A379,'SUMMARY DATA'!$C:$C=$B379,'SUMMARY DATA'!$B:$B=""RWS"")),
  IF(
    OR(
      ISNUMBER(SEARCH(""CDM CASH DEPOSIT"",$C379)),
      ISNUMBER(SEARCH(""CASH DEPOSIT"",$C37"&amp;"9)),
      COUNTIFS('SUMMARY DATA'!$D:$D,$C379,'SUMMARY DATA'!$B:$B,""RWS"")&lt;&gt;1
    ),
    """",
    IFERROR(TEXTJOIN(CHAR(10),TRUE,FILTER('SUMMARY DATA'!F:F,'SUMMARY DATA'!$D:$D=$C379,'SUMMARY DATA'!$B:$B=""RWS"")),"""")
  )
)"),"")</f>
      </c>
      <c r="G379" s="17" t="str">
        <f>IFERROR(__xludf.DUMMYFUNCTION("IFERROR(
  TEXTJOIN(CHAR(10),TRUE,FILTER('SUMMARY DATA'!G:G,'SUMMARY DATA'!$A:$A=$A379,'SUMMARY DATA'!$C:$C=$B379,'SUMMARY DATA'!$B:$B=""RWS"")),
  IF(
    OR(
      ISNUMBER(SEARCH(""CDM CASH DEPOSIT"",$C379)),
      ISNUMBER(SEARCH(""CASH DEPOSIT"",$C37"&amp;"9)),
      COUNTIFS('SUMMARY DATA'!$D:$D,$C379,'SUMMARY DATA'!$B:$B,""RWS"")&lt;&gt;1
    ),
    """",
    IFERROR(TEXTJOIN(CHAR(10),TRUE,FILTER('SUMMARY DATA'!G:G,'SUMMARY DATA'!$D:$D=$C379,'SUMMARY DATA'!$B:$B=""RWS"")),"""")
  )
)"),"")</f>
      </c>
      <c r="H379" s="18" t="str">
        <f>IFERROR(__xludf.DUMMYFUNCTION("IFERROR(
  TEXTJOIN(CHAR(10),TRUE,FILTER('SUMMARY DATA'!H:H,'SUMMARY DATA'!$A:$A=$A379,'SUMMARY DATA'!$C:$C=$B379,'SUMMARY DATA'!$B:$B=""RWS"",'SUMMARY DATA'!$H:$H=$D379)),
  IF(
    OR(
      ISNUMBER(SEARCH(""CDM CASH DEPOSIT"",$C379)),
      ISNUMBER(S"&amp;"EARCH(""CASH DEPOSIT"",$C379))
    ),
    """",
    IFERROR(TEXTJOIN(CHAR(10),TRUE,FILTER('SUMMARY DATA'!H:H,'SUMMARY DATA'!$D:$D=$C379,'SUMMARY DATA'!$B:$B=""RWS"",'SUMMARY DATA'!$H:$H=$D379)),"""")
  )
)"),"")</f>
      </c>
      <c r="I379" s="18" t="str">
        <f>IFERROR(__xludf.DUMMYFUNCTION("IF(H379="""","""",
SUM(ARRAYFORMULA(VALUE(SPLIT(H379,CHAR(10)))))
)"),"")</f>
      </c>
      <c r="J379" s="17" t="str">
        <f>IFERROR(__xludf.DUMMYFUNCTION("IFERROR(
  TEXTJOIN(CHAR(10),TRUE,FILTER('SUMMARY DATA'!I:I,'SUMMARY DATA'!$A:$A=$A379,'SUMMARY DATA'!$C:$C=$B379,'SUMMARY DATA'!$B:$B=""RWS"")),
  IF(
    OR(
      ISNUMBER(SEARCH(""CDM CASH DEPOSIT"",$C379)),
      ISNUMBER(SEARCH(""CASH DEPOSIT"",$C37"&amp;"9)),
      COUNTIFS('SUMMARY DATA'!$D:$D,$C379,'SUMMARY DATA'!$B:$B,""RWS"")&lt;&gt;1
    ),
    """",
    IFERROR(TEXTJOIN(CHAR(10),TRUE,FILTER('SUMMARY DATA'!I:I,'SUMMARY DATA'!$D:$D=$C379,'SUMMARY DATA'!$B:$B=""RWS"")),"""")
  )
)"),"")</f>
      </c>
      <c r="K379" s="2"/>
      <c r="L379" s="2"/>
      <c r="M379" s="2"/>
      <c r="N379" s="2"/>
      <c r="O379" s="2"/>
      <c r="P379" s="2"/>
      <c r="Q379" s="2"/>
      <c r="R379" s="2"/>
      <c r="S379" s="2"/>
      <c r="T379" s="2"/>
      <c r="U379" s="2"/>
      <c r="V379" s="2"/>
      <c r="W379" s="2"/>
      <c r="X379" s="2"/>
      <c r="Y379" s="2"/>
      <c r="Z379" s="2"/>
      <c r="AA379" s="2"/>
      <c r="AB379" s="2"/>
    </row>
    <row r="380" spans="1:28" customHeight="true">
      <c r="A380" s="2" t="s">
        <v>611</v>
      </c>
      <c r="B380" s="15">
        <v>45968</v>
      </c>
      <c r="C380" s="2" t="s">
        <v>612</v>
      </c>
      <c r="D380" s="3">
        <v>30.03</v>
      </c>
      <c r="E380" s="16" t="s">
        <v>2480</v>
      </c>
      <c r="F380" s="17" t="s">
        <v>2483</v>
      </c>
      <c r="G380" s="17" t="s">
        <v>2393</v>
      </c>
      <c r="H380" s="18">
        <v>30.03</v>
      </c>
      <c r="I380" s="18">
        <v>30.03</v>
      </c>
      <c r="J380" s="17" t="s">
        <v>2394</v>
      </c>
      <c r="K380" s="2" t="s">
        <v>2395</v>
      </c>
      <c r="L380" s="2"/>
      <c r="M380" s="2"/>
      <c r="N380" s="2"/>
      <c r="O380" s="2"/>
      <c r="P380" s="2"/>
      <c r="Q380" s="2"/>
      <c r="R380" s="2"/>
      <c r="S380" s="2"/>
      <c r="T380" s="2"/>
      <c r="U380" s="2"/>
      <c r="V380" s="2"/>
      <c r="W380" s="2"/>
      <c r="X380" s="2"/>
      <c r="Y380" s="2"/>
      <c r="Z380" s="2"/>
      <c r="AA380" s="2"/>
      <c r="AB380" s="2"/>
    </row>
    <row r="381" spans="1:28" customHeight="true">
      <c r="A381" s="2" t="s">
        <v>613</v>
      </c>
      <c r="B381" s="15">
        <v>45968</v>
      </c>
      <c r="C381" s="2" t="s">
        <v>614</v>
      </c>
      <c r="D381" s="3">
        <v>28</v>
      </c>
      <c r="E381" s="16" t="str">
        <f>IFERROR(__xludf.DUMMYFUNCTION("IFERROR(
  TEXTJOIN(CHAR(10),TRUE,FILTER('SUMMARY DATA'!E:E,'SUMMARY DATA'!$A:$A=$A381,'SUMMARY DATA'!$C:$C=$B381,'SUMMARY DATA'!$B:$B=""RWS"")),
  IF(
    OR(
      ISNUMBER(SEARCH(""CDM CASH DEPOSIT"",$C381)),
      ISNUMBER(SEARCH(""CASH DEPOSIT"",$C38"&amp;"1)),
      COUNTIFS('SUMMARY DATA'!$D:$D,$C381,'SUMMARY DATA'!$B:$B,""RWS"")&lt;&gt;1
    ),
    """",
    IFERROR(TEXTJOIN(CHAR(10),TRUE,FILTER('SUMMARY DATA'!E:E,'SUMMARY DATA'!$D:$D=$C381,'SUMMARY DATA'!$B:$B=""RWS"")),"""")
  )
)"),"")</f>
      </c>
      <c r="F381" s="17" t="str">
        <f>IFERROR(__xludf.DUMMYFUNCTION("IFERROR(
  TEXTJOIN(CHAR(10),TRUE,FILTER('SUMMARY DATA'!F:F,'SUMMARY DATA'!$A:$A=$A381,'SUMMARY DATA'!$C:$C=$B381,'SUMMARY DATA'!$B:$B=""RWS"")),
  IF(
    OR(
      ISNUMBER(SEARCH(""CDM CASH DEPOSIT"",$C381)),
      ISNUMBER(SEARCH(""CASH DEPOSIT"",$C38"&amp;"1)),
      COUNTIFS('SUMMARY DATA'!$D:$D,$C381,'SUMMARY DATA'!$B:$B,""RWS"")&lt;&gt;1
    ),
    """",
    IFERROR(TEXTJOIN(CHAR(10),TRUE,FILTER('SUMMARY DATA'!F:F,'SUMMARY DATA'!$D:$D=$C381,'SUMMARY DATA'!$B:$B=""RWS"")),"""")
  )
)"),"")</f>
      </c>
      <c r="G381" s="17" t="str">
        <f>IFERROR(__xludf.DUMMYFUNCTION("IFERROR(
  TEXTJOIN(CHAR(10),TRUE,FILTER('SUMMARY DATA'!G:G,'SUMMARY DATA'!$A:$A=$A381,'SUMMARY DATA'!$C:$C=$B381,'SUMMARY DATA'!$B:$B=""RWS"")),
  IF(
    OR(
      ISNUMBER(SEARCH(""CDM CASH DEPOSIT"",$C381)),
      ISNUMBER(SEARCH(""CASH DEPOSIT"",$C38"&amp;"1)),
      COUNTIFS('SUMMARY DATA'!$D:$D,$C381,'SUMMARY DATA'!$B:$B,""RWS"")&lt;&gt;1
    ),
    """",
    IFERROR(TEXTJOIN(CHAR(10),TRUE,FILTER('SUMMARY DATA'!G:G,'SUMMARY DATA'!$D:$D=$C381,'SUMMARY DATA'!$B:$B=""RWS"")),"""")
  )
)"),"")</f>
      </c>
      <c r="H381" s="18" t="str">
        <f>IFERROR(__xludf.DUMMYFUNCTION("IFERROR(
  TEXTJOIN(CHAR(10),TRUE,FILTER('SUMMARY DATA'!H:H,'SUMMARY DATA'!$A:$A=$A381,'SUMMARY DATA'!$C:$C=$B381,'SUMMARY DATA'!$B:$B=""RWS"",'SUMMARY DATA'!$H:$H=$D381)),
  IF(
    OR(
      ISNUMBER(SEARCH(""CDM CASH DEPOSIT"",$C381)),
      ISNUMBER(S"&amp;"EARCH(""CASH DEPOSIT"",$C381))
    ),
    """",
    IFERROR(TEXTJOIN(CHAR(10),TRUE,FILTER('SUMMARY DATA'!H:H,'SUMMARY DATA'!$D:$D=$C381,'SUMMARY DATA'!$B:$B=""RWS"",'SUMMARY DATA'!$H:$H=$D381)),"""")
  )
)"),"")</f>
      </c>
      <c r="I381" s="18" t="str">
        <f>IFERROR(__xludf.DUMMYFUNCTION("IF(H381="""","""",
SUM(ARRAYFORMULA(VALUE(SPLIT(H381,CHAR(10)))))
)"),"")</f>
      </c>
      <c r="J381" s="17" t="str">
        <f>IFERROR(__xludf.DUMMYFUNCTION("IFERROR(
  TEXTJOIN(CHAR(10),TRUE,FILTER('SUMMARY DATA'!I:I,'SUMMARY DATA'!$A:$A=$A381,'SUMMARY DATA'!$C:$C=$B381,'SUMMARY DATA'!$B:$B=""RWS"")),
  IF(
    OR(
      ISNUMBER(SEARCH(""CDM CASH DEPOSIT"",$C381)),
      ISNUMBER(SEARCH(""CASH DEPOSIT"",$C38"&amp;"1)),
      COUNTIFS('SUMMARY DATA'!$D:$D,$C381,'SUMMARY DATA'!$B:$B,""RWS"")&lt;&gt;1
    ),
    """",
    IFERROR(TEXTJOIN(CHAR(10),TRUE,FILTER('SUMMARY DATA'!I:I,'SUMMARY DATA'!$D:$D=$C381,'SUMMARY DATA'!$B:$B=""RWS"")),"""")
  )
)"),"")</f>
      </c>
      <c r="K381" s="2"/>
      <c r="L381" s="2"/>
      <c r="M381" s="2"/>
      <c r="N381" s="2"/>
      <c r="O381" s="2"/>
      <c r="P381" s="2"/>
      <c r="Q381" s="2"/>
      <c r="R381" s="2"/>
      <c r="S381" s="2"/>
      <c r="T381" s="2"/>
      <c r="U381" s="2"/>
      <c r="V381" s="2"/>
      <c r="W381" s="2"/>
      <c r="X381" s="2"/>
      <c r="Y381" s="2"/>
      <c r="Z381" s="2"/>
      <c r="AA381" s="2"/>
      <c r="AB381" s="2"/>
    </row>
    <row r="382" spans="1:28" customHeight="true">
      <c r="A382" s="2" t="s">
        <v>615</v>
      </c>
      <c r="B382" s="15">
        <v>45968</v>
      </c>
      <c r="C382" s="2" t="s">
        <v>616</v>
      </c>
      <c r="D382" s="3">
        <v>306.25</v>
      </c>
      <c r="E382" s="16" t="s">
        <v>2413</v>
      </c>
      <c r="F382" s="17" t="s">
        <v>2484</v>
      </c>
      <c r="G382" s="17" t="s">
        <v>2393</v>
      </c>
      <c r="H382" s="18">
        <v>306.25</v>
      </c>
      <c r="I382" s="18">
        <v>306.25</v>
      </c>
      <c r="J382" s="17" t="s">
        <v>2394</v>
      </c>
      <c r="K382" s="2" t="s">
        <v>2395</v>
      </c>
      <c r="L382" s="2"/>
      <c r="M382" s="2"/>
      <c r="N382" s="2"/>
      <c r="O382" s="2"/>
      <c r="P382" s="2"/>
      <c r="Q382" s="2"/>
      <c r="R382" s="2"/>
      <c r="S382" s="2"/>
      <c r="T382" s="2"/>
      <c r="U382" s="2"/>
      <c r="V382" s="2"/>
      <c r="W382" s="2"/>
      <c r="X382" s="2"/>
      <c r="Y382" s="2"/>
      <c r="Z382" s="2"/>
      <c r="AA382" s="2"/>
      <c r="AB382" s="2"/>
    </row>
    <row r="383" spans="1:28" customHeight="true">
      <c r="A383" s="2" t="s">
        <v>617</v>
      </c>
      <c r="B383" s="15">
        <v>45967</v>
      </c>
      <c r="C383" s="2" t="s">
        <v>618</v>
      </c>
      <c r="D383" s="3">
        <v>20.99</v>
      </c>
      <c r="E383" s="16" t="str">
        <f>IFERROR(__xludf.DUMMYFUNCTION("IFERROR(
  TEXTJOIN(CHAR(10),TRUE,FILTER('SUMMARY DATA'!E:E,'SUMMARY DATA'!$A:$A=$A383,'SUMMARY DATA'!$C:$C=$B383,'SUMMARY DATA'!$B:$B=""RWS"")),
  IF(
    OR(
      ISNUMBER(SEARCH(""CDM CASH DEPOSIT"",$C383)),
      ISNUMBER(SEARCH(""CASH DEPOSIT"",$C38"&amp;"3)),
      COUNTIFS('SUMMARY DATA'!$D:$D,$C383,'SUMMARY DATA'!$B:$B,""RWS"")&lt;&gt;1
    ),
    """",
    IFERROR(TEXTJOIN(CHAR(10),TRUE,FILTER('SUMMARY DATA'!E:E,'SUMMARY DATA'!$D:$D=$C383,'SUMMARY DATA'!$B:$B=""RWS"")),"""")
  )
)"),"")</f>
      </c>
      <c r="F383" s="17" t="str">
        <f>IFERROR(__xludf.DUMMYFUNCTION("IFERROR(
  TEXTJOIN(CHAR(10),TRUE,FILTER('SUMMARY DATA'!F:F,'SUMMARY DATA'!$A:$A=$A383,'SUMMARY DATA'!$C:$C=$B383,'SUMMARY DATA'!$B:$B=""RWS"")),
  IF(
    OR(
      ISNUMBER(SEARCH(""CDM CASH DEPOSIT"",$C383)),
      ISNUMBER(SEARCH(""CASH DEPOSIT"",$C38"&amp;"3)),
      COUNTIFS('SUMMARY DATA'!$D:$D,$C383,'SUMMARY DATA'!$B:$B,""RWS"")&lt;&gt;1
    ),
    """",
    IFERROR(TEXTJOIN(CHAR(10),TRUE,FILTER('SUMMARY DATA'!F:F,'SUMMARY DATA'!$D:$D=$C383,'SUMMARY DATA'!$B:$B=""RWS"")),"""")
  )
)"),"")</f>
      </c>
      <c r="G383" s="17" t="str">
        <f>IFERROR(__xludf.DUMMYFUNCTION("IFERROR(
  TEXTJOIN(CHAR(10),TRUE,FILTER('SUMMARY DATA'!G:G,'SUMMARY DATA'!$A:$A=$A383,'SUMMARY DATA'!$C:$C=$B383,'SUMMARY DATA'!$B:$B=""RWS"")),
  IF(
    OR(
      ISNUMBER(SEARCH(""CDM CASH DEPOSIT"",$C383)),
      ISNUMBER(SEARCH(""CASH DEPOSIT"",$C38"&amp;"3)),
      COUNTIFS('SUMMARY DATA'!$D:$D,$C383,'SUMMARY DATA'!$B:$B,""RWS"")&lt;&gt;1
    ),
    """",
    IFERROR(TEXTJOIN(CHAR(10),TRUE,FILTER('SUMMARY DATA'!G:G,'SUMMARY DATA'!$D:$D=$C383,'SUMMARY DATA'!$B:$B=""RWS"")),"""")
  )
)"),"")</f>
      </c>
      <c r="H383" s="18" t="str">
        <f>IFERROR(__xludf.DUMMYFUNCTION("IFERROR(
  TEXTJOIN(CHAR(10),TRUE,FILTER('SUMMARY DATA'!H:H,'SUMMARY DATA'!$A:$A=$A383,'SUMMARY DATA'!$C:$C=$B383,'SUMMARY DATA'!$B:$B=""RWS"",'SUMMARY DATA'!$H:$H=$D383)),
  IF(
    OR(
      ISNUMBER(SEARCH(""CDM CASH DEPOSIT"",$C383)),
      ISNUMBER(S"&amp;"EARCH(""CASH DEPOSIT"",$C383))
    ),
    """",
    IFERROR(TEXTJOIN(CHAR(10),TRUE,FILTER('SUMMARY DATA'!H:H,'SUMMARY DATA'!$D:$D=$C383,'SUMMARY DATA'!$B:$B=""RWS"",'SUMMARY DATA'!$H:$H=$D383)),"""")
  )
)"),"")</f>
      </c>
      <c r="I383" s="18" t="str">
        <f>IFERROR(__xludf.DUMMYFUNCTION("IF(H383="""","""",
SUM(ARRAYFORMULA(VALUE(SPLIT(H383,CHAR(10)))))
)"),"")</f>
      </c>
      <c r="J383" s="17" t="str">
        <f>IFERROR(__xludf.DUMMYFUNCTION("IFERROR(
  TEXTJOIN(CHAR(10),TRUE,FILTER('SUMMARY DATA'!I:I,'SUMMARY DATA'!$A:$A=$A383,'SUMMARY DATA'!$C:$C=$B383,'SUMMARY DATA'!$B:$B=""RWS"")),
  IF(
    OR(
      ISNUMBER(SEARCH(""CDM CASH DEPOSIT"",$C383)),
      ISNUMBER(SEARCH(""CASH DEPOSIT"",$C38"&amp;"3)),
      COUNTIFS('SUMMARY DATA'!$D:$D,$C383,'SUMMARY DATA'!$B:$B,""RWS"")&lt;&gt;1
    ),
    """",
    IFERROR(TEXTJOIN(CHAR(10),TRUE,FILTER('SUMMARY DATA'!I:I,'SUMMARY DATA'!$D:$D=$C383,'SUMMARY DATA'!$B:$B=""RWS"")),"""")
  )
)"),"")</f>
      </c>
      <c r="K383" s="2"/>
      <c r="L383" s="2"/>
      <c r="M383" s="2"/>
      <c r="N383" s="2"/>
      <c r="O383" s="2"/>
      <c r="P383" s="2"/>
      <c r="Q383" s="2"/>
      <c r="R383" s="2"/>
      <c r="S383" s="2"/>
      <c r="T383" s="2"/>
      <c r="U383" s="2"/>
      <c r="V383" s="2"/>
      <c r="W383" s="2"/>
      <c r="X383" s="2"/>
      <c r="Y383" s="2"/>
      <c r="Z383" s="2"/>
      <c r="AA383" s="2"/>
      <c r="AB383" s="2"/>
    </row>
    <row r="384" spans="1:28" customHeight="true">
      <c r="A384" s="2" t="s">
        <v>619</v>
      </c>
      <c r="B384" s="15">
        <v>45967</v>
      </c>
      <c r="C384" s="2" t="s">
        <v>620</v>
      </c>
      <c r="D384" s="3">
        <v>420.57</v>
      </c>
      <c r="E384" s="16" t="s">
        <v>2480</v>
      </c>
      <c r="F384" s="17" t="s">
        <v>2485</v>
      </c>
      <c r="G384" s="17" t="s">
        <v>2393</v>
      </c>
      <c r="H384" s="18">
        <v>420.57</v>
      </c>
      <c r="I384" s="18">
        <v>420.57</v>
      </c>
      <c r="J384" s="17" t="s">
        <v>2394</v>
      </c>
      <c r="K384" s="2" t="s">
        <v>2395</v>
      </c>
      <c r="L384" s="2"/>
      <c r="M384" s="2"/>
      <c r="N384" s="2"/>
      <c r="O384" s="2"/>
      <c r="P384" s="2"/>
      <c r="Q384" s="2"/>
      <c r="R384" s="2"/>
      <c r="S384" s="2"/>
      <c r="T384" s="2"/>
      <c r="U384" s="2"/>
      <c r="V384" s="2"/>
      <c r="W384" s="2"/>
      <c r="X384" s="2"/>
      <c r="Y384" s="2"/>
      <c r="Z384" s="2"/>
      <c r="AA384" s="2"/>
      <c r="AB384" s="2"/>
    </row>
    <row r="385" spans="1:28" customHeight="true">
      <c r="A385" s="2" t="s">
        <v>621</v>
      </c>
      <c r="B385" s="15">
        <v>45967</v>
      </c>
      <c r="C385" s="2" t="s">
        <v>622</v>
      </c>
      <c r="D385" s="3">
        <v>259.1</v>
      </c>
      <c r="E385" s="16" t="s">
        <v>2419</v>
      </c>
      <c r="F385" s="17" t="s">
        <v>2486</v>
      </c>
      <c r="G385" s="17" t="s">
        <v>2393</v>
      </c>
      <c r="H385" s="18">
        <v>259.1</v>
      </c>
      <c r="I385" s="18">
        <v>259.1</v>
      </c>
      <c r="J385" s="17" t="s">
        <v>2394</v>
      </c>
      <c r="K385" s="2" t="s">
        <v>2395</v>
      </c>
      <c r="L385" s="2"/>
      <c r="M385" s="2"/>
      <c r="N385" s="2"/>
      <c r="O385" s="2"/>
      <c r="P385" s="2"/>
      <c r="Q385" s="2"/>
      <c r="R385" s="2"/>
      <c r="S385" s="2"/>
      <c r="T385" s="2"/>
      <c r="U385" s="2"/>
      <c r="V385" s="2"/>
      <c r="W385" s="2"/>
      <c r="X385" s="2"/>
      <c r="Y385" s="2"/>
      <c r="Z385" s="2"/>
      <c r="AA385" s="2"/>
      <c r="AB385" s="2"/>
    </row>
    <row r="386" spans="1:28" customHeight="true">
      <c r="A386" s="2" t="s">
        <v>623</v>
      </c>
      <c r="B386" s="15">
        <v>45967</v>
      </c>
      <c r="C386" s="2" t="s">
        <v>624</v>
      </c>
      <c r="D386" s="3">
        <v>314.9</v>
      </c>
      <c r="E386" s="16" t="str">
        <f>IFERROR(__xludf.DUMMYFUNCTION("IFERROR(
  TEXTJOIN(CHAR(10),TRUE,FILTER('SUMMARY DATA'!E:E,'SUMMARY DATA'!$A:$A=$A386,'SUMMARY DATA'!$C:$C=$B386,'SUMMARY DATA'!$B:$B=""RWS"")),
  IF(
    OR(
      ISNUMBER(SEARCH(""CDM CASH DEPOSIT"",$C386)),
      ISNUMBER(SEARCH(""CASH DEPOSIT"",$C38"&amp;"6)),
      COUNTIFS('SUMMARY DATA'!$D:$D,$C386,'SUMMARY DATA'!$B:$B,""RWS"")&lt;&gt;1
    ),
    """",
    IFERROR(TEXTJOIN(CHAR(10),TRUE,FILTER('SUMMARY DATA'!E:E,'SUMMARY DATA'!$D:$D=$C386,'SUMMARY DATA'!$B:$B=""RWS"")),"""")
  )
)"),"")</f>
      </c>
      <c r="F386" s="17" t="str">
        <f>IFERROR(__xludf.DUMMYFUNCTION("IFERROR(
  TEXTJOIN(CHAR(10),TRUE,FILTER('SUMMARY DATA'!F:F,'SUMMARY DATA'!$A:$A=$A386,'SUMMARY DATA'!$C:$C=$B386,'SUMMARY DATA'!$B:$B=""RWS"")),
  IF(
    OR(
      ISNUMBER(SEARCH(""CDM CASH DEPOSIT"",$C386)),
      ISNUMBER(SEARCH(""CASH DEPOSIT"",$C38"&amp;"6)),
      COUNTIFS('SUMMARY DATA'!$D:$D,$C386,'SUMMARY DATA'!$B:$B,""RWS"")&lt;&gt;1
    ),
    """",
    IFERROR(TEXTJOIN(CHAR(10),TRUE,FILTER('SUMMARY DATA'!F:F,'SUMMARY DATA'!$D:$D=$C386,'SUMMARY DATA'!$B:$B=""RWS"")),"""")
  )
)"),"")</f>
      </c>
      <c r="G386" s="17" t="str">
        <f>IFERROR(__xludf.DUMMYFUNCTION("IFERROR(
  TEXTJOIN(CHAR(10),TRUE,FILTER('SUMMARY DATA'!G:G,'SUMMARY DATA'!$A:$A=$A386,'SUMMARY DATA'!$C:$C=$B386,'SUMMARY DATA'!$B:$B=""RWS"")),
  IF(
    OR(
      ISNUMBER(SEARCH(""CDM CASH DEPOSIT"",$C386)),
      ISNUMBER(SEARCH(""CASH DEPOSIT"",$C38"&amp;"6)),
      COUNTIFS('SUMMARY DATA'!$D:$D,$C386,'SUMMARY DATA'!$B:$B,""RWS"")&lt;&gt;1
    ),
    """",
    IFERROR(TEXTJOIN(CHAR(10),TRUE,FILTER('SUMMARY DATA'!G:G,'SUMMARY DATA'!$D:$D=$C386,'SUMMARY DATA'!$B:$B=""RWS"")),"""")
  )
)"),"")</f>
      </c>
      <c r="H386" s="18" t="str">
        <f>IFERROR(__xludf.DUMMYFUNCTION("IFERROR(
  TEXTJOIN(CHAR(10),TRUE,FILTER('SUMMARY DATA'!H:H,'SUMMARY DATA'!$A:$A=$A386,'SUMMARY DATA'!$C:$C=$B386,'SUMMARY DATA'!$B:$B=""RWS"",'SUMMARY DATA'!$H:$H=$D386)),
  IF(
    OR(
      ISNUMBER(SEARCH(""CDM CASH DEPOSIT"",$C386)),
      ISNUMBER(S"&amp;"EARCH(""CASH DEPOSIT"",$C386))
    ),
    """",
    IFERROR(TEXTJOIN(CHAR(10),TRUE,FILTER('SUMMARY DATA'!H:H,'SUMMARY DATA'!$D:$D=$C386,'SUMMARY DATA'!$B:$B=""RWS"",'SUMMARY DATA'!$H:$H=$D386)),"""")
  )
)"),"")</f>
      </c>
      <c r="I386" s="18" t="str">
        <f>IFERROR(__xludf.DUMMYFUNCTION("IF(H386="""","""",
SUM(ARRAYFORMULA(VALUE(SPLIT(H386,CHAR(10)))))
)"),"")</f>
      </c>
      <c r="J386" s="17" t="str">
        <f>IFERROR(__xludf.DUMMYFUNCTION("IFERROR(
  TEXTJOIN(CHAR(10),TRUE,FILTER('SUMMARY DATA'!I:I,'SUMMARY DATA'!$A:$A=$A386,'SUMMARY DATA'!$C:$C=$B386,'SUMMARY DATA'!$B:$B=""RWS"")),
  IF(
    OR(
      ISNUMBER(SEARCH(""CDM CASH DEPOSIT"",$C386)),
      ISNUMBER(SEARCH(""CASH DEPOSIT"",$C38"&amp;"6)),
      COUNTIFS('SUMMARY DATA'!$D:$D,$C386,'SUMMARY DATA'!$B:$B,""RWS"")&lt;&gt;1
    ),
    """",
    IFERROR(TEXTJOIN(CHAR(10),TRUE,FILTER('SUMMARY DATA'!I:I,'SUMMARY DATA'!$D:$D=$C386,'SUMMARY DATA'!$B:$B=""RWS"")),"""")
  )
)"),"")</f>
      </c>
      <c r="K386" s="2"/>
      <c r="L386" s="2"/>
      <c r="M386" s="2"/>
      <c r="N386" s="2"/>
      <c r="O386" s="2"/>
      <c r="P386" s="2"/>
      <c r="Q386" s="2"/>
      <c r="R386" s="2"/>
      <c r="S386" s="2"/>
      <c r="T386" s="2"/>
      <c r="U386" s="2"/>
      <c r="V386" s="2"/>
      <c r="W386" s="2"/>
      <c r="X386" s="2"/>
      <c r="Y386" s="2"/>
      <c r="Z386" s="2"/>
      <c r="AA386" s="2"/>
      <c r="AB386" s="2"/>
    </row>
    <row r="387" spans="1:28" customHeight="true">
      <c r="A387" s="2" t="s">
        <v>625</v>
      </c>
      <c r="B387" s="15">
        <v>45967</v>
      </c>
      <c r="C387" s="2" t="s">
        <v>626</v>
      </c>
      <c r="D387" s="3">
        <v>195.85</v>
      </c>
      <c r="E387" s="16" t="str">
        <f>IFERROR(__xludf.DUMMYFUNCTION("IFERROR(
  TEXTJOIN(CHAR(10),TRUE,FILTER('SUMMARY DATA'!E:E,'SUMMARY DATA'!$A:$A=$A387,'SUMMARY DATA'!$C:$C=$B387,'SUMMARY DATA'!$B:$B=""RWS"")),
  IF(
    OR(
      ISNUMBER(SEARCH(""CDM CASH DEPOSIT"",$C387)),
      ISNUMBER(SEARCH(""CASH DEPOSIT"",$C38"&amp;"7)),
      COUNTIFS('SUMMARY DATA'!$D:$D,$C387,'SUMMARY DATA'!$B:$B,""RWS"")&lt;&gt;1
    ),
    """",
    IFERROR(TEXTJOIN(CHAR(10),TRUE,FILTER('SUMMARY DATA'!E:E,'SUMMARY DATA'!$D:$D=$C387,'SUMMARY DATA'!$B:$B=""RWS"")),"""")
  )
)"),"")</f>
      </c>
      <c r="F387" s="17" t="str">
        <f>IFERROR(__xludf.DUMMYFUNCTION("IFERROR(
  TEXTJOIN(CHAR(10),TRUE,FILTER('SUMMARY DATA'!F:F,'SUMMARY DATA'!$A:$A=$A387,'SUMMARY DATA'!$C:$C=$B387,'SUMMARY DATA'!$B:$B=""RWS"")),
  IF(
    OR(
      ISNUMBER(SEARCH(""CDM CASH DEPOSIT"",$C387)),
      ISNUMBER(SEARCH(""CASH DEPOSIT"",$C38"&amp;"7)),
      COUNTIFS('SUMMARY DATA'!$D:$D,$C387,'SUMMARY DATA'!$B:$B,""RWS"")&lt;&gt;1
    ),
    """",
    IFERROR(TEXTJOIN(CHAR(10),TRUE,FILTER('SUMMARY DATA'!F:F,'SUMMARY DATA'!$D:$D=$C387,'SUMMARY DATA'!$B:$B=""RWS"")),"""")
  )
)"),"")</f>
      </c>
      <c r="G387" s="17" t="str">
        <f>IFERROR(__xludf.DUMMYFUNCTION("IFERROR(
  TEXTJOIN(CHAR(10),TRUE,FILTER('SUMMARY DATA'!G:G,'SUMMARY DATA'!$A:$A=$A387,'SUMMARY DATA'!$C:$C=$B387,'SUMMARY DATA'!$B:$B=""RWS"")),
  IF(
    OR(
      ISNUMBER(SEARCH(""CDM CASH DEPOSIT"",$C387)),
      ISNUMBER(SEARCH(""CASH DEPOSIT"",$C38"&amp;"7)),
      COUNTIFS('SUMMARY DATA'!$D:$D,$C387,'SUMMARY DATA'!$B:$B,""RWS"")&lt;&gt;1
    ),
    """",
    IFERROR(TEXTJOIN(CHAR(10),TRUE,FILTER('SUMMARY DATA'!G:G,'SUMMARY DATA'!$D:$D=$C387,'SUMMARY DATA'!$B:$B=""RWS"")),"""")
  )
)"),"")</f>
      </c>
      <c r="H387" s="18" t="str">
        <f>IFERROR(__xludf.DUMMYFUNCTION("IFERROR(
  TEXTJOIN(CHAR(10),TRUE,FILTER('SUMMARY DATA'!H:H,'SUMMARY DATA'!$A:$A=$A387,'SUMMARY DATA'!$C:$C=$B387,'SUMMARY DATA'!$B:$B=""RWS"",'SUMMARY DATA'!$H:$H=$D387)),
  IF(
    OR(
      ISNUMBER(SEARCH(""CDM CASH DEPOSIT"",$C387)),
      ISNUMBER(S"&amp;"EARCH(""CASH DEPOSIT"",$C387))
    ),
    """",
    IFERROR(TEXTJOIN(CHAR(10),TRUE,FILTER('SUMMARY DATA'!H:H,'SUMMARY DATA'!$D:$D=$C387,'SUMMARY DATA'!$B:$B=""RWS"",'SUMMARY DATA'!$H:$H=$D387)),"""")
  )
)"),"")</f>
      </c>
      <c r="I387" s="18" t="str">
        <f>IFERROR(__xludf.DUMMYFUNCTION("IF(H387="""","""",
SUM(ARRAYFORMULA(VALUE(SPLIT(H387,CHAR(10)))))
)"),"")</f>
      </c>
      <c r="J387" s="17" t="str">
        <f>IFERROR(__xludf.DUMMYFUNCTION("IFERROR(
  TEXTJOIN(CHAR(10),TRUE,FILTER('SUMMARY DATA'!I:I,'SUMMARY DATA'!$A:$A=$A387,'SUMMARY DATA'!$C:$C=$B387,'SUMMARY DATA'!$B:$B=""RWS"")),
  IF(
    OR(
      ISNUMBER(SEARCH(""CDM CASH DEPOSIT"",$C387)),
      ISNUMBER(SEARCH(""CASH DEPOSIT"",$C38"&amp;"7)),
      COUNTIFS('SUMMARY DATA'!$D:$D,$C387,'SUMMARY DATA'!$B:$B,""RWS"")&lt;&gt;1
    ),
    """",
    IFERROR(TEXTJOIN(CHAR(10),TRUE,FILTER('SUMMARY DATA'!I:I,'SUMMARY DATA'!$D:$D=$C387,'SUMMARY DATA'!$B:$B=""RWS"")),"""")
  )
)"),"")</f>
      </c>
      <c r="K387" s="2"/>
      <c r="L387" s="2"/>
      <c r="M387" s="2"/>
      <c r="N387" s="2"/>
      <c r="O387" s="2"/>
      <c r="P387" s="2"/>
      <c r="Q387" s="2"/>
      <c r="R387" s="2"/>
      <c r="S387" s="2"/>
      <c r="T387" s="2"/>
      <c r="U387" s="2"/>
      <c r="V387" s="2"/>
      <c r="W387" s="2"/>
      <c r="X387" s="2"/>
      <c r="Y387" s="2"/>
      <c r="Z387" s="2"/>
      <c r="AA387" s="2"/>
      <c r="AB387" s="2"/>
    </row>
    <row r="388" spans="1:28" customHeight="true">
      <c r="A388" s="2" t="s">
        <v>627</v>
      </c>
      <c r="B388" s="15">
        <v>45967</v>
      </c>
      <c r="C388" s="2" t="s">
        <v>628</v>
      </c>
      <c r="D388" s="3">
        <v>10</v>
      </c>
      <c r="E388" s="16" t="str">
        <f>IFERROR(__xludf.DUMMYFUNCTION("IFERROR(
  TEXTJOIN(CHAR(10),TRUE,FILTER('SUMMARY DATA'!E:E,'SUMMARY DATA'!$A:$A=$A388,'SUMMARY DATA'!$C:$C=$B388,'SUMMARY DATA'!$B:$B=""RWS"")),
  IF(
    OR(
      ISNUMBER(SEARCH(""CDM CASH DEPOSIT"",$C388)),
      ISNUMBER(SEARCH(""CASH DEPOSIT"",$C38"&amp;"8)),
      COUNTIFS('SUMMARY DATA'!$D:$D,$C388,'SUMMARY DATA'!$B:$B,""RWS"")&lt;&gt;1
    ),
    """",
    IFERROR(TEXTJOIN(CHAR(10),TRUE,FILTER('SUMMARY DATA'!E:E,'SUMMARY DATA'!$D:$D=$C388,'SUMMARY DATA'!$B:$B=""RWS"")),"""")
  )
)"),"")</f>
      </c>
      <c r="F388" s="17" t="str">
        <f>IFERROR(__xludf.DUMMYFUNCTION("IFERROR(
  TEXTJOIN(CHAR(10),TRUE,FILTER('SUMMARY DATA'!F:F,'SUMMARY DATA'!$A:$A=$A388,'SUMMARY DATA'!$C:$C=$B388,'SUMMARY DATA'!$B:$B=""RWS"")),
  IF(
    OR(
      ISNUMBER(SEARCH(""CDM CASH DEPOSIT"",$C388)),
      ISNUMBER(SEARCH(""CASH DEPOSIT"",$C38"&amp;"8)),
      COUNTIFS('SUMMARY DATA'!$D:$D,$C388,'SUMMARY DATA'!$B:$B,""RWS"")&lt;&gt;1
    ),
    """",
    IFERROR(TEXTJOIN(CHAR(10),TRUE,FILTER('SUMMARY DATA'!F:F,'SUMMARY DATA'!$D:$D=$C388,'SUMMARY DATA'!$B:$B=""RWS"")),"""")
  )
)"),"")</f>
      </c>
      <c r="G388" s="17" t="str">
        <f>IFERROR(__xludf.DUMMYFUNCTION("IFERROR(
  TEXTJOIN(CHAR(10),TRUE,FILTER('SUMMARY DATA'!G:G,'SUMMARY DATA'!$A:$A=$A388,'SUMMARY DATA'!$C:$C=$B388,'SUMMARY DATA'!$B:$B=""RWS"")),
  IF(
    OR(
      ISNUMBER(SEARCH(""CDM CASH DEPOSIT"",$C388)),
      ISNUMBER(SEARCH(""CASH DEPOSIT"",$C38"&amp;"8)),
      COUNTIFS('SUMMARY DATA'!$D:$D,$C388,'SUMMARY DATA'!$B:$B,""RWS"")&lt;&gt;1
    ),
    """",
    IFERROR(TEXTJOIN(CHAR(10),TRUE,FILTER('SUMMARY DATA'!G:G,'SUMMARY DATA'!$D:$D=$C388,'SUMMARY DATA'!$B:$B=""RWS"")),"""")
  )
)"),"")</f>
      </c>
      <c r="H388" s="18" t="str">
        <f>IFERROR(__xludf.DUMMYFUNCTION("IFERROR(
  TEXTJOIN(CHAR(10),TRUE,FILTER('SUMMARY DATA'!H:H,'SUMMARY DATA'!$A:$A=$A388,'SUMMARY DATA'!$C:$C=$B388,'SUMMARY DATA'!$B:$B=""RWS"",'SUMMARY DATA'!$H:$H=$D388)),
  IF(
    OR(
      ISNUMBER(SEARCH(""CDM CASH DEPOSIT"",$C388)),
      ISNUMBER(S"&amp;"EARCH(""CASH DEPOSIT"",$C388))
    ),
    """",
    IFERROR(TEXTJOIN(CHAR(10),TRUE,FILTER('SUMMARY DATA'!H:H,'SUMMARY DATA'!$D:$D=$C388,'SUMMARY DATA'!$B:$B=""RWS"",'SUMMARY DATA'!$H:$H=$D388)),"""")
  )
)"),"")</f>
      </c>
      <c r="I388" s="18" t="str">
        <f>IFERROR(__xludf.DUMMYFUNCTION("IF(H388="""","""",
SUM(ARRAYFORMULA(VALUE(SPLIT(H388,CHAR(10)))))
)"),"")</f>
      </c>
      <c r="J388" s="17" t="str">
        <f>IFERROR(__xludf.DUMMYFUNCTION("IFERROR(
  TEXTJOIN(CHAR(10),TRUE,FILTER('SUMMARY DATA'!I:I,'SUMMARY DATA'!$A:$A=$A388,'SUMMARY DATA'!$C:$C=$B388,'SUMMARY DATA'!$B:$B=""RWS"")),
  IF(
    OR(
      ISNUMBER(SEARCH(""CDM CASH DEPOSIT"",$C388)),
      ISNUMBER(SEARCH(""CASH DEPOSIT"",$C38"&amp;"8)),
      COUNTIFS('SUMMARY DATA'!$D:$D,$C388,'SUMMARY DATA'!$B:$B,""RWS"")&lt;&gt;1
    ),
    """",
    IFERROR(TEXTJOIN(CHAR(10),TRUE,FILTER('SUMMARY DATA'!I:I,'SUMMARY DATA'!$D:$D=$C388,'SUMMARY DATA'!$B:$B=""RWS"")),"""")
  )
)"),"")</f>
      </c>
      <c r="K388" s="2"/>
      <c r="L388" s="2"/>
      <c r="M388" s="2"/>
      <c r="N388" s="2"/>
      <c r="O388" s="2"/>
      <c r="P388" s="2"/>
      <c r="Q388" s="2"/>
      <c r="R388" s="2"/>
      <c r="S388" s="2"/>
      <c r="T388" s="2"/>
      <c r="U388" s="2"/>
      <c r="V388" s="2"/>
      <c r="W388" s="2"/>
      <c r="X388" s="2"/>
      <c r="Y388" s="2"/>
      <c r="Z388" s="2"/>
      <c r="AA388" s="2"/>
      <c r="AB388" s="2"/>
    </row>
    <row r="389" spans="1:28" customHeight="true">
      <c r="A389" s="2" t="s">
        <v>629</v>
      </c>
      <c r="B389" s="15">
        <v>45967</v>
      </c>
      <c r="C389" s="2" t="s">
        <v>630</v>
      </c>
      <c r="D389" s="3">
        <v>115.7</v>
      </c>
      <c r="E389" s="16" t="str">
        <f>IFERROR(__xludf.DUMMYFUNCTION("IFERROR(
  TEXTJOIN(CHAR(10),TRUE,FILTER('SUMMARY DATA'!E:E,'SUMMARY DATA'!$A:$A=$A389,'SUMMARY DATA'!$C:$C=$B389,'SUMMARY DATA'!$B:$B=""RWS"")),
  IF(
    OR(
      ISNUMBER(SEARCH(""CDM CASH DEPOSIT"",$C389)),
      ISNUMBER(SEARCH(""CASH DEPOSIT"",$C38"&amp;"9)),
      COUNTIFS('SUMMARY DATA'!$D:$D,$C389,'SUMMARY DATA'!$B:$B,""RWS"")&lt;&gt;1
    ),
    """",
    IFERROR(TEXTJOIN(CHAR(10),TRUE,FILTER('SUMMARY DATA'!E:E,'SUMMARY DATA'!$D:$D=$C389,'SUMMARY DATA'!$B:$B=""RWS"")),"""")
  )
)"),"")</f>
      </c>
      <c r="F389" s="17" t="str">
        <f>IFERROR(__xludf.DUMMYFUNCTION("IFERROR(
  TEXTJOIN(CHAR(10),TRUE,FILTER('SUMMARY DATA'!F:F,'SUMMARY DATA'!$A:$A=$A389,'SUMMARY DATA'!$C:$C=$B389,'SUMMARY DATA'!$B:$B=""RWS"")),
  IF(
    OR(
      ISNUMBER(SEARCH(""CDM CASH DEPOSIT"",$C389)),
      ISNUMBER(SEARCH(""CASH DEPOSIT"",$C38"&amp;"9)),
      COUNTIFS('SUMMARY DATA'!$D:$D,$C389,'SUMMARY DATA'!$B:$B,""RWS"")&lt;&gt;1
    ),
    """",
    IFERROR(TEXTJOIN(CHAR(10),TRUE,FILTER('SUMMARY DATA'!F:F,'SUMMARY DATA'!$D:$D=$C389,'SUMMARY DATA'!$B:$B=""RWS"")),"""")
  )
)"),"")</f>
      </c>
      <c r="G389" s="17" t="str">
        <f>IFERROR(__xludf.DUMMYFUNCTION("IFERROR(
  TEXTJOIN(CHAR(10),TRUE,FILTER('SUMMARY DATA'!G:G,'SUMMARY DATA'!$A:$A=$A389,'SUMMARY DATA'!$C:$C=$B389,'SUMMARY DATA'!$B:$B=""RWS"")),
  IF(
    OR(
      ISNUMBER(SEARCH(""CDM CASH DEPOSIT"",$C389)),
      ISNUMBER(SEARCH(""CASH DEPOSIT"",$C38"&amp;"9)),
      COUNTIFS('SUMMARY DATA'!$D:$D,$C389,'SUMMARY DATA'!$B:$B,""RWS"")&lt;&gt;1
    ),
    """",
    IFERROR(TEXTJOIN(CHAR(10),TRUE,FILTER('SUMMARY DATA'!G:G,'SUMMARY DATA'!$D:$D=$C389,'SUMMARY DATA'!$B:$B=""RWS"")),"""")
  )
)"),"")</f>
      </c>
      <c r="H389" s="18" t="str">
        <f>IFERROR(__xludf.DUMMYFUNCTION("IFERROR(
  TEXTJOIN(CHAR(10),TRUE,FILTER('SUMMARY DATA'!H:H,'SUMMARY DATA'!$A:$A=$A389,'SUMMARY DATA'!$C:$C=$B389,'SUMMARY DATA'!$B:$B=""RWS"",'SUMMARY DATA'!$H:$H=$D389)),
  IF(
    OR(
      ISNUMBER(SEARCH(""CDM CASH DEPOSIT"",$C389)),
      ISNUMBER(S"&amp;"EARCH(""CASH DEPOSIT"",$C389))
    ),
    """",
    IFERROR(TEXTJOIN(CHAR(10),TRUE,FILTER('SUMMARY DATA'!H:H,'SUMMARY DATA'!$D:$D=$C389,'SUMMARY DATA'!$B:$B=""RWS"",'SUMMARY DATA'!$H:$H=$D389)),"""")
  )
)"),"")</f>
      </c>
      <c r="I389" s="18" t="str">
        <f>IFERROR(__xludf.DUMMYFUNCTION("IF(H389="""","""",
SUM(ARRAYFORMULA(VALUE(SPLIT(H389,CHAR(10)))))
)"),"")</f>
      </c>
      <c r="J389" s="17" t="str">
        <f>IFERROR(__xludf.DUMMYFUNCTION("IFERROR(
  TEXTJOIN(CHAR(10),TRUE,FILTER('SUMMARY DATA'!I:I,'SUMMARY DATA'!$A:$A=$A389,'SUMMARY DATA'!$C:$C=$B389,'SUMMARY DATA'!$B:$B=""RWS"")),
  IF(
    OR(
      ISNUMBER(SEARCH(""CDM CASH DEPOSIT"",$C389)),
      ISNUMBER(SEARCH(""CASH DEPOSIT"",$C38"&amp;"9)),
      COUNTIFS('SUMMARY DATA'!$D:$D,$C389,'SUMMARY DATA'!$B:$B,""RWS"")&lt;&gt;1
    ),
    """",
    IFERROR(TEXTJOIN(CHAR(10),TRUE,FILTER('SUMMARY DATA'!I:I,'SUMMARY DATA'!$D:$D=$C389,'SUMMARY DATA'!$B:$B=""RWS"")),"""")
  )
)"),"")</f>
      </c>
      <c r="K389" s="2"/>
      <c r="L389" s="2"/>
      <c r="M389" s="2"/>
      <c r="N389" s="2"/>
      <c r="O389" s="2"/>
      <c r="P389" s="2"/>
      <c r="Q389" s="2"/>
      <c r="R389" s="2"/>
      <c r="S389" s="2"/>
      <c r="T389" s="2"/>
      <c r="U389" s="2"/>
      <c r="V389" s="2"/>
      <c r="W389" s="2"/>
      <c r="X389" s="2"/>
      <c r="Y389" s="2"/>
      <c r="Z389" s="2"/>
      <c r="AA389" s="2"/>
      <c r="AB389" s="2"/>
    </row>
    <row r="390" spans="1:28" customHeight="true">
      <c r="A390" s="2" t="s">
        <v>631</v>
      </c>
      <c r="B390" s="15">
        <v>45967</v>
      </c>
      <c r="C390" s="2" t="s">
        <v>632</v>
      </c>
      <c r="D390" s="3">
        <v>319.5</v>
      </c>
      <c r="E390" s="16" t="s">
        <v>2413</v>
      </c>
      <c r="F390" s="17" t="s">
        <v>2487</v>
      </c>
      <c r="G390" s="17" t="s">
        <v>2393</v>
      </c>
      <c r="H390" s="18">
        <v>319.5</v>
      </c>
      <c r="I390" s="18">
        <v>319.5</v>
      </c>
      <c r="J390" s="17" t="s">
        <v>2394</v>
      </c>
      <c r="K390" s="2" t="s">
        <v>2395</v>
      </c>
      <c r="L390" s="2"/>
      <c r="M390" s="2"/>
      <c r="N390" s="2"/>
      <c r="O390" s="2"/>
      <c r="P390" s="2"/>
      <c r="Q390" s="2"/>
      <c r="R390" s="2"/>
      <c r="S390" s="2"/>
      <c r="T390" s="2"/>
      <c r="U390" s="2"/>
      <c r="V390" s="2"/>
      <c r="W390" s="2"/>
      <c r="X390" s="2"/>
      <c r="Y390" s="2"/>
      <c r="Z390" s="2"/>
      <c r="AA390" s="2"/>
      <c r="AB390" s="2"/>
    </row>
    <row r="391" spans="1:28" customHeight="true">
      <c r="A391" s="2" t="s">
        <v>633</v>
      </c>
      <c r="B391" s="15">
        <v>45966</v>
      </c>
      <c r="C391" s="2" t="s">
        <v>634</v>
      </c>
      <c r="D391" s="3">
        <v>21</v>
      </c>
      <c r="E391" s="16" t="str">
        <f>IFERROR(__xludf.DUMMYFUNCTION("IFERROR(
  TEXTJOIN(CHAR(10),TRUE,FILTER('SUMMARY DATA'!E:E,'SUMMARY DATA'!$A:$A=$A391,'SUMMARY DATA'!$C:$C=$B391,'SUMMARY DATA'!$B:$B=""RWS"")),
  IF(
    OR(
      ISNUMBER(SEARCH(""CDM CASH DEPOSIT"",$C391)),
      ISNUMBER(SEARCH(""CASH DEPOSIT"",$C39"&amp;"1)),
      COUNTIFS('SUMMARY DATA'!$D:$D,$C391,'SUMMARY DATA'!$B:$B,""RWS"")&lt;&gt;1
    ),
    """",
    IFERROR(TEXTJOIN(CHAR(10),TRUE,FILTER('SUMMARY DATA'!E:E,'SUMMARY DATA'!$D:$D=$C391,'SUMMARY DATA'!$B:$B=""RWS"")),"""")
  )
)"),"")</f>
      </c>
      <c r="F391" s="17" t="str">
        <f>IFERROR(__xludf.DUMMYFUNCTION("IFERROR(
  TEXTJOIN(CHAR(10),TRUE,FILTER('SUMMARY DATA'!F:F,'SUMMARY DATA'!$A:$A=$A391,'SUMMARY DATA'!$C:$C=$B391,'SUMMARY DATA'!$B:$B=""RWS"")),
  IF(
    OR(
      ISNUMBER(SEARCH(""CDM CASH DEPOSIT"",$C391)),
      ISNUMBER(SEARCH(""CASH DEPOSIT"",$C39"&amp;"1)),
      COUNTIFS('SUMMARY DATA'!$D:$D,$C391,'SUMMARY DATA'!$B:$B,""RWS"")&lt;&gt;1
    ),
    """",
    IFERROR(TEXTJOIN(CHAR(10),TRUE,FILTER('SUMMARY DATA'!F:F,'SUMMARY DATA'!$D:$D=$C391,'SUMMARY DATA'!$B:$B=""RWS"")),"""")
  )
)"),"")</f>
      </c>
      <c r="G391" s="17" t="str">
        <f>IFERROR(__xludf.DUMMYFUNCTION("IFERROR(
  TEXTJOIN(CHAR(10),TRUE,FILTER('SUMMARY DATA'!G:G,'SUMMARY DATA'!$A:$A=$A391,'SUMMARY DATA'!$C:$C=$B391,'SUMMARY DATA'!$B:$B=""RWS"")),
  IF(
    OR(
      ISNUMBER(SEARCH(""CDM CASH DEPOSIT"",$C391)),
      ISNUMBER(SEARCH(""CASH DEPOSIT"",$C39"&amp;"1)),
      COUNTIFS('SUMMARY DATA'!$D:$D,$C391,'SUMMARY DATA'!$B:$B,""RWS"")&lt;&gt;1
    ),
    """",
    IFERROR(TEXTJOIN(CHAR(10),TRUE,FILTER('SUMMARY DATA'!G:G,'SUMMARY DATA'!$D:$D=$C391,'SUMMARY DATA'!$B:$B=""RWS"")),"""")
  )
)"),"")</f>
      </c>
      <c r="H391" s="18" t="str">
        <f>IFERROR(__xludf.DUMMYFUNCTION("IFERROR(
  TEXTJOIN(CHAR(10),TRUE,FILTER('SUMMARY DATA'!H:H,'SUMMARY DATA'!$A:$A=$A391,'SUMMARY DATA'!$C:$C=$B391,'SUMMARY DATA'!$B:$B=""RWS"",'SUMMARY DATA'!$H:$H=$D391)),
  IF(
    OR(
      ISNUMBER(SEARCH(""CDM CASH DEPOSIT"",$C391)),
      ISNUMBER(S"&amp;"EARCH(""CASH DEPOSIT"",$C391))
    ),
    """",
    IFERROR(TEXTJOIN(CHAR(10),TRUE,FILTER('SUMMARY DATA'!H:H,'SUMMARY DATA'!$D:$D=$C391,'SUMMARY DATA'!$B:$B=""RWS"",'SUMMARY DATA'!$H:$H=$D391)),"""")
  )
)"),"")</f>
      </c>
      <c r="I391" s="18" t="str">
        <f>IFERROR(__xludf.DUMMYFUNCTION("IF(H391="""","""",
SUM(ARRAYFORMULA(VALUE(SPLIT(H391,CHAR(10)))))
)"),"")</f>
      </c>
      <c r="J391" s="17" t="str">
        <f>IFERROR(__xludf.DUMMYFUNCTION("IFERROR(
  TEXTJOIN(CHAR(10),TRUE,FILTER('SUMMARY DATA'!I:I,'SUMMARY DATA'!$A:$A=$A391,'SUMMARY DATA'!$C:$C=$B391,'SUMMARY DATA'!$B:$B=""RWS"")),
  IF(
    OR(
      ISNUMBER(SEARCH(""CDM CASH DEPOSIT"",$C391)),
      ISNUMBER(SEARCH(""CASH DEPOSIT"",$C39"&amp;"1)),
      COUNTIFS('SUMMARY DATA'!$D:$D,$C391,'SUMMARY DATA'!$B:$B,""RWS"")&lt;&gt;1
    ),
    """",
    IFERROR(TEXTJOIN(CHAR(10),TRUE,FILTER('SUMMARY DATA'!I:I,'SUMMARY DATA'!$D:$D=$C391,'SUMMARY DATA'!$B:$B=""RWS"")),"""")
  )
)"),"")</f>
      </c>
      <c r="K391" s="2"/>
      <c r="L391" s="2"/>
      <c r="M391" s="2"/>
      <c r="N391" s="2"/>
      <c r="O391" s="2"/>
      <c r="P391" s="2"/>
      <c r="Q391" s="2"/>
      <c r="R391" s="2"/>
      <c r="S391" s="2"/>
      <c r="T391" s="2"/>
      <c r="U391" s="2"/>
      <c r="V391" s="2"/>
      <c r="W391" s="2"/>
      <c r="X391" s="2"/>
      <c r="Y391" s="2"/>
      <c r="Z391" s="2"/>
      <c r="AA391" s="2"/>
      <c r="AB391" s="2"/>
    </row>
    <row r="392" spans="1:28" customHeight="true">
      <c r="A392" s="2" t="s">
        <v>635</v>
      </c>
      <c r="B392" s="15">
        <v>45966</v>
      </c>
      <c r="C392" s="2" t="s">
        <v>636</v>
      </c>
      <c r="D392" s="3">
        <v>10</v>
      </c>
      <c r="E392" s="16" t="str">
        <f>IFERROR(__xludf.DUMMYFUNCTION("IFERROR(
  TEXTJOIN(CHAR(10),TRUE,FILTER('SUMMARY DATA'!E:E,'SUMMARY DATA'!$A:$A=$A392,'SUMMARY DATA'!$C:$C=$B392,'SUMMARY DATA'!$B:$B=""RWS"")),
  IF(
    OR(
      ISNUMBER(SEARCH(""CDM CASH DEPOSIT"",$C392)),
      ISNUMBER(SEARCH(""CASH DEPOSIT"",$C39"&amp;"2)),
      COUNTIFS('SUMMARY DATA'!$D:$D,$C392,'SUMMARY DATA'!$B:$B,""RWS"")&lt;&gt;1
    ),
    """",
    IFERROR(TEXTJOIN(CHAR(10),TRUE,FILTER('SUMMARY DATA'!E:E,'SUMMARY DATA'!$D:$D=$C392,'SUMMARY DATA'!$B:$B=""RWS"")),"""")
  )
)"),"")</f>
      </c>
      <c r="F392" s="17" t="str">
        <f>IFERROR(__xludf.DUMMYFUNCTION("IFERROR(
  TEXTJOIN(CHAR(10),TRUE,FILTER('SUMMARY DATA'!F:F,'SUMMARY DATA'!$A:$A=$A392,'SUMMARY DATA'!$C:$C=$B392,'SUMMARY DATA'!$B:$B=""RWS"")),
  IF(
    OR(
      ISNUMBER(SEARCH(""CDM CASH DEPOSIT"",$C392)),
      ISNUMBER(SEARCH(""CASH DEPOSIT"",$C39"&amp;"2)),
      COUNTIFS('SUMMARY DATA'!$D:$D,$C392,'SUMMARY DATA'!$B:$B,""RWS"")&lt;&gt;1
    ),
    """",
    IFERROR(TEXTJOIN(CHAR(10),TRUE,FILTER('SUMMARY DATA'!F:F,'SUMMARY DATA'!$D:$D=$C392,'SUMMARY DATA'!$B:$B=""RWS"")),"""")
  )
)"),"")</f>
      </c>
      <c r="G392" s="17" t="str">
        <f>IFERROR(__xludf.DUMMYFUNCTION("IFERROR(
  TEXTJOIN(CHAR(10),TRUE,FILTER('SUMMARY DATA'!G:G,'SUMMARY DATA'!$A:$A=$A392,'SUMMARY DATA'!$C:$C=$B392,'SUMMARY DATA'!$B:$B=""RWS"")),
  IF(
    OR(
      ISNUMBER(SEARCH(""CDM CASH DEPOSIT"",$C392)),
      ISNUMBER(SEARCH(""CASH DEPOSIT"",$C39"&amp;"2)),
      COUNTIFS('SUMMARY DATA'!$D:$D,$C392,'SUMMARY DATA'!$B:$B,""RWS"")&lt;&gt;1
    ),
    """",
    IFERROR(TEXTJOIN(CHAR(10),TRUE,FILTER('SUMMARY DATA'!G:G,'SUMMARY DATA'!$D:$D=$C392,'SUMMARY DATA'!$B:$B=""RWS"")),"""")
  )
)"),"")</f>
      </c>
      <c r="H392" s="18" t="str">
        <f>IFERROR(__xludf.DUMMYFUNCTION("IFERROR(
  TEXTJOIN(CHAR(10),TRUE,FILTER('SUMMARY DATA'!H:H,'SUMMARY DATA'!$A:$A=$A392,'SUMMARY DATA'!$C:$C=$B392,'SUMMARY DATA'!$B:$B=""RWS"",'SUMMARY DATA'!$H:$H=$D392)),
  IF(
    OR(
      ISNUMBER(SEARCH(""CDM CASH DEPOSIT"",$C392)),
      ISNUMBER(S"&amp;"EARCH(""CASH DEPOSIT"",$C392))
    ),
    """",
    IFERROR(TEXTJOIN(CHAR(10),TRUE,FILTER('SUMMARY DATA'!H:H,'SUMMARY DATA'!$D:$D=$C392,'SUMMARY DATA'!$B:$B=""RWS"",'SUMMARY DATA'!$H:$H=$D392)),"""")
  )
)"),"")</f>
      </c>
      <c r="I392" s="18" t="str">
        <f>IFERROR(__xludf.DUMMYFUNCTION("IF(H392="""","""",
SUM(ARRAYFORMULA(VALUE(SPLIT(H392,CHAR(10)))))
)"),"")</f>
      </c>
      <c r="J392" s="17" t="str">
        <f>IFERROR(__xludf.DUMMYFUNCTION("IFERROR(
  TEXTJOIN(CHAR(10),TRUE,FILTER('SUMMARY DATA'!I:I,'SUMMARY DATA'!$A:$A=$A392,'SUMMARY DATA'!$C:$C=$B392,'SUMMARY DATA'!$B:$B=""RWS"")),
  IF(
    OR(
      ISNUMBER(SEARCH(""CDM CASH DEPOSIT"",$C392)),
      ISNUMBER(SEARCH(""CASH DEPOSIT"",$C39"&amp;"2)),
      COUNTIFS('SUMMARY DATA'!$D:$D,$C392,'SUMMARY DATA'!$B:$B,""RWS"")&lt;&gt;1
    ),
    """",
    IFERROR(TEXTJOIN(CHAR(10),TRUE,FILTER('SUMMARY DATA'!I:I,'SUMMARY DATA'!$D:$D=$C392,'SUMMARY DATA'!$B:$B=""RWS"")),"""")
  )
)"),"")</f>
      </c>
      <c r="K392" s="2"/>
      <c r="L392" s="2"/>
      <c r="M392" s="2"/>
      <c r="N392" s="2"/>
      <c r="O392" s="2"/>
      <c r="P392" s="2"/>
      <c r="Q392" s="2"/>
      <c r="R392" s="2"/>
      <c r="S392" s="2"/>
      <c r="T392" s="2"/>
      <c r="U392" s="2"/>
      <c r="V392" s="2"/>
      <c r="W392" s="2"/>
      <c r="X392" s="2"/>
      <c r="Y392" s="2"/>
      <c r="Z392" s="2"/>
      <c r="AA392" s="2"/>
      <c r="AB392" s="2"/>
    </row>
    <row r="393" spans="1:28" customHeight="true">
      <c r="A393" s="2" t="s">
        <v>637</v>
      </c>
      <c r="B393" s="15">
        <v>45966</v>
      </c>
      <c r="C393" s="2" t="s">
        <v>638</v>
      </c>
      <c r="D393" s="3">
        <v>17.76</v>
      </c>
      <c r="E393" s="16" t="str">
        <f>IFERROR(__xludf.DUMMYFUNCTION("IFERROR(
  TEXTJOIN(CHAR(10),TRUE,FILTER('SUMMARY DATA'!E:E,'SUMMARY DATA'!$A:$A=$A393,'SUMMARY DATA'!$C:$C=$B393,'SUMMARY DATA'!$B:$B=""RWS"")),
  IF(
    OR(
      ISNUMBER(SEARCH(""CDM CASH DEPOSIT"",$C393)),
      ISNUMBER(SEARCH(""CASH DEPOSIT"",$C39"&amp;"3)),
      COUNTIFS('SUMMARY DATA'!$D:$D,$C393,'SUMMARY DATA'!$B:$B,""RWS"")&lt;&gt;1
    ),
    """",
    IFERROR(TEXTJOIN(CHAR(10),TRUE,FILTER('SUMMARY DATA'!E:E,'SUMMARY DATA'!$D:$D=$C393,'SUMMARY DATA'!$B:$B=""RWS"")),"""")
  )
)"),"")</f>
      </c>
      <c r="F393" s="17" t="str">
        <f>IFERROR(__xludf.DUMMYFUNCTION("IFERROR(
  TEXTJOIN(CHAR(10),TRUE,FILTER('SUMMARY DATA'!F:F,'SUMMARY DATA'!$A:$A=$A393,'SUMMARY DATA'!$C:$C=$B393,'SUMMARY DATA'!$B:$B=""RWS"")),
  IF(
    OR(
      ISNUMBER(SEARCH(""CDM CASH DEPOSIT"",$C393)),
      ISNUMBER(SEARCH(""CASH DEPOSIT"",$C39"&amp;"3)),
      COUNTIFS('SUMMARY DATA'!$D:$D,$C393,'SUMMARY DATA'!$B:$B,""RWS"")&lt;&gt;1
    ),
    """",
    IFERROR(TEXTJOIN(CHAR(10),TRUE,FILTER('SUMMARY DATA'!F:F,'SUMMARY DATA'!$D:$D=$C393,'SUMMARY DATA'!$B:$B=""RWS"")),"""")
  )
)"),"")</f>
      </c>
      <c r="G393" s="17" t="str">
        <f>IFERROR(__xludf.DUMMYFUNCTION("IFERROR(
  TEXTJOIN(CHAR(10),TRUE,FILTER('SUMMARY DATA'!G:G,'SUMMARY DATA'!$A:$A=$A393,'SUMMARY DATA'!$C:$C=$B393,'SUMMARY DATA'!$B:$B=""RWS"")),
  IF(
    OR(
      ISNUMBER(SEARCH(""CDM CASH DEPOSIT"",$C393)),
      ISNUMBER(SEARCH(""CASH DEPOSIT"",$C39"&amp;"3)),
      COUNTIFS('SUMMARY DATA'!$D:$D,$C393,'SUMMARY DATA'!$B:$B,""RWS"")&lt;&gt;1
    ),
    """",
    IFERROR(TEXTJOIN(CHAR(10),TRUE,FILTER('SUMMARY DATA'!G:G,'SUMMARY DATA'!$D:$D=$C393,'SUMMARY DATA'!$B:$B=""RWS"")),"""")
  )
)"),"")</f>
      </c>
      <c r="H393" s="18" t="str">
        <f>IFERROR(__xludf.DUMMYFUNCTION("IFERROR(
  TEXTJOIN(CHAR(10),TRUE,FILTER('SUMMARY DATA'!H:H,'SUMMARY DATA'!$A:$A=$A393,'SUMMARY DATA'!$C:$C=$B393,'SUMMARY DATA'!$B:$B=""RWS"",'SUMMARY DATA'!$H:$H=$D393)),
  IF(
    OR(
      ISNUMBER(SEARCH(""CDM CASH DEPOSIT"",$C393)),
      ISNUMBER(S"&amp;"EARCH(""CASH DEPOSIT"",$C393))
    ),
    """",
    IFERROR(TEXTJOIN(CHAR(10),TRUE,FILTER('SUMMARY DATA'!H:H,'SUMMARY DATA'!$D:$D=$C393,'SUMMARY DATA'!$B:$B=""RWS"",'SUMMARY DATA'!$H:$H=$D393)),"""")
  )
)"),"")</f>
      </c>
      <c r="I393" s="18" t="str">
        <f>IFERROR(__xludf.DUMMYFUNCTION("IF(H393="""","""",
SUM(ARRAYFORMULA(VALUE(SPLIT(H393,CHAR(10)))))
)"),"")</f>
      </c>
      <c r="J393" s="17" t="str">
        <f>IFERROR(__xludf.DUMMYFUNCTION("IFERROR(
  TEXTJOIN(CHAR(10),TRUE,FILTER('SUMMARY DATA'!I:I,'SUMMARY DATA'!$A:$A=$A393,'SUMMARY DATA'!$C:$C=$B393,'SUMMARY DATA'!$B:$B=""RWS"")),
  IF(
    OR(
      ISNUMBER(SEARCH(""CDM CASH DEPOSIT"",$C393)),
      ISNUMBER(SEARCH(""CASH DEPOSIT"",$C39"&amp;"3)),
      COUNTIFS('SUMMARY DATA'!$D:$D,$C393,'SUMMARY DATA'!$B:$B,""RWS"")&lt;&gt;1
    ),
    """",
    IFERROR(TEXTJOIN(CHAR(10),TRUE,FILTER('SUMMARY DATA'!I:I,'SUMMARY DATA'!$D:$D=$C393,'SUMMARY DATA'!$B:$B=""RWS"")),"""")
  )
)"),"")</f>
      </c>
      <c r="K393" s="2"/>
      <c r="L393" s="2"/>
      <c r="M393" s="2"/>
      <c r="N393" s="2"/>
      <c r="O393" s="2"/>
      <c r="P393" s="2"/>
      <c r="Q393" s="2"/>
      <c r="R393" s="2"/>
      <c r="S393" s="2"/>
      <c r="T393" s="2"/>
      <c r="U393" s="2"/>
      <c r="V393" s="2"/>
      <c r="W393" s="2"/>
      <c r="X393" s="2"/>
      <c r="Y393" s="2"/>
      <c r="Z393" s="2"/>
      <c r="AA393" s="2"/>
      <c r="AB393" s="2"/>
    </row>
    <row r="394" spans="1:28" customHeight="true">
      <c r="A394" s="2" t="s">
        <v>639</v>
      </c>
      <c r="B394" s="15">
        <v>45966</v>
      </c>
      <c r="C394" s="2" t="s">
        <v>640</v>
      </c>
      <c r="D394" s="3">
        <v>30</v>
      </c>
      <c r="E394" s="16" t="str">
        <f>IFERROR(__xludf.DUMMYFUNCTION("IFERROR(
  TEXTJOIN(CHAR(10),TRUE,FILTER('SUMMARY DATA'!E:E,'SUMMARY DATA'!$A:$A=$A394,'SUMMARY DATA'!$C:$C=$B394,'SUMMARY DATA'!$B:$B=""RWS"")),
  IF(
    OR(
      ISNUMBER(SEARCH(""CDM CASH DEPOSIT"",$C394)),
      ISNUMBER(SEARCH(""CASH DEPOSIT"",$C39"&amp;"4)),
      COUNTIFS('SUMMARY DATA'!$D:$D,$C394,'SUMMARY DATA'!$B:$B,""RWS"")&lt;&gt;1
    ),
    """",
    IFERROR(TEXTJOIN(CHAR(10),TRUE,FILTER('SUMMARY DATA'!E:E,'SUMMARY DATA'!$D:$D=$C394,'SUMMARY DATA'!$B:$B=""RWS"")),"""")
  )
)"),"")</f>
      </c>
      <c r="F394" s="17" t="str">
        <f>IFERROR(__xludf.DUMMYFUNCTION("IFERROR(
  TEXTJOIN(CHAR(10),TRUE,FILTER('SUMMARY DATA'!F:F,'SUMMARY DATA'!$A:$A=$A394,'SUMMARY DATA'!$C:$C=$B394,'SUMMARY DATA'!$B:$B=""RWS"")),
  IF(
    OR(
      ISNUMBER(SEARCH(""CDM CASH DEPOSIT"",$C394)),
      ISNUMBER(SEARCH(""CASH DEPOSIT"",$C39"&amp;"4)),
      COUNTIFS('SUMMARY DATA'!$D:$D,$C394,'SUMMARY DATA'!$B:$B,""RWS"")&lt;&gt;1
    ),
    """",
    IFERROR(TEXTJOIN(CHAR(10),TRUE,FILTER('SUMMARY DATA'!F:F,'SUMMARY DATA'!$D:$D=$C394,'SUMMARY DATA'!$B:$B=""RWS"")),"""")
  )
)"),"")</f>
      </c>
      <c r="G394" s="17" t="str">
        <f>IFERROR(__xludf.DUMMYFUNCTION("IFERROR(
  TEXTJOIN(CHAR(10),TRUE,FILTER('SUMMARY DATA'!G:G,'SUMMARY DATA'!$A:$A=$A394,'SUMMARY DATA'!$C:$C=$B394,'SUMMARY DATA'!$B:$B=""RWS"")),
  IF(
    OR(
      ISNUMBER(SEARCH(""CDM CASH DEPOSIT"",$C394)),
      ISNUMBER(SEARCH(""CASH DEPOSIT"",$C39"&amp;"4)),
      COUNTIFS('SUMMARY DATA'!$D:$D,$C394,'SUMMARY DATA'!$B:$B,""RWS"")&lt;&gt;1
    ),
    """",
    IFERROR(TEXTJOIN(CHAR(10),TRUE,FILTER('SUMMARY DATA'!G:G,'SUMMARY DATA'!$D:$D=$C394,'SUMMARY DATA'!$B:$B=""RWS"")),"""")
  )
)"),"")</f>
      </c>
      <c r="H394" s="18" t="str">
        <f>IFERROR(__xludf.DUMMYFUNCTION("IFERROR(
  TEXTJOIN(CHAR(10),TRUE,FILTER('SUMMARY DATA'!H:H,'SUMMARY DATA'!$A:$A=$A394,'SUMMARY DATA'!$C:$C=$B394,'SUMMARY DATA'!$B:$B=""RWS"",'SUMMARY DATA'!$H:$H=$D394)),
  IF(
    OR(
      ISNUMBER(SEARCH(""CDM CASH DEPOSIT"",$C394)),
      ISNUMBER(S"&amp;"EARCH(""CASH DEPOSIT"",$C394))
    ),
    """",
    IFERROR(TEXTJOIN(CHAR(10),TRUE,FILTER('SUMMARY DATA'!H:H,'SUMMARY DATA'!$D:$D=$C394,'SUMMARY DATA'!$B:$B=""RWS"",'SUMMARY DATA'!$H:$H=$D394)),"""")
  )
)"),"")</f>
      </c>
      <c r="I394" s="18" t="str">
        <f>IFERROR(__xludf.DUMMYFUNCTION("IF(H394="""","""",
SUM(ARRAYFORMULA(VALUE(SPLIT(H394,CHAR(10)))))
)"),"")</f>
      </c>
      <c r="J394" s="17" t="str">
        <f>IFERROR(__xludf.DUMMYFUNCTION("IFERROR(
  TEXTJOIN(CHAR(10),TRUE,FILTER('SUMMARY DATA'!I:I,'SUMMARY DATA'!$A:$A=$A394,'SUMMARY DATA'!$C:$C=$B394,'SUMMARY DATA'!$B:$B=""RWS"")),
  IF(
    OR(
      ISNUMBER(SEARCH(""CDM CASH DEPOSIT"",$C394)),
      ISNUMBER(SEARCH(""CASH DEPOSIT"",$C39"&amp;"4)),
      COUNTIFS('SUMMARY DATA'!$D:$D,$C394,'SUMMARY DATA'!$B:$B,""RWS"")&lt;&gt;1
    ),
    """",
    IFERROR(TEXTJOIN(CHAR(10),TRUE,FILTER('SUMMARY DATA'!I:I,'SUMMARY DATA'!$D:$D=$C394,'SUMMARY DATA'!$B:$B=""RWS"")),"""")
  )
)"),"")</f>
      </c>
      <c r="K394" s="2"/>
      <c r="L394" s="2"/>
      <c r="M394" s="2"/>
      <c r="N394" s="2"/>
      <c r="O394" s="2"/>
      <c r="P394" s="2"/>
      <c r="Q394" s="2"/>
      <c r="R394" s="2"/>
      <c r="S394" s="2"/>
      <c r="T394" s="2"/>
      <c r="U394" s="2"/>
      <c r="V394" s="2"/>
      <c r="W394" s="2"/>
      <c r="X394" s="2"/>
      <c r="Y394" s="2"/>
      <c r="Z394" s="2"/>
      <c r="AA394" s="2"/>
      <c r="AB394" s="2"/>
    </row>
    <row r="395" spans="1:28" customHeight="true">
      <c r="A395" s="2" t="s">
        <v>641</v>
      </c>
      <c r="B395" s="15">
        <v>45965</v>
      </c>
      <c r="C395" s="2" t="s">
        <v>642</v>
      </c>
      <c r="D395" s="3">
        <v>46.67</v>
      </c>
      <c r="E395" s="16" t="s">
        <v>2488</v>
      </c>
      <c r="F395" s="17" t="s">
        <v>2489</v>
      </c>
      <c r="G395" s="17" t="s">
        <v>2393</v>
      </c>
      <c r="H395" s="18">
        <v>46.67</v>
      </c>
      <c r="I395" s="18">
        <v>46.67</v>
      </c>
      <c r="J395" s="17" t="s">
        <v>2394</v>
      </c>
      <c r="K395" s="2" t="s">
        <v>2395</v>
      </c>
      <c r="L395" s="2"/>
      <c r="M395" s="2"/>
      <c r="N395" s="2"/>
      <c r="O395" s="2"/>
      <c r="P395" s="2"/>
      <c r="Q395" s="2"/>
      <c r="R395" s="2"/>
      <c r="S395" s="2"/>
      <c r="T395" s="2"/>
      <c r="U395" s="2"/>
      <c r="V395" s="2"/>
      <c r="W395" s="2"/>
      <c r="X395" s="2"/>
      <c r="Y395" s="2"/>
      <c r="Z395" s="2"/>
      <c r="AA395" s="2"/>
      <c r="AB395" s="2"/>
    </row>
    <row r="396" spans="1:28" customHeight="true">
      <c r="A396" s="2" t="s">
        <v>641</v>
      </c>
      <c r="B396" s="15">
        <v>45965</v>
      </c>
      <c r="C396" s="2" t="s">
        <v>642</v>
      </c>
      <c r="D396" s="3">
        <v>366.1</v>
      </c>
      <c r="E396" s="16" t="str">
        <f>IFERROR(__xludf.DUMMYFUNCTION("IFERROR(
  TEXTJOIN(CHAR(10),TRUE,FILTER('SUMMARY DATA'!E:E,'SUMMARY DATA'!$A:$A=$A396,'SUMMARY DATA'!$C:$C=$B396,'SUMMARY DATA'!$B:$B=""RWS"")),
  IF(
    OR(
      ISNUMBER(SEARCH(""CDM CASH DEPOSIT"",$C396)),
      ISNUMBER(SEARCH(""CASH DEPOSIT"",$C39"&amp;"6)),
      COUNTIFS('SUMMARY DATA'!$D:$D,$C396,'SUMMARY DATA'!$B:$B,""RWS"")&lt;&gt;1
    ),
    """",
    IFERROR(TEXTJOIN(CHAR(10),TRUE,FILTER('SUMMARY DATA'!E:E,'SUMMARY DATA'!$D:$D=$C396,'SUMMARY DATA'!$B:$B=""RWS"")),"""")
  )
)"),"")</f>
      </c>
      <c r="F396" s="17" t="str">
        <f>IFERROR(__xludf.DUMMYFUNCTION("IFERROR(
  TEXTJOIN(CHAR(10),TRUE,FILTER('SUMMARY DATA'!F:F,'SUMMARY DATA'!$A:$A=$A396,'SUMMARY DATA'!$C:$C=$B396,'SUMMARY DATA'!$B:$B=""RWS"")),
  IF(
    OR(
      ISNUMBER(SEARCH(""CDM CASH DEPOSIT"",$C396)),
      ISNUMBER(SEARCH(""CASH DEPOSIT"",$C39"&amp;"6)),
      COUNTIFS('SUMMARY DATA'!$D:$D,$C396,'SUMMARY DATA'!$B:$B,""RWS"")&lt;&gt;1
    ),
    """",
    IFERROR(TEXTJOIN(CHAR(10),TRUE,FILTER('SUMMARY DATA'!F:F,'SUMMARY DATA'!$D:$D=$C396,'SUMMARY DATA'!$B:$B=""RWS"")),"""")
  )
)"),"")</f>
      </c>
      <c r="G396" s="17" t="str">
        <f>IFERROR(__xludf.DUMMYFUNCTION("IFERROR(
  TEXTJOIN(CHAR(10),TRUE,FILTER('SUMMARY DATA'!G:G,'SUMMARY DATA'!$A:$A=$A396,'SUMMARY DATA'!$C:$C=$B396,'SUMMARY DATA'!$B:$B=""RWS"")),
  IF(
    OR(
      ISNUMBER(SEARCH(""CDM CASH DEPOSIT"",$C396)),
      ISNUMBER(SEARCH(""CASH DEPOSIT"",$C39"&amp;"6)),
      COUNTIFS('SUMMARY DATA'!$D:$D,$C396,'SUMMARY DATA'!$B:$B,""RWS"")&lt;&gt;1
    ),
    """",
    IFERROR(TEXTJOIN(CHAR(10),TRUE,FILTER('SUMMARY DATA'!G:G,'SUMMARY DATA'!$D:$D=$C396,'SUMMARY DATA'!$B:$B=""RWS"")),"""")
  )
)"),"")</f>
      </c>
      <c r="H396" s="18" t="str">
        <f>IFERROR(__xludf.DUMMYFUNCTION("IFERROR(
  TEXTJOIN(CHAR(10),TRUE,FILTER('SUMMARY DATA'!H:H,'SUMMARY DATA'!$A:$A=$A396,'SUMMARY DATA'!$C:$C=$B396,'SUMMARY DATA'!$B:$B=""RWS"",'SUMMARY DATA'!$H:$H=$D396)),
  IF(
    OR(
      ISNUMBER(SEARCH(""CDM CASH DEPOSIT"",$C396)),
      ISNUMBER(S"&amp;"EARCH(""CASH DEPOSIT"",$C396))
    ),
    """",
    IFERROR(TEXTJOIN(CHAR(10),TRUE,FILTER('SUMMARY DATA'!H:H,'SUMMARY DATA'!$D:$D=$C396,'SUMMARY DATA'!$B:$B=""RWS"",'SUMMARY DATA'!$H:$H=$D396)),"""")
  )
)"),"")</f>
      </c>
      <c r="I396" s="18" t="str">
        <f>IFERROR(__xludf.DUMMYFUNCTION("IF(H396="""","""",
SUM(ARRAYFORMULA(VALUE(SPLIT(H396,CHAR(10)))))
)"),"")</f>
      </c>
      <c r="J396" s="17" t="str">
        <f>IFERROR(__xludf.DUMMYFUNCTION("IFERROR(
  TEXTJOIN(CHAR(10),TRUE,FILTER('SUMMARY DATA'!I:I,'SUMMARY DATA'!$A:$A=$A396,'SUMMARY DATA'!$C:$C=$B396,'SUMMARY DATA'!$B:$B=""RWS"")),
  IF(
    OR(
      ISNUMBER(SEARCH(""CDM CASH DEPOSIT"",$C396)),
      ISNUMBER(SEARCH(""CASH DEPOSIT"",$C39"&amp;"6)),
      COUNTIFS('SUMMARY DATA'!$D:$D,$C396,'SUMMARY DATA'!$B:$B,""RWS"")&lt;&gt;1
    ),
    """",
    IFERROR(TEXTJOIN(CHAR(10),TRUE,FILTER('SUMMARY DATA'!I:I,'SUMMARY DATA'!$D:$D=$C396,'SUMMARY DATA'!$B:$B=""RWS"")),"""")
  )
)"),"")</f>
      </c>
      <c r="K396" s="2"/>
      <c r="L396" s="2"/>
      <c r="M396" s="2"/>
      <c r="N396" s="2"/>
      <c r="O396" s="2"/>
      <c r="P396" s="2"/>
      <c r="Q396" s="2"/>
      <c r="R396" s="2"/>
      <c r="S396" s="2"/>
      <c r="T396" s="2"/>
      <c r="U396" s="2"/>
      <c r="V396" s="2"/>
      <c r="W396" s="2"/>
      <c r="X396" s="2"/>
      <c r="Y396" s="2"/>
      <c r="Z396" s="2"/>
      <c r="AA396" s="2"/>
      <c r="AB396" s="2"/>
    </row>
    <row r="397" spans="1:28" customHeight="true">
      <c r="A397" s="2" t="s">
        <v>643</v>
      </c>
      <c r="B397" s="15">
        <v>45965</v>
      </c>
      <c r="C397" s="2" t="s">
        <v>644</v>
      </c>
      <c r="D397" s="3">
        <v>55.57</v>
      </c>
      <c r="E397" s="16" t="str">
        <f>IFERROR(__xludf.DUMMYFUNCTION("IFERROR(
  TEXTJOIN(CHAR(10),TRUE,FILTER('SUMMARY DATA'!E:E,'SUMMARY DATA'!$A:$A=$A397,'SUMMARY DATA'!$C:$C=$B397,'SUMMARY DATA'!$B:$B=""RWS"")),
  IF(
    OR(
      ISNUMBER(SEARCH(""CDM CASH DEPOSIT"",$C397)),
      ISNUMBER(SEARCH(""CASH DEPOSIT"",$C39"&amp;"7)),
      COUNTIFS('SUMMARY DATA'!$D:$D,$C397,'SUMMARY DATA'!$B:$B,""RWS"")&lt;&gt;1
    ),
    """",
    IFERROR(TEXTJOIN(CHAR(10),TRUE,FILTER('SUMMARY DATA'!E:E,'SUMMARY DATA'!$D:$D=$C397,'SUMMARY DATA'!$B:$B=""RWS"")),"""")
  )
)"),"")</f>
      </c>
      <c r="F397" s="17" t="str">
        <f>IFERROR(__xludf.DUMMYFUNCTION("IFERROR(
  TEXTJOIN(CHAR(10),TRUE,FILTER('SUMMARY DATA'!F:F,'SUMMARY DATA'!$A:$A=$A397,'SUMMARY DATA'!$C:$C=$B397,'SUMMARY DATA'!$B:$B=""RWS"")),
  IF(
    OR(
      ISNUMBER(SEARCH(""CDM CASH DEPOSIT"",$C397)),
      ISNUMBER(SEARCH(""CASH DEPOSIT"",$C39"&amp;"7)),
      COUNTIFS('SUMMARY DATA'!$D:$D,$C397,'SUMMARY DATA'!$B:$B,""RWS"")&lt;&gt;1
    ),
    """",
    IFERROR(TEXTJOIN(CHAR(10),TRUE,FILTER('SUMMARY DATA'!F:F,'SUMMARY DATA'!$D:$D=$C397,'SUMMARY DATA'!$B:$B=""RWS"")),"""")
  )
)"),"")</f>
      </c>
      <c r="G397" s="17" t="str">
        <f>IFERROR(__xludf.DUMMYFUNCTION("IFERROR(
  TEXTJOIN(CHAR(10),TRUE,FILTER('SUMMARY DATA'!G:G,'SUMMARY DATA'!$A:$A=$A397,'SUMMARY DATA'!$C:$C=$B397,'SUMMARY DATA'!$B:$B=""RWS"")),
  IF(
    OR(
      ISNUMBER(SEARCH(""CDM CASH DEPOSIT"",$C397)),
      ISNUMBER(SEARCH(""CASH DEPOSIT"",$C39"&amp;"7)),
      COUNTIFS('SUMMARY DATA'!$D:$D,$C397,'SUMMARY DATA'!$B:$B,""RWS"")&lt;&gt;1
    ),
    """",
    IFERROR(TEXTJOIN(CHAR(10),TRUE,FILTER('SUMMARY DATA'!G:G,'SUMMARY DATA'!$D:$D=$C397,'SUMMARY DATA'!$B:$B=""RWS"")),"""")
  )
)"),"")</f>
      </c>
      <c r="H397" s="18" t="str">
        <f>IFERROR(__xludf.DUMMYFUNCTION("IFERROR(
  TEXTJOIN(CHAR(10),TRUE,FILTER('SUMMARY DATA'!H:H,'SUMMARY DATA'!$A:$A=$A397,'SUMMARY DATA'!$C:$C=$B397,'SUMMARY DATA'!$B:$B=""RWS"",'SUMMARY DATA'!$H:$H=$D397)),
  IF(
    OR(
      ISNUMBER(SEARCH(""CDM CASH DEPOSIT"",$C397)),
      ISNUMBER(S"&amp;"EARCH(""CASH DEPOSIT"",$C397))
    ),
    """",
    IFERROR(TEXTJOIN(CHAR(10),TRUE,FILTER('SUMMARY DATA'!H:H,'SUMMARY DATA'!$D:$D=$C397,'SUMMARY DATA'!$B:$B=""RWS"",'SUMMARY DATA'!$H:$H=$D397)),"""")
  )
)"),"")</f>
      </c>
      <c r="I397" s="18" t="str">
        <f>IFERROR(__xludf.DUMMYFUNCTION("IF(H397="""","""",
SUM(ARRAYFORMULA(VALUE(SPLIT(H397,CHAR(10)))))
)"),"")</f>
      </c>
      <c r="J397" s="17" t="str">
        <f>IFERROR(__xludf.DUMMYFUNCTION("IFERROR(
  TEXTJOIN(CHAR(10),TRUE,FILTER('SUMMARY DATA'!I:I,'SUMMARY DATA'!$A:$A=$A397,'SUMMARY DATA'!$C:$C=$B397,'SUMMARY DATA'!$B:$B=""RWS"")),
  IF(
    OR(
      ISNUMBER(SEARCH(""CDM CASH DEPOSIT"",$C397)),
      ISNUMBER(SEARCH(""CASH DEPOSIT"",$C39"&amp;"7)),
      COUNTIFS('SUMMARY DATA'!$D:$D,$C397,'SUMMARY DATA'!$B:$B,""RWS"")&lt;&gt;1
    ),
    """",
    IFERROR(TEXTJOIN(CHAR(10),TRUE,FILTER('SUMMARY DATA'!I:I,'SUMMARY DATA'!$D:$D=$C397,'SUMMARY DATA'!$B:$B=""RWS"")),"""")
  )
)"),"")</f>
      </c>
      <c r="K397" s="2"/>
      <c r="L397" s="2"/>
      <c r="M397" s="2"/>
      <c r="N397" s="2"/>
      <c r="O397" s="2"/>
      <c r="P397" s="2"/>
      <c r="Q397" s="2"/>
      <c r="R397" s="2"/>
      <c r="S397" s="2"/>
      <c r="T397" s="2"/>
      <c r="U397" s="2"/>
      <c r="V397" s="2"/>
      <c r="W397" s="2"/>
      <c r="X397" s="2"/>
      <c r="Y397" s="2"/>
      <c r="Z397" s="2"/>
      <c r="AA397" s="2"/>
      <c r="AB397" s="2"/>
    </row>
    <row r="398" spans="1:28" customHeight="true">
      <c r="A398" s="2" t="s">
        <v>645</v>
      </c>
      <c r="B398" s="15">
        <v>45965</v>
      </c>
      <c r="C398" s="2" t="s">
        <v>646</v>
      </c>
      <c r="D398" s="3">
        <v>126.24</v>
      </c>
      <c r="E398" s="16" t="str">
        <f>IFERROR(__xludf.DUMMYFUNCTION("IFERROR(
  TEXTJOIN(CHAR(10),TRUE,FILTER('SUMMARY DATA'!E:E,'SUMMARY DATA'!$A:$A=$A398,'SUMMARY DATA'!$C:$C=$B398,'SUMMARY DATA'!$B:$B=""RWS"")),
  IF(
    OR(
      ISNUMBER(SEARCH(""CDM CASH DEPOSIT"",$C398)),
      ISNUMBER(SEARCH(""CASH DEPOSIT"",$C39"&amp;"8)),
      COUNTIFS('SUMMARY DATA'!$D:$D,$C398,'SUMMARY DATA'!$B:$B,""RWS"")&lt;&gt;1
    ),
    """",
    IFERROR(TEXTJOIN(CHAR(10),TRUE,FILTER('SUMMARY DATA'!E:E,'SUMMARY DATA'!$D:$D=$C398,'SUMMARY DATA'!$B:$B=""RWS"")),"""")
  )
)"),"")</f>
      </c>
      <c r="F398" s="17" t="str">
        <f>IFERROR(__xludf.DUMMYFUNCTION("IFERROR(
  TEXTJOIN(CHAR(10),TRUE,FILTER('SUMMARY DATA'!F:F,'SUMMARY DATA'!$A:$A=$A398,'SUMMARY DATA'!$C:$C=$B398,'SUMMARY DATA'!$B:$B=""RWS"")),
  IF(
    OR(
      ISNUMBER(SEARCH(""CDM CASH DEPOSIT"",$C398)),
      ISNUMBER(SEARCH(""CASH DEPOSIT"",$C39"&amp;"8)),
      COUNTIFS('SUMMARY DATA'!$D:$D,$C398,'SUMMARY DATA'!$B:$B,""RWS"")&lt;&gt;1
    ),
    """",
    IFERROR(TEXTJOIN(CHAR(10),TRUE,FILTER('SUMMARY DATA'!F:F,'SUMMARY DATA'!$D:$D=$C398,'SUMMARY DATA'!$B:$B=""RWS"")),"""")
  )
)"),"")</f>
      </c>
      <c r="G398" s="17" t="str">
        <f>IFERROR(__xludf.DUMMYFUNCTION("IFERROR(
  TEXTJOIN(CHAR(10),TRUE,FILTER('SUMMARY DATA'!G:G,'SUMMARY DATA'!$A:$A=$A398,'SUMMARY DATA'!$C:$C=$B398,'SUMMARY DATA'!$B:$B=""RWS"")),
  IF(
    OR(
      ISNUMBER(SEARCH(""CDM CASH DEPOSIT"",$C398)),
      ISNUMBER(SEARCH(""CASH DEPOSIT"",$C39"&amp;"8)),
      COUNTIFS('SUMMARY DATA'!$D:$D,$C398,'SUMMARY DATA'!$B:$B,""RWS"")&lt;&gt;1
    ),
    """",
    IFERROR(TEXTJOIN(CHAR(10),TRUE,FILTER('SUMMARY DATA'!G:G,'SUMMARY DATA'!$D:$D=$C398,'SUMMARY DATA'!$B:$B=""RWS"")),"""")
  )
)"),"")</f>
      </c>
      <c r="H398" s="18" t="str">
        <f>IFERROR(__xludf.DUMMYFUNCTION("IFERROR(
  TEXTJOIN(CHAR(10),TRUE,FILTER('SUMMARY DATA'!H:H,'SUMMARY DATA'!$A:$A=$A398,'SUMMARY DATA'!$C:$C=$B398,'SUMMARY DATA'!$B:$B=""RWS"",'SUMMARY DATA'!$H:$H=$D398)),
  IF(
    OR(
      ISNUMBER(SEARCH(""CDM CASH DEPOSIT"",$C398)),
      ISNUMBER(S"&amp;"EARCH(""CASH DEPOSIT"",$C398))
    ),
    """",
    IFERROR(TEXTJOIN(CHAR(10),TRUE,FILTER('SUMMARY DATA'!H:H,'SUMMARY DATA'!$D:$D=$C398,'SUMMARY DATA'!$B:$B=""RWS"",'SUMMARY DATA'!$H:$H=$D398)),"""")
  )
)"),"")</f>
      </c>
      <c r="I398" s="18" t="str">
        <f>IFERROR(__xludf.DUMMYFUNCTION("IF(H398="""","""",
SUM(ARRAYFORMULA(VALUE(SPLIT(H398,CHAR(10)))))
)"),"")</f>
      </c>
      <c r="J398" s="17" t="str">
        <f>IFERROR(__xludf.DUMMYFUNCTION("IFERROR(
  TEXTJOIN(CHAR(10),TRUE,FILTER('SUMMARY DATA'!I:I,'SUMMARY DATA'!$A:$A=$A398,'SUMMARY DATA'!$C:$C=$B398,'SUMMARY DATA'!$B:$B=""RWS"")),
  IF(
    OR(
      ISNUMBER(SEARCH(""CDM CASH DEPOSIT"",$C398)),
      ISNUMBER(SEARCH(""CASH DEPOSIT"",$C39"&amp;"8)),
      COUNTIFS('SUMMARY DATA'!$D:$D,$C398,'SUMMARY DATA'!$B:$B,""RWS"")&lt;&gt;1
    ),
    """",
    IFERROR(TEXTJOIN(CHAR(10),TRUE,FILTER('SUMMARY DATA'!I:I,'SUMMARY DATA'!$D:$D=$C398,'SUMMARY DATA'!$B:$B=""RWS"")),"""")
  )
)"),"")</f>
      </c>
      <c r="K398" s="2"/>
      <c r="L398" s="2"/>
      <c r="M398" s="2"/>
      <c r="N398" s="2"/>
      <c r="O398" s="2"/>
      <c r="P398" s="2"/>
      <c r="Q398" s="2"/>
      <c r="R398" s="2"/>
      <c r="S398" s="2"/>
      <c r="T398" s="2"/>
      <c r="U398" s="2"/>
      <c r="V398" s="2"/>
      <c r="W398" s="2"/>
      <c r="X398" s="2"/>
      <c r="Y398" s="2"/>
      <c r="Z398" s="2"/>
      <c r="AA398" s="2"/>
      <c r="AB398" s="2"/>
    </row>
    <row r="399" spans="1:28" customHeight="true">
      <c r="A399" s="2" t="s">
        <v>647</v>
      </c>
      <c r="B399" s="15">
        <v>45964</v>
      </c>
      <c r="C399" s="2" t="s">
        <v>648</v>
      </c>
      <c r="D399" s="3">
        <v>139</v>
      </c>
      <c r="E399" s="16" t="s">
        <v>2391</v>
      </c>
      <c r="F399" s="17" t="s">
        <v>2490</v>
      </c>
      <c r="G399" s="17" t="s">
        <v>2393</v>
      </c>
      <c r="H399" s="18">
        <v>139</v>
      </c>
      <c r="I399" s="18">
        <v>139</v>
      </c>
      <c r="J399" s="17" t="s">
        <v>2394</v>
      </c>
      <c r="K399" s="2" t="s">
        <v>2395</v>
      </c>
      <c r="L399" s="2"/>
      <c r="M399" s="2"/>
      <c r="N399" s="2"/>
      <c r="O399" s="2"/>
      <c r="P399" s="2"/>
      <c r="Q399" s="2"/>
      <c r="R399" s="2"/>
      <c r="S399" s="2"/>
      <c r="T399" s="2"/>
      <c r="U399" s="2"/>
      <c r="V399" s="2"/>
      <c r="W399" s="2"/>
      <c r="X399" s="2"/>
      <c r="Y399" s="2"/>
      <c r="Z399" s="2"/>
      <c r="AA399" s="2"/>
      <c r="AB399" s="2"/>
    </row>
    <row r="400" spans="1:28" customHeight="true">
      <c r="A400" s="2" t="s">
        <v>649</v>
      </c>
      <c r="B400" s="15">
        <v>45964</v>
      </c>
      <c r="C400" s="2" t="s">
        <v>48</v>
      </c>
      <c r="D400" s="3">
        <v>90</v>
      </c>
      <c r="E400" s="16" t="str">
        <f>IFERROR(__xludf.DUMMYFUNCTION("IFERROR(
  TEXTJOIN(CHAR(10),TRUE,FILTER('SUMMARY DATA'!E:E,'SUMMARY DATA'!$A:$A=$A400,'SUMMARY DATA'!$C:$C=$B400,'SUMMARY DATA'!$B:$B=""RWS"")),
  IF(
    OR(
      ISNUMBER(SEARCH(""CDM CASH DEPOSIT"",$C400)),
      ISNUMBER(SEARCH(""CASH DEPOSIT"",$C40"&amp;"0)),
      COUNTIFS('SUMMARY DATA'!$D:$D,$C400,'SUMMARY DATA'!$B:$B,""RWS"")&lt;&gt;1
    ),
    """",
    IFERROR(TEXTJOIN(CHAR(10),TRUE,FILTER('SUMMARY DATA'!E:E,'SUMMARY DATA'!$D:$D=$C400,'SUMMARY DATA'!$B:$B=""RWS"")),"""")
  )
)"),"")</f>
      </c>
      <c r="F400" s="17" t="str">
        <f>IFERROR(__xludf.DUMMYFUNCTION("IFERROR(
  TEXTJOIN(CHAR(10),TRUE,FILTER('SUMMARY DATA'!F:F,'SUMMARY DATA'!$A:$A=$A400,'SUMMARY DATA'!$C:$C=$B400,'SUMMARY DATA'!$B:$B=""RWS"")),
  IF(
    OR(
      ISNUMBER(SEARCH(""CDM CASH DEPOSIT"",$C400)),
      ISNUMBER(SEARCH(""CASH DEPOSIT"",$C40"&amp;"0)),
      COUNTIFS('SUMMARY DATA'!$D:$D,$C400,'SUMMARY DATA'!$B:$B,""RWS"")&lt;&gt;1
    ),
    """",
    IFERROR(TEXTJOIN(CHAR(10),TRUE,FILTER('SUMMARY DATA'!F:F,'SUMMARY DATA'!$D:$D=$C400,'SUMMARY DATA'!$B:$B=""RWS"")),"""")
  )
)"),"")</f>
      </c>
      <c r="G400" s="17" t="str">
        <f>IFERROR(__xludf.DUMMYFUNCTION("IFERROR(
  TEXTJOIN(CHAR(10),TRUE,FILTER('SUMMARY DATA'!G:G,'SUMMARY DATA'!$A:$A=$A400,'SUMMARY DATA'!$C:$C=$B400,'SUMMARY DATA'!$B:$B=""RWS"")),
  IF(
    OR(
      ISNUMBER(SEARCH(""CDM CASH DEPOSIT"",$C400)),
      ISNUMBER(SEARCH(""CASH DEPOSIT"",$C40"&amp;"0)),
      COUNTIFS('SUMMARY DATA'!$D:$D,$C400,'SUMMARY DATA'!$B:$B,""RWS"")&lt;&gt;1
    ),
    """",
    IFERROR(TEXTJOIN(CHAR(10),TRUE,FILTER('SUMMARY DATA'!G:G,'SUMMARY DATA'!$D:$D=$C400,'SUMMARY DATA'!$B:$B=""RWS"")),"""")
  )
)"),"")</f>
      </c>
      <c r="H400" s="18" t="str">
        <f>IFERROR(__xludf.DUMMYFUNCTION("IFERROR(
  TEXTJOIN(CHAR(10),TRUE,FILTER('SUMMARY DATA'!H:H,'SUMMARY DATA'!$A:$A=$A400,'SUMMARY DATA'!$C:$C=$B400,'SUMMARY DATA'!$B:$B=""RWS"",'SUMMARY DATA'!$H:$H=$D400)),
  IF(
    OR(
      ISNUMBER(SEARCH(""CDM CASH DEPOSIT"",$C400)),
      ISNUMBER(S"&amp;"EARCH(""CASH DEPOSIT"",$C400))
    ),
    """",
    IFERROR(TEXTJOIN(CHAR(10),TRUE,FILTER('SUMMARY DATA'!H:H,'SUMMARY DATA'!$D:$D=$C400,'SUMMARY DATA'!$B:$B=""RWS"",'SUMMARY DATA'!$H:$H=$D400)),"""")
  )
)"),"")</f>
      </c>
      <c r="I400" s="18" t="str">
        <f>IFERROR(__xludf.DUMMYFUNCTION("IF(H400="""","""",
SUM(ARRAYFORMULA(VALUE(SPLIT(H400,CHAR(10)))))
)"),"")</f>
      </c>
      <c r="J400" s="17" t="str">
        <f>IFERROR(__xludf.DUMMYFUNCTION("IFERROR(
  TEXTJOIN(CHAR(10),TRUE,FILTER('SUMMARY DATA'!I:I,'SUMMARY DATA'!$A:$A=$A400,'SUMMARY DATA'!$C:$C=$B400,'SUMMARY DATA'!$B:$B=""RWS"")),
  IF(
    OR(
      ISNUMBER(SEARCH(""CDM CASH DEPOSIT"",$C400)),
      ISNUMBER(SEARCH(""CASH DEPOSIT"",$C40"&amp;"0)),
      COUNTIFS('SUMMARY DATA'!$D:$D,$C400,'SUMMARY DATA'!$B:$B,""RWS"")&lt;&gt;1
    ),
    """",
    IFERROR(TEXTJOIN(CHAR(10),TRUE,FILTER('SUMMARY DATA'!I:I,'SUMMARY DATA'!$D:$D=$C400,'SUMMARY DATA'!$B:$B=""RWS"")),"""")
  )
)"),"")</f>
      </c>
      <c r="K400" s="2"/>
      <c r="L400" s="2"/>
      <c r="M400" s="2"/>
      <c r="N400" s="2"/>
      <c r="O400" s="2"/>
      <c r="P400" s="2"/>
      <c r="Q400" s="2"/>
      <c r="R400" s="2"/>
      <c r="S400" s="2"/>
      <c r="T400" s="2"/>
      <c r="U400" s="2"/>
      <c r="V400" s="2"/>
      <c r="W400" s="2"/>
      <c r="X400" s="2"/>
      <c r="Y400" s="2"/>
      <c r="Z400" s="2"/>
      <c r="AA400" s="2"/>
      <c r="AB400" s="2"/>
    </row>
    <row r="401" spans="1:28" customHeight="true">
      <c r="A401" s="2" t="s">
        <v>650</v>
      </c>
      <c r="B401" s="15">
        <v>45964</v>
      </c>
      <c r="C401" s="2" t="s">
        <v>651</v>
      </c>
      <c r="D401" s="3">
        <v>285.02</v>
      </c>
      <c r="E401" s="16" t="str">
        <f>IFERROR(__xludf.DUMMYFUNCTION("IFERROR(
  TEXTJOIN(CHAR(10),TRUE,FILTER('SUMMARY DATA'!E:E,'SUMMARY DATA'!$A:$A=$A401,'SUMMARY DATA'!$C:$C=$B401,'SUMMARY DATA'!$B:$B=""RWS"")),
  IF(
    OR(
      ISNUMBER(SEARCH(""CDM CASH DEPOSIT"",$C401)),
      ISNUMBER(SEARCH(""CASH DEPOSIT"",$C40"&amp;"1)),
      COUNTIFS('SUMMARY DATA'!$D:$D,$C401,'SUMMARY DATA'!$B:$B,""RWS"")&lt;&gt;1
    ),
    """",
    IFERROR(TEXTJOIN(CHAR(10),TRUE,FILTER('SUMMARY DATA'!E:E,'SUMMARY DATA'!$D:$D=$C401,'SUMMARY DATA'!$B:$B=""RWS"")),"""")
  )
)"),"")</f>
      </c>
      <c r="F401" s="17" t="str">
        <f>IFERROR(__xludf.DUMMYFUNCTION("IFERROR(
  TEXTJOIN(CHAR(10),TRUE,FILTER('SUMMARY DATA'!F:F,'SUMMARY DATA'!$A:$A=$A401,'SUMMARY DATA'!$C:$C=$B401,'SUMMARY DATA'!$B:$B=""RWS"")),
  IF(
    OR(
      ISNUMBER(SEARCH(""CDM CASH DEPOSIT"",$C401)),
      ISNUMBER(SEARCH(""CASH DEPOSIT"",$C40"&amp;"1)),
      COUNTIFS('SUMMARY DATA'!$D:$D,$C401,'SUMMARY DATA'!$B:$B,""RWS"")&lt;&gt;1
    ),
    """",
    IFERROR(TEXTJOIN(CHAR(10),TRUE,FILTER('SUMMARY DATA'!F:F,'SUMMARY DATA'!$D:$D=$C401,'SUMMARY DATA'!$B:$B=""RWS"")),"""")
  )
)"),"")</f>
      </c>
      <c r="G401" s="17" t="str">
        <f>IFERROR(__xludf.DUMMYFUNCTION("IFERROR(
  TEXTJOIN(CHAR(10),TRUE,FILTER('SUMMARY DATA'!G:G,'SUMMARY DATA'!$A:$A=$A401,'SUMMARY DATA'!$C:$C=$B401,'SUMMARY DATA'!$B:$B=""RWS"")),
  IF(
    OR(
      ISNUMBER(SEARCH(""CDM CASH DEPOSIT"",$C401)),
      ISNUMBER(SEARCH(""CASH DEPOSIT"",$C40"&amp;"1)),
      COUNTIFS('SUMMARY DATA'!$D:$D,$C401,'SUMMARY DATA'!$B:$B,""RWS"")&lt;&gt;1
    ),
    """",
    IFERROR(TEXTJOIN(CHAR(10),TRUE,FILTER('SUMMARY DATA'!G:G,'SUMMARY DATA'!$D:$D=$C401,'SUMMARY DATA'!$B:$B=""RWS"")),"""")
  )
)"),"")</f>
      </c>
      <c r="H401" s="18" t="str">
        <f>IFERROR(__xludf.DUMMYFUNCTION("IFERROR(
  TEXTJOIN(CHAR(10),TRUE,FILTER('SUMMARY DATA'!H:H,'SUMMARY DATA'!$A:$A=$A401,'SUMMARY DATA'!$C:$C=$B401,'SUMMARY DATA'!$B:$B=""RWS"",'SUMMARY DATA'!$H:$H=$D401)),
  IF(
    OR(
      ISNUMBER(SEARCH(""CDM CASH DEPOSIT"",$C401)),
      ISNUMBER(S"&amp;"EARCH(""CASH DEPOSIT"",$C401))
    ),
    """",
    IFERROR(TEXTJOIN(CHAR(10),TRUE,FILTER('SUMMARY DATA'!H:H,'SUMMARY DATA'!$D:$D=$C401,'SUMMARY DATA'!$B:$B=""RWS"",'SUMMARY DATA'!$H:$H=$D401)),"""")
  )
)"),"")</f>
      </c>
      <c r="I401" s="18" t="str">
        <f>IFERROR(__xludf.DUMMYFUNCTION("IF(H401="""","""",
SUM(ARRAYFORMULA(VALUE(SPLIT(H401,CHAR(10)))))
)"),"")</f>
      </c>
      <c r="J401" s="17" t="str">
        <f>IFERROR(__xludf.DUMMYFUNCTION("IFERROR(
  TEXTJOIN(CHAR(10),TRUE,FILTER('SUMMARY DATA'!I:I,'SUMMARY DATA'!$A:$A=$A401,'SUMMARY DATA'!$C:$C=$B401,'SUMMARY DATA'!$B:$B=""RWS"")),
  IF(
    OR(
      ISNUMBER(SEARCH(""CDM CASH DEPOSIT"",$C401)),
      ISNUMBER(SEARCH(""CASH DEPOSIT"",$C40"&amp;"1)),
      COUNTIFS('SUMMARY DATA'!$D:$D,$C401,'SUMMARY DATA'!$B:$B,""RWS"")&lt;&gt;1
    ),
    """",
    IFERROR(TEXTJOIN(CHAR(10),TRUE,FILTER('SUMMARY DATA'!I:I,'SUMMARY DATA'!$D:$D=$C401,'SUMMARY DATA'!$B:$B=""RWS"")),"""")
  )
)"),"")</f>
      </c>
      <c r="K401" s="2"/>
      <c r="L401" s="2"/>
      <c r="M401" s="2"/>
      <c r="N401" s="2"/>
      <c r="O401" s="2"/>
      <c r="P401" s="2"/>
      <c r="Q401" s="2"/>
      <c r="R401" s="2"/>
      <c r="S401" s="2"/>
      <c r="T401" s="2"/>
      <c r="U401" s="2"/>
      <c r="V401" s="2"/>
      <c r="W401" s="2"/>
      <c r="X401" s="2"/>
      <c r="Y401" s="2"/>
      <c r="Z401" s="2"/>
      <c r="AA401" s="2"/>
      <c r="AB401" s="2"/>
    </row>
    <row r="402" spans="1:28" customHeight="true">
      <c r="A402" s="2" t="s">
        <v>652</v>
      </c>
      <c r="B402" s="15">
        <v>45964</v>
      </c>
      <c r="C402" s="2" t="s">
        <v>653</v>
      </c>
      <c r="D402" s="3">
        <v>22.47</v>
      </c>
      <c r="E402" s="16" t="str">
        <f>IFERROR(__xludf.DUMMYFUNCTION("IFERROR(
  TEXTJOIN(CHAR(10),TRUE,FILTER('SUMMARY DATA'!E:E,'SUMMARY DATA'!$A:$A=$A402,'SUMMARY DATA'!$C:$C=$B402,'SUMMARY DATA'!$B:$B=""RWS"")),
  IF(
    OR(
      ISNUMBER(SEARCH(""CDM CASH DEPOSIT"",$C402)),
      ISNUMBER(SEARCH(""CASH DEPOSIT"",$C40"&amp;"2)),
      COUNTIFS('SUMMARY DATA'!$D:$D,$C402,'SUMMARY DATA'!$B:$B,""RWS"")&lt;&gt;1
    ),
    """",
    IFERROR(TEXTJOIN(CHAR(10),TRUE,FILTER('SUMMARY DATA'!E:E,'SUMMARY DATA'!$D:$D=$C402,'SUMMARY DATA'!$B:$B=""RWS"")),"""")
  )
)"),"")</f>
      </c>
      <c r="F402" s="17" t="str">
        <f>IFERROR(__xludf.DUMMYFUNCTION("IFERROR(
  TEXTJOIN(CHAR(10),TRUE,FILTER('SUMMARY DATA'!F:F,'SUMMARY DATA'!$A:$A=$A402,'SUMMARY DATA'!$C:$C=$B402,'SUMMARY DATA'!$B:$B=""RWS"")),
  IF(
    OR(
      ISNUMBER(SEARCH(""CDM CASH DEPOSIT"",$C402)),
      ISNUMBER(SEARCH(""CASH DEPOSIT"",$C40"&amp;"2)),
      COUNTIFS('SUMMARY DATA'!$D:$D,$C402,'SUMMARY DATA'!$B:$B,""RWS"")&lt;&gt;1
    ),
    """",
    IFERROR(TEXTJOIN(CHAR(10),TRUE,FILTER('SUMMARY DATA'!F:F,'SUMMARY DATA'!$D:$D=$C402,'SUMMARY DATA'!$B:$B=""RWS"")),"""")
  )
)"),"")</f>
      </c>
      <c r="G402" s="17" t="str">
        <f>IFERROR(__xludf.DUMMYFUNCTION("IFERROR(
  TEXTJOIN(CHAR(10),TRUE,FILTER('SUMMARY DATA'!G:G,'SUMMARY DATA'!$A:$A=$A402,'SUMMARY DATA'!$C:$C=$B402,'SUMMARY DATA'!$B:$B=""RWS"")),
  IF(
    OR(
      ISNUMBER(SEARCH(""CDM CASH DEPOSIT"",$C402)),
      ISNUMBER(SEARCH(""CASH DEPOSIT"",$C40"&amp;"2)),
      COUNTIFS('SUMMARY DATA'!$D:$D,$C402,'SUMMARY DATA'!$B:$B,""RWS"")&lt;&gt;1
    ),
    """",
    IFERROR(TEXTJOIN(CHAR(10),TRUE,FILTER('SUMMARY DATA'!G:G,'SUMMARY DATA'!$D:$D=$C402,'SUMMARY DATA'!$B:$B=""RWS"")),"""")
  )
)"),"")</f>
      </c>
      <c r="H402" s="18" t="str">
        <f>IFERROR(__xludf.DUMMYFUNCTION("IFERROR(
  TEXTJOIN(CHAR(10),TRUE,FILTER('SUMMARY DATA'!H:H,'SUMMARY DATA'!$A:$A=$A402,'SUMMARY DATA'!$C:$C=$B402,'SUMMARY DATA'!$B:$B=""RWS"",'SUMMARY DATA'!$H:$H=$D402)),
  IF(
    OR(
      ISNUMBER(SEARCH(""CDM CASH DEPOSIT"",$C402)),
      ISNUMBER(S"&amp;"EARCH(""CASH DEPOSIT"",$C402))
    ),
    """",
    IFERROR(TEXTJOIN(CHAR(10),TRUE,FILTER('SUMMARY DATA'!H:H,'SUMMARY DATA'!$D:$D=$C402,'SUMMARY DATA'!$B:$B=""RWS"",'SUMMARY DATA'!$H:$H=$D402)),"""")
  )
)"),"")</f>
      </c>
      <c r="I402" s="18" t="str">
        <f>IFERROR(__xludf.DUMMYFUNCTION("IF(H402="""","""",
SUM(ARRAYFORMULA(VALUE(SPLIT(H402,CHAR(10)))))
)"),"")</f>
      </c>
      <c r="J402" s="17" t="str">
        <f>IFERROR(__xludf.DUMMYFUNCTION("IFERROR(
  TEXTJOIN(CHAR(10),TRUE,FILTER('SUMMARY DATA'!I:I,'SUMMARY DATA'!$A:$A=$A402,'SUMMARY DATA'!$C:$C=$B402,'SUMMARY DATA'!$B:$B=""RWS"")),
  IF(
    OR(
      ISNUMBER(SEARCH(""CDM CASH DEPOSIT"",$C402)),
      ISNUMBER(SEARCH(""CASH DEPOSIT"",$C40"&amp;"2)),
      COUNTIFS('SUMMARY DATA'!$D:$D,$C402,'SUMMARY DATA'!$B:$B,""RWS"")&lt;&gt;1
    ),
    """",
    IFERROR(TEXTJOIN(CHAR(10),TRUE,FILTER('SUMMARY DATA'!I:I,'SUMMARY DATA'!$D:$D=$C402,'SUMMARY DATA'!$B:$B=""RWS"")),"""")
  )
)"),"")</f>
      </c>
      <c r="K402" s="2"/>
      <c r="L402" s="2"/>
      <c r="M402" s="2"/>
      <c r="N402" s="2"/>
      <c r="O402" s="2"/>
      <c r="P402" s="2"/>
      <c r="Q402" s="2"/>
      <c r="R402" s="2"/>
      <c r="S402" s="2"/>
      <c r="T402" s="2"/>
      <c r="U402" s="2"/>
      <c r="V402" s="2"/>
      <c r="W402" s="2"/>
      <c r="X402" s="2"/>
      <c r="Y402" s="2"/>
      <c r="Z402" s="2"/>
      <c r="AA402" s="2"/>
      <c r="AB402" s="2"/>
    </row>
    <row r="403" spans="1:28" customHeight="true">
      <c r="A403" s="2" t="s">
        <v>654</v>
      </c>
      <c r="B403" s="15">
        <v>45963</v>
      </c>
      <c r="C403" s="2" t="s">
        <v>655</v>
      </c>
      <c r="D403" s="3">
        <v>168.74</v>
      </c>
      <c r="E403" s="16" t="str">
        <f>IFERROR(__xludf.DUMMYFUNCTION("IFERROR(
  TEXTJOIN(CHAR(10),TRUE,FILTER('SUMMARY DATA'!E:E,'SUMMARY DATA'!$A:$A=$A403,'SUMMARY DATA'!$C:$C=$B403,'SUMMARY DATA'!$B:$B=""RWS"")),
  IF(
    OR(
      ISNUMBER(SEARCH(""CDM CASH DEPOSIT"",$C403)),
      ISNUMBER(SEARCH(""CASH DEPOSIT"",$C40"&amp;"3)),
      COUNTIFS('SUMMARY DATA'!$D:$D,$C403,'SUMMARY DATA'!$B:$B,""RWS"")&lt;&gt;1
    ),
    """",
    IFERROR(TEXTJOIN(CHAR(10),TRUE,FILTER('SUMMARY DATA'!E:E,'SUMMARY DATA'!$D:$D=$C403,'SUMMARY DATA'!$B:$B=""RWS"")),"""")
  )
)"),"")</f>
      </c>
      <c r="F403" s="17" t="str">
        <f>IFERROR(__xludf.DUMMYFUNCTION("IFERROR(
  TEXTJOIN(CHAR(10),TRUE,FILTER('SUMMARY DATA'!F:F,'SUMMARY DATA'!$A:$A=$A403,'SUMMARY DATA'!$C:$C=$B403,'SUMMARY DATA'!$B:$B=""RWS"")),
  IF(
    OR(
      ISNUMBER(SEARCH(""CDM CASH DEPOSIT"",$C403)),
      ISNUMBER(SEARCH(""CASH DEPOSIT"",$C40"&amp;"3)),
      COUNTIFS('SUMMARY DATA'!$D:$D,$C403,'SUMMARY DATA'!$B:$B,""RWS"")&lt;&gt;1
    ),
    """",
    IFERROR(TEXTJOIN(CHAR(10),TRUE,FILTER('SUMMARY DATA'!F:F,'SUMMARY DATA'!$D:$D=$C403,'SUMMARY DATA'!$B:$B=""RWS"")),"""")
  )
)"),"")</f>
      </c>
      <c r="G403" s="17" t="str">
        <f>IFERROR(__xludf.DUMMYFUNCTION("IFERROR(
  TEXTJOIN(CHAR(10),TRUE,FILTER('SUMMARY DATA'!G:G,'SUMMARY DATA'!$A:$A=$A403,'SUMMARY DATA'!$C:$C=$B403,'SUMMARY DATA'!$B:$B=""RWS"")),
  IF(
    OR(
      ISNUMBER(SEARCH(""CDM CASH DEPOSIT"",$C403)),
      ISNUMBER(SEARCH(""CASH DEPOSIT"",$C40"&amp;"3)),
      COUNTIFS('SUMMARY DATA'!$D:$D,$C403,'SUMMARY DATA'!$B:$B,""RWS"")&lt;&gt;1
    ),
    """",
    IFERROR(TEXTJOIN(CHAR(10),TRUE,FILTER('SUMMARY DATA'!G:G,'SUMMARY DATA'!$D:$D=$C403,'SUMMARY DATA'!$B:$B=""RWS"")),"""")
  )
)"),"")</f>
      </c>
      <c r="H403" s="18" t="str">
        <f>IFERROR(__xludf.DUMMYFUNCTION("IFERROR(
  TEXTJOIN(CHAR(10),TRUE,FILTER('SUMMARY DATA'!H:H,'SUMMARY DATA'!$A:$A=$A403,'SUMMARY DATA'!$C:$C=$B403,'SUMMARY DATA'!$B:$B=""RWS"",'SUMMARY DATA'!$H:$H=$D403)),
  IF(
    OR(
      ISNUMBER(SEARCH(""CDM CASH DEPOSIT"",$C403)),
      ISNUMBER(S"&amp;"EARCH(""CASH DEPOSIT"",$C403))
    ),
    """",
    IFERROR(TEXTJOIN(CHAR(10),TRUE,FILTER('SUMMARY DATA'!H:H,'SUMMARY DATA'!$D:$D=$C403,'SUMMARY DATA'!$B:$B=""RWS"",'SUMMARY DATA'!$H:$H=$D403)),"""")
  )
)"),"")</f>
      </c>
      <c r="I403" s="18" t="str">
        <f>IFERROR(__xludf.DUMMYFUNCTION("IF(H403="""","""",
SUM(ARRAYFORMULA(VALUE(SPLIT(H403,CHAR(10)))))
)"),"")</f>
      </c>
      <c r="J403" s="17" t="str">
        <f>IFERROR(__xludf.DUMMYFUNCTION("IFERROR(
  TEXTJOIN(CHAR(10),TRUE,FILTER('SUMMARY DATA'!I:I,'SUMMARY DATA'!$A:$A=$A403,'SUMMARY DATA'!$C:$C=$B403,'SUMMARY DATA'!$B:$B=""RWS"")),
  IF(
    OR(
      ISNUMBER(SEARCH(""CDM CASH DEPOSIT"",$C403)),
      ISNUMBER(SEARCH(""CASH DEPOSIT"",$C40"&amp;"3)),
      COUNTIFS('SUMMARY DATA'!$D:$D,$C403,'SUMMARY DATA'!$B:$B,""RWS"")&lt;&gt;1
    ),
    """",
    IFERROR(TEXTJOIN(CHAR(10),TRUE,FILTER('SUMMARY DATA'!I:I,'SUMMARY DATA'!$D:$D=$C403,'SUMMARY DATA'!$B:$B=""RWS"")),"""")
  )
)"),"")</f>
      </c>
      <c r="K403" s="2"/>
      <c r="L403" s="2"/>
      <c r="M403" s="2"/>
      <c r="N403" s="2"/>
      <c r="O403" s="2"/>
      <c r="P403" s="2"/>
      <c r="Q403" s="2"/>
      <c r="R403" s="2"/>
      <c r="S403" s="2"/>
      <c r="T403" s="2"/>
      <c r="U403" s="2"/>
      <c r="V403" s="2"/>
      <c r="W403" s="2"/>
      <c r="X403" s="2"/>
      <c r="Y403" s="2"/>
      <c r="Z403" s="2"/>
      <c r="AA403" s="2"/>
      <c r="AB403" s="2"/>
    </row>
    <row r="404" spans="1:28" customHeight="true">
      <c r="A404" s="2" t="s">
        <v>656</v>
      </c>
      <c r="B404" s="15">
        <v>45963</v>
      </c>
      <c r="C404" s="2" t="s">
        <v>657</v>
      </c>
      <c r="D404" s="3">
        <v>10</v>
      </c>
      <c r="E404" s="16" t="str">
        <f>IFERROR(__xludf.DUMMYFUNCTION("IFERROR(
  TEXTJOIN(CHAR(10),TRUE,FILTER('SUMMARY DATA'!E:E,'SUMMARY DATA'!$A:$A=$A404,'SUMMARY DATA'!$C:$C=$B404,'SUMMARY DATA'!$B:$B=""RWS"")),
  IF(
    OR(
      ISNUMBER(SEARCH(""CDM CASH DEPOSIT"",$C404)),
      ISNUMBER(SEARCH(""CASH DEPOSIT"",$C40"&amp;"4)),
      COUNTIFS('SUMMARY DATA'!$D:$D,$C404,'SUMMARY DATA'!$B:$B,""RWS"")&lt;&gt;1
    ),
    """",
    IFERROR(TEXTJOIN(CHAR(10),TRUE,FILTER('SUMMARY DATA'!E:E,'SUMMARY DATA'!$D:$D=$C404,'SUMMARY DATA'!$B:$B=""RWS"")),"""")
  )
)"),"")</f>
      </c>
      <c r="F404" s="17" t="str">
        <f>IFERROR(__xludf.DUMMYFUNCTION("IFERROR(
  TEXTJOIN(CHAR(10),TRUE,FILTER('SUMMARY DATA'!F:F,'SUMMARY DATA'!$A:$A=$A404,'SUMMARY DATA'!$C:$C=$B404,'SUMMARY DATA'!$B:$B=""RWS"")),
  IF(
    OR(
      ISNUMBER(SEARCH(""CDM CASH DEPOSIT"",$C404)),
      ISNUMBER(SEARCH(""CASH DEPOSIT"",$C40"&amp;"4)),
      COUNTIFS('SUMMARY DATA'!$D:$D,$C404,'SUMMARY DATA'!$B:$B,""RWS"")&lt;&gt;1
    ),
    """",
    IFERROR(TEXTJOIN(CHAR(10),TRUE,FILTER('SUMMARY DATA'!F:F,'SUMMARY DATA'!$D:$D=$C404,'SUMMARY DATA'!$B:$B=""RWS"")),"""")
  )
)"),"")</f>
      </c>
      <c r="G404" s="17" t="str">
        <f>IFERROR(__xludf.DUMMYFUNCTION("IFERROR(
  TEXTJOIN(CHAR(10),TRUE,FILTER('SUMMARY DATA'!G:G,'SUMMARY DATA'!$A:$A=$A404,'SUMMARY DATA'!$C:$C=$B404,'SUMMARY DATA'!$B:$B=""RWS"")),
  IF(
    OR(
      ISNUMBER(SEARCH(""CDM CASH DEPOSIT"",$C404)),
      ISNUMBER(SEARCH(""CASH DEPOSIT"",$C40"&amp;"4)),
      COUNTIFS('SUMMARY DATA'!$D:$D,$C404,'SUMMARY DATA'!$B:$B,""RWS"")&lt;&gt;1
    ),
    """",
    IFERROR(TEXTJOIN(CHAR(10),TRUE,FILTER('SUMMARY DATA'!G:G,'SUMMARY DATA'!$D:$D=$C404,'SUMMARY DATA'!$B:$B=""RWS"")),"""")
  )
)"),"")</f>
      </c>
      <c r="H404" s="18" t="str">
        <f>IFERROR(__xludf.DUMMYFUNCTION("IFERROR(
  TEXTJOIN(CHAR(10),TRUE,FILTER('SUMMARY DATA'!H:H,'SUMMARY DATA'!$A:$A=$A404,'SUMMARY DATA'!$C:$C=$B404,'SUMMARY DATA'!$B:$B=""RWS"",'SUMMARY DATA'!$H:$H=$D404)),
  IF(
    OR(
      ISNUMBER(SEARCH(""CDM CASH DEPOSIT"",$C404)),
      ISNUMBER(S"&amp;"EARCH(""CASH DEPOSIT"",$C404))
    ),
    """",
    IFERROR(TEXTJOIN(CHAR(10),TRUE,FILTER('SUMMARY DATA'!H:H,'SUMMARY DATA'!$D:$D=$C404,'SUMMARY DATA'!$B:$B=""RWS"",'SUMMARY DATA'!$H:$H=$D404)),"""")
  )
)"),"")</f>
      </c>
      <c r="I404" s="18" t="str">
        <f>IFERROR(__xludf.DUMMYFUNCTION("IF(H404="""","""",
SUM(ARRAYFORMULA(VALUE(SPLIT(H404,CHAR(10)))))
)"),"")</f>
      </c>
      <c r="J404" s="17" t="str">
        <f>IFERROR(__xludf.DUMMYFUNCTION("IFERROR(
  TEXTJOIN(CHAR(10),TRUE,FILTER('SUMMARY DATA'!I:I,'SUMMARY DATA'!$A:$A=$A404,'SUMMARY DATA'!$C:$C=$B404,'SUMMARY DATA'!$B:$B=""RWS"")),
  IF(
    OR(
      ISNUMBER(SEARCH(""CDM CASH DEPOSIT"",$C404)),
      ISNUMBER(SEARCH(""CASH DEPOSIT"",$C40"&amp;"4)),
      COUNTIFS('SUMMARY DATA'!$D:$D,$C404,'SUMMARY DATA'!$B:$B,""RWS"")&lt;&gt;1
    ),
    """",
    IFERROR(TEXTJOIN(CHAR(10),TRUE,FILTER('SUMMARY DATA'!I:I,'SUMMARY DATA'!$D:$D=$C404,'SUMMARY DATA'!$B:$B=""RWS"")),"""")
  )
)"),"")</f>
      </c>
      <c r="K404" s="2"/>
      <c r="L404" s="2"/>
      <c r="M404" s="2"/>
      <c r="N404" s="2"/>
      <c r="O404" s="2"/>
      <c r="P404" s="2"/>
      <c r="Q404" s="2"/>
      <c r="R404" s="2"/>
      <c r="S404" s="2"/>
      <c r="T404" s="2"/>
      <c r="U404" s="2"/>
      <c r="V404" s="2"/>
      <c r="W404" s="2"/>
      <c r="X404" s="2"/>
      <c r="Y404" s="2"/>
      <c r="Z404" s="2"/>
      <c r="AA404" s="2"/>
      <c r="AB404" s="2"/>
    </row>
    <row r="405" spans="1:28" customHeight="true">
      <c r="A405" s="2" t="s">
        <v>658</v>
      </c>
      <c r="B405" s="15">
        <v>45962</v>
      </c>
      <c r="C405" s="2" t="s">
        <v>659</v>
      </c>
      <c r="D405" s="3">
        <v>914.05</v>
      </c>
      <c r="E405" s="16" t="s">
        <v>2416</v>
      </c>
      <c r="F405" s="17" t="s">
        <v>2491</v>
      </c>
      <c r="G405" s="17" t="s">
        <v>2393</v>
      </c>
      <c r="H405" s="18">
        <v>914.05</v>
      </c>
      <c r="I405" s="18">
        <v>914.05</v>
      </c>
      <c r="J405" s="17" t="s">
        <v>2394</v>
      </c>
      <c r="K405" s="2" t="s">
        <v>2395</v>
      </c>
      <c r="L405" s="2"/>
      <c r="M405" s="2"/>
      <c r="N405" s="2"/>
      <c r="O405" s="2"/>
      <c r="P405" s="2"/>
      <c r="Q405" s="2"/>
      <c r="R405" s="2"/>
      <c r="S405" s="2"/>
      <c r="T405" s="2"/>
      <c r="U405" s="2"/>
      <c r="V405" s="2"/>
      <c r="W405" s="2"/>
      <c r="X405" s="2"/>
      <c r="Y405" s="2"/>
      <c r="Z405" s="2"/>
      <c r="AA405" s="2"/>
      <c r="AB405" s="2"/>
    </row>
    <row r="406" spans="1:28" customHeight="true">
      <c r="A406" s="2" t="s">
        <v>660</v>
      </c>
      <c r="B406" s="15">
        <v>45962</v>
      </c>
      <c r="C406" s="2" t="s">
        <v>661</v>
      </c>
      <c r="D406" s="3">
        <v>337</v>
      </c>
      <c r="E406" s="16" t="str">
        <f>IFERROR(__xludf.DUMMYFUNCTION("IFERROR(
  TEXTJOIN(CHAR(10),TRUE,FILTER('SUMMARY DATA'!E:E,'SUMMARY DATA'!$A:$A=$A406,'SUMMARY DATA'!$C:$C=$B406,'SUMMARY DATA'!$B:$B=""RWS"")),
  IF(
    OR(
      ISNUMBER(SEARCH(""CDM CASH DEPOSIT"",$C406)),
      ISNUMBER(SEARCH(""CASH DEPOSIT"",$C40"&amp;"6)),
      COUNTIFS('SUMMARY DATA'!$D:$D,$C406,'SUMMARY DATA'!$B:$B,""RWS"")&lt;&gt;1
    ),
    """",
    IFERROR(TEXTJOIN(CHAR(10),TRUE,FILTER('SUMMARY DATA'!E:E,'SUMMARY DATA'!$D:$D=$C406,'SUMMARY DATA'!$B:$B=""RWS"")),"""")
  )
)"),"")</f>
      </c>
      <c r="F406" s="17" t="str">
        <f>IFERROR(__xludf.DUMMYFUNCTION("IFERROR(
  TEXTJOIN(CHAR(10),TRUE,FILTER('SUMMARY DATA'!F:F,'SUMMARY DATA'!$A:$A=$A406,'SUMMARY DATA'!$C:$C=$B406,'SUMMARY DATA'!$B:$B=""RWS"")),
  IF(
    OR(
      ISNUMBER(SEARCH(""CDM CASH DEPOSIT"",$C406)),
      ISNUMBER(SEARCH(""CASH DEPOSIT"",$C40"&amp;"6)),
      COUNTIFS('SUMMARY DATA'!$D:$D,$C406,'SUMMARY DATA'!$B:$B,""RWS"")&lt;&gt;1
    ),
    """",
    IFERROR(TEXTJOIN(CHAR(10),TRUE,FILTER('SUMMARY DATA'!F:F,'SUMMARY DATA'!$D:$D=$C406,'SUMMARY DATA'!$B:$B=""RWS"")),"""")
  )
)"),"")</f>
      </c>
      <c r="G406" s="17" t="str">
        <f>IFERROR(__xludf.DUMMYFUNCTION("IFERROR(
  TEXTJOIN(CHAR(10),TRUE,FILTER('SUMMARY DATA'!G:G,'SUMMARY DATA'!$A:$A=$A406,'SUMMARY DATA'!$C:$C=$B406,'SUMMARY DATA'!$B:$B=""RWS"")),
  IF(
    OR(
      ISNUMBER(SEARCH(""CDM CASH DEPOSIT"",$C406)),
      ISNUMBER(SEARCH(""CASH DEPOSIT"",$C40"&amp;"6)),
      COUNTIFS('SUMMARY DATA'!$D:$D,$C406,'SUMMARY DATA'!$B:$B,""RWS"")&lt;&gt;1
    ),
    """",
    IFERROR(TEXTJOIN(CHAR(10),TRUE,FILTER('SUMMARY DATA'!G:G,'SUMMARY DATA'!$D:$D=$C406,'SUMMARY DATA'!$B:$B=""RWS"")),"""")
  )
)"),"")</f>
      </c>
      <c r="H406" s="18" t="str">
        <f>IFERROR(__xludf.DUMMYFUNCTION("IFERROR(
  TEXTJOIN(CHAR(10),TRUE,FILTER('SUMMARY DATA'!H:H,'SUMMARY DATA'!$A:$A=$A406,'SUMMARY DATA'!$C:$C=$B406,'SUMMARY DATA'!$B:$B=""RWS"",'SUMMARY DATA'!$H:$H=$D406)),
  IF(
    OR(
      ISNUMBER(SEARCH(""CDM CASH DEPOSIT"",$C406)),
      ISNUMBER(S"&amp;"EARCH(""CASH DEPOSIT"",$C406))
    ),
    """",
    IFERROR(TEXTJOIN(CHAR(10),TRUE,FILTER('SUMMARY DATA'!H:H,'SUMMARY DATA'!$D:$D=$C406,'SUMMARY DATA'!$B:$B=""RWS"",'SUMMARY DATA'!$H:$H=$D406)),"""")
  )
)"),"")</f>
      </c>
      <c r="I406" s="18" t="str">
        <f>IFERROR(__xludf.DUMMYFUNCTION("IF(H406="""","""",
SUM(ARRAYFORMULA(VALUE(SPLIT(H406,CHAR(10)))))
)"),"")</f>
      </c>
      <c r="J406" s="17" t="str">
        <f>IFERROR(__xludf.DUMMYFUNCTION("IFERROR(
  TEXTJOIN(CHAR(10),TRUE,FILTER('SUMMARY DATA'!I:I,'SUMMARY DATA'!$A:$A=$A406,'SUMMARY DATA'!$C:$C=$B406,'SUMMARY DATA'!$B:$B=""RWS"")),
  IF(
    OR(
      ISNUMBER(SEARCH(""CDM CASH DEPOSIT"",$C406)),
      ISNUMBER(SEARCH(""CASH DEPOSIT"",$C40"&amp;"6)),
      COUNTIFS('SUMMARY DATA'!$D:$D,$C406,'SUMMARY DATA'!$B:$B,""RWS"")&lt;&gt;1
    ),
    """",
    IFERROR(TEXTJOIN(CHAR(10),TRUE,FILTER('SUMMARY DATA'!I:I,'SUMMARY DATA'!$D:$D=$C406,'SUMMARY DATA'!$B:$B=""RWS"")),"""")
  )
)"),"")</f>
      </c>
      <c r="K406" s="2"/>
      <c r="L406" s="2"/>
      <c r="M406" s="2"/>
      <c r="N406" s="2"/>
      <c r="O406" s="2"/>
      <c r="P406" s="2"/>
      <c r="Q406" s="2"/>
      <c r="R406" s="2"/>
      <c r="S406" s="2"/>
      <c r="T406" s="2"/>
      <c r="U406" s="2"/>
      <c r="V406" s="2"/>
      <c r="W406" s="2"/>
      <c r="X406" s="2"/>
      <c r="Y406" s="2"/>
      <c r="Z406" s="2"/>
      <c r="AA406" s="2"/>
      <c r="AB406" s="2"/>
    </row>
    <row r="407" spans="1:28" customHeight="true">
      <c r="A407" s="2" t="s">
        <v>662</v>
      </c>
      <c r="B407" s="15">
        <v>45962</v>
      </c>
      <c r="C407" s="2" t="s">
        <v>663</v>
      </c>
      <c r="D407" s="3">
        <v>173.93</v>
      </c>
      <c r="E407" s="16" t="str">
        <f>IFERROR(__xludf.DUMMYFUNCTION("IFERROR(
  TEXTJOIN(CHAR(10),TRUE,FILTER('SUMMARY DATA'!E:E,'SUMMARY DATA'!$A:$A=$A407,'SUMMARY DATA'!$C:$C=$B407,'SUMMARY DATA'!$B:$B=""RWS"")),
  IF(
    OR(
      ISNUMBER(SEARCH(""CDM CASH DEPOSIT"",$C407)),
      ISNUMBER(SEARCH(""CASH DEPOSIT"",$C40"&amp;"7)),
      COUNTIFS('SUMMARY DATA'!$D:$D,$C407,'SUMMARY DATA'!$B:$B,""RWS"")&lt;&gt;1
    ),
    """",
    IFERROR(TEXTJOIN(CHAR(10),TRUE,FILTER('SUMMARY DATA'!E:E,'SUMMARY DATA'!$D:$D=$C407,'SUMMARY DATA'!$B:$B=""RWS"")),"""")
  )
)"),"")</f>
      </c>
      <c r="F407" s="17" t="str">
        <f>IFERROR(__xludf.DUMMYFUNCTION("IFERROR(
  TEXTJOIN(CHAR(10),TRUE,FILTER('SUMMARY DATA'!F:F,'SUMMARY DATA'!$A:$A=$A407,'SUMMARY DATA'!$C:$C=$B407,'SUMMARY DATA'!$B:$B=""RWS"")),
  IF(
    OR(
      ISNUMBER(SEARCH(""CDM CASH DEPOSIT"",$C407)),
      ISNUMBER(SEARCH(""CASH DEPOSIT"",$C40"&amp;"7)),
      COUNTIFS('SUMMARY DATA'!$D:$D,$C407,'SUMMARY DATA'!$B:$B,""RWS"")&lt;&gt;1
    ),
    """",
    IFERROR(TEXTJOIN(CHAR(10),TRUE,FILTER('SUMMARY DATA'!F:F,'SUMMARY DATA'!$D:$D=$C407,'SUMMARY DATA'!$B:$B=""RWS"")),"""")
  )
)"),"")</f>
      </c>
      <c r="G407" s="17" t="str">
        <f>IFERROR(__xludf.DUMMYFUNCTION("IFERROR(
  TEXTJOIN(CHAR(10),TRUE,FILTER('SUMMARY DATA'!G:G,'SUMMARY DATA'!$A:$A=$A407,'SUMMARY DATA'!$C:$C=$B407,'SUMMARY DATA'!$B:$B=""RWS"")),
  IF(
    OR(
      ISNUMBER(SEARCH(""CDM CASH DEPOSIT"",$C407)),
      ISNUMBER(SEARCH(""CASH DEPOSIT"",$C40"&amp;"7)),
      COUNTIFS('SUMMARY DATA'!$D:$D,$C407,'SUMMARY DATA'!$B:$B,""RWS"")&lt;&gt;1
    ),
    """",
    IFERROR(TEXTJOIN(CHAR(10),TRUE,FILTER('SUMMARY DATA'!G:G,'SUMMARY DATA'!$D:$D=$C407,'SUMMARY DATA'!$B:$B=""RWS"")),"""")
  )
)"),"")</f>
      </c>
      <c r="H407" s="18" t="str">
        <f>IFERROR(__xludf.DUMMYFUNCTION("IFERROR(
  TEXTJOIN(CHAR(10),TRUE,FILTER('SUMMARY DATA'!H:H,'SUMMARY DATA'!$A:$A=$A407,'SUMMARY DATA'!$C:$C=$B407,'SUMMARY DATA'!$B:$B=""RWS"",'SUMMARY DATA'!$H:$H=$D407)),
  IF(
    OR(
      ISNUMBER(SEARCH(""CDM CASH DEPOSIT"",$C407)),
      ISNUMBER(S"&amp;"EARCH(""CASH DEPOSIT"",$C407))
    ),
    """",
    IFERROR(TEXTJOIN(CHAR(10),TRUE,FILTER('SUMMARY DATA'!H:H,'SUMMARY DATA'!$D:$D=$C407,'SUMMARY DATA'!$B:$B=""RWS"",'SUMMARY DATA'!$H:$H=$D407)),"""")
  )
)"),"")</f>
      </c>
      <c r="I407" s="18" t="str">
        <f>IFERROR(__xludf.DUMMYFUNCTION("IF(H407="""","""",
SUM(ARRAYFORMULA(VALUE(SPLIT(H407,CHAR(10)))))
)"),"")</f>
      </c>
      <c r="J407" s="17" t="str">
        <f>IFERROR(__xludf.DUMMYFUNCTION("IFERROR(
  TEXTJOIN(CHAR(10),TRUE,FILTER('SUMMARY DATA'!I:I,'SUMMARY DATA'!$A:$A=$A407,'SUMMARY DATA'!$C:$C=$B407,'SUMMARY DATA'!$B:$B=""RWS"")),
  IF(
    OR(
      ISNUMBER(SEARCH(""CDM CASH DEPOSIT"",$C407)),
      ISNUMBER(SEARCH(""CASH DEPOSIT"",$C40"&amp;"7)),
      COUNTIFS('SUMMARY DATA'!$D:$D,$C407,'SUMMARY DATA'!$B:$B,""RWS"")&lt;&gt;1
    ),
    """",
    IFERROR(TEXTJOIN(CHAR(10),TRUE,FILTER('SUMMARY DATA'!I:I,'SUMMARY DATA'!$D:$D=$C407,'SUMMARY DATA'!$B:$B=""RWS"")),"""")
  )
)"),"")</f>
      </c>
      <c r="K407" s="2"/>
      <c r="L407" s="2"/>
      <c r="M407" s="2"/>
      <c r="N407" s="2"/>
      <c r="O407" s="2"/>
      <c r="P407" s="2"/>
      <c r="Q407" s="2"/>
      <c r="R407" s="2"/>
      <c r="S407" s="2"/>
      <c r="T407" s="2"/>
      <c r="U407" s="2"/>
      <c r="V407" s="2"/>
      <c r="W407" s="2"/>
      <c r="X407" s="2"/>
      <c r="Y407" s="2"/>
      <c r="Z407" s="2"/>
      <c r="AA407" s="2"/>
      <c r="AB407" s="2"/>
    </row>
    <row r="408" spans="1:28" customHeight="true">
      <c r="A408" s="2" t="s">
        <v>664</v>
      </c>
      <c r="B408" s="15">
        <v>46022</v>
      </c>
      <c r="C408" s="2" t="s">
        <v>665</v>
      </c>
      <c r="D408" s="3">
        <v>152.75</v>
      </c>
      <c r="E408" s="16" t="s">
        <v>2492</v>
      </c>
      <c r="F408" s="17" t="s">
        <v>2493</v>
      </c>
      <c r="G408" s="17" t="s">
        <v>2393</v>
      </c>
      <c r="H408" s="18">
        <v>152.75</v>
      </c>
      <c r="I408" s="18">
        <v>152.75</v>
      </c>
      <c r="J408" s="17" t="s">
        <v>2394</v>
      </c>
      <c r="K408" s="2" t="s">
        <v>2395</v>
      </c>
      <c r="L408" s="2"/>
      <c r="M408" s="2"/>
      <c r="N408" s="2"/>
      <c r="O408" s="2"/>
      <c r="P408" s="2"/>
      <c r="Q408" s="2"/>
      <c r="R408" s="2"/>
      <c r="S408" s="2"/>
      <c r="T408" s="2"/>
      <c r="U408" s="2"/>
      <c r="V408" s="2"/>
      <c r="W408" s="2"/>
      <c r="X408" s="2"/>
      <c r="Y408" s="2"/>
      <c r="Z408" s="2"/>
      <c r="AA408" s="2"/>
      <c r="AB408" s="2"/>
    </row>
    <row r="409" spans="1:28" customHeight="true">
      <c r="A409" s="2" t="s">
        <v>666</v>
      </c>
      <c r="B409" s="15">
        <v>46021</v>
      </c>
      <c r="C409" s="2" t="s">
        <v>667</v>
      </c>
      <c r="D409" s="3">
        <v>88</v>
      </c>
      <c r="E409" s="16" t="s">
        <v>2457</v>
      </c>
      <c r="F409" s="17" t="s">
        <v>2494</v>
      </c>
      <c r="G409" s="17" t="s">
        <v>2393</v>
      </c>
      <c r="H409" s="18">
        <v>88</v>
      </c>
      <c r="I409" s="18">
        <v>88</v>
      </c>
      <c r="J409" s="17" t="s">
        <v>2394</v>
      </c>
      <c r="K409" s="2" t="s">
        <v>2395</v>
      </c>
      <c r="L409" s="2"/>
      <c r="M409" s="2"/>
      <c r="N409" s="2"/>
      <c r="O409" s="2"/>
      <c r="P409" s="2"/>
      <c r="Q409" s="2"/>
      <c r="R409" s="2"/>
      <c r="S409" s="2"/>
      <c r="T409" s="2"/>
      <c r="U409" s="2"/>
      <c r="V409" s="2"/>
      <c r="W409" s="2"/>
      <c r="X409" s="2"/>
      <c r="Y409" s="2"/>
      <c r="Z409" s="2"/>
      <c r="AA409" s="2"/>
      <c r="AB409" s="2"/>
    </row>
    <row r="410" spans="1:28" customHeight="true">
      <c r="A410" s="2" t="s">
        <v>662</v>
      </c>
      <c r="B410" s="15">
        <v>46021</v>
      </c>
      <c r="C410" s="2" t="s">
        <v>663</v>
      </c>
      <c r="D410" s="3">
        <v>49</v>
      </c>
      <c r="E410" s="16" t="str">
        <f>IFERROR(__xludf.DUMMYFUNCTION("IFERROR(
  TEXTJOIN(CHAR(10),TRUE,FILTER('SUMMARY DATA'!E:E,'SUMMARY DATA'!$A:$A=$A410,'SUMMARY DATA'!$C:$C=$B410,'SUMMARY DATA'!$B:$B=""RWS"")),
  IF(
    OR(
      ISNUMBER(SEARCH(""CDM CASH DEPOSIT"",$C410)),
      ISNUMBER(SEARCH(""CASH DEPOSIT"",$C41"&amp;"0)),
      COUNTIFS('SUMMARY DATA'!$D:$D,$C410,'SUMMARY DATA'!$B:$B,""RWS"")&lt;&gt;1
    ),
    """",
    IFERROR(TEXTJOIN(CHAR(10),TRUE,FILTER('SUMMARY DATA'!E:E,'SUMMARY DATA'!$D:$D=$C410,'SUMMARY DATA'!$B:$B=""RWS"")),"""")
  )
)"),"")</f>
      </c>
      <c r="F410" s="17" t="str">
        <f>IFERROR(__xludf.DUMMYFUNCTION("IFERROR(
  TEXTJOIN(CHAR(10),TRUE,FILTER('SUMMARY DATA'!F:F,'SUMMARY DATA'!$A:$A=$A410,'SUMMARY DATA'!$C:$C=$B410,'SUMMARY DATA'!$B:$B=""RWS"")),
  IF(
    OR(
      ISNUMBER(SEARCH(""CDM CASH DEPOSIT"",$C410)),
      ISNUMBER(SEARCH(""CASH DEPOSIT"",$C41"&amp;"0)),
      COUNTIFS('SUMMARY DATA'!$D:$D,$C410,'SUMMARY DATA'!$B:$B,""RWS"")&lt;&gt;1
    ),
    """",
    IFERROR(TEXTJOIN(CHAR(10),TRUE,FILTER('SUMMARY DATA'!F:F,'SUMMARY DATA'!$D:$D=$C410,'SUMMARY DATA'!$B:$B=""RWS"")),"""")
  )
)"),"")</f>
      </c>
      <c r="G410" s="17" t="str">
        <f>IFERROR(__xludf.DUMMYFUNCTION("IFERROR(
  TEXTJOIN(CHAR(10),TRUE,FILTER('SUMMARY DATA'!G:G,'SUMMARY DATA'!$A:$A=$A410,'SUMMARY DATA'!$C:$C=$B410,'SUMMARY DATA'!$B:$B=""RWS"")),
  IF(
    OR(
      ISNUMBER(SEARCH(""CDM CASH DEPOSIT"",$C410)),
      ISNUMBER(SEARCH(""CASH DEPOSIT"",$C41"&amp;"0)),
      COUNTIFS('SUMMARY DATA'!$D:$D,$C410,'SUMMARY DATA'!$B:$B,""RWS"")&lt;&gt;1
    ),
    """",
    IFERROR(TEXTJOIN(CHAR(10),TRUE,FILTER('SUMMARY DATA'!G:G,'SUMMARY DATA'!$D:$D=$C410,'SUMMARY DATA'!$B:$B=""RWS"")),"""")
  )
)"),"")</f>
      </c>
      <c r="H410" s="18" t="str">
        <f>IFERROR(__xludf.DUMMYFUNCTION("IFERROR(
  TEXTJOIN(CHAR(10),TRUE,FILTER('SUMMARY DATA'!H:H,'SUMMARY DATA'!$A:$A=$A410,'SUMMARY DATA'!$C:$C=$B410,'SUMMARY DATA'!$B:$B=""RWS"",'SUMMARY DATA'!$H:$H=$D410)),
  IF(
    OR(
      ISNUMBER(SEARCH(""CDM CASH DEPOSIT"",$C410)),
      ISNUMBER(S"&amp;"EARCH(""CASH DEPOSIT"",$C410))
    ),
    """",
    IFERROR(TEXTJOIN(CHAR(10),TRUE,FILTER('SUMMARY DATA'!H:H,'SUMMARY DATA'!$D:$D=$C410,'SUMMARY DATA'!$B:$B=""RWS"",'SUMMARY DATA'!$H:$H=$D410)),"""")
  )
)"),"")</f>
      </c>
      <c r="I410" s="18" t="str">
        <f>IFERROR(__xludf.DUMMYFUNCTION("IF(H410="""","""",
SUM(ARRAYFORMULA(VALUE(SPLIT(H410,CHAR(10)))))
)"),"")</f>
      </c>
      <c r="J410" s="17" t="str">
        <f>IFERROR(__xludf.DUMMYFUNCTION("IFERROR(
  TEXTJOIN(CHAR(10),TRUE,FILTER('SUMMARY DATA'!I:I,'SUMMARY DATA'!$A:$A=$A410,'SUMMARY DATA'!$C:$C=$B410,'SUMMARY DATA'!$B:$B=""RWS"")),
  IF(
    OR(
      ISNUMBER(SEARCH(""CDM CASH DEPOSIT"",$C410)),
      ISNUMBER(SEARCH(""CASH DEPOSIT"",$C41"&amp;"0)),
      COUNTIFS('SUMMARY DATA'!$D:$D,$C410,'SUMMARY DATA'!$B:$B,""RWS"")&lt;&gt;1
    ),
    """",
    IFERROR(TEXTJOIN(CHAR(10),TRUE,FILTER('SUMMARY DATA'!I:I,'SUMMARY DATA'!$D:$D=$C410,'SUMMARY DATA'!$B:$B=""RWS"")),"""")
  )
)"),"")</f>
      </c>
      <c r="K410" s="2"/>
      <c r="L410" s="2"/>
      <c r="M410" s="2"/>
      <c r="N410" s="2"/>
      <c r="O410" s="2"/>
      <c r="P410" s="2"/>
      <c r="Q410" s="2"/>
      <c r="R410" s="2"/>
      <c r="S410" s="2"/>
      <c r="T410" s="2"/>
      <c r="U410" s="2"/>
      <c r="V410" s="2"/>
      <c r="W410" s="2"/>
      <c r="X410" s="2"/>
      <c r="Y410" s="2"/>
      <c r="Z410" s="2"/>
      <c r="AA410" s="2"/>
      <c r="AB410" s="2"/>
    </row>
    <row r="411" spans="1:28" customHeight="true">
      <c r="A411" s="2" t="s">
        <v>668</v>
      </c>
      <c r="B411" s="15">
        <v>46021</v>
      </c>
      <c r="C411" s="2" t="s">
        <v>669</v>
      </c>
      <c r="D411" s="3">
        <v>61</v>
      </c>
      <c r="E411" s="16" t="str">
        <f>IFERROR(__xludf.DUMMYFUNCTION("IFERROR(
  TEXTJOIN(CHAR(10),TRUE,FILTER('SUMMARY DATA'!E:E,'SUMMARY DATA'!$A:$A=$A411,'SUMMARY DATA'!$C:$C=$B411,'SUMMARY DATA'!$B:$B=""RWS"")),
  IF(
    OR(
      ISNUMBER(SEARCH(""CDM CASH DEPOSIT"",$C411)),
      ISNUMBER(SEARCH(""CASH DEPOSIT"",$C41"&amp;"1)),
      COUNTIFS('SUMMARY DATA'!$D:$D,$C411,'SUMMARY DATA'!$B:$B,""RWS"")&lt;&gt;1
    ),
    """",
    IFERROR(TEXTJOIN(CHAR(10),TRUE,FILTER('SUMMARY DATA'!E:E,'SUMMARY DATA'!$D:$D=$C411,'SUMMARY DATA'!$B:$B=""RWS"")),"""")
  )
)"),"")</f>
      </c>
      <c r="F411" s="17" t="str">
        <f>IFERROR(__xludf.DUMMYFUNCTION("IFERROR(
  TEXTJOIN(CHAR(10),TRUE,FILTER('SUMMARY DATA'!F:F,'SUMMARY DATA'!$A:$A=$A411,'SUMMARY DATA'!$C:$C=$B411,'SUMMARY DATA'!$B:$B=""RWS"")),
  IF(
    OR(
      ISNUMBER(SEARCH(""CDM CASH DEPOSIT"",$C411)),
      ISNUMBER(SEARCH(""CASH DEPOSIT"",$C41"&amp;"1)),
      COUNTIFS('SUMMARY DATA'!$D:$D,$C411,'SUMMARY DATA'!$B:$B,""RWS"")&lt;&gt;1
    ),
    """",
    IFERROR(TEXTJOIN(CHAR(10),TRUE,FILTER('SUMMARY DATA'!F:F,'SUMMARY DATA'!$D:$D=$C411,'SUMMARY DATA'!$B:$B=""RWS"")),"""")
  )
)"),"")</f>
      </c>
      <c r="G411" s="17" t="str">
        <f>IFERROR(__xludf.DUMMYFUNCTION("IFERROR(
  TEXTJOIN(CHAR(10),TRUE,FILTER('SUMMARY DATA'!G:G,'SUMMARY DATA'!$A:$A=$A411,'SUMMARY DATA'!$C:$C=$B411,'SUMMARY DATA'!$B:$B=""RWS"")),
  IF(
    OR(
      ISNUMBER(SEARCH(""CDM CASH DEPOSIT"",$C411)),
      ISNUMBER(SEARCH(""CASH DEPOSIT"",$C41"&amp;"1)),
      COUNTIFS('SUMMARY DATA'!$D:$D,$C411,'SUMMARY DATA'!$B:$B,""RWS"")&lt;&gt;1
    ),
    """",
    IFERROR(TEXTJOIN(CHAR(10),TRUE,FILTER('SUMMARY DATA'!G:G,'SUMMARY DATA'!$D:$D=$C411,'SUMMARY DATA'!$B:$B=""RWS"")),"""")
  )
)"),"")</f>
      </c>
      <c r="H411" s="18" t="str">
        <f>IFERROR(__xludf.DUMMYFUNCTION("IFERROR(
  TEXTJOIN(CHAR(10),TRUE,FILTER('SUMMARY DATA'!H:H,'SUMMARY DATA'!$A:$A=$A411,'SUMMARY DATA'!$C:$C=$B411,'SUMMARY DATA'!$B:$B=""RWS"",'SUMMARY DATA'!$H:$H=$D411)),
  IF(
    OR(
      ISNUMBER(SEARCH(""CDM CASH DEPOSIT"",$C411)),
      ISNUMBER(S"&amp;"EARCH(""CASH DEPOSIT"",$C411))
    ),
    """",
    IFERROR(TEXTJOIN(CHAR(10),TRUE,FILTER('SUMMARY DATA'!H:H,'SUMMARY DATA'!$D:$D=$C411,'SUMMARY DATA'!$B:$B=""RWS"",'SUMMARY DATA'!$H:$H=$D411)),"""")
  )
)"),"")</f>
      </c>
      <c r="I411" s="18" t="str">
        <f>IFERROR(__xludf.DUMMYFUNCTION("IF(H411="""","""",
SUM(ARRAYFORMULA(VALUE(SPLIT(H411,CHAR(10)))))
)"),"")</f>
      </c>
      <c r="J411" s="17" t="str">
        <f>IFERROR(__xludf.DUMMYFUNCTION("IFERROR(
  TEXTJOIN(CHAR(10),TRUE,FILTER('SUMMARY DATA'!I:I,'SUMMARY DATA'!$A:$A=$A411,'SUMMARY DATA'!$C:$C=$B411,'SUMMARY DATA'!$B:$B=""RWS"")),
  IF(
    OR(
      ISNUMBER(SEARCH(""CDM CASH DEPOSIT"",$C411)),
      ISNUMBER(SEARCH(""CASH DEPOSIT"",$C41"&amp;"1)),
      COUNTIFS('SUMMARY DATA'!$D:$D,$C411,'SUMMARY DATA'!$B:$B,""RWS"")&lt;&gt;1
    ),
    """",
    IFERROR(TEXTJOIN(CHAR(10),TRUE,FILTER('SUMMARY DATA'!I:I,'SUMMARY DATA'!$D:$D=$C411,'SUMMARY DATA'!$B:$B=""RWS"")),"""")
  )
)"),"")</f>
      </c>
      <c r="K411" s="2"/>
      <c r="L411" s="2"/>
      <c r="M411" s="2"/>
      <c r="N411" s="2"/>
      <c r="O411" s="2"/>
      <c r="P411" s="2"/>
      <c r="Q411" s="2"/>
      <c r="R411" s="2"/>
      <c r="S411" s="2"/>
      <c r="T411" s="2"/>
      <c r="U411" s="2"/>
      <c r="V411" s="2"/>
      <c r="W411" s="2"/>
      <c r="X411" s="2"/>
      <c r="Y411" s="2"/>
      <c r="Z411" s="2"/>
      <c r="AA411" s="2"/>
      <c r="AB411" s="2"/>
    </row>
    <row r="412" spans="1:28" customHeight="true">
      <c r="A412" s="2" t="s">
        <v>670</v>
      </c>
      <c r="B412" s="15">
        <v>46021</v>
      </c>
      <c r="C412" s="2" t="s">
        <v>671</v>
      </c>
      <c r="D412" s="3">
        <v>117</v>
      </c>
      <c r="E412" s="16" t="str">
        <f>IFERROR(__xludf.DUMMYFUNCTION("IFERROR(
  TEXTJOIN(CHAR(10),TRUE,FILTER('SUMMARY DATA'!E:E,'SUMMARY DATA'!$A:$A=$A412,'SUMMARY DATA'!$C:$C=$B412,'SUMMARY DATA'!$B:$B=""RWS"")),
  IF(
    OR(
      ISNUMBER(SEARCH(""CDM CASH DEPOSIT"",$C412)),
      ISNUMBER(SEARCH(""CASH DEPOSIT"",$C41"&amp;"2)),
      COUNTIFS('SUMMARY DATA'!$D:$D,$C412,'SUMMARY DATA'!$B:$B,""RWS"")&lt;&gt;1
    ),
    """",
    IFERROR(TEXTJOIN(CHAR(10),TRUE,FILTER('SUMMARY DATA'!E:E,'SUMMARY DATA'!$D:$D=$C412,'SUMMARY DATA'!$B:$B=""RWS"")),"""")
  )
)"),"")</f>
      </c>
      <c r="F412" s="17" t="str">
        <f>IFERROR(__xludf.DUMMYFUNCTION("IFERROR(
  TEXTJOIN(CHAR(10),TRUE,FILTER('SUMMARY DATA'!F:F,'SUMMARY DATA'!$A:$A=$A412,'SUMMARY DATA'!$C:$C=$B412,'SUMMARY DATA'!$B:$B=""RWS"")),
  IF(
    OR(
      ISNUMBER(SEARCH(""CDM CASH DEPOSIT"",$C412)),
      ISNUMBER(SEARCH(""CASH DEPOSIT"",$C41"&amp;"2)),
      COUNTIFS('SUMMARY DATA'!$D:$D,$C412,'SUMMARY DATA'!$B:$B,""RWS"")&lt;&gt;1
    ),
    """",
    IFERROR(TEXTJOIN(CHAR(10),TRUE,FILTER('SUMMARY DATA'!F:F,'SUMMARY DATA'!$D:$D=$C412,'SUMMARY DATA'!$B:$B=""RWS"")),"""")
  )
)"),"")</f>
      </c>
      <c r="G412" s="17" t="str">
        <f>IFERROR(__xludf.DUMMYFUNCTION("IFERROR(
  TEXTJOIN(CHAR(10),TRUE,FILTER('SUMMARY DATA'!G:G,'SUMMARY DATA'!$A:$A=$A412,'SUMMARY DATA'!$C:$C=$B412,'SUMMARY DATA'!$B:$B=""RWS"")),
  IF(
    OR(
      ISNUMBER(SEARCH(""CDM CASH DEPOSIT"",$C412)),
      ISNUMBER(SEARCH(""CASH DEPOSIT"",$C41"&amp;"2)),
      COUNTIFS('SUMMARY DATA'!$D:$D,$C412,'SUMMARY DATA'!$B:$B,""RWS"")&lt;&gt;1
    ),
    """",
    IFERROR(TEXTJOIN(CHAR(10),TRUE,FILTER('SUMMARY DATA'!G:G,'SUMMARY DATA'!$D:$D=$C412,'SUMMARY DATA'!$B:$B=""RWS"")),"""")
  )
)"),"")</f>
      </c>
      <c r="H412" s="18" t="str">
        <f>IFERROR(__xludf.DUMMYFUNCTION("IFERROR(
  TEXTJOIN(CHAR(10),TRUE,FILTER('SUMMARY DATA'!H:H,'SUMMARY DATA'!$A:$A=$A412,'SUMMARY DATA'!$C:$C=$B412,'SUMMARY DATA'!$B:$B=""RWS"",'SUMMARY DATA'!$H:$H=$D412)),
  IF(
    OR(
      ISNUMBER(SEARCH(""CDM CASH DEPOSIT"",$C412)),
      ISNUMBER(S"&amp;"EARCH(""CASH DEPOSIT"",$C412))
    ),
    """",
    IFERROR(TEXTJOIN(CHAR(10),TRUE,FILTER('SUMMARY DATA'!H:H,'SUMMARY DATA'!$D:$D=$C412,'SUMMARY DATA'!$B:$B=""RWS"",'SUMMARY DATA'!$H:$H=$D412)),"""")
  )
)"),"")</f>
      </c>
      <c r="I412" s="18" t="str">
        <f>IFERROR(__xludf.DUMMYFUNCTION("IF(H412="""","""",
SUM(ARRAYFORMULA(VALUE(SPLIT(H412,CHAR(10)))))
)"),"")</f>
      </c>
      <c r="J412" s="17" t="str">
        <f>IFERROR(__xludf.DUMMYFUNCTION("IFERROR(
  TEXTJOIN(CHAR(10),TRUE,FILTER('SUMMARY DATA'!I:I,'SUMMARY DATA'!$A:$A=$A412,'SUMMARY DATA'!$C:$C=$B412,'SUMMARY DATA'!$B:$B=""RWS"")),
  IF(
    OR(
      ISNUMBER(SEARCH(""CDM CASH DEPOSIT"",$C412)),
      ISNUMBER(SEARCH(""CASH DEPOSIT"",$C41"&amp;"2)),
      COUNTIFS('SUMMARY DATA'!$D:$D,$C412,'SUMMARY DATA'!$B:$B,""RWS"")&lt;&gt;1
    ),
    """",
    IFERROR(TEXTJOIN(CHAR(10),TRUE,FILTER('SUMMARY DATA'!I:I,'SUMMARY DATA'!$D:$D=$C412,'SUMMARY DATA'!$B:$B=""RWS"")),"""")
  )
)"),"")</f>
      </c>
      <c r="K412" s="2"/>
      <c r="L412" s="2"/>
      <c r="M412" s="2"/>
      <c r="N412" s="2"/>
      <c r="O412" s="2"/>
      <c r="P412" s="2"/>
      <c r="Q412" s="2"/>
      <c r="R412" s="2"/>
      <c r="S412" s="2"/>
      <c r="T412" s="2"/>
      <c r="U412" s="2"/>
      <c r="V412" s="2"/>
      <c r="W412" s="2"/>
      <c r="X412" s="2"/>
      <c r="Y412" s="2"/>
      <c r="Z412" s="2"/>
      <c r="AA412" s="2"/>
      <c r="AB412" s="2"/>
    </row>
    <row r="413" spans="1:28" customHeight="true">
      <c r="A413" s="2" t="s">
        <v>672</v>
      </c>
      <c r="B413" s="15">
        <v>46020</v>
      </c>
      <c r="C413" s="2" t="s">
        <v>673</v>
      </c>
      <c r="D413" s="3">
        <v>98.86</v>
      </c>
      <c r="E413" s="16" t="s">
        <v>2495</v>
      </c>
      <c r="F413" s="17" t="s">
        <v>2496</v>
      </c>
      <c r="G413" s="17" t="s">
        <v>2393</v>
      </c>
      <c r="H413" s="18">
        <v>98.86</v>
      </c>
      <c r="I413" s="18">
        <v>98.86</v>
      </c>
      <c r="J413" s="17" t="s">
        <v>2394</v>
      </c>
      <c r="K413" s="2" t="s">
        <v>2395</v>
      </c>
      <c r="L413" s="2"/>
      <c r="M413" s="2"/>
      <c r="N413" s="2"/>
      <c r="O413" s="2"/>
      <c r="P413" s="2"/>
      <c r="Q413" s="2"/>
      <c r="R413" s="2"/>
      <c r="S413" s="2"/>
      <c r="T413" s="2"/>
      <c r="U413" s="2"/>
      <c r="V413" s="2"/>
      <c r="W413" s="2"/>
      <c r="X413" s="2"/>
      <c r="Y413" s="2"/>
      <c r="Z413" s="2"/>
      <c r="AA413" s="2"/>
      <c r="AB413" s="2"/>
    </row>
    <row r="414" spans="1:28" customHeight="true">
      <c r="A414" s="2" t="s">
        <v>674</v>
      </c>
      <c r="B414" s="15">
        <v>46020</v>
      </c>
      <c r="C414" s="2" t="s">
        <v>675</v>
      </c>
      <c r="D414" s="3">
        <v>236.97</v>
      </c>
      <c r="E414" s="16" t="str">
        <f>IFERROR(__xludf.DUMMYFUNCTION("IFERROR(
  TEXTJOIN(CHAR(10),TRUE,FILTER('SUMMARY DATA'!E:E,'SUMMARY DATA'!$A:$A=$A414,'SUMMARY DATA'!$C:$C=$B414,'SUMMARY DATA'!$B:$B=""RWS"")),
  IF(
    OR(
      ISNUMBER(SEARCH(""CDM CASH DEPOSIT"",$C414)),
      ISNUMBER(SEARCH(""CASH DEPOSIT"",$C41"&amp;"4)),
      COUNTIFS('SUMMARY DATA'!$D:$D,$C414,'SUMMARY DATA'!$B:$B,""RWS"")&lt;&gt;1
    ),
    """",
    IFERROR(TEXTJOIN(CHAR(10),TRUE,FILTER('SUMMARY DATA'!E:E,'SUMMARY DATA'!$D:$D=$C414,'SUMMARY DATA'!$B:$B=""RWS"")),"""")
  )
)"),"")</f>
      </c>
      <c r="F414" s="17" t="str">
        <f>IFERROR(__xludf.DUMMYFUNCTION("IFERROR(
  TEXTJOIN(CHAR(10),TRUE,FILTER('SUMMARY DATA'!F:F,'SUMMARY DATA'!$A:$A=$A414,'SUMMARY DATA'!$C:$C=$B414,'SUMMARY DATA'!$B:$B=""RWS"")),
  IF(
    OR(
      ISNUMBER(SEARCH(""CDM CASH DEPOSIT"",$C414)),
      ISNUMBER(SEARCH(""CASH DEPOSIT"",$C41"&amp;"4)),
      COUNTIFS('SUMMARY DATA'!$D:$D,$C414,'SUMMARY DATA'!$B:$B,""RWS"")&lt;&gt;1
    ),
    """",
    IFERROR(TEXTJOIN(CHAR(10),TRUE,FILTER('SUMMARY DATA'!F:F,'SUMMARY DATA'!$D:$D=$C414,'SUMMARY DATA'!$B:$B=""RWS"")),"""")
  )
)"),"")</f>
      </c>
      <c r="G414" s="17" t="str">
        <f>IFERROR(__xludf.DUMMYFUNCTION("IFERROR(
  TEXTJOIN(CHAR(10),TRUE,FILTER('SUMMARY DATA'!G:G,'SUMMARY DATA'!$A:$A=$A414,'SUMMARY DATA'!$C:$C=$B414,'SUMMARY DATA'!$B:$B=""RWS"")),
  IF(
    OR(
      ISNUMBER(SEARCH(""CDM CASH DEPOSIT"",$C414)),
      ISNUMBER(SEARCH(""CASH DEPOSIT"",$C41"&amp;"4)),
      COUNTIFS('SUMMARY DATA'!$D:$D,$C414,'SUMMARY DATA'!$B:$B,""RWS"")&lt;&gt;1
    ),
    """",
    IFERROR(TEXTJOIN(CHAR(10),TRUE,FILTER('SUMMARY DATA'!G:G,'SUMMARY DATA'!$D:$D=$C414,'SUMMARY DATA'!$B:$B=""RWS"")),"""")
  )
)"),"")</f>
      </c>
      <c r="H414" s="18" t="str">
        <f>IFERROR(__xludf.DUMMYFUNCTION("IFERROR(
  TEXTJOIN(CHAR(10),TRUE,FILTER('SUMMARY DATA'!H:H,'SUMMARY DATA'!$A:$A=$A414,'SUMMARY DATA'!$C:$C=$B414,'SUMMARY DATA'!$B:$B=""RWS"",'SUMMARY DATA'!$H:$H=$D414)),
  IF(
    OR(
      ISNUMBER(SEARCH(""CDM CASH DEPOSIT"",$C414)),
      ISNUMBER(S"&amp;"EARCH(""CASH DEPOSIT"",$C414))
    ),
    """",
    IFERROR(TEXTJOIN(CHAR(10),TRUE,FILTER('SUMMARY DATA'!H:H,'SUMMARY DATA'!$D:$D=$C414,'SUMMARY DATA'!$B:$B=""RWS"",'SUMMARY DATA'!$H:$H=$D414)),"""")
  )
)"),"")</f>
      </c>
      <c r="I414" s="18" t="str">
        <f>IFERROR(__xludf.DUMMYFUNCTION("IF(H414="""","""",
SUM(ARRAYFORMULA(VALUE(SPLIT(H414,CHAR(10)))))
)"),"")</f>
      </c>
      <c r="J414" s="17" t="str">
        <f>IFERROR(__xludf.DUMMYFUNCTION("IFERROR(
  TEXTJOIN(CHAR(10),TRUE,FILTER('SUMMARY DATA'!I:I,'SUMMARY DATA'!$A:$A=$A414,'SUMMARY DATA'!$C:$C=$B414,'SUMMARY DATA'!$B:$B=""RWS"")),
  IF(
    OR(
      ISNUMBER(SEARCH(""CDM CASH DEPOSIT"",$C414)),
      ISNUMBER(SEARCH(""CASH DEPOSIT"",$C41"&amp;"4)),
      COUNTIFS('SUMMARY DATA'!$D:$D,$C414,'SUMMARY DATA'!$B:$B,""RWS"")&lt;&gt;1
    ),
    """",
    IFERROR(TEXTJOIN(CHAR(10),TRUE,FILTER('SUMMARY DATA'!I:I,'SUMMARY DATA'!$D:$D=$C414,'SUMMARY DATA'!$B:$B=""RWS"")),"""")
  )
)"),"")</f>
      </c>
      <c r="K414" s="2"/>
      <c r="L414" s="2"/>
      <c r="M414" s="2"/>
      <c r="N414" s="2"/>
      <c r="O414" s="2"/>
      <c r="P414" s="2"/>
      <c r="Q414" s="2"/>
      <c r="R414" s="2"/>
      <c r="S414" s="2"/>
      <c r="T414" s="2"/>
      <c r="U414" s="2"/>
      <c r="V414" s="2"/>
      <c r="W414" s="2"/>
      <c r="X414" s="2"/>
      <c r="Y414" s="2"/>
      <c r="Z414" s="2"/>
      <c r="AA414" s="2"/>
      <c r="AB414" s="2"/>
    </row>
    <row r="415" spans="1:28" customHeight="true">
      <c r="A415" s="2" t="s">
        <v>676</v>
      </c>
      <c r="B415" s="15">
        <v>46020</v>
      </c>
      <c r="C415" s="2" t="s">
        <v>677</v>
      </c>
      <c r="D415" s="3">
        <v>273.8</v>
      </c>
      <c r="E415" s="16" t="s">
        <v>2497</v>
      </c>
      <c r="F415" s="17" t="s">
        <v>2498</v>
      </c>
      <c r="G415" s="17" t="s">
        <v>2393</v>
      </c>
      <c r="H415" s="18">
        <v>273.8</v>
      </c>
      <c r="I415" s="18">
        <v>273.8</v>
      </c>
      <c r="J415" s="17" t="s">
        <v>2394</v>
      </c>
      <c r="K415" s="2" t="s">
        <v>2395</v>
      </c>
      <c r="L415" s="2"/>
      <c r="M415" s="2"/>
      <c r="N415" s="2"/>
      <c r="O415" s="2"/>
      <c r="P415" s="2"/>
      <c r="Q415" s="2"/>
      <c r="R415" s="2"/>
      <c r="S415" s="2"/>
      <c r="T415" s="2"/>
      <c r="U415" s="2"/>
      <c r="V415" s="2"/>
      <c r="W415" s="2"/>
      <c r="X415" s="2"/>
      <c r="Y415" s="2"/>
      <c r="Z415" s="2"/>
      <c r="AA415" s="2"/>
      <c r="AB415" s="2"/>
    </row>
    <row r="416" spans="1:28" customHeight="true">
      <c r="A416" s="2" t="s">
        <v>678</v>
      </c>
      <c r="B416" s="15">
        <v>46020</v>
      </c>
      <c r="C416" s="2" t="s">
        <v>679</v>
      </c>
      <c r="D416" s="3">
        <v>63.88</v>
      </c>
      <c r="E416" s="16" t="str">
        <f>IFERROR(__xludf.DUMMYFUNCTION("IFERROR(
  TEXTJOIN(CHAR(10),TRUE,FILTER('SUMMARY DATA'!E:E,'SUMMARY DATA'!$A:$A=$A416,'SUMMARY DATA'!$C:$C=$B416,'SUMMARY DATA'!$B:$B=""RWS"")),
  IF(
    OR(
      ISNUMBER(SEARCH(""CDM CASH DEPOSIT"",$C416)),
      ISNUMBER(SEARCH(""CASH DEPOSIT"",$C41"&amp;"6)),
      COUNTIFS('SUMMARY DATA'!$D:$D,$C416,'SUMMARY DATA'!$B:$B,""RWS"")&lt;&gt;1
    ),
    """",
    IFERROR(TEXTJOIN(CHAR(10),TRUE,FILTER('SUMMARY DATA'!E:E,'SUMMARY DATA'!$D:$D=$C416,'SUMMARY DATA'!$B:$B=""RWS"")),"""")
  )
)"),"")</f>
      </c>
      <c r="F416" s="17" t="str">
        <f>IFERROR(__xludf.DUMMYFUNCTION("IFERROR(
  TEXTJOIN(CHAR(10),TRUE,FILTER('SUMMARY DATA'!F:F,'SUMMARY DATA'!$A:$A=$A416,'SUMMARY DATA'!$C:$C=$B416,'SUMMARY DATA'!$B:$B=""RWS"")),
  IF(
    OR(
      ISNUMBER(SEARCH(""CDM CASH DEPOSIT"",$C416)),
      ISNUMBER(SEARCH(""CASH DEPOSIT"",$C41"&amp;"6)),
      COUNTIFS('SUMMARY DATA'!$D:$D,$C416,'SUMMARY DATA'!$B:$B,""RWS"")&lt;&gt;1
    ),
    """",
    IFERROR(TEXTJOIN(CHAR(10),TRUE,FILTER('SUMMARY DATA'!F:F,'SUMMARY DATA'!$D:$D=$C416,'SUMMARY DATA'!$B:$B=""RWS"")),"""")
  )
)"),"")</f>
      </c>
      <c r="G416" s="17" t="str">
        <f>IFERROR(__xludf.DUMMYFUNCTION("IFERROR(
  TEXTJOIN(CHAR(10),TRUE,FILTER('SUMMARY DATA'!G:G,'SUMMARY DATA'!$A:$A=$A416,'SUMMARY DATA'!$C:$C=$B416,'SUMMARY DATA'!$B:$B=""RWS"")),
  IF(
    OR(
      ISNUMBER(SEARCH(""CDM CASH DEPOSIT"",$C416)),
      ISNUMBER(SEARCH(""CASH DEPOSIT"",$C41"&amp;"6)),
      COUNTIFS('SUMMARY DATA'!$D:$D,$C416,'SUMMARY DATA'!$B:$B,""RWS"")&lt;&gt;1
    ),
    """",
    IFERROR(TEXTJOIN(CHAR(10),TRUE,FILTER('SUMMARY DATA'!G:G,'SUMMARY DATA'!$D:$D=$C416,'SUMMARY DATA'!$B:$B=""RWS"")),"""")
  )
)"),"")</f>
      </c>
      <c r="H416" s="18" t="str">
        <f>IFERROR(__xludf.DUMMYFUNCTION("IFERROR(
  TEXTJOIN(CHAR(10),TRUE,FILTER('SUMMARY DATA'!H:H,'SUMMARY DATA'!$A:$A=$A416,'SUMMARY DATA'!$C:$C=$B416,'SUMMARY DATA'!$B:$B=""RWS"",'SUMMARY DATA'!$H:$H=$D416)),
  IF(
    OR(
      ISNUMBER(SEARCH(""CDM CASH DEPOSIT"",$C416)),
      ISNUMBER(S"&amp;"EARCH(""CASH DEPOSIT"",$C416))
    ),
    """",
    IFERROR(TEXTJOIN(CHAR(10),TRUE,FILTER('SUMMARY DATA'!H:H,'SUMMARY DATA'!$D:$D=$C416,'SUMMARY DATA'!$B:$B=""RWS"",'SUMMARY DATA'!$H:$H=$D416)),"""")
  )
)"),"")</f>
      </c>
      <c r="I416" s="18" t="str">
        <f>IFERROR(__xludf.DUMMYFUNCTION("IF(H416="""","""",
SUM(ARRAYFORMULA(VALUE(SPLIT(H416,CHAR(10)))))
)"),"")</f>
      </c>
      <c r="J416" s="17" t="str">
        <f>IFERROR(__xludf.DUMMYFUNCTION("IFERROR(
  TEXTJOIN(CHAR(10),TRUE,FILTER('SUMMARY DATA'!I:I,'SUMMARY DATA'!$A:$A=$A416,'SUMMARY DATA'!$C:$C=$B416,'SUMMARY DATA'!$B:$B=""RWS"")),
  IF(
    OR(
      ISNUMBER(SEARCH(""CDM CASH DEPOSIT"",$C416)),
      ISNUMBER(SEARCH(""CASH DEPOSIT"",$C41"&amp;"6)),
      COUNTIFS('SUMMARY DATA'!$D:$D,$C416,'SUMMARY DATA'!$B:$B,""RWS"")&lt;&gt;1
    ),
    """",
    IFERROR(TEXTJOIN(CHAR(10),TRUE,FILTER('SUMMARY DATA'!I:I,'SUMMARY DATA'!$D:$D=$C416,'SUMMARY DATA'!$B:$B=""RWS"")),"""")
  )
)"),"")</f>
      </c>
      <c r="K416" s="2"/>
      <c r="L416" s="2"/>
      <c r="M416" s="2"/>
      <c r="N416" s="2"/>
      <c r="O416" s="2"/>
      <c r="P416" s="2"/>
      <c r="Q416" s="2"/>
      <c r="R416" s="2"/>
      <c r="S416" s="2"/>
      <c r="T416" s="2"/>
      <c r="U416" s="2"/>
      <c r="V416" s="2"/>
      <c r="W416" s="2"/>
      <c r="X416" s="2"/>
      <c r="Y416" s="2"/>
      <c r="Z416" s="2"/>
      <c r="AA416" s="2"/>
      <c r="AB416" s="2"/>
    </row>
    <row r="417" spans="1:28" customHeight="true">
      <c r="A417" s="2" t="s">
        <v>680</v>
      </c>
      <c r="B417" s="15">
        <v>46020</v>
      </c>
      <c r="C417" s="2" t="s">
        <v>681</v>
      </c>
      <c r="D417" s="3">
        <v>265</v>
      </c>
      <c r="E417" s="16" t="s">
        <v>2448</v>
      </c>
      <c r="F417" s="17" t="s">
        <v>2499</v>
      </c>
      <c r="G417" s="17" t="s">
        <v>2393</v>
      </c>
      <c r="H417" s="18">
        <v>265</v>
      </c>
      <c r="I417" s="18">
        <v>265</v>
      </c>
      <c r="J417" s="17" t="s">
        <v>2394</v>
      </c>
      <c r="K417" s="2" t="s">
        <v>2395</v>
      </c>
      <c r="L417" s="2"/>
      <c r="M417" s="2"/>
      <c r="N417" s="2"/>
      <c r="O417" s="2"/>
      <c r="P417" s="2"/>
      <c r="Q417" s="2"/>
      <c r="R417" s="2"/>
      <c r="S417" s="2"/>
      <c r="T417" s="2"/>
      <c r="U417" s="2"/>
      <c r="V417" s="2"/>
      <c r="W417" s="2"/>
      <c r="X417" s="2"/>
      <c r="Y417" s="2"/>
      <c r="Z417" s="2"/>
      <c r="AA417" s="2"/>
      <c r="AB417" s="2"/>
    </row>
    <row r="418" spans="1:28" customHeight="true">
      <c r="A418" s="2" t="s">
        <v>682</v>
      </c>
      <c r="B418" s="15">
        <v>46020</v>
      </c>
      <c r="C418" s="2" t="s">
        <v>683</v>
      </c>
      <c r="D418" s="3">
        <v>65.12</v>
      </c>
      <c r="E418" s="16" t="s">
        <v>2500</v>
      </c>
      <c r="F418" s="17" t="s">
        <v>2501</v>
      </c>
      <c r="G418" s="17" t="s">
        <v>2393</v>
      </c>
      <c r="H418" s="18">
        <v>65.12</v>
      </c>
      <c r="I418" s="18">
        <v>65.12</v>
      </c>
      <c r="J418" s="17" t="s">
        <v>2394</v>
      </c>
      <c r="K418" s="2" t="s">
        <v>2395</v>
      </c>
      <c r="L418" s="2"/>
      <c r="M418" s="2"/>
      <c r="N418" s="2"/>
      <c r="O418" s="2"/>
      <c r="P418" s="2"/>
      <c r="Q418" s="2"/>
      <c r="R418" s="2"/>
      <c r="S418" s="2"/>
      <c r="T418" s="2"/>
      <c r="U418" s="2"/>
      <c r="V418" s="2"/>
      <c r="W418" s="2"/>
      <c r="X418" s="2"/>
      <c r="Y418" s="2"/>
      <c r="Z418" s="2"/>
      <c r="AA418" s="2"/>
      <c r="AB418" s="2"/>
    </row>
    <row r="419" spans="1:28" customHeight="true">
      <c r="A419" s="2" t="s">
        <v>684</v>
      </c>
      <c r="B419" s="15">
        <v>46020</v>
      </c>
      <c r="C419" s="2" t="s">
        <v>685</v>
      </c>
      <c r="D419" s="3">
        <v>210</v>
      </c>
      <c r="E419" s="16" t="s">
        <v>2495</v>
      </c>
      <c r="F419" s="17" t="s">
        <v>2502</v>
      </c>
      <c r="G419" s="17" t="s">
        <v>2393</v>
      </c>
      <c r="H419" s="18">
        <v>210</v>
      </c>
      <c r="I419" s="18">
        <v>210</v>
      </c>
      <c r="J419" s="17" t="s">
        <v>2394</v>
      </c>
      <c r="K419" s="2" t="s">
        <v>2395</v>
      </c>
      <c r="L419" s="2"/>
      <c r="M419" s="2"/>
      <c r="N419" s="2"/>
      <c r="O419" s="2"/>
      <c r="P419" s="2"/>
      <c r="Q419" s="2"/>
      <c r="R419" s="2"/>
      <c r="S419" s="2"/>
      <c r="T419" s="2"/>
      <c r="U419" s="2"/>
      <c r="V419" s="2"/>
      <c r="W419" s="2"/>
      <c r="X419" s="2"/>
      <c r="Y419" s="2"/>
      <c r="Z419" s="2"/>
      <c r="AA419" s="2"/>
      <c r="AB419" s="2"/>
    </row>
    <row r="420" spans="1:28" customHeight="true">
      <c r="A420" s="2"/>
      <c r="B420" s="15">
        <v>46020</v>
      </c>
      <c r="C420" s="2" t="s">
        <v>686</v>
      </c>
      <c r="D420" s="3">
        <v>110.88</v>
      </c>
      <c r="E420" s="16" t="str">
        <f>IFERROR(__xludf.DUMMYFUNCTION("IFERROR(
  TEXTJOIN(CHAR(10),TRUE,FILTER('SUMMARY DATA'!E:E,'SUMMARY DATA'!$A:$A=$A420,'SUMMARY DATA'!$C:$C=$B420,'SUMMARY DATA'!$B:$B=""RWS"")),
  IF(
    OR(
      ISNUMBER(SEARCH(""CDM CASH DEPOSIT"",$C420)),
      ISNUMBER(SEARCH(""CASH DEPOSIT"",$C42"&amp;"0)),
      COUNTIFS('SUMMARY DATA'!$D:$D,$C420,'SUMMARY DATA'!$B:$B,""RWS"")&lt;&gt;1
    ),
    """",
    IFERROR(TEXTJOIN(CHAR(10),TRUE,FILTER('SUMMARY DATA'!E:E,'SUMMARY DATA'!$D:$D=$C420,'SUMMARY DATA'!$B:$B=""RWS"")),"""")
  )
)"),"")</f>
      </c>
      <c r="F420" s="17" t="str">
        <f>IFERROR(__xludf.DUMMYFUNCTION("IFERROR(
  TEXTJOIN(CHAR(10),TRUE,FILTER('SUMMARY DATA'!F:F,'SUMMARY DATA'!$A:$A=$A420,'SUMMARY DATA'!$C:$C=$B420,'SUMMARY DATA'!$B:$B=""RWS"")),
  IF(
    OR(
      ISNUMBER(SEARCH(""CDM CASH DEPOSIT"",$C420)),
      ISNUMBER(SEARCH(""CASH DEPOSIT"",$C42"&amp;"0)),
      COUNTIFS('SUMMARY DATA'!$D:$D,$C420,'SUMMARY DATA'!$B:$B,""RWS"")&lt;&gt;1
    ),
    """",
    IFERROR(TEXTJOIN(CHAR(10),TRUE,FILTER('SUMMARY DATA'!F:F,'SUMMARY DATA'!$D:$D=$C420,'SUMMARY DATA'!$B:$B=""RWS"")),"""")
  )
)"),"")</f>
      </c>
      <c r="G420" s="17" t="str">
        <f>IFERROR(__xludf.DUMMYFUNCTION("IFERROR(
  TEXTJOIN(CHAR(10),TRUE,FILTER('SUMMARY DATA'!G:G,'SUMMARY DATA'!$A:$A=$A420,'SUMMARY DATA'!$C:$C=$B420,'SUMMARY DATA'!$B:$B=""RWS"")),
  IF(
    OR(
      ISNUMBER(SEARCH(""CDM CASH DEPOSIT"",$C420)),
      ISNUMBER(SEARCH(""CASH DEPOSIT"",$C42"&amp;"0)),
      COUNTIFS('SUMMARY DATA'!$D:$D,$C420,'SUMMARY DATA'!$B:$B,""RWS"")&lt;&gt;1
    ),
    """",
    IFERROR(TEXTJOIN(CHAR(10),TRUE,FILTER('SUMMARY DATA'!G:G,'SUMMARY DATA'!$D:$D=$C420,'SUMMARY DATA'!$B:$B=""RWS"")),"""")
  )
)"),"")</f>
      </c>
      <c r="H420" s="18" t="str">
        <f>IFERROR(__xludf.DUMMYFUNCTION("IFERROR(
  TEXTJOIN(CHAR(10),TRUE,FILTER('SUMMARY DATA'!H:H,'SUMMARY DATA'!$A:$A=$A420,'SUMMARY DATA'!$C:$C=$B420,'SUMMARY DATA'!$B:$B=""RWS"",'SUMMARY DATA'!$H:$H=$D420)),
  IF(
    OR(
      ISNUMBER(SEARCH(""CDM CASH DEPOSIT"",$C420)),
      ISNUMBER(S"&amp;"EARCH(""CASH DEPOSIT"",$C420))
    ),
    """",
    IFERROR(TEXTJOIN(CHAR(10),TRUE,FILTER('SUMMARY DATA'!H:H,'SUMMARY DATA'!$D:$D=$C420,'SUMMARY DATA'!$B:$B=""RWS"",'SUMMARY DATA'!$H:$H=$D420)),"""")
  )
)"),"")</f>
      </c>
      <c r="I420" s="18" t="str">
        <f>IFERROR(__xludf.DUMMYFUNCTION("IF(H420="""","""",
SUM(ARRAYFORMULA(VALUE(SPLIT(H420,CHAR(10)))))
)"),"")</f>
      </c>
      <c r="J420" s="17" t="str">
        <f>IFERROR(__xludf.DUMMYFUNCTION("IFERROR(
  TEXTJOIN(CHAR(10),TRUE,FILTER('SUMMARY DATA'!I:I,'SUMMARY DATA'!$A:$A=$A420,'SUMMARY DATA'!$C:$C=$B420,'SUMMARY DATA'!$B:$B=""RWS"")),
  IF(
    OR(
      ISNUMBER(SEARCH(""CDM CASH DEPOSIT"",$C420)),
      ISNUMBER(SEARCH(""CASH DEPOSIT"",$C42"&amp;"0)),
      COUNTIFS('SUMMARY DATA'!$D:$D,$C420,'SUMMARY DATA'!$B:$B,""RWS"")&lt;&gt;1
    ),
    """",
    IFERROR(TEXTJOIN(CHAR(10),TRUE,FILTER('SUMMARY DATA'!I:I,'SUMMARY DATA'!$D:$D=$C420,'SUMMARY DATA'!$B:$B=""RWS"")),"""")
  )
)"),"")</f>
      </c>
      <c r="K420" s="2"/>
      <c r="L420" s="2"/>
      <c r="M420" s="2"/>
      <c r="N420" s="2"/>
      <c r="O420" s="2"/>
      <c r="P420" s="2"/>
      <c r="Q420" s="2"/>
      <c r="R420" s="2"/>
      <c r="S420" s="2"/>
      <c r="T420" s="2"/>
      <c r="U420" s="2"/>
      <c r="V420" s="2"/>
      <c r="W420" s="2"/>
      <c r="X420" s="2"/>
      <c r="Y420" s="2"/>
      <c r="Z420" s="2"/>
      <c r="AA420" s="2"/>
      <c r="AB420" s="2"/>
    </row>
    <row r="421" spans="1:28" customHeight="true">
      <c r="A421" s="2" t="s">
        <v>687</v>
      </c>
      <c r="B421" s="15">
        <v>46020</v>
      </c>
      <c r="C421" s="2" t="s">
        <v>688</v>
      </c>
      <c r="D421" s="3">
        <v>113.75</v>
      </c>
      <c r="E421" s="16" t="str">
        <f>IFERROR(__xludf.DUMMYFUNCTION("IFERROR(
  TEXTJOIN(CHAR(10),TRUE,FILTER('SUMMARY DATA'!E:E,'SUMMARY DATA'!$A:$A=$A421,'SUMMARY DATA'!$C:$C=$B421,'SUMMARY DATA'!$B:$B=""RWS"")),
  IF(
    OR(
      ISNUMBER(SEARCH(""CDM CASH DEPOSIT"",$C421)),
      ISNUMBER(SEARCH(""CASH DEPOSIT"",$C42"&amp;"1)),
      COUNTIFS('SUMMARY DATA'!$D:$D,$C421,'SUMMARY DATA'!$B:$B,""RWS"")&lt;&gt;1
    ),
    """",
    IFERROR(TEXTJOIN(CHAR(10),TRUE,FILTER('SUMMARY DATA'!E:E,'SUMMARY DATA'!$D:$D=$C421,'SUMMARY DATA'!$B:$B=""RWS"")),"""")
  )
)"),"")</f>
      </c>
      <c r="F421" s="17" t="str">
        <f>IFERROR(__xludf.DUMMYFUNCTION("IFERROR(
  TEXTJOIN(CHAR(10),TRUE,FILTER('SUMMARY DATA'!F:F,'SUMMARY DATA'!$A:$A=$A421,'SUMMARY DATA'!$C:$C=$B421,'SUMMARY DATA'!$B:$B=""RWS"")),
  IF(
    OR(
      ISNUMBER(SEARCH(""CDM CASH DEPOSIT"",$C421)),
      ISNUMBER(SEARCH(""CASH DEPOSIT"",$C42"&amp;"1)),
      COUNTIFS('SUMMARY DATA'!$D:$D,$C421,'SUMMARY DATA'!$B:$B,""RWS"")&lt;&gt;1
    ),
    """",
    IFERROR(TEXTJOIN(CHAR(10),TRUE,FILTER('SUMMARY DATA'!F:F,'SUMMARY DATA'!$D:$D=$C421,'SUMMARY DATA'!$B:$B=""RWS"")),"""")
  )
)"),"")</f>
      </c>
      <c r="G421" s="17" t="str">
        <f>IFERROR(__xludf.DUMMYFUNCTION("IFERROR(
  TEXTJOIN(CHAR(10),TRUE,FILTER('SUMMARY DATA'!G:G,'SUMMARY DATA'!$A:$A=$A421,'SUMMARY DATA'!$C:$C=$B421,'SUMMARY DATA'!$B:$B=""RWS"")),
  IF(
    OR(
      ISNUMBER(SEARCH(""CDM CASH DEPOSIT"",$C421)),
      ISNUMBER(SEARCH(""CASH DEPOSIT"",$C42"&amp;"1)),
      COUNTIFS('SUMMARY DATA'!$D:$D,$C421,'SUMMARY DATA'!$B:$B,""RWS"")&lt;&gt;1
    ),
    """",
    IFERROR(TEXTJOIN(CHAR(10),TRUE,FILTER('SUMMARY DATA'!G:G,'SUMMARY DATA'!$D:$D=$C421,'SUMMARY DATA'!$B:$B=""RWS"")),"""")
  )
)"),"")</f>
      </c>
      <c r="H421" s="18" t="str">
        <f>IFERROR(__xludf.DUMMYFUNCTION("IFERROR(
  TEXTJOIN(CHAR(10),TRUE,FILTER('SUMMARY DATA'!H:H,'SUMMARY DATA'!$A:$A=$A421,'SUMMARY DATA'!$C:$C=$B421,'SUMMARY DATA'!$B:$B=""RWS"",'SUMMARY DATA'!$H:$H=$D421)),
  IF(
    OR(
      ISNUMBER(SEARCH(""CDM CASH DEPOSIT"",$C421)),
      ISNUMBER(S"&amp;"EARCH(""CASH DEPOSIT"",$C421))
    ),
    """",
    IFERROR(TEXTJOIN(CHAR(10),TRUE,FILTER('SUMMARY DATA'!H:H,'SUMMARY DATA'!$D:$D=$C421,'SUMMARY DATA'!$B:$B=""RWS"",'SUMMARY DATA'!$H:$H=$D421)),"""")
  )
)"),"")</f>
      </c>
      <c r="I421" s="18" t="str">
        <f>IFERROR(__xludf.DUMMYFUNCTION("IF(H421="""","""",
SUM(ARRAYFORMULA(VALUE(SPLIT(H421,CHAR(10)))))
)"),"")</f>
      </c>
      <c r="J421" s="17" t="str">
        <f>IFERROR(__xludf.DUMMYFUNCTION("IFERROR(
  TEXTJOIN(CHAR(10),TRUE,FILTER('SUMMARY DATA'!I:I,'SUMMARY DATA'!$A:$A=$A421,'SUMMARY DATA'!$C:$C=$B421,'SUMMARY DATA'!$B:$B=""RWS"")),
  IF(
    OR(
      ISNUMBER(SEARCH(""CDM CASH DEPOSIT"",$C421)),
      ISNUMBER(SEARCH(""CASH DEPOSIT"",$C42"&amp;"1)),
      COUNTIFS('SUMMARY DATA'!$D:$D,$C421,'SUMMARY DATA'!$B:$B,""RWS"")&lt;&gt;1
    ),
    """",
    IFERROR(TEXTJOIN(CHAR(10),TRUE,FILTER('SUMMARY DATA'!I:I,'SUMMARY DATA'!$D:$D=$C421,'SUMMARY DATA'!$B:$B=""RWS"")),"""")
  )
)"),"")</f>
      </c>
      <c r="K421" s="2"/>
      <c r="L421" s="2"/>
      <c r="M421" s="2"/>
      <c r="N421" s="2"/>
      <c r="O421" s="2"/>
      <c r="P421" s="2"/>
      <c r="Q421" s="2"/>
      <c r="R421" s="2"/>
      <c r="S421" s="2"/>
      <c r="T421" s="2"/>
      <c r="U421" s="2"/>
      <c r="V421" s="2"/>
      <c r="W421" s="2"/>
      <c r="X421" s="2"/>
      <c r="Y421" s="2"/>
      <c r="Z421" s="2"/>
      <c r="AA421" s="2"/>
      <c r="AB421" s="2"/>
    </row>
    <row r="422" spans="1:28" customHeight="true">
      <c r="A422" s="2" t="s">
        <v>689</v>
      </c>
      <c r="B422" s="15">
        <v>46020</v>
      </c>
      <c r="C422" s="2" t="s">
        <v>690</v>
      </c>
      <c r="D422" s="3">
        <v>206</v>
      </c>
      <c r="E422" s="16" t="s">
        <v>2495</v>
      </c>
      <c r="F422" s="17" t="s">
        <v>2503</v>
      </c>
      <c r="G422" s="17" t="s">
        <v>2393</v>
      </c>
      <c r="H422" s="18">
        <v>206</v>
      </c>
      <c r="I422" s="18">
        <v>206</v>
      </c>
      <c r="J422" s="17" t="s">
        <v>2394</v>
      </c>
      <c r="K422" s="2" t="s">
        <v>2395</v>
      </c>
      <c r="L422" s="2"/>
      <c r="M422" s="2"/>
      <c r="N422" s="2"/>
      <c r="O422" s="2"/>
      <c r="P422" s="2"/>
      <c r="Q422" s="2"/>
      <c r="R422" s="2"/>
      <c r="S422" s="2"/>
      <c r="T422" s="2"/>
      <c r="U422" s="2"/>
      <c r="V422" s="2"/>
      <c r="W422" s="2"/>
      <c r="X422" s="2"/>
      <c r="Y422" s="2"/>
      <c r="Z422" s="2"/>
      <c r="AA422" s="2"/>
      <c r="AB422" s="2"/>
    </row>
    <row r="423" spans="1:28" customHeight="true">
      <c r="A423" s="2" t="s">
        <v>691</v>
      </c>
      <c r="B423" s="15">
        <v>46020</v>
      </c>
      <c r="C423" s="2" t="s">
        <v>692</v>
      </c>
      <c r="D423" s="3">
        <v>346.59</v>
      </c>
      <c r="E423" s="16" t="s">
        <v>2504</v>
      </c>
      <c r="F423" s="17" t="s">
        <v>2505</v>
      </c>
      <c r="G423" s="17" t="s">
        <v>2393</v>
      </c>
      <c r="H423" s="18">
        <v>346.59</v>
      </c>
      <c r="I423" s="18">
        <v>346.59</v>
      </c>
      <c r="J423" s="17" t="s">
        <v>2394</v>
      </c>
      <c r="K423" s="2" t="s">
        <v>2395</v>
      </c>
      <c r="L423" s="2"/>
      <c r="M423" s="2"/>
      <c r="N423" s="2"/>
      <c r="O423" s="2"/>
      <c r="P423" s="2"/>
      <c r="Q423" s="2"/>
      <c r="R423" s="2"/>
      <c r="S423" s="2"/>
      <c r="T423" s="2"/>
      <c r="U423" s="2"/>
      <c r="V423" s="2"/>
      <c r="W423" s="2"/>
      <c r="X423" s="2"/>
      <c r="Y423" s="2"/>
      <c r="Z423" s="2"/>
      <c r="AA423" s="2"/>
      <c r="AB423" s="2"/>
    </row>
    <row r="424" spans="1:28" customHeight="true">
      <c r="A424" s="2" t="s">
        <v>693</v>
      </c>
      <c r="B424" s="15">
        <v>46020</v>
      </c>
      <c r="C424" s="2" t="s">
        <v>694</v>
      </c>
      <c r="D424" s="3">
        <v>135.1</v>
      </c>
      <c r="E424" s="16" t="s">
        <v>2457</v>
      </c>
      <c r="F424" s="17" t="s">
        <v>2506</v>
      </c>
      <c r="G424" s="17" t="s">
        <v>2393</v>
      </c>
      <c r="H424" s="18">
        <v>135.1</v>
      </c>
      <c r="I424" s="18">
        <v>135.1</v>
      </c>
      <c r="J424" s="17" t="s">
        <v>2394</v>
      </c>
      <c r="K424" s="2" t="s">
        <v>2395</v>
      </c>
      <c r="L424" s="2"/>
      <c r="M424" s="2"/>
      <c r="N424" s="2"/>
      <c r="O424" s="2"/>
      <c r="P424" s="2"/>
      <c r="Q424" s="2"/>
      <c r="R424" s="2"/>
      <c r="S424" s="2"/>
      <c r="T424" s="2"/>
      <c r="U424" s="2"/>
      <c r="V424" s="2"/>
      <c r="W424" s="2"/>
      <c r="X424" s="2"/>
      <c r="Y424" s="2"/>
      <c r="Z424" s="2"/>
      <c r="AA424" s="2"/>
      <c r="AB424" s="2"/>
    </row>
    <row r="425" spans="1:28" customHeight="true">
      <c r="A425" s="2" t="s">
        <v>695</v>
      </c>
      <c r="B425" s="15">
        <v>46020</v>
      </c>
      <c r="C425" s="2" t="s">
        <v>696</v>
      </c>
      <c r="D425" s="3">
        <v>230.12</v>
      </c>
      <c r="E425" s="16" t="str">
        <f>IFERROR(__xludf.DUMMYFUNCTION("IFERROR(
  TEXTJOIN(CHAR(10),TRUE,FILTER('SUMMARY DATA'!E:E,'SUMMARY DATA'!$A:$A=$A425,'SUMMARY DATA'!$C:$C=$B425,'SUMMARY DATA'!$B:$B=""RWS"")),
  IF(
    OR(
      ISNUMBER(SEARCH(""CDM CASH DEPOSIT"",$C425)),
      ISNUMBER(SEARCH(""CASH DEPOSIT"",$C42"&amp;"5)),
      COUNTIFS('SUMMARY DATA'!$D:$D,$C425,'SUMMARY DATA'!$B:$B,""RWS"")&lt;&gt;1
    ),
    """",
    IFERROR(TEXTJOIN(CHAR(10),TRUE,FILTER('SUMMARY DATA'!E:E,'SUMMARY DATA'!$D:$D=$C425,'SUMMARY DATA'!$B:$B=""RWS"")),"""")
  )
)"),"")</f>
      </c>
      <c r="F425" s="17" t="str">
        <f>IFERROR(__xludf.DUMMYFUNCTION("IFERROR(
  TEXTJOIN(CHAR(10),TRUE,FILTER('SUMMARY DATA'!F:F,'SUMMARY DATA'!$A:$A=$A425,'SUMMARY DATA'!$C:$C=$B425,'SUMMARY DATA'!$B:$B=""RWS"")),
  IF(
    OR(
      ISNUMBER(SEARCH(""CDM CASH DEPOSIT"",$C425)),
      ISNUMBER(SEARCH(""CASH DEPOSIT"",$C42"&amp;"5)),
      COUNTIFS('SUMMARY DATA'!$D:$D,$C425,'SUMMARY DATA'!$B:$B,""RWS"")&lt;&gt;1
    ),
    """",
    IFERROR(TEXTJOIN(CHAR(10),TRUE,FILTER('SUMMARY DATA'!F:F,'SUMMARY DATA'!$D:$D=$C425,'SUMMARY DATA'!$B:$B=""RWS"")),"""")
  )
)"),"")</f>
      </c>
      <c r="G425" s="17" t="str">
        <f>IFERROR(__xludf.DUMMYFUNCTION("IFERROR(
  TEXTJOIN(CHAR(10),TRUE,FILTER('SUMMARY DATA'!G:G,'SUMMARY DATA'!$A:$A=$A425,'SUMMARY DATA'!$C:$C=$B425,'SUMMARY DATA'!$B:$B=""RWS"")),
  IF(
    OR(
      ISNUMBER(SEARCH(""CDM CASH DEPOSIT"",$C425)),
      ISNUMBER(SEARCH(""CASH DEPOSIT"",$C42"&amp;"5)),
      COUNTIFS('SUMMARY DATA'!$D:$D,$C425,'SUMMARY DATA'!$B:$B,""RWS"")&lt;&gt;1
    ),
    """",
    IFERROR(TEXTJOIN(CHAR(10),TRUE,FILTER('SUMMARY DATA'!G:G,'SUMMARY DATA'!$D:$D=$C425,'SUMMARY DATA'!$B:$B=""RWS"")),"""")
  )
)"),"")</f>
      </c>
      <c r="H425" s="18" t="str">
        <f>IFERROR(__xludf.DUMMYFUNCTION("IFERROR(
  TEXTJOIN(CHAR(10),TRUE,FILTER('SUMMARY DATA'!H:H,'SUMMARY DATA'!$A:$A=$A425,'SUMMARY DATA'!$C:$C=$B425,'SUMMARY DATA'!$B:$B=""RWS"",'SUMMARY DATA'!$H:$H=$D425)),
  IF(
    OR(
      ISNUMBER(SEARCH(""CDM CASH DEPOSIT"",$C425)),
      ISNUMBER(S"&amp;"EARCH(""CASH DEPOSIT"",$C425))
    ),
    """",
    IFERROR(TEXTJOIN(CHAR(10),TRUE,FILTER('SUMMARY DATA'!H:H,'SUMMARY DATA'!$D:$D=$C425,'SUMMARY DATA'!$B:$B=""RWS"",'SUMMARY DATA'!$H:$H=$D425)),"""")
  )
)"),"")</f>
      </c>
      <c r="I425" s="18" t="str">
        <f>IFERROR(__xludf.DUMMYFUNCTION("IF(H425="""","""",
SUM(ARRAYFORMULA(VALUE(SPLIT(H425,CHAR(10)))))
)"),"")</f>
      </c>
      <c r="J425" s="17" t="str">
        <f>IFERROR(__xludf.DUMMYFUNCTION("IFERROR(
  TEXTJOIN(CHAR(10),TRUE,FILTER('SUMMARY DATA'!I:I,'SUMMARY DATA'!$A:$A=$A425,'SUMMARY DATA'!$C:$C=$B425,'SUMMARY DATA'!$B:$B=""RWS"")),
  IF(
    OR(
      ISNUMBER(SEARCH(""CDM CASH DEPOSIT"",$C425)),
      ISNUMBER(SEARCH(""CASH DEPOSIT"",$C42"&amp;"5)),
      COUNTIFS('SUMMARY DATA'!$D:$D,$C425,'SUMMARY DATA'!$B:$B,""RWS"")&lt;&gt;1
    ),
    """",
    IFERROR(TEXTJOIN(CHAR(10),TRUE,FILTER('SUMMARY DATA'!I:I,'SUMMARY DATA'!$D:$D=$C425,'SUMMARY DATA'!$B:$B=""RWS"")),"""")
  )
)"),"")</f>
      </c>
      <c r="K425" s="2"/>
      <c r="L425" s="2"/>
      <c r="M425" s="2"/>
      <c r="N425" s="2"/>
      <c r="O425" s="2"/>
      <c r="P425" s="2"/>
      <c r="Q425" s="2"/>
      <c r="R425" s="2"/>
      <c r="S425" s="2"/>
      <c r="T425" s="2"/>
      <c r="U425" s="2"/>
      <c r="V425" s="2"/>
      <c r="W425" s="2"/>
      <c r="X425" s="2"/>
      <c r="Y425" s="2"/>
      <c r="Z425" s="2"/>
      <c r="AA425" s="2"/>
      <c r="AB425" s="2"/>
    </row>
    <row r="426" spans="1:28" customHeight="true">
      <c r="A426" s="2"/>
      <c r="B426" s="15">
        <v>46019</v>
      </c>
      <c r="C426" s="2" t="s">
        <v>697</v>
      </c>
      <c r="D426" s="3">
        <v>23.88</v>
      </c>
      <c r="E426" s="16" t="str">
        <f>IFERROR(__xludf.DUMMYFUNCTION("IFERROR(
  TEXTJOIN(CHAR(10),TRUE,FILTER('SUMMARY DATA'!E:E,'SUMMARY DATA'!$A:$A=$A426,'SUMMARY DATA'!$C:$C=$B426,'SUMMARY DATA'!$B:$B=""RWS"")),
  IF(
    OR(
      ISNUMBER(SEARCH(""CDM CASH DEPOSIT"",$C426)),
      ISNUMBER(SEARCH(""CASH DEPOSIT"",$C42"&amp;"6)),
      COUNTIFS('SUMMARY DATA'!$D:$D,$C426,'SUMMARY DATA'!$B:$B,""RWS"")&lt;&gt;1
    ),
    """",
    IFERROR(TEXTJOIN(CHAR(10),TRUE,FILTER('SUMMARY DATA'!E:E,'SUMMARY DATA'!$D:$D=$C426,'SUMMARY DATA'!$B:$B=""RWS"")),"""")
  )
)"),"")</f>
      </c>
      <c r="F426" s="17" t="str">
        <f>IFERROR(__xludf.DUMMYFUNCTION("IFERROR(
  TEXTJOIN(CHAR(10),TRUE,FILTER('SUMMARY DATA'!F:F,'SUMMARY DATA'!$A:$A=$A426,'SUMMARY DATA'!$C:$C=$B426,'SUMMARY DATA'!$B:$B=""RWS"")),
  IF(
    OR(
      ISNUMBER(SEARCH(""CDM CASH DEPOSIT"",$C426)),
      ISNUMBER(SEARCH(""CASH DEPOSIT"",$C42"&amp;"6)),
      COUNTIFS('SUMMARY DATA'!$D:$D,$C426,'SUMMARY DATA'!$B:$B,""RWS"")&lt;&gt;1
    ),
    """",
    IFERROR(TEXTJOIN(CHAR(10),TRUE,FILTER('SUMMARY DATA'!F:F,'SUMMARY DATA'!$D:$D=$C426,'SUMMARY DATA'!$B:$B=""RWS"")),"""")
  )
)"),"")</f>
      </c>
      <c r="G426" s="17" t="str">
        <f>IFERROR(__xludf.DUMMYFUNCTION("IFERROR(
  TEXTJOIN(CHAR(10),TRUE,FILTER('SUMMARY DATA'!G:G,'SUMMARY DATA'!$A:$A=$A426,'SUMMARY DATA'!$C:$C=$B426,'SUMMARY DATA'!$B:$B=""RWS"")),
  IF(
    OR(
      ISNUMBER(SEARCH(""CDM CASH DEPOSIT"",$C426)),
      ISNUMBER(SEARCH(""CASH DEPOSIT"",$C42"&amp;"6)),
      COUNTIFS('SUMMARY DATA'!$D:$D,$C426,'SUMMARY DATA'!$B:$B,""RWS"")&lt;&gt;1
    ),
    """",
    IFERROR(TEXTJOIN(CHAR(10),TRUE,FILTER('SUMMARY DATA'!G:G,'SUMMARY DATA'!$D:$D=$C426,'SUMMARY DATA'!$B:$B=""RWS"")),"""")
  )
)"),"")</f>
      </c>
      <c r="H426" s="18" t="str">
        <f>IFERROR(__xludf.DUMMYFUNCTION("IFERROR(
  TEXTJOIN(CHAR(10),TRUE,FILTER('SUMMARY DATA'!H:H,'SUMMARY DATA'!$A:$A=$A426,'SUMMARY DATA'!$C:$C=$B426,'SUMMARY DATA'!$B:$B=""RWS"",'SUMMARY DATA'!$H:$H=$D426)),
  IF(
    OR(
      ISNUMBER(SEARCH(""CDM CASH DEPOSIT"",$C426)),
      ISNUMBER(S"&amp;"EARCH(""CASH DEPOSIT"",$C426))
    ),
    """",
    IFERROR(TEXTJOIN(CHAR(10),TRUE,FILTER('SUMMARY DATA'!H:H,'SUMMARY DATA'!$D:$D=$C426,'SUMMARY DATA'!$B:$B=""RWS"",'SUMMARY DATA'!$H:$H=$D426)),"""")
  )
)"),"")</f>
      </c>
      <c r="I426" s="18" t="str">
        <f>IFERROR(__xludf.DUMMYFUNCTION("IF(H426="""","""",
SUM(ARRAYFORMULA(VALUE(SPLIT(H426,CHAR(10)))))
)"),"")</f>
      </c>
      <c r="J426" s="17" t="str">
        <f>IFERROR(__xludf.DUMMYFUNCTION("IFERROR(
  TEXTJOIN(CHAR(10),TRUE,FILTER('SUMMARY DATA'!I:I,'SUMMARY DATA'!$A:$A=$A426,'SUMMARY DATA'!$C:$C=$B426,'SUMMARY DATA'!$B:$B=""RWS"")),
  IF(
    OR(
      ISNUMBER(SEARCH(""CDM CASH DEPOSIT"",$C426)),
      ISNUMBER(SEARCH(""CASH DEPOSIT"",$C42"&amp;"6)),
      COUNTIFS('SUMMARY DATA'!$D:$D,$C426,'SUMMARY DATA'!$B:$B,""RWS"")&lt;&gt;1
    ),
    """",
    IFERROR(TEXTJOIN(CHAR(10),TRUE,FILTER('SUMMARY DATA'!I:I,'SUMMARY DATA'!$D:$D=$C426,'SUMMARY DATA'!$B:$B=""RWS"")),"""")
  )
)"),"")</f>
      </c>
      <c r="K426" s="2"/>
      <c r="L426" s="2"/>
      <c r="M426" s="2"/>
      <c r="N426" s="2"/>
      <c r="O426" s="2"/>
      <c r="P426" s="2"/>
      <c r="Q426" s="2"/>
      <c r="R426" s="2"/>
      <c r="S426" s="2"/>
      <c r="T426" s="2"/>
      <c r="U426" s="2"/>
      <c r="V426" s="2"/>
      <c r="W426" s="2"/>
      <c r="X426" s="2"/>
      <c r="Y426" s="2"/>
      <c r="Z426" s="2"/>
      <c r="AA426" s="2"/>
      <c r="AB426" s="2"/>
    </row>
    <row r="427" spans="1:28" customHeight="true">
      <c r="A427" s="2" t="s">
        <v>698</v>
      </c>
      <c r="B427" s="15">
        <v>46019</v>
      </c>
      <c r="C427" s="2" t="s">
        <v>644</v>
      </c>
      <c r="D427" s="3">
        <v>78</v>
      </c>
      <c r="E427" s="16" t="s">
        <v>2495</v>
      </c>
      <c r="F427" s="17" t="s">
        <v>2507</v>
      </c>
      <c r="G427" s="17" t="s">
        <v>2393</v>
      </c>
      <c r="H427" s="18">
        <v>78</v>
      </c>
      <c r="I427" s="18">
        <v>78</v>
      </c>
      <c r="J427" s="17" t="s">
        <v>2394</v>
      </c>
      <c r="K427" s="2" t="s">
        <v>2395</v>
      </c>
      <c r="L427" s="2"/>
      <c r="M427" s="2"/>
      <c r="N427" s="2"/>
      <c r="O427" s="2"/>
      <c r="P427" s="2"/>
      <c r="Q427" s="2"/>
      <c r="R427" s="2"/>
      <c r="S427" s="2"/>
      <c r="T427" s="2"/>
      <c r="U427" s="2"/>
      <c r="V427" s="2"/>
      <c r="W427" s="2"/>
      <c r="X427" s="2"/>
      <c r="Y427" s="2"/>
      <c r="Z427" s="2"/>
      <c r="AA427" s="2"/>
      <c r="AB427" s="2"/>
    </row>
    <row r="428" spans="1:28" customHeight="true">
      <c r="A428" s="2" t="s">
        <v>699</v>
      </c>
      <c r="B428" s="15">
        <v>46019</v>
      </c>
      <c r="C428" s="2" t="s">
        <v>700</v>
      </c>
      <c r="D428" s="3">
        <v>78.01</v>
      </c>
      <c r="E428" s="16" t="str">
        <f>IFERROR(__xludf.DUMMYFUNCTION("IFERROR(
  TEXTJOIN(CHAR(10),TRUE,FILTER('SUMMARY DATA'!E:E,'SUMMARY DATA'!$A:$A=$A428,'SUMMARY DATA'!$C:$C=$B428,'SUMMARY DATA'!$B:$B=""RWS"")),
  IF(
    OR(
      ISNUMBER(SEARCH(""CDM CASH DEPOSIT"",$C428)),
      ISNUMBER(SEARCH(""CASH DEPOSIT"",$C42"&amp;"8)),
      COUNTIFS('SUMMARY DATA'!$D:$D,$C428,'SUMMARY DATA'!$B:$B,""RWS"")&lt;&gt;1
    ),
    """",
    IFERROR(TEXTJOIN(CHAR(10),TRUE,FILTER('SUMMARY DATA'!E:E,'SUMMARY DATA'!$D:$D=$C428,'SUMMARY DATA'!$B:$B=""RWS"")),"""")
  )
)"),"")</f>
      </c>
      <c r="F428" s="17" t="str">
        <f>IFERROR(__xludf.DUMMYFUNCTION("IFERROR(
  TEXTJOIN(CHAR(10),TRUE,FILTER('SUMMARY DATA'!F:F,'SUMMARY DATA'!$A:$A=$A428,'SUMMARY DATA'!$C:$C=$B428,'SUMMARY DATA'!$B:$B=""RWS"")),
  IF(
    OR(
      ISNUMBER(SEARCH(""CDM CASH DEPOSIT"",$C428)),
      ISNUMBER(SEARCH(""CASH DEPOSIT"",$C42"&amp;"8)),
      COUNTIFS('SUMMARY DATA'!$D:$D,$C428,'SUMMARY DATA'!$B:$B,""RWS"")&lt;&gt;1
    ),
    """",
    IFERROR(TEXTJOIN(CHAR(10),TRUE,FILTER('SUMMARY DATA'!F:F,'SUMMARY DATA'!$D:$D=$C428,'SUMMARY DATA'!$B:$B=""RWS"")),"""")
  )
)"),"")</f>
      </c>
      <c r="G428" s="17" t="str">
        <f>IFERROR(__xludf.DUMMYFUNCTION("IFERROR(
  TEXTJOIN(CHAR(10),TRUE,FILTER('SUMMARY DATA'!G:G,'SUMMARY DATA'!$A:$A=$A428,'SUMMARY DATA'!$C:$C=$B428,'SUMMARY DATA'!$B:$B=""RWS"")),
  IF(
    OR(
      ISNUMBER(SEARCH(""CDM CASH DEPOSIT"",$C428)),
      ISNUMBER(SEARCH(""CASH DEPOSIT"",$C42"&amp;"8)),
      COUNTIFS('SUMMARY DATA'!$D:$D,$C428,'SUMMARY DATA'!$B:$B,""RWS"")&lt;&gt;1
    ),
    """",
    IFERROR(TEXTJOIN(CHAR(10),TRUE,FILTER('SUMMARY DATA'!G:G,'SUMMARY DATA'!$D:$D=$C428,'SUMMARY DATA'!$B:$B=""RWS"")),"""")
  )
)"),"")</f>
      </c>
      <c r="H428" s="18" t="str">
        <f>IFERROR(__xludf.DUMMYFUNCTION("IFERROR(
  TEXTJOIN(CHAR(10),TRUE,FILTER('SUMMARY DATA'!H:H,'SUMMARY DATA'!$A:$A=$A428,'SUMMARY DATA'!$C:$C=$B428,'SUMMARY DATA'!$B:$B=""RWS"",'SUMMARY DATA'!$H:$H=$D428)),
  IF(
    OR(
      ISNUMBER(SEARCH(""CDM CASH DEPOSIT"",$C428)),
      ISNUMBER(S"&amp;"EARCH(""CASH DEPOSIT"",$C428))
    ),
    """",
    IFERROR(TEXTJOIN(CHAR(10),TRUE,FILTER('SUMMARY DATA'!H:H,'SUMMARY DATA'!$D:$D=$C428,'SUMMARY DATA'!$B:$B=""RWS"",'SUMMARY DATA'!$H:$H=$D428)),"""")
  )
)"),"")</f>
      </c>
      <c r="I428" s="18" t="str">
        <f>IFERROR(__xludf.DUMMYFUNCTION("IF(H428="""","""",
SUM(ARRAYFORMULA(VALUE(SPLIT(H428,CHAR(10)))))
)"),"")</f>
      </c>
      <c r="J428" s="17" t="str">
        <f>IFERROR(__xludf.DUMMYFUNCTION("IFERROR(
  TEXTJOIN(CHAR(10),TRUE,FILTER('SUMMARY DATA'!I:I,'SUMMARY DATA'!$A:$A=$A428,'SUMMARY DATA'!$C:$C=$B428,'SUMMARY DATA'!$B:$B=""RWS"")),
  IF(
    OR(
      ISNUMBER(SEARCH(""CDM CASH DEPOSIT"",$C428)),
      ISNUMBER(SEARCH(""CASH DEPOSIT"",$C42"&amp;"8)),
      COUNTIFS('SUMMARY DATA'!$D:$D,$C428,'SUMMARY DATA'!$B:$B,""RWS"")&lt;&gt;1
    ),
    """",
    IFERROR(TEXTJOIN(CHAR(10),TRUE,FILTER('SUMMARY DATA'!I:I,'SUMMARY DATA'!$D:$D=$C428,'SUMMARY DATA'!$B:$B=""RWS"")),"""")
  )
)"),"")</f>
      </c>
      <c r="K428" s="2"/>
      <c r="L428" s="2"/>
      <c r="M428" s="2"/>
      <c r="N428" s="2"/>
      <c r="O428" s="2"/>
      <c r="P428" s="2"/>
      <c r="Q428" s="2"/>
      <c r="R428" s="2"/>
      <c r="S428" s="2"/>
      <c r="T428" s="2"/>
      <c r="U428" s="2"/>
      <c r="V428" s="2"/>
      <c r="W428" s="2"/>
      <c r="X428" s="2"/>
      <c r="Y428" s="2"/>
      <c r="Z428" s="2"/>
      <c r="AA428" s="2"/>
      <c r="AB428" s="2"/>
    </row>
    <row r="429" spans="1:28" customHeight="true">
      <c r="A429" s="2" t="s">
        <v>545</v>
      </c>
      <c r="B429" s="15">
        <v>46019</v>
      </c>
      <c r="C429" s="2" t="s">
        <v>546</v>
      </c>
      <c r="D429" s="3">
        <v>263.62</v>
      </c>
      <c r="E429" s="16" t="str">
        <f>IFERROR(__xludf.DUMMYFUNCTION("IFERROR(
  TEXTJOIN(CHAR(10),TRUE,FILTER('SUMMARY DATA'!E:E,'SUMMARY DATA'!$A:$A=$A429,'SUMMARY DATA'!$C:$C=$B429,'SUMMARY DATA'!$B:$B=""RWS"")),
  IF(
    OR(
      ISNUMBER(SEARCH(""CDM CASH DEPOSIT"",$C429)),
      ISNUMBER(SEARCH(""CASH DEPOSIT"",$C42"&amp;"9)),
      COUNTIFS('SUMMARY DATA'!$D:$D,$C429,'SUMMARY DATA'!$B:$B,""RWS"")&lt;&gt;1
    ),
    """",
    IFERROR(TEXTJOIN(CHAR(10),TRUE,FILTER('SUMMARY DATA'!E:E,'SUMMARY DATA'!$D:$D=$C429,'SUMMARY DATA'!$B:$B=""RWS"")),"""")
  )
)"),"")</f>
      </c>
      <c r="F429" s="17" t="str">
        <f>IFERROR(__xludf.DUMMYFUNCTION("IFERROR(
  TEXTJOIN(CHAR(10),TRUE,FILTER('SUMMARY DATA'!F:F,'SUMMARY DATA'!$A:$A=$A429,'SUMMARY DATA'!$C:$C=$B429,'SUMMARY DATA'!$B:$B=""RWS"")),
  IF(
    OR(
      ISNUMBER(SEARCH(""CDM CASH DEPOSIT"",$C429)),
      ISNUMBER(SEARCH(""CASH DEPOSIT"",$C42"&amp;"9)),
      COUNTIFS('SUMMARY DATA'!$D:$D,$C429,'SUMMARY DATA'!$B:$B,""RWS"")&lt;&gt;1
    ),
    """",
    IFERROR(TEXTJOIN(CHAR(10),TRUE,FILTER('SUMMARY DATA'!F:F,'SUMMARY DATA'!$D:$D=$C429,'SUMMARY DATA'!$B:$B=""RWS"")),"""")
  )
)"),"")</f>
      </c>
      <c r="G429" s="17" t="str">
        <f>IFERROR(__xludf.DUMMYFUNCTION("IFERROR(
  TEXTJOIN(CHAR(10),TRUE,FILTER('SUMMARY DATA'!G:G,'SUMMARY DATA'!$A:$A=$A429,'SUMMARY DATA'!$C:$C=$B429,'SUMMARY DATA'!$B:$B=""RWS"")),
  IF(
    OR(
      ISNUMBER(SEARCH(""CDM CASH DEPOSIT"",$C429)),
      ISNUMBER(SEARCH(""CASH DEPOSIT"",$C42"&amp;"9)),
      COUNTIFS('SUMMARY DATA'!$D:$D,$C429,'SUMMARY DATA'!$B:$B,""RWS"")&lt;&gt;1
    ),
    """",
    IFERROR(TEXTJOIN(CHAR(10),TRUE,FILTER('SUMMARY DATA'!G:G,'SUMMARY DATA'!$D:$D=$C429,'SUMMARY DATA'!$B:$B=""RWS"")),"""")
  )
)"),"")</f>
      </c>
      <c r="H429" s="18" t="str">
        <f>IFERROR(__xludf.DUMMYFUNCTION("IFERROR(
  TEXTJOIN(CHAR(10),TRUE,FILTER('SUMMARY DATA'!H:H,'SUMMARY DATA'!$A:$A=$A429,'SUMMARY DATA'!$C:$C=$B429,'SUMMARY DATA'!$B:$B=""RWS"",'SUMMARY DATA'!$H:$H=$D429)),
  IF(
    OR(
      ISNUMBER(SEARCH(""CDM CASH DEPOSIT"",$C429)),
      ISNUMBER(S"&amp;"EARCH(""CASH DEPOSIT"",$C429))
    ),
    """",
    IFERROR(TEXTJOIN(CHAR(10),TRUE,FILTER('SUMMARY DATA'!H:H,'SUMMARY DATA'!$D:$D=$C429,'SUMMARY DATA'!$B:$B=""RWS"",'SUMMARY DATA'!$H:$H=$D429)),"""")
  )
)"),"")</f>
      </c>
      <c r="I429" s="18" t="str">
        <f>IFERROR(__xludf.DUMMYFUNCTION("IF(H429="""","""",
SUM(ARRAYFORMULA(VALUE(SPLIT(H429,CHAR(10)))))
)"),"")</f>
      </c>
      <c r="J429" s="17" t="str">
        <f>IFERROR(__xludf.DUMMYFUNCTION("IFERROR(
  TEXTJOIN(CHAR(10),TRUE,FILTER('SUMMARY DATA'!I:I,'SUMMARY DATA'!$A:$A=$A429,'SUMMARY DATA'!$C:$C=$B429,'SUMMARY DATA'!$B:$B=""RWS"")),
  IF(
    OR(
      ISNUMBER(SEARCH(""CDM CASH DEPOSIT"",$C429)),
      ISNUMBER(SEARCH(""CASH DEPOSIT"",$C42"&amp;"9)),
      COUNTIFS('SUMMARY DATA'!$D:$D,$C429,'SUMMARY DATA'!$B:$B,""RWS"")&lt;&gt;1
    ),
    """",
    IFERROR(TEXTJOIN(CHAR(10),TRUE,FILTER('SUMMARY DATA'!I:I,'SUMMARY DATA'!$D:$D=$C429,'SUMMARY DATA'!$B:$B=""RWS"")),"""")
  )
)"),"")</f>
      </c>
      <c r="K429" s="2"/>
      <c r="L429" s="2"/>
      <c r="M429" s="2"/>
      <c r="N429" s="2"/>
      <c r="O429" s="2"/>
      <c r="P429" s="2"/>
      <c r="Q429" s="2"/>
      <c r="R429" s="2"/>
      <c r="S429" s="2"/>
      <c r="T429" s="2"/>
      <c r="U429" s="2"/>
      <c r="V429" s="2"/>
      <c r="W429" s="2"/>
      <c r="X429" s="2"/>
      <c r="Y429" s="2"/>
      <c r="Z429" s="2"/>
      <c r="AA429" s="2"/>
      <c r="AB429" s="2"/>
    </row>
    <row r="430" spans="1:28" customHeight="true">
      <c r="A430" s="2" t="s">
        <v>701</v>
      </c>
      <c r="B430" s="15">
        <v>46018</v>
      </c>
      <c r="C430" s="2" t="s">
        <v>702</v>
      </c>
      <c r="D430" s="3">
        <v>476</v>
      </c>
      <c r="E430" s="16" t="str">
        <f>IFERROR(__xludf.DUMMYFUNCTION("IFERROR(
  TEXTJOIN(CHAR(10),TRUE,FILTER('SUMMARY DATA'!E:E,'SUMMARY DATA'!$A:$A=$A430,'SUMMARY DATA'!$C:$C=$B430,'SUMMARY DATA'!$B:$B=""RWS"")),
  IF(
    OR(
      ISNUMBER(SEARCH(""CDM CASH DEPOSIT"",$C430)),
      ISNUMBER(SEARCH(""CASH DEPOSIT"",$C43"&amp;"0)),
      COUNTIFS('SUMMARY DATA'!$D:$D,$C430,'SUMMARY DATA'!$B:$B,""RWS"")&lt;&gt;1
    ),
    """",
    IFERROR(TEXTJOIN(CHAR(10),TRUE,FILTER('SUMMARY DATA'!E:E,'SUMMARY DATA'!$D:$D=$C430,'SUMMARY DATA'!$B:$B=""RWS"")),"""")
  )
)"),"")</f>
      </c>
      <c r="F430" s="17" t="str">
        <f>IFERROR(__xludf.DUMMYFUNCTION("IFERROR(
  TEXTJOIN(CHAR(10),TRUE,FILTER('SUMMARY DATA'!F:F,'SUMMARY DATA'!$A:$A=$A430,'SUMMARY DATA'!$C:$C=$B430,'SUMMARY DATA'!$B:$B=""RWS"")),
  IF(
    OR(
      ISNUMBER(SEARCH(""CDM CASH DEPOSIT"",$C430)),
      ISNUMBER(SEARCH(""CASH DEPOSIT"",$C43"&amp;"0)),
      COUNTIFS('SUMMARY DATA'!$D:$D,$C430,'SUMMARY DATA'!$B:$B,""RWS"")&lt;&gt;1
    ),
    """",
    IFERROR(TEXTJOIN(CHAR(10),TRUE,FILTER('SUMMARY DATA'!F:F,'SUMMARY DATA'!$D:$D=$C430,'SUMMARY DATA'!$B:$B=""RWS"")),"""")
  )
)"),"")</f>
      </c>
      <c r="G430" s="17" t="str">
        <f>IFERROR(__xludf.DUMMYFUNCTION("IFERROR(
  TEXTJOIN(CHAR(10),TRUE,FILTER('SUMMARY DATA'!G:G,'SUMMARY DATA'!$A:$A=$A430,'SUMMARY DATA'!$C:$C=$B430,'SUMMARY DATA'!$B:$B=""RWS"")),
  IF(
    OR(
      ISNUMBER(SEARCH(""CDM CASH DEPOSIT"",$C430)),
      ISNUMBER(SEARCH(""CASH DEPOSIT"",$C43"&amp;"0)),
      COUNTIFS('SUMMARY DATA'!$D:$D,$C430,'SUMMARY DATA'!$B:$B,""RWS"")&lt;&gt;1
    ),
    """",
    IFERROR(TEXTJOIN(CHAR(10),TRUE,FILTER('SUMMARY DATA'!G:G,'SUMMARY DATA'!$D:$D=$C430,'SUMMARY DATA'!$B:$B=""RWS"")),"""")
  )
)"),"")</f>
      </c>
      <c r="H430" s="18" t="str">
        <f>IFERROR(__xludf.DUMMYFUNCTION("IFERROR(
  TEXTJOIN(CHAR(10),TRUE,FILTER('SUMMARY DATA'!H:H,'SUMMARY DATA'!$A:$A=$A430,'SUMMARY DATA'!$C:$C=$B430,'SUMMARY DATA'!$B:$B=""RWS"",'SUMMARY DATA'!$H:$H=$D430)),
  IF(
    OR(
      ISNUMBER(SEARCH(""CDM CASH DEPOSIT"",$C430)),
      ISNUMBER(S"&amp;"EARCH(""CASH DEPOSIT"",$C430))
    ),
    """",
    IFERROR(TEXTJOIN(CHAR(10),TRUE,FILTER('SUMMARY DATA'!H:H,'SUMMARY DATA'!$D:$D=$C430,'SUMMARY DATA'!$B:$B=""RWS"",'SUMMARY DATA'!$H:$H=$D430)),"""")
  )
)"),"")</f>
      </c>
      <c r="I430" s="18" t="str">
        <f>IFERROR(__xludf.DUMMYFUNCTION("IF(H430="""","""",
SUM(ARRAYFORMULA(VALUE(SPLIT(H430,CHAR(10)))))
)"),"")</f>
      </c>
      <c r="J430" s="17" t="str">
        <f>IFERROR(__xludf.DUMMYFUNCTION("IFERROR(
  TEXTJOIN(CHAR(10),TRUE,FILTER('SUMMARY DATA'!I:I,'SUMMARY DATA'!$A:$A=$A430,'SUMMARY DATA'!$C:$C=$B430,'SUMMARY DATA'!$B:$B=""RWS"")),
  IF(
    OR(
      ISNUMBER(SEARCH(""CDM CASH DEPOSIT"",$C430)),
      ISNUMBER(SEARCH(""CASH DEPOSIT"",$C43"&amp;"0)),
      COUNTIFS('SUMMARY DATA'!$D:$D,$C430,'SUMMARY DATA'!$B:$B,""RWS"")&lt;&gt;1
    ),
    """",
    IFERROR(TEXTJOIN(CHAR(10),TRUE,FILTER('SUMMARY DATA'!I:I,'SUMMARY DATA'!$D:$D=$C430,'SUMMARY DATA'!$B:$B=""RWS"")),"""")
  )
)"),"")</f>
      </c>
      <c r="K430" s="2"/>
      <c r="L430" s="2"/>
      <c r="M430" s="2"/>
      <c r="N430" s="2"/>
      <c r="O430" s="2"/>
      <c r="P430" s="2"/>
      <c r="Q430" s="2"/>
      <c r="R430" s="2"/>
      <c r="S430" s="2"/>
      <c r="T430" s="2"/>
      <c r="U430" s="2"/>
      <c r="V430" s="2"/>
      <c r="W430" s="2"/>
      <c r="X430" s="2"/>
      <c r="Y430" s="2"/>
      <c r="Z430" s="2"/>
      <c r="AA430" s="2"/>
      <c r="AB430" s="2"/>
    </row>
    <row r="431" spans="1:28" customHeight="true">
      <c r="A431" s="2" t="s">
        <v>703</v>
      </c>
      <c r="B431" s="15">
        <v>46018</v>
      </c>
      <c r="C431" s="2" t="s">
        <v>704</v>
      </c>
      <c r="D431" s="3">
        <v>30</v>
      </c>
      <c r="E431" s="16" t="str">
        <f>IFERROR(__xludf.DUMMYFUNCTION("IFERROR(
  TEXTJOIN(CHAR(10),TRUE,FILTER('SUMMARY DATA'!E:E,'SUMMARY DATA'!$A:$A=$A431,'SUMMARY DATA'!$C:$C=$B431,'SUMMARY DATA'!$B:$B=""RWS"")),
  IF(
    OR(
      ISNUMBER(SEARCH(""CDM CASH DEPOSIT"",$C431)),
      ISNUMBER(SEARCH(""CASH DEPOSIT"",$C43"&amp;"1)),
      COUNTIFS('SUMMARY DATA'!$D:$D,$C431,'SUMMARY DATA'!$B:$B,""RWS"")&lt;&gt;1
    ),
    """",
    IFERROR(TEXTJOIN(CHAR(10),TRUE,FILTER('SUMMARY DATA'!E:E,'SUMMARY DATA'!$D:$D=$C431,'SUMMARY DATA'!$B:$B=""RWS"")),"""")
  )
)"),"")</f>
      </c>
      <c r="F431" s="17" t="str">
        <f>IFERROR(__xludf.DUMMYFUNCTION("IFERROR(
  TEXTJOIN(CHAR(10),TRUE,FILTER('SUMMARY DATA'!F:F,'SUMMARY DATA'!$A:$A=$A431,'SUMMARY DATA'!$C:$C=$B431,'SUMMARY DATA'!$B:$B=""RWS"")),
  IF(
    OR(
      ISNUMBER(SEARCH(""CDM CASH DEPOSIT"",$C431)),
      ISNUMBER(SEARCH(""CASH DEPOSIT"",$C43"&amp;"1)),
      COUNTIFS('SUMMARY DATA'!$D:$D,$C431,'SUMMARY DATA'!$B:$B,""RWS"")&lt;&gt;1
    ),
    """",
    IFERROR(TEXTJOIN(CHAR(10),TRUE,FILTER('SUMMARY DATA'!F:F,'SUMMARY DATA'!$D:$D=$C431,'SUMMARY DATA'!$B:$B=""RWS"")),"""")
  )
)"),"")</f>
      </c>
      <c r="G431" s="17" t="str">
        <f>IFERROR(__xludf.DUMMYFUNCTION("IFERROR(
  TEXTJOIN(CHAR(10),TRUE,FILTER('SUMMARY DATA'!G:G,'SUMMARY DATA'!$A:$A=$A431,'SUMMARY DATA'!$C:$C=$B431,'SUMMARY DATA'!$B:$B=""RWS"")),
  IF(
    OR(
      ISNUMBER(SEARCH(""CDM CASH DEPOSIT"",$C431)),
      ISNUMBER(SEARCH(""CASH DEPOSIT"",$C43"&amp;"1)),
      COUNTIFS('SUMMARY DATA'!$D:$D,$C431,'SUMMARY DATA'!$B:$B,""RWS"")&lt;&gt;1
    ),
    """",
    IFERROR(TEXTJOIN(CHAR(10),TRUE,FILTER('SUMMARY DATA'!G:G,'SUMMARY DATA'!$D:$D=$C431,'SUMMARY DATA'!$B:$B=""RWS"")),"""")
  )
)"),"")</f>
      </c>
      <c r="H431" s="18" t="str">
        <f>IFERROR(__xludf.DUMMYFUNCTION("IFERROR(
  TEXTJOIN(CHAR(10),TRUE,FILTER('SUMMARY DATA'!H:H,'SUMMARY DATA'!$A:$A=$A431,'SUMMARY DATA'!$C:$C=$B431,'SUMMARY DATA'!$B:$B=""RWS"",'SUMMARY DATA'!$H:$H=$D431)),
  IF(
    OR(
      ISNUMBER(SEARCH(""CDM CASH DEPOSIT"",$C431)),
      ISNUMBER(S"&amp;"EARCH(""CASH DEPOSIT"",$C431))
    ),
    """",
    IFERROR(TEXTJOIN(CHAR(10),TRUE,FILTER('SUMMARY DATA'!H:H,'SUMMARY DATA'!$D:$D=$C431,'SUMMARY DATA'!$B:$B=""RWS"",'SUMMARY DATA'!$H:$H=$D431)),"""")
  )
)"),"")</f>
      </c>
      <c r="I431" s="18" t="str">
        <f>IFERROR(__xludf.DUMMYFUNCTION("IF(H431="""","""",
SUM(ARRAYFORMULA(VALUE(SPLIT(H431,CHAR(10)))))
)"),"")</f>
      </c>
      <c r="J431" s="17" t="str">
        <f>IFERROR(__xludf.DUMMYFUNCTION("IFERROR(
  TEXTJOIN(CHAR(10),TRUE,FILTER('SUMMARY DATA'!I:I,'SUMMARY DATA'!$A:$A=$A431,'SUMMARY DATA'!$C:$C=$B431,'SUMMARY DATA'!$B:$B=""RWS"")),
  IF(
    OR(
      ISNUMBER(SEARCH(""CDM CASH DEPOSIT"",$C431)),
      ISNUMBER(SEARCH(""CASH DEPOSIT"",$C43"&amp;"1)),
      COUNTIFS('SUMMARY DATA'!$D:$D,$C431,'SUMMARY DATA'!$B:$B,""RWS"")&lt;&gt;1
    ),
    """",
    IFERROR(TEXTJOIN(CHAR(10),TRUE,FILTER('SUMMARY DATA'!I:I,'SUMMARY DATA'!$D:$D=$C431,'SUMMARY DATA'!$B:$B=""RWS"")),"""")
  )
)"),"")</f>
      </c>
      <c r="K431" s="2"/>
      <c r="L431" s="2"/>
      <c r="M431" s="2"/>
      <c r="N431" s="2"/>
      <c r="O431" s="2"/>
      <c r="P431" s="2"/>
      <c r="Q431" s="2"/>
      <c r="R431" s="2"/>
      <c r="S431" s="2"/>
      <c r="T431" s="2"/>
      <c r="U431" s="2"/>
      <c r="V431" s="2"/>
      <c r="W431" s="2"/>
      <c r="X431" s="2"/>
      <c r="Y431" s="2"/>
      <c r="Z431" s="2"/>
      <c r="AA431" s="2"/>
      <c r="AB431" s="2"/>
    </row>
    <row r="432" spans="1:28" customHeight="true">
      <c r="A432" s="2" t="s">
        <v>705</v>
      </c>
      <c r="B432" s="15">
        <v>46018</v>
      </c>
      <c r="C432" s="2" t="s">
        <v>706</v>
      </c>
      <c r="D432" s="3">
        <v>505.37</v>
      </c>
      <c r="E432" s="16" t="s">
        <v>2495</v>
      </c>
      <c r="F432" s="17" t="s">
        <v>2508</v>
      </c>
      <c r="G432" s="17" t="s">
        <v>2393</v>
      </c>
      <c r="H432" s="18">
        <v>505.37</v>
      </c>
      <c r="I432" s="18">
        <v>505.37</v>
      </c>
      <c r="J432" s="17" t="s">
        <v>2394</v>
      </c>
      <c r="K432" s="2" t="s">
        <v>2395</v>
      </c>
      <c r="L432" s="2"/>
      <c r="M432" s="2"/>
      <c r="N432" s="2"/>
      <c r="O432" s="2"/>
      <c r="P432" s="2"/>
      <c r="Q432" s="2"/>
      <c r="R432" s="2"/>
      <c r="S432" s="2"/>
      <c r="T432" s="2"/>
      <c r="U432" s="2"/>
      <c r="V432" s="2"/>
      <c r="W432" s="2"/>
      <c r="X432" s="2"/>
      <c r="Y432" s="2"/>
      <c r="Z432" s="2"/>
      <c r="AA432" s="2"/>
      <c r="AB432" s="2"/>
    </row>
    <row r="433" spans="1:28" customHeight="true">
      <c r="A433" s="2" t="s">
        <v>707</v>
      </c>
      <c r="B433" s="15">
        <v>46018</v>
      </c>
      <c r="C433" s="2" t="s">
        <v>708</v>
      </c>
      <c r="D433" s="3">
        <v>13.98</v>
      </c>
      <c r="E433" s="16" t="s">
        <v>2495</v>
      </c>
      <c r="F433" s="17" t="s">
        <v>2509</v>
      </c>
      <c r="G433" s="17" t="s">
        <v>2393</v>
      </c>
      <c r="H433" s="18">
        <v>13.98</v>
      </c>
      <c r="I433" s="18">
        <v>13.98</v>
      </c>
      <c r="J433" s="17" t="s">
        <v>2394</v>
      </c>
      <c r="K433" s="2" t="s">
        <v>2395</v>
      </c>
      <c r="L433" s="2"/>
      <c r="M433" s="2"/>
      <c r="N433" s="2"/>
      <c r="O433" s="2"/>
      <c r="P433" s="2"/>
      <c r="Q433" s="2"/>
      <c r="R433" s="2"/>
      <c r="S433" s="2"/>
      <c r="T433" s="2"/>
      <c r="U433" s="2"/>
      <c r="V433" s="2"/>
      <c r="W433" s="2"/>
      <c r="X433" s="2"/>
      <c r="Y433" s="2"/>
      <c r="Z433" s="2"/>
      <c r="AA433" s="2"/>
      <c r="AB433" s="2"/>
    </row>
    <row r="434" spans="1:28" customHeight="true">
      <c r="A434" s="2" t="s">
        <v>709</v>
      </c>
      <c r="B434" s="15">
        <v>46017</v>
      </c>
      <c r="C434" s="2" t="s">
        <v>710</v>
      </c>
      <c r="D434" s="3">
        <v>45</v>
      </c>
      <c r="E434" s="16" t="s">
        <v>2439</v>
      </c>
      <c r="F434" s="17" t="s">
        <v>2510</v>
      </c>
      <c r="G434" s="17" t="s">
        <v>2393</v>
      </c>
      <c r="H434" s="18">
        <v>45</v>
      </c>
      <c r="I434" s="18">
        <v>45</v>
      </c>
      <c r="J434" s="17" t="s">
        <v>2394</v>
      </c>
      <c r="K434" s="2" t="s">
        <v>2395</v>
      </c>
      <c r="L434" s="2"/>
      <c r="M434" s="2"/>
      <c r="N434" s="2"/>
      <c r="O434" s="2"/>
      <c r="P434" s="2"/>
      <c r="Q434" s="2"/>
      <c r="R434" s="2"/>
      <c r="S434" s="2"/>
      <c r="T434" s="2"/>
      <c r="U434" s="2"/>
      <c r="V434" s="2"/>
      <c r="W434" s="2"/>
      <c r="X434" s="2"/>
      <c r="Y434" s="2"/>
      <c r="Z434" s="2"/>
      <c r="AA434" s="2"/>
      <c r="AB434" s="2"/>
    </row>
    <row r="435" spans="1:28" customHeight="true">
      <c r="A435" s="2" t="s">
        <v>682</v>
      </c>
      <c r="B435" s="15">
        <v>46017</v>
      </c>
      <c r="C435" s="2" t="s">
        <v>711</v>
      </c>
      <c r="D435" s="3">
        <v>37.51</v>
      </c>
      <c r="E435" s="16" t="str">
        <f>IFERROR(__xludf.DUMMYFUNCTION("IFERROR(
  TEXTJOIN(CHAR(10),TRUE,FILTER('SUMMARY DATA'!E:E,'SUMMARY DATA'!$A:$A=$A435,'SUMMARY DATA'!$C:$C=$B435,'SUMMARY DATA'!$B:$B=""RWS"")),
  IF(
    OR(
      ISNUMBER(SEARCH(""CDM CASH DEPOSIT"",$C435)),
      ISNUMBER(SEARCH(""CASH DEPOSIT"",$C43"&amp;"5)),
      COUNTIFS('SUMMARY DATA'!$D:$D,$C435,'SUMMARY DATA'!$B:$B,""RWS"")&lt;&gt;1
    ),
    """",
    IFERROR(TEXTJOIN(CHAR(10),TRUE,FILTER('SUMMARY DATA'!E:E,'SUMMARY DATA'!$D:$D=$C435,'SUMMARY DATA'!$B:$B=""RWS"")),"""")
  )
)"),"")</f>
      </c>
      <c r="F435" s="17" t="str">
        <f>IFERROR(__xludf.DUMMYFUNCTION("IFERROR(
  TEXTJOIN(CHAR(10),TRUE,FILTER('SUMMARY DATA'!F:F,'SUMMARY DATA'!$A:$A=$A435,'SUMMARY DATA'!$C:$C=$B435,'SUMMARY DATA'!$B:$B=""RWS"")),
  IF(
    OR(
      ISNUMBER(SEARCH(""CDM CASH DEPOSIT"",$C435)),
      ISNUMBER(SEARCH(""CASH DEPOSIT"",$C43"&amp;"5)),
      COUNTIFS('SUMMARY DATA'!$D:$D,$C435,'SUMMARY DATA'!$B:$B,""RWS"")&lt;&gt;1
    ),
    """",
    IFERROR(TEXTJOIN(CHAR(10),TRUE,FILTER('SUMMARY DATA'!F:F,'SUMMARY DATA'!$D:$D=$C435,'SUMMARY DATA'!$B:$B=""RWS"")),"""")
  )
)"),"")</f>
      </c>
      <c r="G435" s="17" t="str">
        <f>IFERROR(__xludf.DUMMYFUNCTION("IFERROR(
  TEXTJOIN(CHAR(10),TRUE,FILTER('SUMMARY DATA'!G:G,'SUMMARY DATA'!$A:$A=$A435,'SUMMARY DATA'!$C:$C=$B435,'SUMMARY DATA'!$B:$B=""RWS"")),
  IF(
    OR(
      ISNUMBER(SEARCH(""CDM CASH DEPOSIT"",$C435)),
      ISNUMBER(SEARCH(""CASH DEPOSIT"",$C43"&amp;"5)),
      COUNTIFS('SUMMARY DATA'!$D:$D,$C435,'SUMMARY DATA'!$B:$B,""RWS"")&lt;&gt;1
    ),
    """",
    IFERROR(TEXTJOIN(CHAR(10),TRUE,FILTER('SUMMARY DATA'!G:G,'SUMMARY DATA'!$D:$D=$C435,'SUMMARY DATA'!$B:$B=""RWS"")),"""")
  )
)"),"")</f>
      </c>
      <c r="H435" s="18" t="str">
        <f>IFERROR(__xludf.DUMMYFUNCTION("IFERROR(
  TEXTJOIN(CHAR(10),TRUE,FILTER('SUMMARY DATA'!H:H,'SUMMARY DATA'!$A:$A=$A435,'SUMMARY DATA'!$C:$C=$B435,'SUMMARY DATA'!$B:$B=""RWS"",'SUMMARY DATA'!$H:$H=$D435)),
  IF(
    OR(
      ISNUMBER(SEARCH(""CDM CASH DEPOSIT"",$C435)),
      ISNUMBER(S"&amp;"EARCH(""CASH DEPOSIT"",$C435))
    ),
    """",
    IFERROR(TEXTJOIN(CHAR(10),TRUE,FILTER('SUMMARY DATA'!H:H,'SUMMARY DATA'!$D:$D=$C435,'SUMMARY DATA'!$B:$B=""RWS"",'SUMMARY DATA'!$H:$H=$D435)),"""")
  )
)"),"")</f>
      </c>
      <c r="I435" s="18" t="str">
        <f>IFERROR(__xludf.DUMMYFUNCTION("IF(H435="""","""",
SUM(ARRAYFORMULA(VALUE(SPLIT(H435,CHAR(10)))))
)"),"")</f>
      </c>
      <c r="J435" s="17" t="str">
        <f>IFERROR(__xludf.DUMMYFUNCTION("IFERROR(
  TEXTJOIN(CHAR(10),TRUE,FILTER('SUMMARY DATA'!I:I,'SUMMARY DATA'!$A:$A=$A435,'SUMMARY DATA'!$C:$C=$B435,'SUMMARY DATA'!$B:$B=""RWS"")),
  IF(
    OR(
      ISNUMBER(SEARCH(""CDM CASH DEPOSIT"",$C435)),
      ISNUMBER(SEARCH(""CASH DEPOSIT"",$C43"&amp;"5)),
      COUNTIFS('SUMMARY DATA'!$D:$D,$C435,'SUMMARY DATA'!$B:$B,""RWS"")&lt;&gt;1
    ),
    """",
    IFERROR(TEXTJOIN(CHAR(10),TRUE,FILTER('SUMMARY DATA'!I:I,'SUMMARY DATA'!$D:$D=$C435,'SUMMARY DATA'!$B:$B=""RWS"")),"""")
  )
)"),"")</f>
      </c>
      <c r="K435" s="2"/>
      <c r="L435" s="2"/>
      <c r="M435" s="2"/>
      <c r="N435" s="2"/>
      <c r="O435" s="2"/>
      <c r="P435" s="2"/>
      <c r="Q435" s="2"/>
      <c r="R435" s="2"/>
      <c r="S435" s="2"/>
      <c r="T435" s="2"/>
      <c r="U435" s="2"/>
      <c r="V435" s="2"/>
      <c r="W435" s="2"/>
      <c r="X435" s="2"/>
      <c r="Y435" s="2"/>
      <c r="Z435" s="2"/>
      <c r="AA435" s="2"/>
      <c r="AB435" s="2"/>
    </row>
    <row r="436" spans="1:28" customHeight="true">
      <c r="A436" s="2" t="s">
        <v>712</v>
      </c>
      <c r="B436" s="15">
        <v>46017</v>
      </c>
      <c r="C436" s="2" t="s">
        <v>713</v>
      </c>
      <c r="D436" s="3">
        <v>117</v>
      </c>
      <c r="E436" s="16" t="str">
        <f>IFERROR(__xludf.DUMMYFUNCTION("IFERROR(
  TEXTJOIN(CHAR(10),TRUE,FILTER('SUMMARY DATA'!E:E,'SUMMARY DATA'!$A:$A=$A436,'SUMMARY DATA'!$C:$C=$B436,'SUMMARY DATA'!$B:$B=""RWS"")),
  IF(
    OR(
      ISNUMBER(SEARCH(""CDM CASH DEPOSIT"",$C436)),
      ISNUMBER(SEARCH(""CASH DEPOSIT"",$C43"&amp;"6)),
      COUNTIFS('SUMMARY DATA'!$D:$D,$C436,'SUMMARY DATA'!$B:$B,""RWS"")&lt;&gt;1
    ),
    """",
    IFERROR(TEXTJOIN(CHAR(10),TRUE,FILTER('SUMMARY DATA'!E:E,'SUMMARY DATA'!$D:$D=$C436,'SUMMARY DATA'!$B:$B=""RWS"")),"""")
  )
)"),"")</f>
      </c>
      <c r="F436" s="17" t="str">
        <f>IFERROR(__xludf.DUMMYFUNCTION("IFERROR(
  TEXTJOIN(CHAR(10),TRUE,FILTER('SUMMARY DATA'!F:F,'SUMMARY DATA'!$A:$A=$A436,'SUMMARY DATA'!$C:$C=$B436,'SUMMARY DATA'!$B:$B=""RWS"")),
  IF(
    OR(
      ISNUMBER(SEARCH(""CDM CASH DEPOSIT"",$C436)),
      ISNUMBER(SEARCH(""CASH DEPOSIT"",$C43"&amp;"6)),
      COUNTIFS('SUMMARY DATA'!$D:$D,$C436,'SUMMARY DATA'!$B:$B,""RWS"")&lt;&gt;1
    ),
    """",
    IFERROR(TEXTJOIN(CHAR(10),TRUE,FILTER('SUMMARY DATA'!F:F,'SUMMARY DATA'!$D:$D=$C436,'SUMMARY DATA'!$B:$B=""RWS"")),"""")
  )
)"),"")</f>
      </c>
      <c r="G436" s="17" t="str">
        <f>IFERROR(__xludf.DUMMYFUNCTION("IFERROR(
  TEXTJOIN(CHAR(10),TRUE,FILTER('SUMMARY DATA'!G:G,'SUMMARY DATA'!$A:$A=$A436,'SUMMARY DATA'!$C:$C=$B436,'SUMMARY DATA'!$B:$B=""RWS"")),
  IF(
    OR(
      ISNUMBER(SEARCH(""CDM CASH DEPOSIT"",$C436)),
      ISNUMBER(SEARCH(""CASH DEPOSIT"",$C43"&amp;"6)),
      COUNTIFS('SUMMARY DATA'!$D:$D,$C436,'SUMMARY DATA'!$B:$B,""RWS"")&lt;&gt;1
    ),
    """",
    IFERROR(TEXTJOIN(CHAR(10),TRUE,FILTER('SUMMARY DATA'!G:G,'SUMMARY DATA'!$D:$D=$C436,'SUMMARY DATA'!$B:$B=""RWS"")),"""")
  )
)"),"")</f>
      </c>
      <c r="H436" s="18" t="str">
        <f>IFERROR(__xludf.DUMMYFUNCTION("IFERROR(
  TEXTJOIN(CHAR(10),TRUE,FILTER('SUMMARY DATA'!H:H,'SUMMARY DATA'!$A:$A=$A436,'SUMMARY DATA'!$C:$C=$B436,'SUMMARY DATA'!$B:$B=""RWS"",'SUMMARY DATA'!$H:$H=$D436)),
  IF(
    OR(
      ISNUMBER(SEARCH(""CDM CASH DEPOSIT"",$C436)),
      ISNUMBER(S"&amp;"EARCH(""CASH DEPOSIT"",$C436))
    ),
    """",
    IFERROR(TEXTJOIN(CHAR(10),TRUE,FILTER('SUMMARY DATA'!H:H,'SUMMARY DATA'!$D:$D=$C436,'SUMMARY DATA'!$B:$B=""RWS"",'SUMMARY DATA'!$H:$H=$D436)),"""")
  )
)"),"")</f>
      </c>
      <c r="I436" s="18" t="str">
        <f>IFERROR(__xludf.DUMMYFUNCTION("IF(H436="""","""",
SUM(ARRAYFORMULA(VALUE(SPLIT(H436,CHAR(10)))))
)"),"")</f>
      </c>
      <c r="J436" s="17" t="str">
        <f>IFERROR(__xludf.DUMMYFUNCTION("IFERROR(
  TEXTJOIN(CHAR(10),TRUE,FILTER('SUMMARY DATA'!I:I,'SUMMARY DATA'!$A:$A=$A436,'SUMMARY DATA'!$C:$C=$B436,'SUMMARY DATA'!$B:$B=""RWS"")),
  IF(
    OR(
      ISNUMBER(SEARCH(""CDM CASH DEPOSIT"",$C436)),
      ISNUMBER(SEARCH(""CASH DEPOSIT"",$C43"&amp;"6)),
      COUNTIFS('SUMMARY DATA'!$D:$D,$C436,'SUMMARY DATA'!$B:$B,""RWS"")&lt;&gt;1
    ),
    """",
    IFERROR(TEXTJOIN(CHAR(10),TRUE,FILTER('SUMMARY DATA'!I:I,'SUMMARY DATA'!$D:$D=$C436,'SUMMARY DATA'!$B:$B=""RWS"")),"""")
  )
)"),"")</f>
      </c>
      <c r="K436" s="2"/>
      <c r="L436" s="2"/>
      <c r="M436" s="2"/>
      <c r="N436" s="2"/>
      <c r="O436" s="2"/>
      <c r="P436" s="2"/>
      <c r="Q436" s="2"/>
      <c r="R436" s="2"/>
      <c r="S436" s="2"/>
      <c r="T436" s="2"/>
      <c r="U436" s="2"/>
      <c r="V436" s="2"/>
      <c r="W436" s="2"/>
      <c r="X436" s="2"/>
      <c r="Y436" s="2"/>
      <c r="Z436" s="2"/>
      <c r="AA436" s="2"/>
      <c r="AB436" s="2"/>
    </row>
    <row r="437" spans="1:28" customHeight="true">
      <c r="A437" s="2" t="s">
        <v>714</v>
      </c>
      <c r="B437" s="15">
        <v>46016</v>
      </c>
      <c r="C437" s="2" t="s">
        <v>715</v>
      </c>
      <c r="D437" s="3">
        <v>108.63</v>
      </c>
      <c r="E437" s="16" t="s">
        <v>2495</v>
      </c>
      <c r="F437" s="17" t="s">
        <v>2511</v>
      </c>
      <c r="G437" s="17" t="s">
        <v>2393</v>
      </c>
      <c r="H437" s="18">
        <v>108.63</v>
      </c>
      <c r="I437" s="18">
        <v>108.63</v>
      </c>
      <c r="J437" s="17" t="s">
        <v>2394</v>
      </c>
      <c r="K437" s="2" t="s">
        <v>2395</v>
      </c>
      <c r="L437" s="2"/>
      <c r="M437" s="2"/>
      <c r="N437" s="2"/>
      <c r="O437" s="2"/>
      <c r="P437" s="2"/>
      <c r="Q437" s="2"/>
      <c r="R437" s="2"/>
      <c r="S437" s="2"/>
      <c r="T437" s="2"/>
      <c r="U437" s="2"/>
      <c r="V437" s="2"/>
      <c r="W437" s="2"/>
      <c r="X437" s="2"/>
      <c r="Y437" s="2"/>
      <c r="Z437" s="2"/>
      <c r="AA437" s="2"/>
      <c r="AB437" s="2"/>
    </row>
    <row r="438" spans="1:28" customHeight="true">
      <c r="A438" s="2" t="s">
        <v>716</v>
      </c>
      <c r="B438" s="15">
        <v>46016</v>
      </c>
      <c r="C438" s="2" t="s">
        <v>717</v>
      </c>
      <c r="D438" s="3">
        <v>196.12</v>
      </c>
      <c r="E438" s="16" t="s">
        <v>2512</v>
      </c>
      <c r="F438" s="17" t="s">
        <v>2513</v>
      </c>
      <c r="G438" s="17" t="s">
        <v>2393</v>
      </c>
      <c r="H438" s="18">
        <v>196.12</v>
      </c>
      <c r="I438" s="18">
        <v>196.12</v>
      </c>
      <c r="J438" s="17" t="s">
        <v>2394</v>
      </c>
      <c r="K438" s="2" t="s">
        <v>2395</v>
      </c>
      <c r="L438" s="2"/>
      <c r="M438" s="2"/>
      <c r="N438" s="2"/>
      <c r="O438" s="2"/>
      <c r="P438" s="2"/>
      <c r="Q438" s="2"/>
      <c r="R438" s="2"/>
      <c r="S438" s="2"/>
      <c r="T438" s="2"/>
      <c r="U438" s="2"/>
      <c r="V438" s="2"/>
      <c r="W438" s="2"/>
      <c r="X438" s="2"/>
      <c r="Y438" s="2"/>
      <c r="Z438" s="2"/>
      <c r="AA438" s="2"/>
      <c r="AB438" s="2"/>
    </row>
    <row r="439" spans="1:28" customHeight="true">
      <c r="A439" s="2" t="s">
        <v>718</v>
      </c>
      <c r="B439" s="15">
        <v>46016</v>
      </c>
      <c r="C439" s="2" t="s">
        <v>719</v>
      </c>
      <c r="D439" s="3">
        <v>87.2</v>
      </c>
      <c r="E439" s="16" t="s">
        <v>2495</v>
      </c>
      <c r="F439" s="17" t="s">
        <v>2514</v>
      </c>
      <c r="G439" s="17" t="s">
        <v>2393</v>
      </c>
      <c r="H439" s="18">
        <v>87.2</v>
      </c>
      <c r="I439" s="18">
        <v>87.2</v>
      </c>
      <c r="J439" s="17" t="s">
        <v>2394</v>
      </c>
      <c r="K439" s="2" t="s">
        <v>2395</v>
      </c>
      <c r="L439" s="2"/>
      <c r="M439" s="2"/>
      <c r="N439" s="2"/>
      <c r="O439" s="2"/>
      <c r="P439" s="2"/>
      <c r="Q439" s="2"/>
      <c r="R439" s="2"/>
      <c r="S439" s="2"/>
      <c r="T439" s="2"/>
      <c r="U439" s="2"/>
      <c r="V439" s="2"/>
      <c r="W439" s="2"/>
      <c r="X439" s="2"/>
      <c r="Y439" s="2"/>
      <c r="Z439" s="2"/>
      <c r="AA439" s="2"/>
      <c r="AB439" s="2"/>
    </row>
    <row r="440" spans="1:28" customHeight="true">
      <c r="A440" s="2"/>
      <c r="B440" s="15">
        <v>46016</v>
      </c>
      <c r="C440" s="2" t="s">
        <v>720</v>
      </c>
      <c r="D440" s="3">
        <v>39.99</v>
      </c>
      <c r="E440" s="16" t="str">
        <f>IFERROR(__xludf.DUMMYFUNCTION("IFERROR(
  TEXTJOIN(CHAR(10),TRUE,FILTER('SUMMARY DATA'!E:E,'SUMMARY DATA'!$A:$A=$A440,'SUMMARY DATA'!$C:$C=$B440,'SUMMARY DATA'!$B:$B=""RWS"")),
  IF(
    OR(
      ISNUMBER(SEARCH(""CDM CASH DEPOSIT"",$C440)),
      ISNUMBER(SEARCH(""CASH DEPOSIT"",$C44"&amp;"0)),
      COUNTIFS('SUMMARY DATA'!$D:$D,$C440,'SUMMARY DATA'!$B:$B,""RWS"")&lt;&gt;1
    ),
    """",
    IFERROR(TEXTJOIN(CHAR(10),TRUE,FILTER('SUMMARY DATA'!E:E,'SUMMARY DATA'!$D:$D=$C440,'SUMMARY DATA'!$B:$B=""RWS"")),"""")
  )
)"),"")</f>
      </c>
      <c r="F440" s="17" t="str">
        <f>IFERROR(__xludf.DUMMYFUNCTION("IFERROR(
  TEXTJOIN(CHAR(10),TRUE,FILTER('SUMMARY DATA'!F:F,'SUMMARY DATA'!$A:$A=$A440,'SUMMARY DATA'!$C:$C=$B440,'SUMMARY DATA'!$B:$B=""RWS"")),
  IF(
    OR(
      ISNUMBER(SEARCH(""CDM CASH DEPOSIT"",$C440)),
      ISNUMBER(SEARCH(""CASH DEPOSIT"",$C44"&amp;"0)),
      COUNTIFS('SUMMARY DATA'!$D:$D,$C440,'SUMMARY DATA'!$B:$B,""RWS"")&lt;&gt;1
    ),
    """",
    IFERROR(TEXTJOIN(CHAR(10),TRUE,FILTER('SUMMARY DATA'!F:F,'SUMMARY DATA'!$D:$D=$C440,'SUMMARY DATA'!$B:$B=""RWS"")),"""")
  )
)"),"")</f>
      </c>
      <c r="G440" s="17" t="str">
        <f>IFERROR(__xludf.DUMMYFUNCTION("IFERROR(
  TEXTJOIN(CHAR(10),TRUE,FILTER('SUMMARY DATA'!G:G,'SUMMARY DATA'!$A:$A=$A440,'SUMMARY DATA'!$C:$C=$B440,'SUMMARY DATA'!$B:$B=""RWS"")),
  IF(
    OR(
      ISNUMBER(SEARCH(""CDM CASH DEPOSIT"",$C440)),
      ISNUMBER(SEARCH(""CASH DEPOSIT"",$C44"&amp;"0)),
      COUNTIFS('SUMMARY DATA'!$D:$D,$C440,'SUMMARY DATA'!$B:$B,""RWS"")&lt;&gt;1
    ),
    """",
    IFERROR(TEXTJOIN(CHAR(10),TRUE,FILTER('SUMMARY DATA'!G:G,'SUMMARY DATA'!$D:$D=$C440,'SUMMARY DATA'!$B:$B=""RWS"")),"""")
  )
)"),"")</f>
      </c>
      <c r="H440" s="18" t="str">
        <f>IFERROR(__xludf.DUMMYFUNCTION("IFERROR(
  TEXTJOIN(CHAR(10),TRUE,FILTER('SUMMARY DATA'!H:H,'SUMMARY DATA'!$A:$A=$A440,'SUMMARY DATA'!$C:$C=$B440,'SUMMARY DATA'!$B:$B=""RWS"",'SUMMARY DATA'!$H:$H=$D440)),
  IF(
    OR(
      ISNUMBER(SEARCH(""CDM CASH DEPOSIT"",$C440)),
      ISNUMBER(S"&amp;"EARCH(""CASH DEPOSIT"",$C440))
    ),
    """",
    IFERROR(TEXTJOIN(CHAR(10),TRUE,FILTER('SUMMARY DATA'!H:H,'SUMMARY DATA'!$D:$D=$C440,'SUMMARY DATA'!$B:$B=""RWS"",'SUMMARY DATA'!$H:$H=$D440)),"""")
  )
)"),"")</f>
      </c>
      <c r="I440" s="18" t="str">
        <f>IFERROR(__xludf.DUMMYFUNCTION("IF(H440="""","""",
SUM(ARRAYFORMULA(VALUE(SPLIT(H440,CHAR(10)))))
)"),"")</f>
      </c>
      <c r="J440" s="17" t="str">
        <f>IFERROR(__xludf.DUMMYFUNCTION("IFERROR(
  TEXTJOIN(CHAR(10),TRUE,FILTER('SUMMARY DATA'!I:I,'SUMMARY DATA'!$A:$A=$A440,'SUMMARY DATA'!$C:$C=$B440,'SUMMARY DATA'!$B:$B=""RWS"")),
  IF(
    OR(
      ISNUMBER(SEARCH(""CDM CASH DEPOSIT"",$C440)),
      ISNUMBER(SEARCH(""CASH DEPOSIT"",$C44"&amp;"0)),
      COUNTIFS('SUMMARY DATA'!$D:$D,$C440,'SUMMARY DATA'!$B:$B,""RWS"")&lt;&gt;1
    ),
    """",
    IFERROR(TEXTJOIN(CHAR(10),TRUE,FILTER('SUMMARY DATA'!I:I,'SUMMARY DATA'!$D:$D=$C440,'SUMMARY DATA'!$B:$B=""RWS"")),"""")
  )
)"),"")</f>
      </c>
      <c r="K440" s="2"/>
      <c r="L440" s="2"/>
      <c r="M440" s="2"/>
      <c r="N440" s="2"/>
      <c r="O440" s="2"/>
      <c r="P440" s="2"/>
      <c r="Q440" s="2"/>
      <c r="R440" s="2"/>
      <c r="S440" s="2"/>
      <c r="T440" s="2"/>
      <c r="U440" s="2"/>
      <c r="V440" s="2"/>
      <c r="W440" s="2"/>
      <c r="X440" s="2"/>
      <c r="Y440" s="2"/>
      <c r="Z440" s="2"/>
      <c r="AA440" s="2"/>
      <c r="AB440" s="2"/>
    </row>
    <row r="441" spans="1:28" customHeight="true">
      <c r="A441" s="2" t="s">
        <v>721</v>
      </c>
      <c r="B441" s="15">
        <v>46016</v>
      </c>
      <c r="C441" s="2" t="s">
        <v>722</v>
      </c>
      <c r="D441" s="3">
        <v>538.07</v>
      </c>
      <c r="E441" s="16" t="s">
        <v>2504</v>
      </c>
      <c r="F441" s="17" t="s">
        <v>2515</v>
      </c>
      <c r="G441" s="17" t="s">
        <v>2393</v>
      </c>
      <c r="H441" s="18">
        <v>538.07</v>
      </c>
      <c r="I441" s="18">
        <v>538.07</v>
      </c>
      <c r="J441" s="17" t="s">
        <v>2394</v>
      </c>
      <c r="K441" s="2" t="s">
        <v>2395</v>
      </c>
      <c r="L441" s="2"/>
      <c r="M441" s="2"/>
      <c r="N441" s="2"/>
      <c r="O441" s="2"/>
      <c r="P441" s="2"/>
      <c r="Q441" s="2"/>
      <c r="R441" s="2"/>
      <c r="S441" s="2"/>
      <c r="T441" s="2"/>
      <c r="U441" s="2"/>
      <c r="V441" s="2"/>
      <c r="W441" s="2"/>
      <c r="X441" s="2"/>
      <c r="Y441" s="2"/>
      <c r="Z441" s="2"/>
      <c r="AA441" s="2"/>
      <c r="AB441" s="2"/>
    </row>
    <row r="442" spans="1:28" customHeight="true">
      <c r="A442" s="2" t="s">
        <v>723</v>
      </c>
      <c r="B442" s="15">
        <v>46015</v>
      </c>
      <c r="C442" s="2" t="s">
        <v>724</v>
      </c>
      <c r="D442" s="3">
        <v>302.7</v>
      </c>
      <c r="E442" s="16" t="s">
        <v>2495</v>
      </c>
      <c r="F442" s="17" t="s">
        <v>2516</v>
      </c>
      <c r="G442" s="17" t="s">
        <v>2393</v>
      </c>
      <c r="H442" s="18">
        <v>302.7</v>
      </c>
      <c r="I442" s="18">
        <v>302.7</v>
      </c>
      <c r="J442" s="17" t="s">
        <v>2394</v>
      </c>
      <c r="K442" s="2" t="s">
        <v>2395</v>
      </c>
      <c r="L442" s="2"/>
      <c r="M442" s="2"/>
      <c r="N442" s="2"/>
      <c r="O442" s="2"/>
      <c r="P442" s="2"/>
      <c r="Q442" s="2"/>
      <c r="R442" s="2"/>
      <c r="S442" s="2"/>
      <c r="T442" s="2"/>
      <c r="U442" s="2"/>
      <c r="V442" s="2"/>
      <c r="W442" s="2"/>
      <c r="X442" s="2"/>
      <c r="Y442" s="2"/>
      <c r="Z442" s="2"/>
      <c r="AA442" s="2"/>
      <c r="AB442" s="2"/>
    </row>
    <row r="443" spans="1:28" customHeight="true">
      <c r="A443" s="2"/>
      <c r="B443" s="15">
        <v>46015</v>
      </c>
      <c r="C443" s="2" t="s">
        <v>97</v>
      </c>
      <c r="D443" s="3">
        <v>100</v>
      </c>
      <c r="E443" s="16" t="str">
        <f>IFERROR(__xludf.DUMMYFUNCTION("IFERROR(
  TEXTJOIN(CHAR(10),TRUE,FILTER('SUMMARY DATA'!E:E,'SUMMARY DATA'!$A:$A=$A443,'SUMMARY DATA'!$C:$C=$B443,'SUMMARY DATA'!$B:$B=""RWS"")),
  IF(
    OR(
      ISNUMBER(SEARCH(""CDM CASH DEPOSIT"",$C443)),
      ISNUMBER(SEARCH(""CASH DEPOSIT"",$C44"&amp;"3)),
      COUNTIFS('SUMMARY DATA'!$D:$D,$C443,'SUMMARY DATA'!$B:$B,""RWS"")&lt;&gt;1
    ),
    """",
    IFERROR(TEXTJOIN(CHAR(10),TRUE,FILTER('SUMMARY DATA'!E:E,'SUMMARY DATA'!$D:$D=$C443,'SUMMARY DATA'!$B:$B=""RWS"")),"""")
  )
)"),"")</f>
      </c>
      <c r="F443" s="17" t="str">
        <f>IFERROR(__xludf.DUMMYFUNCTION("IFERROR(
  TEXTJOIN(CHAR(10),TRUE,FILTER('SUMMARY DATA'!F:F,'SUMMARY DATA'!$A:$A=$A443,'SUMMARY DATA'!$C:$C=$B443,'SUMMARY DATA'!$B:$B=""RWS"")),
  IF(
    OR(
      ISNUMBER(SEARCH(""CDM CASH DEPOSIT"",$C443)),
      ISNUMBER(SEARCH(""CASH DEPOSIT"",$C44"&amp;"3)),
      COUNTIFS('SUMMARY DATA'!$D:$D,$C443,'SUMMARY DATA'!$B:$B,""RWS"")&lt;&gt;1
    ),
    """",
    IFERROR(TEXTJOIN(CHAR(10),TRUE,FILTER('SUMMARY DATA'!F:F,'SUMMARY DATA'!$D:$D=$C443,'SUMMARY DATA'!$B:$B=""RWS"")),"""")
  )
)"),"")</f>
      </c>
      <c r="G443" s="17" t="str">
        <f>IFERROR(__xludf.DUMMYFUNCTION("IFERROR(
  TEXTJOIN(CHAR(10),TRUE,FILTER('SUMMARY DATA'!G:G,'SUMMARY DATA'!$A:$A=$A443,'SUMMARY DATA'!$C:$C=$B443,'SUMMARY DATA'!$B:$B=""RWS"")),
  IF(
    OR(
      ISNUMBER(SEARCH(""CDM CASH DEPOSIT"",$C443)),
      ISNUMBER(SEARCH(""CASH DEPOSIT"",$C44"&amp;"3)),
      COUNTIFS('SUMMARY DATA'!$D:$D,$C443,'SUMMARY DATA'!$B:$B,""RWS"")&lt;&gt;1
    ),
    """",
    IFERROR(TEXTJOIN(CHAR(10),TRUE,FILTER('SUMMARY DATA'!G:G,'SUMMARY DATA'!$D:$D=$C443,'SUMMARY DATA'!$B:$B=""RWS"")),"""")
  )
)"),"")</f>
      </c>
      <c r="H443" s="18" t="str">
        <f>IFERROR(__xludf.DUMMYFUNCTION("IFERROR(
  TEXTJOIN(CHAR(10),TRUE,FILTER('SUMMARY DATA'!H:H,'SUMMARY DATA'!$A:$A=$A443,'SUMMARY DATA'!$C:$C=$B443,'SUMMARY DATA'!$B:$B=""RWS"",'SUMMARY DATA'!$H:$H=$D443)),
  IF(
    OR(
      ISNUMBER(SEARCH(""CDM CASH DEPOSIT"",$C443)),
      ISNUMBER(S"&amp;"EARCH(""CASH DEPOSIT"",$C443))
    ),
    """",
    IFERROR(TEXTJOIN(CHAR(10),TRUE,FILTER('SUMMARY DATA'!H:H,'SUMMARY DATA'!$D:$D=$C443,'SUMMARY DATA'!$B:$B=""RWS"",'SUMMARY DATA'!$H:$H=$D443)),"""")
  )
)"),"")</f>
      </c>
      <c r="I443" s="18" t="str">
        <f>IFERROR(__xludf.DUMMYFUNCTION("IF(H443="""","""",
SUM(ARRAYFORMULA(VALUE(SPLIT(H443,CHAR(10)))))
)"),"")</f>
      </c>
      <c r="J443" s="17" t="str">
        <f>IFERROR(__xludf.DUMMYFUNCTION("IFERROR(
  TEXTJOIN(CHAR(10),TRUE,FILTER('SUMMARY DATA'!I:I,'SUMMARY DATA'!$A:$A=$A443,'SUMMARY DATA'!$C:$C=$B443,'SUMMARY DATA'!$B:$B=""RWS"")),
  IF(
    OR(
      ISNUMBER(SEARCH(""CDM CASH DEPOSIT"",$C443)),
      ISNUMBER(SEARCH(""CASH DEPOSIT"",$C44"&amp;"3)),
      COUNTIFS('SUMMARY DATA'!$D:$D,$C443,'SUMMARY DATA'!$B:$B,""RWS"")&lt;&gt;1
    ),
    """",
    IFERROR(TEXTJOIN(CHAR(10),TRUE,FILTER('SUMMARY DATA'!I:I,'SUMMARY DATA'!$D:$D=$C443,'SUMMARY DATA'!$B:$B=""RWS"")),"""")
  )
)"),"")</f>
      </c>
      <c r="K443" s="2"/>
      <c r="L443" s="2"/>
      <c r="M443" s="2"/>
      <c r="N443" s="2"/>
      <c r="O443" s="2"/>
      <c r="P443" s="2"/>
      <c r="Q443" s="2"/>
      <c r="R443" s="2"/>
      <c r="S443" s="2"/>
      <c r="T443" s="2"/>
      <c r="U443" s="2"/>
      <c r="V443" s="2"/>
      <c r="W443" s="2"/>
      <c r="X443" s="2"/>
      <c r="Y443" s="2"/>
      <c r="Z443" s="2"/>
      <c r="AA443" s="2"/>
      <c r="AB443" s="2"/>
    </row>
    <row r="444" spans="1:28" customHeight="true">
      <c r="A444" s="2" t="s">
        <v>725</v>
      </c>
      <c r="B444" s="15">
        <v>46014</v>
      </c>
      <c r="C444" s="2" t="s">
        <v>726</v>
      </c>
      <c r="D444" s="3">
        <v>25</v>
      </c>
      <c r="E444" s="16" t="str">
        <f>IFERROR(__xludf.DUMMYFUNCTION("IFERROR(
  TEXTJOIN(CHAR(10),TRUE,FILTER('SUMMARY DATA'!E:E,'SUMMARY DATA'!$A:$A=$A444,'SUMMARY DATA'!$C:$C=$B444,'SUMMARY DATA'!$B:$B=""RWS"")),
  IF(
    OR(
      ISNUMBER(SEARCH(""CDM CASH DEPOSIT"",$C444)),
      ISNUMBER(SEARCH(""CASH DEPOSIT"",$C44"&amp;"4)),
      COUNTIFS('SUMMARY DATA'!$D:$D,$C444,'SUMMARY DATA'!$B:$B,""RWS"")&lt;&gt;1
    ),
    """",
    IFERROR(TEXTJOIN(CHAR(10),TRUE,FILTER('SUMMARY DATA'!E:E,'SUMMARY DATA'!$D:$D=$C444,'SUMMARY DATA'!$B:$B=""RWS"")),"""")
  )
)"),"")</f>
      </c>
      <c r="F444" s="17" t="str">
        <f>IFERROR(__xludf.DUMMYFUNCTION("IFERROR(
  TEXTJOIN(CHAR(10),TRUE,FILTER('SUMMARY DATA'!F:F,'SUMMARY DATA'!$A:$A=$A444,'SUMMARY DATA'!$C:$C=$B444,'SUMMARY DATA'!$B:$B=""RWS"")),
  IF(
    OR(
      ISNUMBER(SEARCH(""CDM CASH DEPOSIT"",$C444)),
      ISNUMBER(SEARCH(""CASH DEPOSIT"",$C44"&amp;"4)),
      COUNTIFS('SUMMARY DATA'!$D:$D,$C444,'SUMMARY DATA'!$B:$B,""RWS"")&lt;&gt;1
    ),
    """",
    IFERROR(TEXTJOIN(CHAR(10),TRUE,FILTER('SUMMARY DATA'!F:F,'SUMMARY DATA'!$D:$D=$C444,'SUMMARY DATA'!$B:$B=""RWS"")),"""")
  )
)"),"")</f>
      </c>
      <c r="G444" s="17" t="str">
        <f>IFERROR(__xludf.DUMMYFUNCTION("IFERROR(
  TEXTJOIN(CHAR(10),TRUE,FILTER('SUMMARY DATA'!G:G,'SUMMARY DATA'!$A:$A=$A444,'SUMMARY DATA'!$C:$C=$B444,'SUMMARY DATA'!$B:$B=""RWS"")),
  IF(
    OR(
      ISNUMBER(SEARCH(""CDM CASH DEPOSIT"",$C444)),
      ISNUMBER(SEARCH(""CASH DEPOSIT"",$C44"&amp;"4)),
      COUNTIFS('SUMMARY DATA'!$D:$D,$C444,'SUMMARY DATA'!$B:$B,""RWS"")&lt;&gt;1
    ),
    """",
    IFERROR(TEXTJOIN(CHAR(10),TRUE,FILTER('SUMMARY DATA'!G:G,'SUMMARY DATA'!$D:$D=$C444,'SUMMARY DATA'!$B:$B=""RWS"")),"""")
  )
)"),"")</f>
      </c>
      <c r="H444" s="18" t="str">
        <f>IFERROR(__xludf.DUMMYFUNCTION("IFERROR(
  TEXTJOIN(CHAR(10),TRUE,FILTER('SUMMARY DATA'!H:H,'SUMMARY DATA'!$A:$A=$A444,'SUMMARY DATA'!$C:$C=$B444,'SUMMARY DATA'!$B:$B=""RWS"",'SUMMARY DATA'!$H:$H=$D444)),
  IF(
    OR(
      ISNUMBER(SEARCH(""CDM CASH DEPOSIT"",$C444)),
      ISNUMBER(S"&amp;"EARCH(""CASH DEPOSIT"",$C444))
    ),
    """",
    IFERROR(TEXTJOIN(CHAR(10),TRUE,FILTER('SUMMARY DATA'!H:H,'SUMMARY DATA'!$D:$D=$C444,'SUMMARY DATA'!$B:$B=""RWS"",'SUMMARY DATA'!$H:$H=$D444)),"""")
  )
)"),"")</f>
      </c>
      <c r="I444" s="18" t="str">
        <f>IFERROR(__xludf.DUMMYFUNCTION("IF(H444="""","""",
SUM(ARRAYFORMULA(VALUE(SPLIT(H444,CHAR(10)))))
)"),"")</f>
      </c>
      <c r="J444" s="17" t="str">
        <f>IFERROR(__xludf.DUMMYFUNCTION("IFERROR(
  TEXTJOIN(CHAR(10),TRUE,FILTER('SUMMARY DATA'!I:I,'SUMMARY DATA'!$A:$A=$A444,'SUMMARY DATA'!$C:$C=$B444,'SUMMARY DATA'!$B:$B=""RWS"")),
  IF(
    OR(
      ISNUMBER(SEARCH(""CDM CASH DEPOSIT"",$C444)),
      ISNUMBER(SEARCH(""CASH DEPOSIT"",$C44"&amp;"4)),
      COUNTIFS('SUMMARY DATA'!$D:$D,$C444,'SUMMARY DATA'!$B:$B,""RWS"")&lt;&gt;1
    ),
    """",
    IFERROR(TEXTJOIN(CHAR(10),TRUE,FILTER('SUMMARY DATA'!I:I,'SUMMARY DATA'!$D:$D=$C444,'SUMMARY DATA'!$B:$B=""RWS"")),"""")
  )
)"),"")</f>
      </c>
      <c r="K444" s="2"/>
      <c r="L444" s="2"/>
      <c r="M444" s="2"/>
      <c r="N444" s="2"/>
      <c r="O444" s="2"/>
      <c r="P444" s="2"/>
      <c r="Q444" s="2"/>
      <c r="R444" s="2"/>
      <c r="S444" s="2"/>
      <c r="T444" s="2"/>
      <c r="U444" s="2"/>
      <c r="V444" s="2"/>
      <c r="W444" s="2"/>
      <c r="X444" s="2"/>
      <c r="Y444" s="2"/>
      <c r="Z444" s="2"/>
      <c r="AA444" s="2"/>
      <c r="AB444" s="2"/>
    </row>
    <row r="445" spans="1:28" customHeight="true">
      <c r="A445" s="2" t="s">
        <v>727</v>
      </c>
      <c r="B445" s="15">
        <v>46014</v>
      </c>
      <c r="C445" s="2" t="s">
        <v>728</v>
      </c>
      <c r="D445" s="3">
        <v>263.26</v>
      </c>
      <c r="E445" s="16" t="s">
        <v>2457</v>
      </c>
      <c r="F445" s="17" t="s">
        <v>2517</v>
      </c>
      <c r="G445" s="17" t="s">
        <v>2393</v>
      </c>
      <c r="H445" s="18">
        <v>263.26</v>
      </c>
      <c r="I445" s="18">
        <v>263.26</v>
      </c>
      <c r="J445" s="17" t="s">
        <v>2394</v>
      </c>
      <c r="K445" s="2" t="s">
        <v>2395</v>
      </c>
      <c r="L445" s="2"/>
      <c r="M445" s="2"/>
      <c r="N445" s="2"/>
      <c r="O445" s="2"/>
      <c r="P445" s="2"/>
      <c r="Q445" s="2"/>
      <c r="R445" s="2"/>
      <c r="S445" s="2"/>
      <c r="T445" s="2"/>
      <c r="U445" s="2"/>
      <c r="V445" s="2"/>
      <c r="W445" s="2"/>
      <c r="X445" s="2"/>
      <c r="Y445" s="2"/>
      <c r="Z445" s="2"/>
      <c r="AA445" s="2"/>
      <c r="AB445" s="2"/>
    </row>
    <row r="446" spans="1:28" customHeight="true">
      <c r="A446" s="2" t="s">
        <v>689</v>
      </c>
      <c r="B446" s="15">
        <v>46014</v>
      </c>
      <c r="C446" s="2" t="s">
        <v>729</v>
      </c>
      <c r="D446" s="3">
        <v>100</v>
      </c>
      <c r="E446" s="16" t="s">
        <v>2504</v>
      </c>
      <c r="F446" s="17" t="s">
        <v>2518</v>
      </c>
      <c r="G446" s="17" t="s">
        <v>2393</v>
      </c>
      <c r="H446" s="18">
        <v>100</v>
      </c>
      <c r="I446" s="18">
        <v>100</v>
      </c>
      <c r="J446" s="17" t="s">
        <v>2394</v>
      </c>
      <c r="K446" s="2" t="s">
        <v>2395</v>
      </c>
      <c r="L446" s="2"/>
      <c r="M446" s="2"/>
      <c r="N446" s="2"/>
      <c r="O446" s="2"/>
      <c r="P446" s="2"/>
      <c r="Q446" s="2"/>
      <c r="R446" s="2"/>
      <c r="S446" s="2"/>
      <c r="T446" s="2"/>
      <c r="U446" s="2"/>
      <c r="V446" s="2"/>
      <c r="W446" s="2"/>
      <c r="X446" s="2"/>
      <c r="Y446" s="2"/>
      <c r="Z446" s="2"/>
      <c r="AA446" s="2"/>
      <c r="AB446" s="2"/>
    </row>
    <row r="447" spans="1:28" customHeight="true">
      <c r="A447" s="2" t="s">
        <v>730</v>
      </c>
      <c r="B447" s="15">
        <v>46013</v>
      </c>
      <c r="C447" s="2" t="s">
        <v>731</v>
      </c>
      <c r="D447" s="3">
        <v>46.88</v>
      </c>
      <c r="E447" s="16" t="s">
        <v>2500</v>
      </c>
      <c r="F447" s="17" t="s">
        <v>2519</v>
      </c>
      <c r="G447" s="17" t="s">
        <v>2393</v>
      </c>
      <c r="H447" s="18">
        <v>46.88</v>
      </c>
      <c r="I447" s="18">
        <v>46.88</v>
      </c>
      <c r="J447" s="17" t="s">
        <v>2394</v>
      </c>
      <c r="K447" s="2" t="s">
        <v>2395</v>
      </c>
      <c r="L447" s="2"/>
      <c r="M447" s="2"/>
      <c r="N447" s="2"/>
      <c r="O447" s="2"/>
      <c r="P447" s="2"/>
      <c r="Q447" s="2"/>
      <c r="R447" s="2"/>
      <c r="S447" s="2"/>
      <c r="T447" s="2"/>
      <c r="U447" s="2"/>
      <c r="V447" s="2"/>
      <c r="W447" s="2"/>
      <c r="X447" s="2"/>
      <c r="Y447" s="2"/>
      <c r="Z447" s="2"/>
      <c r="AA447" s="2"/>
      <c r="AB447" s="2"/>
    </row>
    <row r="448" spans="1:28" customHeight="true">
      <c r="A448" s="2"/>
      <c r="B448" s="15">
        <v>46013</v>
      </c>
      <c r="C448" s="2" t="s">
        <v>48</v>
      </c>
      <c r="D448" s="3">
        <v>2000</v>
      </c>
      <c r="E448" s="16" t="str">
        <f>IFERROR(__xludf.DUMMYFUNCTION("IFERROR(
  TEXTJOIN(CHAR(10),TRUE,FILTER('SUMMARY DATA'!E:E,'SUMMARY DATA'!$A:$A=$A448,'SUMMARY DATA'!$C:$C=$B448,'SUMMARY DATA'!$B:$B=""RWS"")),
  IF(
    OR(
      ISNUMBER(SEARCH(""CDM CASH DEPOSIT"",$C448)),
      ISNUMBER(SEARCH(""CASH DEPOSIT"",$C44"&amp;"8)),
      COUNTIFS('SUMMARY DATA'!$D:$D,$C448,'SUMMARY DATA'!$B:$B,""RWS"")&lt;&gt;1
    ),
    """",
    IFERROR(TEXTJOIN(CHAR(10),TRUE,FILTER('SUMMARY DATA'!E:E,'SUMMARY DATA'!$D:$D=$C448,'SUMMARY DATA'!$B:$B=""RWS"")),"""")
  )
)"),"")</f>
      </c>
      <c r="F448" s="17" t="str">
        <f>IFERROR(__xludf.DUMMYFUNCTION("IFERROR(
  TEXTJOIN(CHAR(10),TRUE,FILTER('SUMMARY DATA'!F:F,'SUMMARY DATA'!$A:$A=$A448,'SUMMARY DATA'!$C:$C=$B448,'SUMMARY DATA'!$B:$B=""RWS"")),
  IF(
    OR(
      ISNUMBER(SEARCH(""CDM CASH DEPOSIT"",$C448)),
      ISNUMBER(SEARCH(""CASH DEPOSIT"",$C44"&amp;"8)),
      COUNTIFS('SUMMARY DATA'!$D:$D,$C448,'SUMMARY DATA'!$B:$B,""RWS"")&lt;&gt;1
    ),
    """",
    IFERROR(TEXTJOIN(CHAR(10),TRUE,FILTER('SUMMARY DATA'!F:F,'SUMMARY DATA'!$D:$D=$C448,'SUMMARY DATA'!$B:$B=""RWS"")),"""")
  )
)"),"")</f>
      </c>
      <c r="G448" s="17" t="str">
        <f>IFERROR(__xludf.DUMMYFUNCTION("IFERROR(
  TEXTJOIN(CHAR(10),TRUE,FILTER('SUMMARY DATA'!G:G,'SUMMARY DATA'!$A:$A=$A448,'SUMMARY DATA'!$C:$C=$B448,'SUMMARY DATA'!$B:$B=""RWS"")),
  IF(
    OR(
      ISNUMBER(SEARCH(""CDM CASH DEPOSIT"",$C448)),
      ISNUMBER(SEARCH(""CASH DEPOSIT"",$C44"&amp;"8)),
      COUNTIFS('SUMMARY DATA'!$D:$D,$C448,'SUMMARY DATA'!$B:$B,""RWS"")&lt;&gt;1
    ),
    """",
    IFERROR(TEXTJOIN(CHAR(10),TRUE,FILTER('SUMMARY DATA'!G:G,'SUMMARY DATA'!$D:$D=$C448,'SUMMARY DATA'!$B:$B=""RWS"")),"""")
  )
)"),"")</f>
      </c>
      <c r="H448" s="18" t="str">
        <f>IFERROR(__xludf.DUMMYFUNCTION("IFERROR(
  TEXTJOIN(CHAR(10),TRUE,FILTER('SUMMARY DATA'!H:H,'SUMMARY DATA'!$A:$A=$A448,'SUMMARY DATA'!$C:$C=$B448,'SUMMARY DATA'!$B:$B=""RWS"",'SUMMARY DATA'!$H:$H=$D448)),
  IF(
    OR(
      ISNUMBER(SEARCH(""CDM CASH DEPOSIT"",$C448)),
      ISNUMBER(S"&amp;"EARCH(""CASH DEPOSIT"",$C448))
    ),
    """",
    IFERROR(TEXTJOIN(CHAR(10),TRUE,FILTER('SUMMARY DATA'!H:H,'SUMMARY DATA'!$D:$D=$C448,'SUMMARY DATA'!$B:$B=""RWS"",'SUMMARY DATA'!$H:$H=$D448)),"""")
  )
)"),"")</f>
      </c>
      <c r="I448" s="18" t="str">
        <f>IFERROR(__xludf.DUMMYFUNCTION("IF(H448="""","""",
SUM(ARRAYFORMULA(VALUE(SPLIT(H448,CHAR(10)))))
)"),"")</f>
      </c>
      <c r="J448" s="17" t="str">
        <f>IFERROR(__xludf.DUMMYFUNCTION("IFERROR(
  TEXTJOIN(CHAR(10),TRUE,FILTER('SUMMARY DATA'!I:I,'SUMMARY DATA'!$A:$A=$A448,'SUMMARY DATA'!$C:$C=$B448,'SUMMARY DATA'!$B:$B=""RWS"")),
  IF(
    OR(
      ISNUMBER(SEARCH(""CDM CASH DEPOSIT"",$C448)),
      ISNUMBER(SEARCH(""CASH DEPOSIT"",$C44"&amp;"8)),
      COUNTIFS('SUMMARY DATA'!$D:$D,$C448,'SUMMARY DATA'!$B:$B,""RWS"")&lt;&gt;1
    ),
    """",
    IFERROR(TEXTJOIN(CHAR(10),TRUE,FILTER('SUMMARY DATA'!I:I,'SUMMARY DATA'!$D:$D=$C448,'SUMMARY DATA'!$B:$B=""RWS"")),"""")
  )
)"),"")</f>
      </c>
      <c r="K448" s="2"/>
      <c r="L448" s="2"/>
      <c r="M448" s="2"/>
      <c r="N448" s="2"/>
      <c r="O448" s="2"/>
      <c r="P448" s="2"/>
      <c r="Q448" s="2"/>
      <c r="R448" s="2"/>
      <c r="S448" s="2"/>
      <c r="T448" s="2"/>
      <c r="U448" s="2"/>
      <c r="V448" s="2"/>
      <c r="W448" s="2"/>
      <c r="X448" s="2"/>
      <c r="Y448" s="2"/>
      <c r="Z448" s="2"/>
      <c r="AA448" s="2"/>
      <c r="AB448" s="2"/>
    </row>
    <row r="449" spans="1:28" customHeight="true">
      <c r="A449" s="2" t="s">
        <v>732</v>
      </c>
      <c r="B449" s="15">
        <v>46013</v>
      </c>
      <c r="C449" s="2" t="s">
        <v>733</v>
      </c>
      <c r="D449" s="3">
        <v>58</v>
      </c>
      <c r="E449" s="16" t="s">
        <v>2495</v>
      </c>
      <c r="F449" s="17" t="s">
        <v>2520</v>
      </c>
      <c r="G449" s="17" t="s">
        <v>2393</v>
      </c>
      <c r="H449" s="18">
        <v>58</v>
      </c>
      <c r="I449" s="18">
        <v>58</v>
      </c>
      <c r="J449" s="17" t="s">
        <v>2394</v>
      </c>
      <c r="K449" s="2" t="s">
        <v>2395</v>
      </c>
      <c r="L449" s="2"/>
      <c r="M449" s="2"/>
      <c r="N449" s="2"/>
      <c r="O449" s="2"/>
      <c r="P449" s="2"/>
      <c r="Q449" s="2"/>
      <c r="R449" s="2"/>
      <c r="S449" s="2"/>
      <c r="T449" s="2"/>
      <c r="U449" s="2"/>
      <c r="V449" s="2"/>
      <c r="W449" s="2"/>
      <c r="X449" s="2"/>
      <c r="Y449" s="2"/>
      <c r="Z449" s="2"/>
      <c r="AA449" s="2"/>
      <c r="AB449" s="2"/>
    </row>
    <row r="450" spans="1:28" customHeight="true">
      <c r="A450" s="2" t="s">
        <v>734</v>
      </c>
      <c r="B450" s="15">
        <v>46013</v>
      </c>
      <c r="C450" s="2" t="s">
        <v>735</v>
      </c>
      <c r="D450" s="3">
        <v>26.88</v>
      </c>
      <c r="E450" s="16" t="str">
        <f>IFERROR(__xludf.DUMMYFUNCTION("IFERROR(
  TEXTJOIN(CHAR(10),TRUE,FILTER('SUMMARY DATA'!E:E,'SUMMARY DATA'!$A:$A=$A450,'SUMMARY DATA'!$C:$C=$B450,'SUMMARY DATA'!$B:$B=""RWS"")),
  IF(
    OR(
      ISNUMBER(SEARCH(""CDM CASH DEPOSIT"",$C450)),
      ISNUMBER(SEARCH(""CASH DEPOSIT"",$C45"&amp;"0)),
      COUNTIFS('SUMMARY DATA'!$D:$D,$C450,'SUMMARY DATA'!$B:$B,""RWS"")&lt;&gt;1
    ),
    """",
    IFERROR(TEXTJOIN(CHAR(10),TRUE,FILTER('SUMMARY DATA'!E:E,'SUMMARY DATA'!$D:$D=$C450,'SUMMARY DATA'!$B:$B=""RWS"")),"""")
  )
)"),"")</f>
      </c>
      <c r="F450" s="17" t="str">
        <f>IFERROR(__xludf.DUMMYFUNCTION("IFERROR(
  TEXTJOIN(CHAR(10),TRUE,FILTER('SUMMARY DATA'!F:F,'SUMMARY DATA'!$A:$A=$A450,'SUMMARY DATA'!$C:$C=$B450,'SUMMARY DATA'!$B:$B=""RWS"")),
  IF(
    OR(
      ISNUMBER(SEARCH(""CDM CASH DEPOSIT"",$C450)),
      ISNUMBER(SEARCH(""CASH DEPOSIT"",$C45"&amp;"0)),
      COUNTIFS('SUMMARY DATA'!$D:$D,$C450,'SUMMARY DATA'!$B:$B,""RWS"")&lt;&gt;1
    ),
    """",
    IFERROR(TEXTJOIN(CHAR(10),TRUE,FILTER('SUMMARY DATA'!F:F,'SUMMARY DATA'!$D:$D=$C450,'SUMMARY DATA'!$B:$B=""RWS"")),"""")
  )
)"),"")</f>
      </c>
      <c r="G450" s="17" t="str">
        <f>IFERROR(__xludf.DUMMYFUNCTION("IFERROR(
  TEXTJOIN(CHAR(10),TRUE,FILTER('SUMMARY DATA'!G:G,'SUMMARY DATA'!$A:$A=$A450,'SUMMARY DATA'!$C:$C=$B450,'SUMMARY DATA'!$B:$B=""RWS"")),
  IF(
    OR(
      ISNUMBER(SEARCH(""CDM CASH DEPOSIT"",$C450)),
      ISNUMBER(SEARCH(""CASH DEPOSIT"",$C45"&amp;"0)),
      COUNTIFS('SUMMARY DATA'!$D:$D,$C450,'SUMMARY DATA'!$B:$B,""RWS"")&lt;&gt;1
    ),
    """",
    IFERROR(TEXTJOIN(CHAR(10),TRUE,FILTER('SUMMARY DATA'!G:G,'SUMMARY DATA'!$D:$D=$C450,'SUMMARY DATA'!$B:$B=""RWS"")),"""")
  )
)"),"")</f>
      </c>
      <c r="H450" s="18" t="str">
        <f>IFERROR(__xludf.DUMMYFUNCTION("IFERROR(
  TEXTJOIN(CHAR(10),TRUE,FILTER('SUMMARY DATA'!H:H,'SUMMARY DATA'!$A:$A=$A450,'SUMMARY DATA'!$C:$C=$B450,'SUMMARY DATA'!$B:$B=""RWS"",'SUMMARY DATA'!$H:$H=$D450)),
  IF(
    OR(
      ISNUMBER(SEARCH(""CDM CASH DEPOSIT"",$C450)),
      ISNUMBER(S"&amp;"EARCH(""CASH DEPOSIT"",$C450))
    ),
    """",
    IFERROR(TEXTJOIN(CHAR(10),TRUE,FILTER('SUMMARY DATA'!H:H,'SUMMARY DATA'!$D:$D=$C450,'SUMMARY DATA'!$B:$B=""RWS"",'SUMMARY DATA'!$H:$H=$D450)),"""")
  )
)"),"")</f>
      </c>
      <c r="I450" s="18" t="str">
        <f>IFERROR(__xludf.DUMMYFUNCTION("IF(H450="""","""",
SUM(ARRAYFORMULA(VALUE(SPLIT(H450,CHAR(10)))))
)"),"")</f>
      </c>
      <c r="J450" s="17" t="str">
        <f>IFERROR(__xludf.DUMMYFUNCTION("IFERROR(
  TEXTJOIN(CHAR(10),TRUE,FILTER('SUMMARY DATA'!I:I,'SUMMARY DATA'!$A:$A=$A450,'SUMMARY DATA'!$C:$C=$B450,'SUMMARY DATA'!$B:$B=""RWS"")),
  IF(
    OR(
      ISNUMBER(SEARCH(""CDM CASH DEPOSIT"",$C450)),
      ISNUMBER(SEARCH(""CASH DEPOSIT"",$C45"&amp;"0)),
      COUNTIFS('SUMMARY DATA'!$D:$D,$C450,'SUMMARY DATA'!$B:$B,""RWS"")&lt;&gt;1
    ),
    """",
    IFERROR(TEXTJOIN(CHAR(10),TRUE,FILTER('SUMMARY DATA'!I:I,'SUMMARY DATA'!$D:$D=$C450,'SUMMARY DATA'!$B:$B=""RWS"")),"""")
  )
)"),"")</f>
      </c>
      <c r="K450" s="2"/>
      <c r="L450" s="2"/>
      <c r="M450" s="2"/>
      <c r="N450" s="2"/>
      <c r="O450" s="2"/>
      <c r="P450" s="2"/>
      <c r="Q450" s="2"/>
      <c r="R450" s="2"/>
      <c r="S450" s="2"/>
      <c r="T450" s="2"/>
      <c r="U450" s="2"/>
      <c r="V450" s="2"/>
      <c r="W450" s="2"/>
      <c r="X450" s="2"/>
      <c r="Y450" s="2"/>
      <c r="Z450" s="2"/>
      <c r="AA450" s="2"/>
      <c r="AB450" s="2"/>
    </row>
    <row r="451" spans="1:28" customHeight="true">
      <c r="A451" s="2" t="s">
        <v>736</v>
      </c>
      <c r="B451" s="15">
        <v>46013</v>
      </c>
      <c r="C451" s="2" t="s">
        <v>737</v>
      </c>
      <c r="D451" s="3">
        <v>148.76</v>
      </c>
      <c r="E451" s="16" t="s">
        <v>2495</v>
      </c>
      <c r="F451" s="17" t="s">
        <v>2521</v>
      </c>
      <c r="G451" s="17" t="s">
        <v>2393</v>
      </c>
      <c r="H451" s="18">
        <v>148.76</v>
      </c>
      <c r="I451" s="18">
        <v>148.76</v>
      </c>
      <c r="J451" s="17" t="s">
        <v>2394</v>
      </c>
      <c r="K451" s="2" t="s">
        <v>2395</v>
      </c>
      <c r="L451" s="2"/>
      <c r="M451" s="2"/>
      <c r="N451" s="2"/>
      <c r="O451" s="2"/>
      <c r="P451" s="2"/>
      <c r="Q451" s="2"/>
      <c r="R451" s="2"/>
      <c r="S451" s="2"/>
      <c r="T451" s="2"/>
      <c r="U451" s="2"/>
      <c r="V451" s="2"/>
      <c r="W451" s="2"/>
      <c r="X451" s="2"/>
      <c r="Y451" s="2"/>
      <c r="Z451" s="2"/>
      <c r="AA451" s="2"/>
      <c r="AB451" s="2"/>
    </row>
    <row r="452" spans="1:28" customHeight="true">
      <c r="A452" s="2" t="s">
        <v>593</v>
      </c>
      <c r="B452" s="15">
        <v>46013</v>
      </c>
      <c r="C452" s="2" t="s">
        <v>738</v>
      </c>
      <c r="D452" s="3">
        <v>210.88</v>
      </c>
      <c r="E452" s="16" t="s">
        <v>2448</v>
      </c>
      <c r="F452" s="17" t="s">
        <v>2522</v>
      </c>
      <c r="G452" s="17" t="s">
        <v>2393</v>
      </c>
      <c r="H452" s="18">
        <v>210.88</v>
      </c>
      <c r="I452" s="18">
        <v>210.88</v>
      </c>
      <c r="J452" s="17" t="s">
        <v>2394</v>
      </c>
      <c r="K452" s="2" t="s">
        <v>2395</v>
      </c>
      <c r="L452" s="2"/>
      <c r="M452" s="2"/>
      <c r="N452" s="2"/>
      <c r="O452" s="2"/>
      <c r="P452" s="2"/>
      <c r="Q452" s="2"/>
      <c r="R452" s="2"/>
      <c r="S452" s="2"/>
      <c r="T452" s="2"/>
      <c r="U452" s="2"/>
      <c r="V452" s="2"/>
      <c r="W452" s="2"/>
      <c r="X452" s="2"/>
      <c r="Y452" s="2"/>
      <c r="Z452" s="2"/>
      <c r="AA452" s="2"/>
      <c r="AB452" s="2"/>
    </row>
    <row r="453" spans="1:28" customHeight="true">
      <c r="A453" s="2" t="s">
        <v>739</v>
      </c>
      <c r="B453" s="15">
        <v>46012</v>
      </c>
      <c r="C453" s="2" t="s">
        <v>740</v>
      </c>
      <c r="D453" s="3">
        <v>184.71</v>
      </c>
      <c r="E453" s="16" t="s">
        <v>2495</v>
      </c>
      <c r="F453" s="17" t="s">
        <v>2523</v>
      </c>
      <c r="G453" s="17" t="s">
        <v>2393</v>
      </c>
      <c r="H453" s="18">
        <v>184.71</v>
      </c>
      <c r="I453" s="18">
        <v>184.71</v>
      </c>
      <c r="J453" s="17" t="s">
        <v>2394</v>
      </c>
      <c r="K453" s="2" t="s">
        <v>2395</v>
      </c>
      <c r="L453" s="2"/>
      <c r="M453" s="2"/>
      <c r="N453" s="2"/>
      <c r="O453" s="2"/>
      <c r="P453" s="2"/>
      <c r="Q453" s="2"/>
      <c r="R453" s="2"/>
      <c r="S453" s="2"/>
      <c r="T453" s="2"/>
      <c r="U453" s="2"/>
      <c r="V453" s="2"/>
      <c r="W453" s="2"/>
      <c r="X453" s="2"/>
      <c r="Y453" s="2"/>
      <c r="Z453" s="2"/>
      <c r="AA453" s="2"/>
      <c r="AB453" s="2"/>
    </row>
    <row r="454" spans="1:28" customHeight="true">
      <c r="A454" s="2" t="s">
        <v>741</v>
      </c>
      <c r="B454" s="15">
        <v>46012</v>
      </c>
      <c r="C454" s="2" t="s">
        <v>742</v>
      </c>
      <c r="D454" s="3">
        <v>76.66</v>
      </c>
      <c r="E454" s="16" t="str">
        <f>IFERROR(__xludf.DUMMYFUNCTION("IFERROR(
  TEXTJOIN(CHAR(10),TRUE,FILTER('SUMMARY DATA'!E:E,'SUMMARY DATA'!$A:$A=$A454,'SUMMARY DATA'!$C:$C=$B454,'SUMMARY DATA'!$B:$B=""RWS"")),
  IF(
    OR(
      ISNUMBER(SEARCH(""CDM CASH DEPOSIT"",$C454)),
      ISNUMBER(SEARCH(""CASH DEPOSIT"",$C45"&amp;"4)),
      COUNTIFS('SUMMARY DATA'!$D:$D,$C454,'SUMMARY DATA'!$B:$B,""RWS"")&lt;&gt;1
    ),
    """",
    IFERROR(TEXTJOIN(CHAR(10),TRUE,FILTER('SUMMARY DATA'!E:E,'SUMMARY DATA'!$D:$D=$C454,'SUMMARY DATA'!$B:$B=""RWS"")),"""")
  )
)"),"")</f>
      </c>
      <c r="F454" s="17" t="str">
        <f>IFERROR(__xludf.DUMMYFUNCTION("IFERROR(
  TEXTJOIN(CHAR(10),TRUE,FILTER('SUMMARY DATA'!F:F,'SUMMARY DATA'!$A:$A=$A454,'SUMMARY DATA'!$C:$C=$B454,'SUMMARY DATA'!$B:$B=""RWS"")),
  IF(
    OR(
      ISNUMBER(SEARCH(""CDM CASH DEPOSIT"",$C454)),
      ISNUMBER(SEARCH(""CASH DEPOSIT"",$C45"&amp;"4)),
      COUNTIFS('SUMMARY DATA'!$D:$D,$C454,'SUMMARY DATA'!$B:$B,""RWS"")&lt;&gt;1
    ),
    """",
    IFERROR(TEXTJOIN(CHAR(10),TRUE,FILTER('SUMMARY DATA'!F:F,'SUMMARY DATA'!$D:$D=$C454,'SUMMARY DATA'!$B:$B=""RWS"")),"""")
  )
)"),"")</f>
      </c>
      <c r="G454" s="17" t="str">
        <f>IFERROR(__xludf.DUMMYFUNCTION("IFERROR(
  TEXTJOIN(CHAR(10),TRUE,FILTER('SUMMARY DATA'!G:G,'SUMMARY DATA'!$A:$A=$A454,'SUMMARY DATA'!$C:$C=$B454,'SUMMARY DATA'!$B:$B=""RWS"")),
  IF(
    OR(
      ISNUMBER(SEARCH(""CDM CASH DEPOSIT"",$C454)),
      ISNUMBER(SEARCH(""CASH DEPOSIT"",$C45"&amp;"4)),
      COUNTIFS('SUMMARY DATA'!$D:$D,$C454,'SUMMARY DATA'!$B:$B,""RWS"")&lt;&gt;1
    ),
    """",
    IFERROR(TEXTJOIN(CHAR(10),TRUE,FILTER('SUMMARY DATA'!G:G,'SUMMARY DATA'!$D:$D=$C454,'SUMMARY DATA'!$B:$B=""RWS"")),"""")
  )
)"),"")</f>
      </c>
      <c r="H454" s="18" t="str">
        <f>IFERROR(__xludf.DUMMYFUNCTION("IFERROR(
  TEXTJOIN(CHAR(10),TRUE,FILTER('SUMMARY DATA'!H:H,'SUMMARY DATA'!$A:$A=$A454,'SUMMARY DATA'!$C:$C=$B454,'SUMMARY DATA'!$B:$B=""RWS"",'SUMMARY DATA'!$H:$H=$D454)),
  IF(
    OR(
      ISNUMBER(SEARCH(""CDM CASH DEPOSIT"",$C454)),
      ISNUMBER(S"&amp;"EARCH(""CASH DEPOSIT"",$C454))
    ),
    """",
    IFERROR(TEXTJOIN(CHAR(10),TRUE,FILTER('SUMMARY DATA'!H:H,'SUMMARY DATA'!$D:$D=$C454,'SUMMARY DATA'!$B:$B=""RWS"",'SUMMARY DATA'!$H:$H=$D454)),"""")
  )
)"),"")</f>
      </c>
      <c r="I454" s="18" t="str">
        <f>IFERROR(__xludf.DUMMYFUNCTION("IF(H454="""","""",
SUM(ARRAYFORMULA(VALUE(SPLIT(H454,CHAR(10)))))
)"),"")</f>
      </c>
      <c r="J454" s="17" t="str">
        <f>IFERROR(__xludf.DUMMYFUNCTION("IFERROR(
  TEXTJOIN(CHAR(10),TRUE,FILTER('SUMMARY DATA'!I:I,'SUMMARY DATA'!$A:$A=$A454,'SUMMARY DATA'!$C:$C=$B454,'SUMMARY DATA'!$B:$B=""RWS"")),
  IF(
    OR(
      ISNUMBER(SEARCH(""CDM CASH DEPOSIT"",$C454)),
      ISNUMBER(SEARCH(""CASH DEPOSIT"",$C45"&amp;"4)),
      COUNTIFS('SUMMARY DATA'!$D:$D,$C454,'SUMMARY DATA'!$B:$B,""RWS"")&lt;&gt;1
    ),
    """",
    IFERROR(TEXTJOIN(CHAR(10),TRUE,FILTER('SUMMARY DATA'!I:I,'SUMMARY DATA'!$D:$D=$C454,'SUMMARY DATA'!$B:$B=""RWS"")),"""")
  )
)"),"")</f>
      </c>
      <c r="K454" s="2"/>
      <c r="L454" s="2"/>
      <c r="M454" s="2"/>
      <c r="N454" s="2"/>
      <c r="O454" s="2"/>
      <c r="P454" s="2"/>
      <c r="Q454" s="2"/>
      <c r="R454" s="2"/>
      <c r="S454" s="2"/>
      <c r="T454" s="2"/>
      <c r="U454" s="2"/>
      <c r="V454" s="2"/>
      <c r="W454" s="2"/>
      <c r="X454" s="2"/>
      <c r="Y454" s="2"/>
      <c r="Z454" s="2"/>
      <c r="AA454" s="2"/>
      <c r="AB454" s="2"/>
    </row>
    <row r="455" spans="1:28" customHeight="true">
      <c r="A455" s="2" t="s">
        <v>743</v>
      </c>
      <c r="B455" s="15">
        <v>46012</v>
      </c>
      <c r="C455" s="2" t="s">
        <v>744</v>
      </c>
      <c r="D455" s="3">
        <v>406.83</v>
      </c>
      <c r="E455" s="16" t="str">
        <f>IFERROR(__xludf.DUMMYFUNCTION("IFERROR(
  TEXTJOIN(CHAR(10),TRUE,FILTER('SUMMARY DATA'!E:E,'SUMMARY DATA'!$A:$A=$A455,'SUMMARY DATA'!$C:$C=$B455,'SUMMARY DATA'!$B:$B=""RWS"")),
  IF(
    OR(
      ISNUMBER(SEARCH(""CDM CASH DEPOSIT"",$C455)),
      ISNUMBER(SEARCH(""CASH DEPOSIT"",$C45"&amp;"5)),
      COUNTIFS('SUMMARY DATA'!$D:$D,$C455,'SUMMARY DATA'!$B:$B,""RWS"")&lt;&gt;1
    ),
    """",
    IFERROR(TEXTJOIN(CHAR(10),TRUE,FILTER('SUMMARY DATA'!E:E,'SUMMARY DATA'!$D:$D=$C455,'SUMMARY DATA'!$B:$B=""RWS"")),"""")
  )
)"),"")</f>
      </c>
      <c r="F455" s="17" t="str">
        <f>IFERROR(__xludf.DUMMYFUNCTION("IFERROR(
  TEXTJOIN(CHAR(10),TRUE,FILTER('SUMMARY DATA'!F:F,'SUMMARY DATA'!$A:$A=$A455,'SUMMARY DATA'!$C:$C=$B455,'SUMMARY DATA'!$B:$B=""RWS"")),
  IF(
    OR(
      ISNUMBER(SEARCH(""CDM CASH DEPOSIT"",$C455)),
      ISNUMBER(SEARCH(""CASH DEPOSIT"",$C45"&amp;"5)),
      COUNTIFS('SUMMARY DATA'!$D:$D,$C455,'SUMMARY DATA'!$B:$B,""RWS"")&lt;&gt;1
    ),
    """",
    IFERROR(TEXTJOIN(CHAR(10),TRUE,FILTER('SUMMARY DATA'!F:F,'SUMMARY DATA'!$D:$D=$C455,'SUMMARY DATA'!$B:$B=""RWS"")),"""")
  )
)"),"")</f>
      </c>
      <c r="G455" s="17" t="str">
        <f>IFERROR(__xludf.DUMMYFUNCTION("IFERROR(
  TEXTJOIN(CHAR(10),TRUE,FILTER('SUMMARY DATA'!G:G,'SUMMARY DATA'!$A:$A=$A455,'SUMMARY DATA'!$C:$C=$B455,'SUMMARY DATA'!$B:$B=""RWS"")),
  IF(
    OR(
      ISNUMBER(SEARCH(""CDM CASH DEPOSIT"",$C455)),
      ISNUMBER(SEARCH(""CASH DEPOSIT"",$C45"&amp;"5)),
      COUNTIFS('SUMMARY DATA'!$D:$D,$C455,'SUMMARY DATA'!$B:$B,""RWS"")&lt;&gt;1
    ),
    """",
    IFERROR(TEXTJOIN(CHAR(10),TRUE,FILTER('SUMMARY DATA'!G:G,'SUMMARY DATA'!$D:$D=$C455,'SUMMARY DATA'!$B:$B=""RWS"")),"""")
  )
)"),"")</f>
      </c>
      <c r="H455" s="18" t="str">
        <f>IFERROR(__xludf.DUMMYFUNCTION("IFERROR(
  TEXTJOIN(CHAR(10),TRUE,FILTER('SUMMARY DATA'!H:H,'SUMMARY DATA'!$A:$A=$A455,'SUMMARY DATA'!$C:$C=$B455,'SUMMARY DATA'!$B:$B=""RWS"",'SUMMARY DATA'!$H:$H=$D455)),
  IF(
    OR(
      ISNUMBER(SEARCH(""CDM CASH DEPOSIT"",$C455)),
      ISNUMBER(S"&amp;"EARCH(""CASH DEPOSIT"",$C455))
    ),
    """",
    IFERROR(TEXTJOIN(CHAR(10),TRUE,FILTER('SUMMARY DATA'!H:H,'SUMMARY DATA'!$D:$D=$C455,'SUMMARY DATA'!$B:$B=""RWS"",'SUMMARY DATA'!$H:$H=$D455)),"""")
  )
)"),"")</f>
      </c>
      <c r="I455" s="18" t="str">
        <f>IFERROR(__xludf.DUMMYFUNCTION("IF(H455="""","""",
SUM(ARRAYFORMULA(VALUE(SPLIT(H455,CHAR(10)))))
)"),"")</f>
      </c>
      <c r="J455" s="17" t="str">
        <f>IFERROR(__xludf.DUMMYFUNCTION("IFERROR(
  TEXTJOIN(CHAR(10),TRUE,FILTER('SUMMARY DATA'!I:I,'SUMMARY DATA'!$A:$A=$A455,'SUMMARY DATA'!$C:$C=$B455,'SUMMARY DATA'!$B:$B=""RWS"")),
  IF(
    OR(
      ISNUMBER(SEARCH(""CDM CASH DEPOSIT"",$C455)),
      ISNUMBER(SEARCH(""CASH DEPOSIT"",$C45"&amp;"5)),
      COUNTIFS('SUMMARY DATA'!$D:$D,$C455,'SUMMARY DATA'!$B:$B,""RWS"")&lt;&gt;1
    ),
    """",
    IFERROR(TEXTJOIN(CHAR(10),TRUE,FILTER('SUMMARY DATA'!I:I,'SUMMARY DATA'!$D:$D=$C455,'SUMMARY DATA'!$B:$B=""RWS"")),"""")
  )
)"),"")</f>
      </c>
      <c r="K455" s="2"/>
      <c r="L455" s="2"/>
      <c r="M455" s="2"/>
      <c r="N455" s="2"/>
      <c r="O455" s="2"/>
      <c r="P455" s="2"/>
      <c r="Q455" s="2"/>
      <c r="R455" s="2"/>
      <c r="S455" s="2"/>
      <c r="T455" s="2"/>
      <c r="U455" s="2"/>
      <c r="V455" s="2"/>
      <c r="W455" s="2"/>
      <c r="X455" s="2"/>
      <c r="Y455" s="2"/>
      <c r="Z455" s="2"/>
      <c r="AA455" s="2"/>
      <c r="AB455" s="2"/>
    </row>
    <row r="456" spans="1:28" customHeight="true">
      <c r="A456" s="2" t="s">
        <v>745</v>
      </c>
      <c r="B456" s="15">
        <v>46012</v>
      </c>
      <c r="C456" s="2" t="s">
        <v>746</v>
      </c>
      <c r="D456" s="3">
        <v>137.7</v>
      </c>
      <c r="E456" s="16" t="s">
        <v>2439</v>
      </c>
      <c r="F456" s="17" t="s">
        <v>2524</v>
      </c>
      <c r="G456" s="17" t="s">
        <v>2393</v>
      </c>
      <c r="H456" s="18">
        <v>137.7</v>
      </c>
      <c r="I456" s="18">
        <v>137.7</v>
      </c>
      <c r="J456" s="17" t="s">
        <v>2394</v>
      </c>
      <c r="K456" s="2" t="s">
        <v>2395</v>
      </c>
      <c r="L456" s="2"/>
      <c r="M456" s="2"/>
      <c r="N456" s="2"/>
      <c r="O456" s="2"/>
      <c r="P456" s="2"/>
      <c r="Q456" s="2"/>
      <c r="R456" s="2"/>
      <c r="S456" s="2"/>
      <c r="T456" s="2"/>
      <c r="U456" s="2"/>
      <c r="V456" s="2"/>
      <c r="W456" s="2"/>
      <c r="X456" s="2"/>
      <c r="Y456" s="2"/>
      <c r="Z456" s="2"/>
      <c r="AA456" s="2"/>
      <c r="AB456" s="2"/>
    </row>
    <row r="457" spans="1:28" customHeight="true">
      <c r="A457" s="2" t="s">
        <v>747</v>
      </c>
      <c r="B457" s="15">
        <v>46012</v>
      </c>
      <c r="C457" s="2" t="s">
        <v>748</v>
      </c>
      <c r="D457" s="3">
        <v>112.76</v>
      </c>
      <c r="E457" s="16" t="s">
        <v>2525</v>
      </c>
      <c r="F457" s="17" t="s">
        <v>2526</v>
      </c>
      <c r="G457" s="17" t="s">
        <v>2393</v>
      </c>
      <c r="H457" s="18">
        <v>112.76</v>
      </c>
      <c r="I457" s="18">
        <v>112.76</v>
      </c>
      <c r="J457" s="17" t="s">
        <v>2394</v>
      </c>
      <c r="K457" s="2" t="s">
        <v>2395</v>
      </c>
      <c r="L457" s="2"/>
      <c r="M457" s="2"/>
      <c r="N457" s="2"/>
      <c r="O457" s="2"/>
      <c r="P457" s="2"/>
      <c r="Q457" s="2"/>
      <c r="R457" s="2"/>
      <c r="S457" s="2"/>
      <c r="T457" s="2"/>
      <c r="U457" s="2"/>
      <c r="V457" s="2"/>
      <c r="W457" s="2"/>
      <c r="X457" s="2"/>
      <c r="Y457" s="2"/>
      <c r="Z457" s="2"/>
      <c r="AA457" s="2"/>
      <c r="AB457" s="2"/>
    </row>
    <row r="458" spans="1:28" customHeight="true">
      <c r="A458" s="2" t="s">
        <v>749</v>
      </c>
      <c r="B458" s="15">
        <v>46012</v>
      </c>
      <c r="C458" s="2" t="s">
        <v>750</v>
      </c>
      <c r="D458" s="3">
        <v>106</v>
      </c>
      <c r="E458" s="16" t="s">
        <v>2495</v>
      </c>
      <c r="F458" s="17" t="s">
        <v>2527</v>
      </c>
      <c r="G458" s="17" t="s">
        <v>2393</v>
      </c>
      <c r="H458" s="18">
        <v>106</v>
      </c>
      <c r="I458" s="18">
        <v>106</v>
      </c>
      <c r="J458" s="17" t="s">
        <v>2394</v>
      </c>
      <c r="K458" s="2" t="s">
        <v>2395</v>
      </c>
      <c r="L458" s="2"/>
      <c r="M458" s="2"/>
      <c r="N458" s="2"/>
      <c r="O458" s="2"/>
      <c r="P458" s="2"/>
      <c r="Q458" s="2"/>
      <c r="R458" s="2"/>
      <c r="S458" s="2"/>
      <c r="T458" s="2"/>
      <c r="U458" s="2"/>
      <c r="V458" s="2"/>
      <c r="W458" s="2"/>
      <c r="X458" s="2"/>
      <c r="Y458" s="2"/>
      <c r="Z458" s="2"/>
      <c r="AA458" s="2"/>
      <c r="AB458" s="2"/>
    </row>
    <row r="459" spans="1:28" customHeight="true">
      <c r="A459" s="2" t="s">
        <v>751</v>
      </c>
      <c r="B459" s="15">
        <v>46012</v>
      </c>
      <c r="C459" s="2" t="s">
        <v>752</v>
      </c>
      <c r="D459" s="3">
        <v>2.99</v>
      </c>
      <c r="E459" s="16" t="str">
        <f>IFERROR(__xludf.DUMMYFUNCTION("IFERROR(
  TEXTJOIN(CHAR(10),TRUE,FILTER('SUMMARY DATA'!E:E,'SUMMARY DATA'!$A:$A=$A459,'SUMMARY DATA'!$C:$C=$B459,'SUMMARY DATA'!$B:$B=""RWS"")),
  IF(
    OR(
      ISNUMBER(SEARCH(""CDM CASH DEPOSIT"",$C459)),
      ISNUMBER(SEARCH(""CASH DEPOSIT"",$C45"&amp;"9)),
      COUNTIFS('SUMMARY DATA'!$D:$D,$C459,'SUMMARY DATA'!$B:$B,""RWS"")&lt;&gt;1
    ),
    """",
    IFERROR(TEXTJOIN(CHAR(10),TRUE,FILTER('SUMMARY DATA'!E:E,'SUMMARY DATA'!$D:$D=$C459,'SUMMARY DATA'!$B:$B=""RWS"")),"""")
  )
)"),"")</f>
      </c>
      <c r="F459" s="17" t="str">
        <f>IFERROR(__xludf.DUMMYFUNCTION("IFERROR(
  TEXTJOIN(CHAR(10),TRUE,FILTER('SUMMARY DATA'!F:F,'SUMMARY DATA'!$A:$A=$A459,'SUMMARY DATA'!$C:$C=$B459,'SUMMARY DATA'!$B:$B=""RWS"")),
  IF(
    OR(
      ISNUMBER(SEARCH(""CDM CASH DEPOSIT"",$C459)),
      ISNUMBER(SEARCH(""CASH DEPOSIT"",$C45"&amp;"9)),
      COUNTIFS('SUMMARY DATA'!$D:$D,$C459,'SUMMARY DATA'!$B:$B,""RWS"")&lt;&gt;1
    ),
    """",
    IFERROR(TEXTJOIN(CHAR(10),TRUE,FILTER('SUMMARY DATA'!F:F,'SUMMARY DATA'!$D:$D=$C459,'SUMMARY DATA'!$B:$B=""RWS"")),"""")
  )
)"),"")</f>
      </c>
      <c r="G459" s="17" t="str">
        <f>IFERROR(__xludf.DUMMYFUNCTION("IFERROR(
  TEXTJOIN(CHAR(10),TRUE,FILTER('SUMMARY DATA'!G:G,'SUMMARY DATA'!$A:$A=$A459,'SUMMARY DATA'!$C:$C=$B459,'SUMMARY DATA'!$B:$B=""RWS"")),
  IF(
    OR(
      ISNUMBER(SEARCH(""CDM CASH DEPOSIT"",$C459)),
      ISNUMBER(SEARCH(""CASH DEPOSIT"",$C45"&amp;"9)),
      COUNTIFS('SUMMARY DATA'!$D:$D,$C459,'SUMMARY DATA'!$B:$B,""RWS"")&lt;&gt;1
    ),
    """",
    IFERROR(TEXTJOIN(CHAR(10),TRUE,FILTER('SUMMARY DATA'!G:G,'SUMMARY DATA'!$D:$D=$C459,'SUMMARY DATA'!$B:$B=""RWS"")),"""")
  )
)"),"")</f>
      </c>
      <c r="H459" s="18" t="str">
        <f>IFERROR(__xludf.DUMMYFUNCTION("IFERROR(
  TEXTJOIN(CHAR(10),TRUE,FILTER('SUMMARY DATA'!H:H,'SUMMARY DATA'!$A:$A=$A459,'SUMMARY DATA'!$C:$C=$B459,'SUMMARY DATA'!$B:$B=""RWS"",'SUMMARY DATA'!$H:$H=$D459)),
  IF(
    OR(
      ISNUMBER(SEARCH(""CDM CASH DEPOSIT"",$C459)),
      ISNUMBER(S"&amp;"EARCH(""CASH DEPOSIT"",$C459))
    ),
    """",
    IFERROR(TEXTJOIN(CHAR(10),TRUE,FILTER('SUMMARY DATA'!H:H,'SUMMARY DATA'!$D:$D=$C459,'SUMMARY DATA'!$B:$B=""RWS"",'SUMMARY DATA'!$H:$H=$D459)),"""")
  )
)"),"")</f>
      </c>
      <c r="I459" s="18" t="str">
        <f>IFERROR(__xludf.DUMMYFUNCTION("IF(H459="""","""",
SUM(ARRAYFORMULA(VALUE(SPLIT(H459,CHAR(10)))))
)"),"")</f>
      </c>
      <c r="J459" s="17" t="str">
        <f>IFERROR(__xludf.DUMMYFUNCTION("IFERROR(
  TEXTJOIN(CHAR(10),TRUE,FILTER('SUMMARY DATA'!I:I,'SUMMARY DATA'!$A:$A=$A459,'SUMMARY DATA'!$C:$C=$B459,'SUMMARY DATA'!$B:$B=""RWS"")),
  IF(
    OR(
      ISNUMBER(SEARCH(""CDM CASH DEPOSIT"",$C459)),
      ISNUMBER(SEARCH(""CASH DEPOSIT"",$C45"&amp;"9)),
      COUNTIFS('SUMMARY DATA'!$D:$D,$C459,'SUMMARY DATA'!$B:$B,""RWS"")&lt;&gt;1
    ),
    """",
    IFERROR(TEXTJOIN(CHAR(10),TRUE,FILTER('SUMMARY DATA'!I:I,'SUMMARY DATA'!$D:$D=$C459,'SUMMARY DATA'!$B:$B=""RWS"")),"""")
  )
)"),"")</f>
      </c>
      <c r="K459" s="2"/>
      <c r="L459" s="2"/>
      <c r="M459" s="2"/>
      <c r="N459" s="2"/>
      <c r="O459" s="2"/>
      <c r="P459" s="2"/>
      <c r="Q459" s="2"/>
      <c r="R459" s="2"/>
      <c r="S459" s="2"/>
      <c r="T459" s="2"/>
      <c r="U459" s="2"/>
      <c r="V459" s="2"/>
      <c r="W459" s="2"/>
      <c r="X459" s="2"/>
      <c r="Y459" s="2"/>
      <c r="Z459" s="2"/>
      <c r="AA459" s="2"/>
      <c r="AB459" s="2"/>
    </row>
    <row r="460" spans="1:28" customHeight="true">
      <c r="A460" s="2" t="s">
        <v>753</v>
      </c>
      <c r="B460" s="15">
        <v>46012</v>
      </c>
      <c r="C460" s="2" t="s">
        <v>754</v>
      </c>
      <c r="D460" s="3">
        <v>60</v>
      </c>
      <c r="E460" s="16" t="s">
        <v>2446</v>
      </c>
      <c r="F460" s="17" t="s">
        <v>2528</v>
      </c>
      <c r="G460" s="17" t="s">
        <v>2393</v>
      </c>
      <c r="H460" s="18">
        <v>60</v>
      </c>
      <c r="I460" s="18">
        <v>60</v>
      </c>
      <c r="J460" s="17" t="s">
        <v>2394</v>
      </c>
      <c r="K460" s="2" t="s">
        <v>2395</v>
      </c>
      <c r="L460" s="2"/>
      <c r="M460" s="2"/>
      <c r="N460" s="2"/>
      <c r="O460" s="2"/>
      <c r="P460" s="2"/>
      <c r="Q460" s="2"/>
      <c r="R460" s="2"/>
      <c r="S460" s="2"/>
      <c r="T460" s="2"/>
      <c r="U460" s="2"/>
      <c r="V460" s="2"/>
      <c r="W460" s="2"/>
      <c r="X460" s="2"/>
      <c r="Y460" s="2"/>
      <c r="Z460" s="2"/>
      <c r="AA460" s="2"/>
      <c r="AB460" s="2"/>
    </row>
    <row r="461" spans="1:28" customHeight="true">
      <c r="A461" s="2" t="s">
        <v>755</v>
      </c>
      <c r="B461" s="15">
        <v>46012</v>
      </c>
      <c r="C461" s="2" t="s">
        <v>756</v>
      </c>
      <c r="D461" s="3">
        <v>83.88</v>
      </c>
      <c r="E461" s="16" t="s">
        <v>2495</v>
      </c>
      <c r="F461" s="17" t="s">
        <v>2529</v>
      </c>
      <c r="G461" s="17" t="s">
        <v>2393</v>
      </c>
      <c r="H461" s="18">
        <v>83.88</v>
      </c>
      <c r="I461" s="18">
        <v>83.88</v>
      </c>
      <c r="J461" s="17" t="s">
        <v>2394</v>
      </c>
      <c r="K461" s="2" t="s">
        <v>2395</v>
      </c>
      <c r="L461" s="2"/>
      <c r="M461" s="2"/>
      <c r="N461" s="2"/>
      <c r="O461" s="2"/>
      <c r="P461" s="2"/>
      <c r="Q461" s="2"/>
      <c r="R461" s="2"/>
      <c r="S461" s="2"/>
      <c r="T461" s="2"/>
      <c r="U461" s="2"/>
      <c r="V461" s="2"/>
      <c r="W461" s="2"/>
      <c r="X461" s="2"/>
      <c r="Y461" s="2"/>
      <c r="Z461" s="2"/>
      <c r="AA461" s="2"/>
      <c r="AB461" s="2"/>
    </row>
    <row r="462" spans="1:28" customHeight="true">
      <c r="A462" s="2" t="s">
        <v>757</v>
      </c>
      <c r="B462" s="15">
        <v>46012</v>
      </c>
      <c r="C462" s="2" t="s">
        <v>758</v>
      </c>
      <c r="D462" s="3">
        <v>766.98</v>
      </c>
      <c r="E462" s="16" t="s">
        <v>2495</v>
      </c>
      <c r="F462" s="17" t="s">
        <v>2530</v>
      </c>
      <c r="G462" s="17" t="s">
        <v>2393</v>
      </c>
      <c r="H462" s="18">
        <v>766.98</v>
      </c>
      <c r="I462" s="18">
        <v>766.98</v>
      </c>
      <c r="J462" s="17" t="s">
        <v>2394</v>
      </c>
      <c r="K462" s="2" t="s">
        <v>2395</v>
      </c>
      <c r="L462" s="2"/>
      <c r="M462" s="2"/>
      <c r="N462" s="2"/>
      <c r="O462" s="2"/>
      <c r="P462" s="2"/>
      <c r="Q462" s="2"/>
      <c r="R462" s="2"/>
      <c r="S462" s="2"/>
      <c r="T462" s="2"/>
      <c r="U462" s="2"/>
      <c r="V462" s="2"/>
      <c r="W462" s="2"/>
      <c r="X462" s="2"/>
      <c r="Y462" s="2"/>
      <c r="Z462" s="2"/>
      <c r="AA462" s="2"/>
      <c r="AB462" s="2"/>
    </row>
    <row r="463" spans="1:28" customHeight="true">
      <c r="A463" s="2" t="s">
        <v>759</v>
      </c>
      <c r="B463" s="15">
        <v>46011</v>
      </c>
      <c r="C463" s="2" t="s">
        <v>760</v>
      </c>
      <c r="D463" s="3">
        <v>67.4</v>
      </c>
      <c r="E463" s="16" t="s">
        <v>2495</v>
      </c>
      <c r="F463" s="17" t="s">
        <v>2531</v>
      </c>
      <c r="G463" s="17" t="s">
        <v>2393</v>
      </c>
      <c r="H463" s="18">
        <v>67.4</v>
      </c>
      <c r="I463" s="18">
        <v>67.4</v>
      </c>
      <c r="J463" s="17" t="s">
        <v>2394</v>
      </c>
      <c r="K463" s="2" t="s">
        <v>2395</v>
      </c>
      <c r="L463" s="2"/>
      <c r="M463" s="2"/>
      <c r="N463" s="2"/>
      <c r="O463" s="2"/>
      <c r="P463" s="2"/>
      <c r="Q463" s="2"/>
      <c r="R463" s="2"/>
      <c r="S463" s="2"/>
      <c r="T463" s="2"/>
      <c r="U463" s="2"/>
      <c r="V463" s="2"/>
      <c r="W463" s="2"/>
      <c r="X463" s="2"/>
      <c r="Y463" s="2"/>
      <c r="Z463" s="2"/>
      <c r="AA463" s="2"/>
      <c r="AB463" s="2"/>
    </row>
    <row r="464" spans="1:28" customHeight="true">
      <c r="A464" s="2" t="s">
        <v>761</v>
      </c>
      <c r="B464" s="15">
        <v>46011</v>
      </c>
      <c r="C464" s="2" t="s">
        <v>762</v>
      </c>
      <c r="D464" s="3">
        <v>190.71</v>
      </c>
      <c r="E464" s="16" t="s">
        <v>2495</v>
      </c>
      <c r="F464" s="17" t="s">
        <v>2532</v>
      </c>
      <c r="G464" s="17" t="s">
        <v>2393</v>
      </c>
      <c r="H464" s="18">
        <v>190.71</v>
      </c>
      <c r="I464" s="18">
        <v>190.71</v>
      </c>
      <c r="J464" s="17" t="s">
        <v>2394</v>
      </c>
      <c r="K464" s="2" t="s">
        <v>2395</v>
      </c>
      <c r="L464" s="2"/>
      <c r="M464" s="2"/>
      <c r="N464" s="2"/>
      <c r="O464" s="2"/>
      <c r="P464" s="2"/>
      <c r="Q464" s="2"/>
      <c r="R464" s="2"/>
      <c r="S464" s="2"/>
      <c r="T464" s="2"/>
      <c r="U464" s="2"/>
      <c r="V464" s="2"/>
      <c r="W464" s="2"/>
      <c r="X464" s="2"/>
      <c r="Y464" s="2"/>
      <c r="Z464" s="2"/>
      <c r="AA464" s="2"/>
      <c r="AB464" s="2"/>
    </row>
    <row r="465" spans="1:28" customHeight="true">
      <c r="A465" s="2" t="s">
        <v>763</v>
      </c>
      <c r="B465" s="15">
        <v>46011</v>
      </c>
      <c r="C465" s="2" t="s">
        <v>764</v>
      </c>
      <c r="D465" s="3">
        <v>52.11</v>
      </c>
      <c r="E465" s="16" t="str">
        <f>IFERROR(__xludf.DUMMYFUNCTION("IFERROR(
  TEXTJOIN(CHAR(10),TRUE,FILTER('SUMMARY DATA'!E:E,'SUMMARY DATA'!$A:$A=$A465,'SUMMARY DATA'!$C:$C=$B465,'SUMMARY DATA'!$B:$B=""RWS"")),
  IF(
    OR(
      ISNUMBER(SEARCH(""CDM CASH DEPOSIT"",$C465)),
      ISNUMBER(SEARCH(""CASH DEPOSIT"",$C46"&amp;"5)),
      COUNTIFS('SUMMARY DATA'!$D:$D,$C465,'SUMMARY DATA'!$B:$B,""RWS"")&lt;&gt;1
    ),
    """",
    IFERROR(TEXTJOIN(CHAR(10),TRUE,FILTER('SUMMARY DATA'!E:E,'SUMMARY DATA'!$D:$D=$C465,'SUMMARY DATA'!$B:$B=""RWS"")),"""")
  )
)"),"")</f>
      </c>
      <c r="F465" s="17" t="str">
        <f>IFERROR(__xludf.DUMMYFUNCTION("IFERROR(
  TEXTJOIN(CHAR(10),TRUE,FILTER('SUMMARY DATA'!F:F,'SUMMARY DATA'!$A:$A=$A465,'SUMMARY DATA'!$C:$C=$B465,'SUMMARY DATA'!$B:$B=""RWS"")),
  IF(
    OR(
      ISNUMBER(SEARCH(""CDM CASH DEPOSIT"",$C465)),
      ISNUMBER(SEARCH(""CASH DEPOSIT"",$C46"&amp;"5)),
      COUNTIFS('SUMMARY DATA'!$D:$D,$C465,'SUMMARY DATA'!$B:$B,""RWS"")&lt;&gt;1
    ),
    """",
    IFERROR(TEXTJOIN(CHAR(10),TRUE,FILTER('SUMMARY DATA'!F:F,'SUMMARY DATA'!$D:$D=$C465,'SUMMARY DATA'!$B:$B=""RWS"")),"""")
  )
)"),"")</f>
      </c>
      <c r="G465" s="17" t="str">
        <f>IFERROR(__xludf.DUMMYFUNCTION("IFERROR(
  TEXTJOIN(CHAR(10),TRUE,FILTER('SUMMARY DATA'!G:G,'SUMMARY DATA'!$A:$A=$A465,'SUMMARY DATA'!$C:$C=$B465,'SUMMARY DATA'!$B:$B=""RWS"")),
  IF(
    OR(
      ISNUMBER(SEARCH(""CDM CASH DEPOSIT"",$C465)),
      ISNUMBER(SEARCH(""CASH DEPOSIT"",$C46"&amp;"5)),
      COUNTIFS('SUMMARY DATA'!$D:$D,$C465,'SUMMARY DATA'!$B:$B,""RWS"")&lt;&gt;1
    ),
    """",
    IFERROR(TEXTJOIN(CHAR(10),TRUE,FILTER('SUMMARY DATA'!G:G,'SUMMARY DATA'!$D:$D=$C465,'SUMMARY DATA'!$B:$B=""RWS"")),"""")
  )
)"),"")</f>
      </c>
      <c r="H465" s="18" t="str">
        <f>IFERROR(__xludf.DUMMYFUNCTION("IFERROR(
  TEXTJOIN(CHAR(10),TRUE,FILTER('SUMMARY DATA'!H:H,'SUMMARY DATA'!$A:$A=$A465,'SUMMARY DATA'!$C:$C=$B465,'SUMMARY DATA'!$B:$B=""RWS"",'SUMMARY DATA'!$H:$H=$D465)),
  IF(
    OR(
      ISNUMBER(SEARCH(""CDM CASH DEPOSIT"",$C465)),
      ISNUMBER(S"&amp;"EARCH(""CASH DEPOSIT"",$C465))
    ),
    """",
    IFERROR(TEXTJOIN(CHAR(10),TRUE,FILTER('SUMMARY DATA'!H:H,'SUMMARY DATA'!$D:$D=$C465,'SUMMARY DATA'!$B:$B=""RWS"",'SUMMARY DATA'!$H:$H=$D465)),"""")
  )
)"),"")</f>
      </c>
      <c r="I465" s="18" t="str">
        <f>IFERROR(__xludf.DUMMYFUNCTION("IF(H465="""","""",
SUM(ARRAYFORMULA(VALUE(SPLIT(H465,CHAR(10)))))
)"),"")</f>
      </c>
      <c r="J465" s="17" t="str">
        <f>IFERROR(__xludf.DUMMYFUNCTION("IFERROR(
  TEXTJOIN(CHAR(10),TRUE,FILTER('SUMMARY DATA'!I:I,'SUMMARY DATA'!$A:$A=$A465,'SUMMARY DATA'!$C:$C=$B465,'SUMMARY DATA'!$B:$B=""RWS"")),
  IF(
    OR(
      ISNUMBER(SEARCH(""CDM CASH DEPOSIT"",$C465)),
      ISNUMBER(SEARCH(""CASH DEPOSIT"",$C46"&amp;"5)),
      COUNTIFS('SUMMARY DATA'!$D:$D,$C465,'SUMMARY DATA'!$B:$B,""RWS"")&lt;&gt;1
    ),
    """",
    IFERROR(TEXTJOIN(CHAR(10),TRUE,FILTER('SUMMARY DATA'!I:I,'SUMMARY DATA'!$D:$D=$C465,'SUMMARY DATA'!$B:$B=""RWS"")),"""")
  )
)"),"")</f>
      </c>
      <c r="K465" s="2"/>
      <c r="L465" s="2"/>
      <c r="M465" s="2"/>
      <c r="N465" s="2"/>
      <c r="O465" s="2"/>
      <c r="P465" s="2"/>
      <c r="Q465" s="2"/>
      <c r="R465" s="2"/>
      <c r="S465" s="2"/>
      <c r="T465" s="2"/>
      <c r="U465" s="2"/>
      <c r="V465" s="2"/>
      <c r="W465" s="2"/>
      <c r="X465" s="2"/>
      <c r="Y465" s="2"/>
      <c r="Z465" s="2"/>
      <c r="AA465" s="2"/>
      <c r="AB465" s="2"/>
    </row>
    <row r="466" spans="1:28" customHeight="true">
      <c r="A466" s="2"/>
      <c r="B466" s="15">
        <v>46010</v>
      </c>
      <c r="C466" s="2" t="s">
        <v>765</v>
      </c>
      <c r="D466" s="3">
        <v>875</v>
      </c>
      <c r="E466" s="16" t="str">
        <f>IFERROR(__xludf.DUMMYFUNCTION("IFERROR(
  TEXTJOIN(CHAR(10),TRUE,FILTER('SUMMARY DATA'!E:E,'SUMMARY DATA'!$A:$A=$A466,'SUMMARY DATA'!$C:$C=$B466,'SUMMARY DATA'!$B:$B=""RWS"")),
  IF(
    OR(
      ISNUMBER(SEARCH(""CDM CASH DEPOSIT"",$C466)),
      ISNUMBER(SEARCH(""CASH DEPOSIT"",$C46"&amp;"6)),
      COUNTIFS('SUMMARY DATA'!$D:$D,$C466,'SUMMARY DATA'!$B:$B,""RWS"")&lt;&gt;1
    ),
    """",
    IFERROR(TEXTJOIN(CHAR(10),TRUE,FILTER('SUMMARY DATA'!E:E,'SUMMARY DATA'!$D:$D=$C466,'SUMMARY DATA'!$B:$B=""RWS"")),"""")
  )
)"),"")</f>
      </c>
      <c r="F466" s="17" t="str">
        <f>IFERROR(__xludf.DUMMYFUNCTION("IFERROR(
  TEXTJOIN(CHAR(10),TRUE,FILTER('SUMMARY DATA'!F:F,'SUMMARY DATA'!$A:$A=$A466,'SUMMARY DATA'!$C:$C=$B466,'SUMMARY DATA'!$B:$B=""RWS"")),
  IF(
    OR(
      ISNUMBER(SEARCH(""CDM CASH DEPOSIT"",$C466)),
      ISNUMBER(SEARCH(""CASH DEPOSIT"",$C46"&amp;"6)),
      COUNTIFS('SUMMARY DATA'!$D:$D,$C466,'SUMMARY DATA'!$B:$B,""RWS"")&lt;&gt;1
    ),
    """",
    IFERROR(TEXTJOIN(CHAR(10),TRUE,FILTER('SUMMARY DATA'!F:F,'SUMMARY DATA'!$D:$D=$C466,'SUMMARY DATA'!$B:$B=""RWS"")),"""")
  )
)"),"")</f>
      </c>
      <c r="G466" s="17" t="str">
        <f>IFERROR(__xludf.DUMMYFUNCTION("IFERROR(
  TEXTJOIN(CHAR(10),TRUE,FILTER('SUMMARY DATA'!G:G,'SUMMARY DATA'!$A:$A=$A466,'SUMMARY DATA'!$C:$C=$B466,'SUMMARY DATA'!$B:$B=""RWS"")),
  IF(
    OR(
      ISNUMBER(SEARCH(""CDM CASH DEPOSIT"",$C466)),
      ISNUMBER(SEARCH(""CASH DEPOSIT"",$C46"&amp;"6)),
      COUNTIFS('SUMMARY DATA'!$D:$D,$C466,'SUMMARY DATA'!$B:$B,""RWS"")&lt;&gt;1
    ),
    """",
    IFERROR(TEXTJOIN(CHAR(10),TRUE,FILTER('SUMMARY DATA'!G:G,'SUMMARY DATA'!$D:$D=$C466,'SUMMARY DATA'!$B:$B=""RWS"")),"""")
  )
)"),"")</f>
      </c>
      <c r="H466" s="18" t="str">
        <f>IFERROR(__xludf.DUMMYFUNCTION("IFERROR(
  TEXTJOIN(CHAR(10),TRUE,FILTER('SUMMARY DATA'!H:H,'SUMMARY DATA'!$A:$A=$A466,'SUMMARY DATA'!$C:$C=$B466,'SUMMARY DATA'!$B:$B=""RWS"",'SUMMARY DATA'!$H:$H=$D466)),
  IF(
    OR(
      ISNUMBER(SEARCH(""CDM CASH DEPOSIT"",$C466)),
      ISNUMBER(S"&amp;"EARCH(""CASH DEPOSIT"",$C466))
    ),
    """",
    IFERROR(TEXTJOIN(CHAR(10),TRUE,FILTER('SUMMARY DATA'!H:H,'SUMMARY DATA'!$D:$D=$C466,'SUMMARY DATA'!$B:$B=""RWS"",'SUMMARY DATA'!$H:$H=$D466)),"""")
  )
)"),"")</f>
      </c>
      <c r="I466" s="18" t="str">
        <f>IFERROR(__xludf.DUMMYFUNCTION("IF(H466="""","""",
SUM(ARRAYFORMULA(VALUE(SPLIT(H466,CHAR(10)))))
)"),"")</f>
      </c>
      <c r="J466" s="17" t="str">
        <f>IFERROR(__xludf.DUMMYFUNCTION("IFERROR(
  TEXTJOIN(CHAR(10),TRUE,FILTER('SUMMARY DATA'!I:I,'SUMMARY DATA'!$A:$A=$A466,'SUMMARY DATA'!$C:$C=$B466,'SUMMARY DATA'!$B:$B=""RWS"")),
  IF(
    OR(
      ISNUMBER(SEARCH(""CDM CASH DEPOSIT"",$C466)),
      ISNUMBER(SEARCH(""CASH DEPOSIT"",$C46"&amp;"6)),
      COUNTIFS('SUMMARY DATA'!$D:$D,$C466,'SUMMARY DATA'!$B:$B,""RWS"")&lt;&gt;1
    ),
    """",
    IFERROR(TEXTJOIN(CHAR(10),TRUE,FILTER('SUMMARY DATA'!I:I,'SUMMARY DATA'!$D:$D=$C466,'SUMMARY DATA'!$B:$B=""RWS"")),"""")
  )
)"),"")</f>
      </c>
      <c r="K466" s="2"/>
      <c r="L466" s="2"/>
      <c r="M466" s="2"/>
      <c r="N466" s="2"/>
      <c r="O466" s="2"/>
      <c r="P466" s="2"/>
      <c r="Q466" s="2"/>
      <c r="R466" s="2"/>
      <c r="S466" s="2"/>
      <c r="T466" s="2"/>
      <c r="U466" s="2"/>
      <c r="V466" s="2"/>
      <c r="W466" s="2"/>
      <c r="X466" s="2"/>
      <c r="Y466" s="2"/>
      <c r="Z466" s="2"/>
      <c r="AA466" s="2"/>
      <c r="AB466" s="2"/>
    </row>
    <row r="467" spans="1:28" customHeight="true">
      <c r="A467" s="2"/>
      <c r="B467" s="15">
        <v>46010</v>
      </c>
      <c r="C467" s="2" t="s">
        <v>766</v>
      </c>
      <c r="D467" s="3">
        <v>10</v>
      </c>
      <c r="E467" s="16" t="str">
        <f>IFERROR(__xludf.DUMMYFUNCTION("IFERROR(
  TEXTJOIN(CHAR(10),TRUE,FILTER('SUMMARY DATA'!E:E,'SUMMARY DATA'!$A:$A=$A467,'SUMMARY DATA'!$C:$C=$B467,'SUMMARY DATA'!$B:$B=""RWS"")),
  IF(
    OR(
      ISNUMBER(SEARCH(""CDM CASH DEPOSIT"",$C467)),
      ISNUMBER(SEARCH(""CASH DEPOSIT"",$C46"&amp;"7)),
      COUNTIFS('SUMMARY DATA'!$D:$D,$C467,'SUMMARY DATA'!$B:$B,""RWS"")&lt;&gt;1
    ),
    """",
    IFERROR(TEXTJOIN(CHAR(10),TRUE,FILTER('SUMMARY DATA'!E:E,'SUMMARY DATA'!$D:$D=$C467,'SUMMARY DATA'!$B:$B=""RWS"")),"""")
  )
)"),"")</f>
      </c>
      <c r="F467" s="17" t="str">
        <f>IFERROR(__xludf.DUMMYFUNCTION("IFERROR(
  TEXTJOIN(CHAR(10),TRUE,FILTER('SUMMARY DATA'!F:F,'SUMMARY DATA'!$A:$A=$A467,'SUMMARY DATA'!$C:$C=$B467,'SUMMARY DATA'!$B:$B=""RWS"")),
  IF(
    OR(
      ISNUMBER(SEARCH(""CDM CASH DEPOSIT"",$C467)),
      ISNUMBER(SEARCH(""CASH DEPOSIT"",$C46"&amp;"7)),
      COUNTIFS('SUMMARY DATA'!$D:$D,$C467,'SUMMARY DATA'!$B:$B,""RWS"")&lt;&gt;1
    ),
    """",
    IFERROR(TEXTJOIN(CHAR(10),TRUE,FILTER('SUMMARY DATA'!F:F,'SUMMARY DATA'!$D:$D=$C467,'SUMMARY DATA'!$B:$B=""RWS"")),"""")
  )
)"),"")</f>
      </c>
      <c r="G467" s="17" t="str">
        <f>IFERROR(__xludf.DUMMYFUNCTION("IFERROR(
  TEXTJOIN(CHAR(10),TRUE,FILTER('SUMMARY DATA'!G:G,'SUMMARY DATA'!$A:$A=$A467,'SUMMARY DATA'!$C:$C=$B467,'SUMMARY DATA'!$B:$B=""RWS"")),
  IF(
    OR(
      ISNUMBER(SEARCH(""CDM CASH DEPOSIT"",$C467)),
      ISNUMBER(SEARCH(""CASH DEPOSIT"",$C46"&amp;"7)),
      COUNTIFS('SUMMARY DATA'!$D:$D,$C467,'SUMMARY DATA'!$B:$B,""RWS"")&lt;&gt;1
    ),
    """",
    IFERROR(TEXTJOIN(CHAR(10),TRUE,FILTER('SUMMARY DATA'!G:G,'SUMMARY DATA'!$D:$D=$C467,'SUMMARY DATA'!$B:$B=""RWS"")),"""")
  )
)"),"")</f>
      </c>
      <c r="H467" s="18" t="str">
        <f>IFERROR(__xludf.DUMMYFUNCTION("IFERROR(
  TEXTJOIN(CHAR(10),TRUE,FILTER('SUMMARY DATA'!H:H,'SUMMARY DATA'!$A:$A=$A467,'SUMMARY DATA'!$C:$C=$B467,'SUMMARY DATA'!$B:$B=""RWS"",'SUMMARY DATA'!$H:$H=$D467)),
  IF(
    OR(
      ISNUMBER(SEARCH(""CDM CASH DEPOSIT"",$C467)),
      ISNUMBER(S"&amp;"EARCH(""CASH DEPOSIT"",$C467))
    ),
    """",
    IFERROR(TEXTJOIN(CHAR(10),TRUE,FILTER('SUMMARY DATA'!H:H,'SUMMARY DATA'!$D:$D=$C467,'SUMMARY DATA'!$B:$B=""RWS"",'SUMMARY DATA'!$H:$H=$D467)),"""")
  )
)"),"")</f>
      </c>
      <c r="I467" s="18" t="str">
        <f>IFERROR(__xludf.DUMMYFUNCTION("IF(H467="""","""",
SUM(ARRAYFORMULA(VALUE(SPLIT(H467,CHAR(10)))))
)"),"")</f>
      </c>
      <c r="J467" s="17" t="str">
        <f>IFERROR(__xludf.DUMMYFUNCTION("IFERROR(
  TEXTJOIN(CHAR(10),TRUE,FILTER('SUMMARY DATA'!I:I,'SUMMARY DATA'!$A:$A=$A467,'SUMMARY DATA'!$C:$C=$B467,'SUMMARY DATA'!$B:$B=""RWS"")),
  IF(
    OR(
      ISNUMBER(SEARCH(""CDM CASH DEPOSIT"",$C467)),
      ISNUMBER(SEARCH(""CASH DEPOSIT"",$C46"&amp;"7)),
      COUNTIFS('SUMMARY DATA'!$D:$D,$C467,'SUMMARY DATA'!$B:$B,""RWS"")&lt;&gt;1
    ),
    """",
    IFERROR(TEXTJOIN(CHAR(10),TRUE,FILTER('SUMMARY DATA'!I:I,'SUMMARY DATA'!$D:$D=$C467,'SUMMARY DATA'!$B:$B=""RWS"")),"""")
  )
)"),"")</f>
      </c>
      <c r="K467" s="2"/>
      <c r="L467" s="2"/>
      <c r="M467" s="2"/>
      <c r="N467" s="2"/>
      <c r="O467" s="2"/>
      <c r="P467" s="2"/>
      <c r="Q467" s="2"/>
      <c r="R467" s="2"/>
      <c r="S467" s="2"/>
      <c r="T467" s="2"/>
      <c r="U467" s="2"/>
      <c r="V467" s="2"/>
      <c r="W467" s="2"/>
      <c r="X467" s="2"/>
      <c r="Y467" s="2"/>
      <c r="Z467" s="2"/>
      <c r="AA467" s="2"/>
      <c r="AB467" s="2"/>
    </row>
    <row r="468" spans="1:28" customHeight="true">
      <c r="A468" s="2" t="s">
        <v>767</v>
      </c>
      <c r="B468" s="15">
        <v>46009</v>
      </c>
      <c r="C468" s="2" t="s">
        <v>768</v>
      </c>
      <c r="D468" s="3">
        <v>53</v>
      </c>
      <c r="E468" s="16" t="str">
        <f>IFERROR(__xludf.DUMMYFUNCTION("IFERROR(
  TEXTJOIN(CHAR(10),TRUE,FILTER('SUMMARY DATA'!E:E,'SUMMARY DATA'!$A:$A=$A468,'SUMMARY DATA'!$C:$C=$B468,'SUMMARY DATA'!$B:$B=""RWS"")),
  IF(
    OR(
      ISNUMBER(SEARCH(""CDM CASH DEPOSIT"",$C468)),
      ISNUMBER(SEARCH(""CASH DEPOSIT"",$C46"&amp;"8)),
      COUNTIFS('SUMMARY DATA'!$D:$D,$C468,'SUMMARY DATA'!$B:$B,""RWS"")&lt;&gt;1
    ),
    """",
    IFERROR(TEXTJOIN(CHAR(10),TRUE,FILTER('SUMMARY DATA'!E:E,'SUMMARY DATA'!$D:$D=$C468,'SUMMARY DATA'!$B:$B=""RWS"")),"""")
  )
)"),"")</f>
      </c>
      <c r="F468" s="17" t="str">
        <f>IFERROR(__xludf.DUMMYFUNCTION("IFERROR(
  TEXTJOIN(CHAR(10),TRUE,FILTER('SUMMARY DATA'!F:F,'SUMMARY DATA'!$A:$A=$A468,'SUMMARY DATA'!$C:$C=$B468,'SUMMARY DATA'!$B:$B=""RWS"")),
  IF(
    OR(
      ISNUMBER(SEARCH(""CDM CASH DEPOSIT"",$C468)),
      ISNUMBER(SEARCH(""CASH DEPOSIT"",$C46"&amp;"8)),
      COUNTIFS('SUMMARY DATA'!$D:$D,$C468,'SUMMARY DATA'!$B:$B,""RWS"")&lt;&gt;1
    ),
    """",
    IFERROR(TEXTJOIN(CHAR(10),TRUE,FILTER('SUMMARY DATA'!F:F,'SUMMARY DATA'!$D:$D=$C468,'SUMMARY DATA'!$B:$B=""RWS"")),"""")
  )
)"),"")</f>
      </c>
      <c r="G468" s="17" t="str">
        <f>IFERROR(__xludf.DUMMYFUNCTION("IFERROR(
  TEXTJOIN(CHAR(10),TRUE,FILTER('SUMMARY DATA'!G:G,'SUMMARY DATA'!$A:$A=$A468,'SUMMARY DATA'!$C:$C=$B468,'SUMMARY DATA'!$B:$B=""RWS"")),
  IF(
    OR(
      ISNUMBER(SEARCH(""CDM CASH DEPOSIT"",$C468)),
      ISNUMBER(SEARCH(""CASH DEPOSIT"",$C46"&amp;"8)),
      COUNTIFS('SUMMARY DATA'!$D:$D,$C468,'SUMMARY DATA'!$B:$B,""RWS"")&lt;&gt;1
    ),
    """",
    IFERROR(TEXTJOIN(CHAR(10),TRUE,FILTER('SUMMARY DATA'!G:G,'SUMMARY DATA'!$D:$D=$C468,'SUMMARY DATA'!$B:$B=""RWS"")),"""")
  )
)"),"")</f>
      </c>
      <c r="H468" s="18" t="str">
        <f>IFERROR(__xludf.DUMMYFUNCTION("IFERROR(
  TEXTJOIN(CHAR(10),TRUE,FILTER('SUMMARY DATA'!H:H,'SUMMARY DATA'!$A:$A=$A468,'SUMMARY DATA'!$C:$C=$B468,'SUMMARY DATA'!$B:$B=""RWS"",'SUMMARY DATA'!$H:$H=$D468)),
  IF(
    OR(
      ISNUMBER(SEARCH(""CDM CASH DEPOSIT"",$C468)),
      ISNUMBER(S"&amp;"EARCH(""CASH DEPOSIT"",$C468))
    ),
    """",
    IFERROR(TEXTJOIN(CHAR(10),TRUE,FILTER('SUMMARY DATA'!H:H,'SUMMARY DATA'!$D:$D=$C468,'SUMMARY DATA'!$B:$B=""RWS"",'SUMMARY DATA'!$H:$H=$D468)),"""")
  )
)"),"")</f>
      </c>
      <c r="I468" s="18" t="str">
        <f>IFERROR(__xludf.DUMMYFUNCTION("IF(H468="""","""",
SUM(ARRAYFORMULA(VALUE(SPLIT(H468,CHAR(10)))))
)"),"")</f>
      </c>
      <c r="J468" s="17" t="str">
        <f>IFERROR(__xludf.DUMMYFUNCTION("IFERROR(
  TEXTJOIN(CHAR(10),TRUE,FILTER('SUMMARY DATA'!I:I,'SUMMARY DATA'!$A:$A=$A468,'SUMMARY DATA'!$C:$C=$B468,'SUMMARY DATA'!$B:$B=""RWS"")),
  IF(
    OR(
      ISNUMBER(SEARCH(""CDM CASH DEPOSIT"",$C468)),
      ISNUMBER(SEARCH(""CASH DEPOSIT"",$C46"&amp;"8)),
      COUNTIFS('SUMMARY DATA'!$D:$D,$C468,'SUMMARY DATA'!$B:$B,""RWS"")&lt;&gt;1
    ),
    """",
    IFERROR(TEXTJOIN(CHAR(10),TRUE,FILTER('SUMMARY DATA'!I:I,'SUMMARY DATA'!$D:$D=$C468,'SUMMARY DATA'!$B:$B=""RWS"")),"""")
  )
)"),"")</f>
      </c>
      <c r="K468" s="2"/>
      <c r="L468" s="2"/>
      <c r="M468" s="2"/>
      <c r="N468" s="2"/>
      <c r="O468" s="2"/>
      <c r="P468" s="2"/>
      <c r="Q468" s="2"/>
      <c r="R468" s="2"/>
      <c r="S468" s="2"/>
      <c r="T468" s="2"/>
      <c r="U468" s="2"/>
      <c r="V468" s="2"/>
      <c r="W468" s="2"/>
      <c r="X468" s="2"/>
      <c r="Y468" s="2"/>
      <c r="Z468" s="2"/>
      <c r="AA468" s="2"/>
      <c r="AB468" s="2"/>
    </row>
    <row r="469" spans="1:28" customHeight="true">
      <c r="A469" s="2" t="s">
        <v>769</v>
      </c>
      <c r="B469" s="15">
        <v>46008</v>
      </c>
      <c r="C469" s="2" t="s">
        <v>62</v>
      </c>
      <c r="D469" s="3">
        <v>25</v>
      </c>
      <c r="E469" s="16" t="str">
        <f>IFERROR(__xludf.DUMMYFUNCTION("IFERROR(
  TEXTJOIN(CHAR(10),TRUE,FILTER('SUMMARY DATA'!E:E,'SUMMARY DATA'!$A:$A=$A469,'SUMMARY DATA'!$C:$C=$B469,'SUMMARY DATA'!$B:$B=""RWS"")),
  IF(
    OR(
      ISNUMBER(SEARCH(""CDM CASH DEPOSIT"",$C469)),
      ISNUMBER(SEARCH(""CASH DEPOSIT"",$C46"&amp;"9)),
      COUNTIFS('SUMMARY DATA'!$D:$D,$C469,'SUMMARY DATA'!$B:$B,""RWS"")&lt;&gt;1
    ),
    """",
    IFERROR(TEXTJOIN(CHAR(10),TRUE,FILTER('SUMMARY DATA'!E:E,'SUMMARY DATA'!$D:$D=$C469,'SUMMARY DATA'!$B:$B=""RWS"")),"""")
  )
)"),"")</f>
      </c>
      <c r="F469" s="17" t="str">
        <f>IFERROR(__xludf.DUMMYFUNCTION("IFERROR(
  TEXTJOIN(CHAR(10),TRUE,FILTER('SUMMARY DATA'!F:F,'SUMMARY DATA'!$A:$A=$A469,'SUMMARY DATA'!$C:$C=$B469,'SUMMARY DATA'!$B:$B=""RWS"")),
  IF(
    OR(
      ISNUMBER(SEARCH(""CDM CASH DEPOSIT"",$C469)),
      ISNUMBER(SEARCH(""CASH DEPOSIT"",$C46"&amp;"9)),
      COUNTIFS('SUMMARY DATA'!$D:$D,$C469,'SUMMARY DATA'!$B:$B,""RWS"")&lt;&gt;1
    ),
    """",
    IFERROR(TEXTJOIN(CHAR(10),TRUE,FILTER('SUMMARY DATA'!F:F,'SUMMARY DATA'!$D:$D=$C469,'SUMMARY DATA'!$B:$B=""RWS"")),"""")
  )
)"),"")</f>
      </c>
      <c r="G469" s="17" t="str">
        <f>IFERROR(__xludf.DUMMYFUNCTION("IFERROR(
  TEXTJOIN(CHAR(10),TRUE,FILTER('SUMMARY DATA'!G:G,'SUMMARY DATA'!$A:$A=$A469,'SUMMARY DATA'!$C:$C=$B469,'SUMMARY DATA'!$B:$B=""RWS"")),
  IF(
    OR(
      ISNUMBER(SEARCH(""CDM CASH DEPOSIT"",$C469)),
      ISNUMBER(SEARCH(""CASH DEPOSIT"",$C46"&amp;"9)),
      COUNTIFS('SUMMARY DATA'!$D:$D,$C469,'SUMMARY DATA'!$B:$B,""RWS"")&lt;&gt;1
    ),
    """",
    IFERROR(TEXTJOIN(CHAR(10),TRUE,FILTER('SUMMARY DATA'!G:G,'SUMMARY DATA'!$D:$D=$C469,'SUMMARY DATA'!$B:$B=""RWS"")),"""")
  )
)"),"")</f>
      </c>
      <c r="H469" s="18" t="str">
        <f>IFERROR(__xludf.DUMMYFUNCTION("IFERROR(
  TEXTJOIN(CHAR(10),TRUE,FILTER('SUMMARY DATA'!H:H,'SUMMARY DATA'!$A:$A=$A469,'SUMMARY DATA'!$C:$C=$B469,'SUMMARY DATA'!$B:$B=""RWS"",'SUMMARY DATA'!$H:$H=$D469)),
  IF(
    OR(
      ISNUMBER(SEARCH(""CDM CASH DEPOSIT"",$C469)),
      ISNUMBER(S"&amp;"EARCH(""CASH DEPOSIT"",$C469))
    ),
    """",
    IFERROR(TEXTJOIN(CHAR(10),TRUE,FILTER('SUMMARY DATA'!H:H,'SUMMARY DATA'!$D:$D=$C469,'SUMMARY DATA'!$B:$B=""RWS"",'SUMMARY DATA'!$H:$H=$D469)),"""")
  )
)"),"")</f>
      </c>
      <c r="I469" s="18" t="str">
        <f>IFERROR(__xludf.DUMMYFUNCTION("IF(H469="""","""",
SUM(ARRAYFORMULA(VALUE(SPLIT(H469,CHAR(10)))))
)"),"")</f>
      </c>
      <c r="J469" s="17" t="str">
        <f>IFERROR(__xludf.DUMMYFUNCTION("IFERROR(
  TEXTJOIN(CHAR(10),TRUE,FILTER('SUMMARY DATA'!I:I,'SUMMARY DATA'!$A:$A=$A469,'SUMMARY DATA'!$C:$C=$B469,'SUMMARY DATA'!$B:$B=""RWS"")),
  IF(
    OR(
      ISNUMBER(SEARCH(""CDM CASH DEPOSIT"",$C469)),
      ISNUMBER(SEARCH(""CASH DEPOSIT"",$C46"&amp;"9)),
      COUNTIFS('SUMMARY DATA'!$D:$D,$C469,'SUMMARY DATA'!$B:$B,""RWS"")&lt;&gt;1
    ),
    """",
    IFERROR(TEXTJOIN(CHAR(10),TRUE,FILTER('SUMMARY DATA'!I:I,'SUMMARY DATA'!$D:$D=$C469,'SUMMARY DATA'!$B:$B=""RWS"")),"""")
  )
)"),"")</f>
      </c>
      <c r="K469" s="2"/>
      <c r="L469" s="2"/>
      <c r="M469" s="2"/>
      <c r="N469" s="2"/>
      <c r="O469" s="2"/>
      <c r="P469" s="2"/>
      <c r="Q469" s="2"/>
      <c r="R469" s="2"/>
      <c r="S469" s="2"/>
      <c r="T469" s="2"/>
      <c r="U469" s="2"/>
      <c r="V469" s="2"/>
      <c r="W469" s="2"/>
      <c r="X469" s="2"/>
      <c r="Y469" s="2"/>
      <c r="Z469" s="2"/>
      <c r="AA469" s="2"/>
      <c r="AB469" s="2"/>
    </row>
    <row r="470" spans="1:28" customHeight="true">
      <c r="A470" s="2" t="s">
        <v>770</v>
      </c>
      <c r="B470" s="15">
        <v>46008</v>
      </c>
      <c r="C470" s="2" t="s">
        <v>771</v>
      </c>
      <c r="D470" s="3">
        <v>79</v>
      </c>
      <c r="E470" s="16" t="s">
        <v>2464</v>
      </c>
      <c r="F470" s="17" t="s">
        <v>2533</v>
      </c>
      <c r="G470" s="17" t="s">
        <v>2393</v>
      </c>
      <c r="H470" s="18">
        <v>79</v>
      </c>
      <c r="I470" s="18">
        <v>79</v>
      </c>
      <c r="J470" s="17" t="s">
        <v>2394</v>
      </c>
      <c r="K470" s="2" t="s">
        <v>2395</v>
      </c>
      <c r="L470" s="2"/>
      <c r="M470" s="2"/>
      <c r="N470" s="2"/>
      <c r="O470" s="2"/>
      <c r="P470" s="2"/>
      <c r="Q470" s="2"/>
      <c r="R470" s="2"/>
      <c r="S470" s="2"/>
      <c r="T470" s="2"/>
      <c r="U470" s="2"/>
      <c r="V470" s="2"/>
      <c r="W470" s="2"/>
      <c r="X470" s="2"/>
      <c r="Y470" s="2"/>
      <c r="Z470" s="2"/>
      <c r="AA470" s="2"/>
      <c r="AB470" s="2"/>
    </row>
    <row r="471" spans="1:28" customHeight="true">
      <c r="A471" s="2" t="s">
        <v>772</v>
      </c>
      <c r="B471" s="15">
        <v>46007</v>
      </c>
      <c r="C471" s="2" t="s">
        <v>773</v>
      </c>
      <c r="D471" s="3">
        <v>224.4</v>
      </c>
      <c r="E471" s="16" t="s">
        <v>2464</v>
      </c>
      <c r="F471" s="17" t="s">
        <v>2534</v>
      </c>
      <c r="G471" s="17" t="s">
        <v>2393</v>
      </c>
      <c r="H471" s="18">
        <v>224.4</v>
      </c>
      <c r="I471" s="18">
        <v>224.4</v>
      </c>
      <c r="J471" s="17" t="s">
        <v>2394</v>
      </c>
      <c r="K471" s="2" t="s">
        <v>2395</v>
      </c>
      <c r="L471" s="2"/>
      <c r="M471" s="2"/>
      <c r="N471" s="2"/>
      <c r="O471" s="2"/>
      <c r="P471" s="2"/>
      <c r="Q471" s="2"/>
      <c r="R471" s="2"/>
      <c r="S471" s="2"/>
      <c r="T471" s="2"/>
      <c r="U471" s="2"/>
      <c r="V471" s="2"/>
      <c r="W471" s="2"/>
      <c r="X471" s="2"/>
      <c r="Y471" s="2"/>
      <c r="Z471" s="2"/>
      <c r="AA471" s="2"/>
      <c r="AB471" s="2"/>
    </row>
    <row r="472" spans="1:28" customHeight="true">
      <c r="A472" s="2" t="s">
        <v>774</v>
      </c>
      <c r="B472" s="15">
        <v>46007</v>
      </c>
      <c r="C472" s="2" t="s">
        <v>775</v>
      </c>
      <c r="D472" s="3">
        <v>282</v>
      </c>
      <c r="E472" s="16" t="str">
        <f>IFERROR(__xludf.DUMMYFUNCTION("IFERROR(
  TEXTJOIN(CHAR(10),TRUE,FILTER('SUMMARY DATA'!E:E,'SUMMARY DATA'!$A:$A=$A472,'SUMMARY DATA'!$C:$C=$B472,'SUMMARY DATA'!$B:$B=""RWS"")),
  IF(
    OR(
      ISNUMBER(SEARCH(""CDM CASH DEPOSIT"",$C472)),
      ISNUMBER(SEARCH(""CASH DEPOSIT"",$C47"&amp;"2)),
      COUNTIFS('SUMMARY DATA'!$D:$D,$C472,'SUMMARY DATA'!$B:$B,""RWS"")&lt;&gt;1
    ),
    """",
    IFERROR(TEXTJOIN(CHAR(10),TRUE,FILTER('SUMMARY DATA'!E:E,'SUMMARY DATA'!$D:$D=$C472,'SUMMARY DATA'!$B:$B=""RWS"")),"""")
  )
)"),"")</f>
      </c>
      <c r="F472" s="17" t="str">
        <f>IFERROR(__xludf.DUMMYFUNCTION("IFERROR(
  TEXTJOIN(CHAR(10),TRUE,FILTER('SUMMARY DATA'!F:F,'SUMMARY DATA'!$A:$A=$A472,'SUMMARY DATA'!$C:$C=$B472,'SUMMARY DATA'!$B:$B=""RWS"")),
  IF(
    OR(
      ISNUMBER(SEARCH(""CDM CASH DEPOSIT"",$C472)),
      ISNUMBER(SEARCH(""CASH DEPOSIT"",$C47"&amp;"2)),
      COUNTIFS('SUMMARY DATA'!$D:$D,$C472,'SUMMARY DATA'!$B:$B,""RWS"")&lt;&gt;1
    ),
    """",
    IFERROR(TEXTJOIN(CHAR(10),TRUE,FILTER('SUMMARY DATA'!F:F,'SUMMARY DATA'!$D:$D=$C472,'SUMMARY DATA'!$B:$B=""RWS"")),"""")
  )
)"),"")</f>
      </c>
      <c r="G472" s="17" t="str">
        <f>IFERROR(__xludf.DUMMYFUNCTION("IFERROR(
  TEXTJOIN(CHAR(10),TRUE,FILTER('SUMMARY DATA'!G:G,'SUMMARY DATA'!$A:$A=$A472,'SUMMARY DATA'!$C:$C=$B472,'SUMMARY DATA'!$B:$B=""RWS"")),
  IF(
    OR(
      ISNUMBER(SEARCH(""CDM CASH DEPOSIT"",$C472)),
      ISNUMBER(SEARCH(""CASH DEPOSIT"",$C47"&amp;"2)),
      COUNTIFS('SUMMARY DATA'!$D:$D,$C472,'SUMMARY DATA'!$B:$B,""RWS"")&lt;&gt;1
    ),
    """",
    IFERROR(TEXTJOIN(CHAR(10),TRUE,FILTER('SUMMARY DATA'!G:G,'SUMMARY DATA'!$D:$D=$C472,'SUMMARY DATA'!$B:$B=""RWS"")),"""")
  )
)"),"")</f>
      </c>
      <c r="H472" s="18" t="str">
        <f>IFERROR(__xludf.DUMMYFUNCTION("IFERROR(
  TEXTJOIN(CHAR(10),TRUE,FILTER('SUMMARY DATA'!H:H,'SUMMARY DATA'!$A:$A=$A472,'SUMMARY DATA'!$C:$C=$B472,'SUMMARY DATA'!$B:$B=""RWS"",'SUMMARY DATA'!$H:$H=$D472)),
  IF(
    OR(
      ISNUMBER(SEARCH(""CDM CASH DEPOSIT"",$C472)),
      ISNUMBER(S"&amp;"EARCH(""CASH DEPOSIT"",$C472))
    ),
    """",
    IFERROR(TEXTJOIN(CHAR(10),TRUE,FILTER('SUMMARY DATA'!H:H,'SUMMARY DATA'!$D:$D=$C472,'SUMMARY DATA'!$B:$B=""RWS"",'SUMMARY DATA'!$H:$H=$D472)),"""")
  )
)"),"")</f>
      </c>
      <c r="I472" s="18" t="str">
        <f>IFERROR(__xludf.DUMMYFUNCTION("IF(H472="""","""",
SUM(ARRAYFORMULA(VALUE(SPLIT(H472,CHAR(10)))))
)"),"")</f>
      </c>
      <c r="J472" s="17" t="str">
        <f>IFERROR(__xludf.DUMMYFUNCTION("IFERROR(
  TEXTJOIN(CHAR(10),TRUE,FILTER('SUMMARY DATA'!I:I,'SUMMARY DATA'!$A:$A=$A472,'SUMMARY DATA'!$C:$C=$B472,'SUMMARY DATA'!$B:$B=""RWS"")),
  IF(
    OR(
      ISNUMBER(SEARCH(""CDM CASH DEPOSIT"",$C472)),
      ISNUMBER(SEARCH(""CASH DEPOSIT"",$C47"&amp;"2)),
      COUNTIFS('SUMMARY DATA'!$D:$D,$C472,'SUMMARY DATA'!$B:$B,""RWS"")&lt;&gt;1
    ),
    """",
    IFERROR(TEXTJOIN(CHAR(10),TRUE,FILTER('SUMMARY DATA'!I:I,'SUMMARY DATA'!$D:$D=$C472,'SUMMARY DATA'!$B:$B=""RWS"")),"""")
  )
)"),"")</f>
      </c>
      <c r="K472" s="2"/>
      <c r="L472" s="2"/>
      <c r="M472" s="2"/>
      <c r="N472" s="2"/>
      <c r="O472" s="2"/>
      <c r="P472" s="2"/>
      <c r="Q472" s="2"/>
      <c r="R472" s="2"/>
      <c r="S472" s="2"/>
      <c r="T472" s="2"/>
      <c r="U472" s="2"/>
      <c r="V472" s="2"/>
      <c r="W472" s="2"/>
      <c r="X472" s="2"/>
      <c r="Y472" s="2"/>
      <c r="Z472" s="2"/>
      <c r="AA472" s="2"/>
      <c r="AB472" s="2"/>
    </row>
    <row r="473" spans="1:28" customHeight="true">
      <c r="A473" s="2" t="s">
        <v>776</v>
      </c>
      <c r="B473" s="15">
        <v>46007</v>
      </c>
      <c r="C473" s="2" t="s">
        <v>502</v>
      </c>
      <c r="D473" s="3">
        <v>897</v>
      </c>
      <c r="E473" s="16" t="s">
        <v>2512</v>
      </c>
      <c r="F473" s="17" t="s">
        <v>2535</v>
      </c>
      <c r="G473" s="17" t="s">
        <v>2393</v>
      </c>
      <c r="H473" s="18">
        <v>897</v>
      </c>
      <c r="I473" s="18">
        <v>897</v>
      </c>
      <c r="J473" s="17" t="s">
        <v>2394</v>
      </c>
      <c r="K473" s="2" t="s">
        <v>2395</v>
      </c>
      <c r="L473" s="2"/>
      <c r="M473" s="2"/>
      <c r="N473" s="2"/>
      <c r="O473" s="2"/>
      <c r="P473" s="2"/>
      <c r="Q473" s="2"/>
      <c r="R473" s="2"/>
      <c r="S473" s="2"/>
      <c r="T473" s="2"/>
      <c r="U473" s="2"/>
      <c r="V473" s="2"/>
      <c r="W473" s="2"/>
      <c r="X473" s="2"/>
      <c r="Y473" s="2"/>
      <c r="Z473" s="2"/>
      <c r="AA473" s="2"/>
      <c r="AB473" s="2"/>
    </row>
    <row r="474" spans="1:28" customHeight="true">
      <c r="A474" s="2" t="s">
        <v>777</v>
      </c>
      <c r="B474" s="15">
        <v>46004</v>
      </c>
      <c r="C474" s="2" t="s">
        <v>778</v>
      </c>
      <c r="D474" s="3">
        <v>351</v>
      </c>
      <c r="E474" s="16" t="s">
        <v>2464</v>
      </c>
      <c r="F474" s="17" t="s">
        <v>2536</v>
      </c>
      <c r="G474" s="17" t="s">
        <v>2393</v>
      </c>
      <c r="H474" s="18">
        <v>351</v>
      </c>
      <c r="I474" s="18">
        <v>351</v>
      </c>
      <c r="J474" s="17" t="s">
        <v>2394</v>
      </c>
      <c r="K474" s="2" t="s">
        <v>2395</v>
      </c>
      <c r="L474" s="2"/>
      <c r="M474" s="2"/>
      <c r="N474" s="2"/>
      <c r="O474" s="2"/>
      <c r="P474" s="2"/>
      <c r="Q474" s="2"/>
      <c r="R474" s="2"/>
      <c r="S474" s="2"/>
      <c r="T474" s="2"/>
      <c r="U474" s="2"/>
      <c r="V474" s="2"/>
      <c r="W474" s="2"/>
      <c r="X474" s="2"/>
      <c r="Y474" s="2"/>
      <c r="Z474" s="2"/>
      <c r="AA474" s="2"/>
      <c r="AB474" s="2"/>
    </row>
    <row r="475" spans="1:28" customHeight="true">
      <c r="A475" s="2" t="s">
        <v>779</v>
      </c>
      <c r="B475" s="15">
        <v>46004</v>
      </c>
      <c r="C475" s="2" t="s">
        <v>780</v>
      </c>
      <c r="D475" s="3">
        <v>69.92</v>
      </c>
      <c r="E475" s="16" t="str">
        <f>IFERROR(__xludf.DUMMYFUNCTION("IFERROR(
  TEXTJOIN(CHAR(10),TRUE,FILTER('SUMMARY DATA'!E:E,'SUMMARY DATA'!$A:$A=$A475,'SUMMARY DATA'!$C:$C=$B475,'SUMMARY DATA'!$B:$B=""RWS"")),
  IF(
    OR(
      ISNUMBER(SEARCH(""CDM CASH DEPOSIT"",$C475)),
      ISNUMBER(SEARCH(""CASH DEPOSIT"",$C47"&amp;"5)),
      COUNTIFS('SUMMARY DATA'!$D:$D,$C475,'SUMMARY DATA'!$B:$B,""RWS"")&lt;&gt;1
    ),
    """",
    IFERROR(TEXTJOIN(CHAR(10),TRUE,FILTER('SUMMARY DATA'!E:E,'SUMMARY DATA'!$D:$D=$C475,'SUMMARY DATA'!$B:$B=""RWS"")),"""")
  )
)"),"")</f>
      </c>
      <c r="F475" s="17" t="str">
        <f>IFERROR(__xludf.DUMMYFUNCTION("IFERROR(
  TEXTJOIN(CHAR(10),TRUE,FILTER('SUMMARY DATA'!F:F,'SUMMARY DATA'!$A:$A=$A475,'SUMMARY DATA'!$C:$C=$B475,'SUMMARY DATA'!$B:$B=""RWS"")),
  IF(
    OR(
      ISNUMBER(SEARCH(""CDM CASH DEPOSIT"",$C475)),
      ISNUMBER(SEARCH(""CASH DEPOSIT"",$C47"&amp;"5)),
      COUNTIFS('SUMMARY DATA'!$D:$D,$C475,'SUMMARY DATA'!$B:$B,""RWS"")&lt;&gt;1
    ),
    """",
    IFERROR(TEXTJOIN(CHAR(10),TRUE,FILTER('SUMMARY DATA'!F:F,'SUMMARY DATA'!$D:$D=$C475,'SUMMARY DATA'!$B:$B=""RWS"")),"""")
  )
)"),"")</f>
      </c>
      <c r="G475" s="17" t="str">
        <f>IFERROR(__xludf.DUMMYFUNCTION("IFERROR(
  TEXTJOIN(CHAR(10),TRUE,FILTER('SUMMARY DATA'!G:G,'SUMMARY DATA'!$A:$A=$A475,'SUMMARY DATA'!$C:$C=$B475,'SUMMARY DATA'!$B:$B=""RWS"")),
  IF(
    OR(
      ISNUMBER(SEARCH(""CDM CASH DEPOSIT"",$C475)),
      ISNUMBER(SEARCH(""CASH DEPOSIT"",$C47"&amp;"5)),
      COUNTIFS('SUMMARY DATA'!$D:$D,$C475,'SUMMARY DATA'!$B:$B,""RWS"")&lt;&gt;1
    ),
    """",
    IFERROR(TEXTJOIN(CHAR(10),TRUE,FILTER('SUMMARY DATA'!G:G,'SUMMARY DATA'!$D:$D=$C475,'SUMMARY DATA'!$B:$B=""RWS"")),"""")
  )
)"),"")</f>
      </c>
      <c r="H475" s="18" t="str">
        <f>IFERROR(__xludf.DUMMYFUNCTION("IFERROR(
  TEXTJOIN(CHAR(10),TRUE,FILTER('SUMMARY DATA'!H:H,'SUMMARY DATA'!$A:$A=$A475,'SUMMARY DATA'!$C:$C=$B475,'SUMMARY DATA'!$B:$B=""RWS"",'SUMMARY DATA'!$H:$H=$D475)),
  IF(
    OR(
      ISNUMBER(SEARCH(""CDM CASH DEPOSIT"",$C475)),
      ISNUMBER(S"&amp;"EARCH(""CASH DEPOSIT"",$C475))
    ),
    """",
    IFERROR(TEXTJOIN(CHAR(10),TRUE,FILTER('SUMMARY DATA'!H:H,'SUMMARY DATA'!$D:$D=$C475,'SUMMARY DATA'!$B:$B=""RWS"",'SUMMARY DATA'!$H:$H=$D475)),"""")
  )
)"),"")</f>
      </c>
      <c r="I475" s="18" t="str">
        <f>IFERROR(__xludf.DUMMYFUNCTION("IF(H475="""","""",
SUM(ARRAYFORMULA(VALUE(SPLIT(H475,CHAR(10)))))
)"),"")</f>
      </c>
      <c r="J475" s="17" t="str">
        <f>IFERROR(__xludf.DUMMYFUNCTION("IFERROR(
  TEXTJOIN(CHAR(10),TRUE,FILTER('SUMMARY DATA'!I:I,'SUMMARY DATA'!$A:$A=$A475,'SUMMARY DATA'!$C:$C=$B475,'SUMMARY DATA'!$B:$B=""RWS"")),
  IF(
    OR(
      ISNUMBER(SEARCH(""CDM CASH DEPOSIT"",$C475)),
      ISNUMBER(SEARCH(""CASH DEPOSIT"",$C47"&amp;"5)),
      COUNTIFS('SUMMARY DATA'!$D:$D,$C475,'SUMMARY DATA'!$B:$B,""RWS"")&lt;&gt;1
    ),
    """",
    IFERROR(TEXTJOIN(CHAR(10),TRUE,FILTER('SUMMARY DATA'!I:I,'SUMMARY DATA'!$D:$D=$C475,'SUMMARY DATA'!$B:$B=""RWS"")),"""")
  )
)"),"")</f>
      </c>
      <c r="K475" s="2"/>
      <c r="L475" s="2"/>
      <c r="M475" s="2"/>
      <c r="N475" s="2"/>
      <c r="O475" s="2"/>
      <c r="P475" s="2"/>
      <c r="Q475" s="2"/>
      <c r="R475" s="2"/>
      <c r="S475" s="2"/>
      <c r="T475" s="2"/>
      <c r="U475" s="2"/>
      <c r="V475" s="2"/>
      <c r="W475" s="2"/>
      <c r="X475" s="2"/>
      <c r="Y475" s="2"/>
      <c r="Z475" s="2"/>
      <c r="AA475" s="2"/>
      <c r="AB475" s="2"/>
    </row>
    <row r="476" spans="1:28" customHeight="true">
      <c r="A476" s="2" t="s">
        <v>781</v>
      </c>
      <c r="B476" s="15">
        <v>46002</v>
      </c>
      <c r="C476" s="2" t="s">
        <v>782</v>
      </c>
      <c r="D476" s="3">
        <v>476</v>
      </c>
      <c r="E476" s="16" t="s">
        <v>2461</v>
      </c>
      <c r="F476" s="17" t="s">
        <v>2537</v>
      </c>
      <c r="G476" s="17" t="s">
        <v>2393</v>
      </c>
      <c r="H476" s="18">
        <v>476</v>
      </c>
      <c r="I476" s="18">
        <v>476</v>
      </c>
      <c r="J476" s="17" t="s">
        <v>2394</v>
      </c>
      <c r="K476" s="2" t="s">
        <v>2395</v>
      </c>
      <c r="L476" s="2"/>
      <c r="M476" s="2"/>
      <c r="N476" s="2"/>
      <c r="O476" s="2"/>
      <c r="P476" s="2"/>
      <c r="Q476" s="2"/>
      <c r="R476" s="2"/>
      <c r="S476" s="2"/>
      <c r="T476" s="2"/>
      <c r="U476" s="2"/>
      <c r="V476" s="2"/>
      <c r="W476" s="2"/>
      <c r="X476" s="2"/>
      <c r="Y476" s="2"/>
      <c r="Z476" s="2"/>
      <c r="AA476" s="2"/>
      <c r="AB476" s="2"/>
    </row>
    <row r="477" spans="1:28" customHeight="true">
      <c r="A477" s="2" t="s">
        <v>783</v>
      </c>
      <c r="B477" s="15">
        <v>46002</v>
      </c>
      <c r="C477" s="2" t="s">
        <v>784</v>
      </c>
      <c r="D477" s="3">
        <v>25</v>
      </c>
      <c r="E477" s="16" t="str">
        <f>IFERROR(__xludf.DUMMYFUNCTION("IFERROR(
  TEXTJOIN(CHAR(10),TRUE,FILTER('SUMMARY DATA'!E:E,'SUMMARY DATA'!$A:$A=$A477,'SUMMARY DATA'!$C:$C=$B477,'SUMMARY DATA'!$B:$B=""RWS"")),
  IF(
    OR(
      ISNUMBER(SEARCH(""CDM CASH DEPOSIT"",$C477)),
      ISNUMBER(SEARCH(""CASH DEPOSIT"",$C47"&amp;"7)),
      COUNTIFS('SUMMARY DATA'!$D:$D,$C477,'SUMMARY DATA'!$B:$B,""RWS"")&lt;&gt;1
    ),
    """",
    IFERROR(TEXTJOIN(CHAR(10),TRUE,FILTER('SUMMARY DATA'!E:E,'SUMMARY DATA'!$D:$D=$C477,'SUMMARY DATA'!$B:$B=""RWS"")),"""")
  )
)"),"")</f>
      </c>
      <c r="F477" s="17" t="str">
        <f>IFERROR(__xludf.DUMMYFUNCTION("IFERROR(
  TEXTJOIN(CHAR(10),TRUE,FILTER('SUMMARY DATA'!F:F,'SUMMARY DATA'!$A:$A=$A477,'SUMMARY DATA'!$C:$C=$B477,'SUMMARY DATA'!$B:$B=""RWS"")),
  IF(
    OR(
      ISNUMBER(SEARCH(""CDM CASH DEPOSIT"",$C477)),
      ISNUMBER(SEARCH(""CASH DEPOSIT"",$C47"&amp;"7)),
      COUNTIFS('SUMMARY DATA'!$D:$D,$C477,'SUMMARY DATA'!$B:$B,""RWS"")&lt;&gt;1
    ),
    """",
    IFERROR(TEXTJOIN(CHAR(10),TRUE,FILTER('SUMMARY DATA'!F:F,'SUMMARY DATA'!$D:$D=$C477,'SUMMARY DATA'!$B:$B=""RWS"")),"""")
  )
)"),"")</f>
      </c>
      <c r="G477" s="17" t="str">
        <f>IFERROR(__xludf.DUMMYFUNCTION("IFERROR(
  TEXTJOIN(CHAR(10),TRUE,FILTER('SUMMARY DATA'!G:G,'SUMMARY DATA'!$A:$A=$A477,'SUMMARY DATA'!$C:$C=$B477,'SUMMARY DATA'!$B:$B=""RWS"")),
  IF(
    OR(
      ISNUMBER(SEARCH(""CDM CASH DEPOSIT"",$C477)),
      ISNUMBER(SEARCH(""CASH DEPOSIT"",$C47"&amp;"7)),
      COUNTIFS('SUMMARY DATA'!$D:$D,$C477,'SUMMARY DATA'!$B:$B,""RWS"")&lt;&gt;1
    ),
    """",
    IFERROR(TEXTJOIN(CHAR(10),TRUE,FILTER('SUMMARY DATA'!G:G,'SUMMARY DATA'!$D:$D=$C477,'SUMMARY DATA'!$B:$B=""RWS"")),"""")
  )
)"),"")</f>
      </c>
      <c r="H477" s="18" t="str">
        <f>IFERROR(__xludf.DUMMYFUNCTION("IFERROR(
  TEXTJOIN(CHAR(10),TRUE,FILTER('SUMMARY DATA'!H:H,'SUMMARY DATA'!$A:$A=$A477,'SUMMARY DATA'!$C:$C=$B477,'SUMMARY DATA'!$B:$B=""RWS"",'SUMMARY DATA'!$H:$H=$D477)),
  IF(
    OR(
      ISNUMBER(SEARCH(""CDM CASH DEPOSIT"",$C477)),
      ISNUMBER(S"&amp;"EARCH(""CASH DEPOSIT"",$C477))
    ),
    """",
    IFERROR(TEXTJOIN(CHAR(10),TRUE,FILTER('SUMMARY DATA'!H:H,'SUMMARY DATA'!$D:$D=$C477,'SUMMARY DATA'!$B:$B=""RWS"",'SUMMARY DATA'!$H:$H=$D477)),"""")
  )
)"),"")</f>
      </c>
      <c r="I477" s="18" t="str">
        <f>IFERROR(__xludf.DUMMYFUNCTION("IF(H477="""","""",
SUM(ARRAYFORMULA(VALUE(SPLIT(H477,CHAR(10)))))
)"),"")</f>
      </c>
      <c r="J477" s="17" t="str">
        <f>IFERROR(__xludf.DUMMYFUNCTION("IFERROR(
  TEXTJOIN(CHAR(10),TRUE,FILTER('SUMMARY DATA'!I:I,'SUMMARY DATA'!$A:$A=$A477,'SUMMARY DATA'!$C:$C=$B477,'SUMMARY DATA'!$B:$B=""RWS"")),
  IF(
    OR(
      ISNUMBER(SEARCH(""CDM CASH DEPOSIT"",$C477)),
      ISNUMBER(SEARCH(""CASH DEPOSIT"",$C47"&amp;"7)),
      COUNTIFS('SUMMARY DATA'!$D:$D,$C477,'SUMMARY DATA'!$B:$B,""RWS"")&lt;&gt;1
    ),
    """",
    IFERROR(TEXTJOIN(CHAR(10),TRUE,FILTER('SUMMARY DATA'!I:I,'SUMMARY DATA'!$D:$D=$C477,'SUMMARY DATA'!$B:$B=""RWS"")),"""")
  )
)"),"")</f>
      </c>
      <c r="K477" s="2"/>
      <c r="L477" s="2"/>
      <c r="M477" s="2"/>
      <c r="N477" s="2"/>
      <c r="O477" s="2"/>
      <c r="P477" s="2"/>
      <c r="Q477" s="2"/>
      <c r="R477" s="2"/>
      <c r="S477" s="2"/>
      <c r="T477" s="2"/>
      <c r="U477" s="2"/>
      <c r="V477" s="2"/>
      <c r="W477" s="2"/>
      <c r="X477" s="2"/>
      <c r="Y477" s="2"/>
      <c r="Z477" s="2"/>
      <c r="AA477" s="2"/>
      <c r="AB477" s="2"/>
    </row>
    <row r="478" spans="1:28" customHeight="true">
      <c r="A478" s="2" t="s">
        <v>785</v>
      </c>
      <c r="B478" s="15">
        <v>46002</v>
      </c>
      <c r="C478" s="2" t="s">
        <v>786</v>
      </c>
      <c r="D478" s="3">
        <v>368.39</v>
      </c>
      <c r="E478" s="16" t="s">
        <v>2461</v>
      </c>
      <c r="F478" s="17" t="s">
        <v>2538</v>
      </c>
      <c r="G478" s="17" t="s">
        <v>2393</v>
      </c>
      <c r="H478" s="18">
        <v>368.39</v>
      </c>
      <c r="I478" s="18">
        <v>368.39</v>
      </c>
      <c r="J478" s="17" t="s">
        <v>2394</v>
      </c>
      <c r="K478" s="2" t="s">
        <v>2395</v>
      </c>
      <c r="L478" s="2"/>
      <c r="M478" s="2"/>
      <c r="N478" s="2"/>
      <c r="O478" s="2"/>
      <c r="P478" s="2"/>
      <c r="Q478" s="2"/>
      <c r="R478" s="2"/>
      <c r="S478" s="2"/>
      <c r="T478" s="2"/>
      <c r="U478" s="2"/>
      <c r="V478" s="2"/>
      <c r="W478" s="2"/>
      <c r="X478" s="2"/>
      <c r="Y478" s="2"/>
      <c r="Z478" s="2"/>
      <c r="AA478" s="2"/>
      <c r="AB478" s="2"/>
    </row>
    <row r="479" spans="1:28" customHeight="true">
      <c r="A479" s="2" t="s">
        <v>523</v>
      </c>
      <c r="B479" s="15">
        <v>46001</v>
      </c>
      <c r="C479" s="2" t="s">
        <v>787</v>
      </c>
      <c r="D479" s="3">
        <v>19.8</v>
      </c>
      <c r="E479" s="16" t="str">
        <f>IFERROR(__xludf.DUMMYFUNCTION("IFERROR(
  TEXTJOIN(CHAR(10),TRUE,FILTER('SUMMARY DATA'!E:E,'SUMMARY DATA'!$A:$A=$A479,'SUMMARY DATA'!$C:$C=$B479,'SUMMARY DATA'!$B:$B=""RWS"")),
  IF(
    OR(
      ISNUMBER(SEARCH(""CDM CASH DEPOSIT"",$C479)),
      ISNUMBER(SEARCH(""CASH DEPOSIT"",$C47"&amp;"9)),
      COUNTIFS('SUMMARY DATA'!$D:$D,$C479,'SUMMARY DATA'!$B:$B,""RWS"")&lt;&gt;1
    ),
    """",
    IFERROR(TEXTJOIN(CHAR(10),TRUE,FILTER('SUMMARY DATA'!E:E,'SUMMARY DATA'!$D:$D=$C479,'SUMMARY DATA'!$B:$B=""RWS"")),"""")
  )
)"),"")</f>
      </c>
      <c r="F479" s="17" t="str">
        <f>IFERROR(__xludf.DUMMYFUNCTION("IFERROR(
  TEXTJOIN(CHAR(10),TRUE,FILTER('SUMMARY DATA'!F:F,'SUMMARY DATA'!$A:$A=$A479,'SUMMARY DATA'!$C:$C=$B479,'SUMMARY DATA'!$B:$B=""RWS"")),
  IF(
    OR(
      ISNUMBER(SEARCH(""CDM CASH DEPOSIT"",$C479)),
      ISNUMBER(SEARCH(""CASH DEPOSIT"",$C47"&amp;"9)),
      COUNTIFS('SUMMARY DATA'!$D:$D,$C479,'SUMMARY DATA'!$B:$B,""RWS"")&lt;&gt;1
    ),
    """",
    IFERROR(TEXTJOIN(CHAR(10),TRUE,FILTER('SUMMARY DATA'!F:F,'SUMMARY DATA'!$D:$D=$C479,'SUMMARY DATA'!$B:$B=""RWS"")),"""")
  )
)"),"")</f>
      </c>
      <c r="G479" s="17" t="str">
        <f>IFERROR(__xludf.DUMMYFUNCTION("IFERROR(
  TEXTJOIN(CHAR(10),TRUE,FILTER('SUMMARY DATA'!G:G,'SUMMARY DATA'!$A:$A=$A479,'SUMMARY DATA'!$C:$C=$B479,'SUMMARY DATA'!$B:$B=""RWS"")),
  IF(
    OR(
      ISNUMBER(SEARCH(""CDM CASH DEPOSIT"",$C479)),
      ISNUMBER(SEARCH(""CASH DEPOSIT"",$C47"&amp;"9)),
      COUNTIFS('SUMMARY DATA'!$D:$D,$C479,'SUMMARY DATA'!$B:$B,""RWS"")&lt;&gt;1
    ),
    """",
    IFERROR(TEXTJOIN(CHAR(10),TRUE,FILTER('SUMMARY DATA'!G:G,'SUMMARY DATA'!$D:$D=$C479,'SUMMARY DATA'!$B:$B=""RWS"")),"""")
  )
)"),"")</f>
      </c>
      <c r="H479" s="18" t="str">
        <f>IFERROR(__xludf.DUMMYFUNCTION("IFERROR(
  TEXTJOIN(CHAR(10),TRUE,FILTER('SUMMARY DATA'!H:H,'SUMMARY DATA'!$A:$A=$A479,'SUMMARY DATA'!$C:$C=$B479,'SUMMARY DATA'!$B:$B=""RWS"",'SUMMARY DATA'!$H:$H=$D479)),
  IF(
    OR(
      ISNUMBER(SEARCH(""CDM CASH DEPOSIT"",$C479)),
      ISNUMBER(S"&amp;"EARCH(""CASH DEPOSIT"",$C479))
    ),
    """",
    IFERROR(TEXTJOIN(CHAR(10),TRUE,FILTER('SUMMARY DATA'!H:H,'SUMMARY DATA'!$D:$D=$C479,'SUMMARY DATA'!$B:$B=""RWS"",'SUMMARY DATA'!$H:$H=$D479)),"""")
  )
)"),"")</f>
      </c>
      <c r="I479" s="18" t="str">
        <f>IFERROR(__xludf.DUMMYFUNCTION("IF(H479="""","""",
SUM(ARRAYFORMULA(VALUE(SPLIT(H479,CHAR(10)))))
)"),"")</f>
      </c>
      <c r="J479" s="17" t="str">
        <f>IFERROR(__xludf.DUMMYFUNCTION("IFERROR(
  TEXTJOIN(CHAR(10),TRUE,FILTER('SUMMARY DATA'!I:I,'SUMMARY DATA'!$A:$A=$A479,'SUMMARY DATA'!$C:$C=$B479,'SUMMARY DATA'!$B:$B=""RWS"")),
  IF(
    OR(
      ISNUMBER(SEARCH(""CDM CASH DEPOSIT"",$C479)),
      ISNUMBER(SEARCH(""CASH DEPOSIT"",$C47"&amp;"9)),
      COUNTIFS('SUMMARY DATA'!$D:$D,$C479,'SUMMARY DATA'!$B:$B,""RWS"")&lt;&gt;1
    ),
    """",
    IFERROR(TEXTJOIN(CHAR(10),TRUE,FILTER('SUMMARY DATA'!I:I,'SUMMARY DATA'!$D:$D=$C479,'SUMMARY DATA'!$B:$B=""RWS"")),"""")
  )
)"),"")</f>
      </c>
      <c r="K479" s="2"/>
      <c r="L479" s="2"/>
      <c r="M479" s="2"/>
      <c r="N479" s="2"/>
      <c r="O479" s="2"/>
      <c r="P479" s="2"/>
      <c r="Q479" s="2"/>
      <c r="R479" s="2"/>
      <c r="S479" s="2"/>
      <c r="T479" s="2"/>
      <c r="U479" s="2"/>
      <c r="V479" s="2"/>
      <c r="W479" s="2"/>
      <c r="X479" s="2"/>
      <c r="Y479" s="2"/>
      <c r="Z479" s="2"/>
      <c r="AA479" s="2"/>
      <c r="AB479" s="2"/>
    </row>
    <row r="480" spans="1:28" customHeight="true">
      <c r="A480" s="2" t="s">
        <v>788</v>
      </c>
      <c r="B480" s="15">
        <v>46001</v>
      </c>
      <c r="C480" s="2" t="s">
        <v>789</v>
      </c>
      <c r="D480" s="3">
        <v>199.99</v>
      </c>
      <c r="E480" s="16" t="s">
        <v>2448</v>
      </c>
      <c r="F480" s="17" t="s">
        <v>2539</v>
      </c>
      <c r="G480" s="17" t="s">
        <v>2393</v>
      </c>
      <c r="H480" s="18">
        <v>199.99</v>
      </c>
      <c r="I480" s="18">
        <v>199.99</v>
      </c>
      <c r="J480" s="17" t="s">
        <v>2394</v>
      </c>
      <c r="K480" s="2" t="s">
        <v>2395</v>
      </c>
      <c r="L480" s="2"/>
      <c r="M480" s="2"/>
      <c r="N480" s="2"/>
      <c r="O480" s="2"/>
      <c r="P480" s="2"/>
      <c r="Q480" s="2"/>
      <c r="R480" s="2"/>
      <c r="S480" s="2"/>
      <c r="T480" s="2"/>
      <c r="U480" s="2"/>
      <c r="V480" s="2"/>
      <c r="W480" s="2"/>
      <c r="X480" s="2"/>
      <c r="Y480" s="2"/>
      <c r="Z480" s="2"/>
      <c r="AA480" s="2"/>
      <c r="AB480" s="2"/>
    </row>
    <row r="481" spans="1:28" customHeight="true">
      <c r="A481" s="2" t="s">
        <v>790</v>
      </c>
      <c r="B481" s="15">
        <v>46001</v>
      </c>
      <c r="C481" s="2" t="s">
        <v>791</v>
      </c>
      <c r="D481" s="3">
        <v>224</v>
      </c>
      <c r="E481" s="16" t="s">
        <v>2540</v>
      </c>
      <c r="F481" s="17" t="s">
        <v>2541</v>
      </c>
      <c r="G481" s="17" t="s">
        <v>2393</v>
      </c>
      <c r="H481" s="18">
        <v>224</v>
      </c>
      <c r="I481" s="18">
        <v>224</v>
      </c>
      <c r="J481" s="17" t="s">
        <v>2394</v>
      </c>
      <c r="K481" s="2" t="s">
        <v>2395</v>
      </c>
      <c r="L481" s="2"/>
      <c r="M481" s="2"/>
      <c r="N481" s="2"/>
      <c r="O481" s="2"/>
      <c r="P481" s="2"/>
      <c r="Q481" s="2"/>
      <c r="R481" s="2"/>
      <c r="S481" s="2"/>
      <c r="T481" s="2"/>
      <c r="U481" s="2"/>
      <c r="V481" s="2"/>
      <c r="W481" s="2"/>
      <c r="X481" s="2"/>
      <c r="Y481" s="2"/>
      <c r="Z481" s="2"/>
      <c r="AA481" s="2"/>
      <c r="AB481" s="2"/>
    </row>
    <row r="482" spans="1:28" customHeight="true">
      <c r="A482" s="2" t="s">
        <v>792</v>
      </c>
      <c r="B482" s="15">
        <v>46001</v>
      </c>
      <c r="C482" s="2" t="s">
        <v>793</v>
      </c>
      <c r="D482" s="3">
        <v>234</v>
      </c>
      <c r="E482" s="16" t="str">
        <f>IFERROR(__xludf.DUMMYFUNCTION("IFERROR(
  TEXTJOIN(CHAR(10),TRUE,FILTER('SUMMARY DATA'!E:E,'SUMMARY DATA'!$A:$A=$A482,'SUMMARY DATA'!$C:$C=$B482,'SUMMARY DATA'!$B:$B=""RWS"")),
  IF(
    OR(
      ISNUMBER(SEARCH(""CDM CASH DEPOSIT"",$C482)),
      ISNUMBER(SEARCH(""CASH DEPOSIT"",$C48"&amp;"2)),
      COUNTIFS('SUMMARY DATA'!$D:$D,$C482,'SUMMARY DATA'!$B:$B,""RWS"")&lt;&gt;1
    ),
    """",
    IFERROR(TEXTJOIN(CHAR(10),TRUE,FILTER('SUMMARY DATA'!E:E,'SUMMARY DATA'!$D:$D=$C482,'SUMMARY DATA'!$B:$B=""RWS"")),"""")
  )
)"),"")</f>
      </c>
      <c r="F482" s="17" t="str">
        <f>IFERROR(__xludf.DUMMYFUNCTION("IFERROR(
  TEXTJOIN(CHAR(10),TRUE,FILTER('SUMMARY DATA'!F:F,'SUMMARY DATA'!$A:$A=$A482,'SUMMARY DATA'!$C:$C=$B482,'SUMMARY DATA'!$B:$B=""RWS"")),
  IF(
    OR(
      ISNUMBER(SEARCH(""CDM CASH DEPOSIT"",$C482)),
      ISNUMBER(SEARCH(""CASH DEPOSIT"",$C48"&amp;"2)),
      COUNTIFS('SUMMARY DATA'!$D:$D,$C482,'SUMMARY DATA'!$B:$B,""RWS"")&lt;&gt;1
    ),
    """",
    IFERROR(TEXTJOIN(CHAR(10),TRUE,FILTER('SUMMARY DATA'!F:F,'SUMMARY DATA'!$D:$D=$C482,'SUMMARY DATA'!$B:$B=""RWS"")),"""")
  )
)"),"")</f>
      </c>
      <c r="G482" s="17" t="str">
        <f>IFERROR(__xludf.DUMMYFUNCTION("IFERROR(
  TEXTJOIN(CHAR(10),TRUE,FILTER('SUMMARY DATA'!G:G,'SUMMARY DATA'!$A:$A=$A482,'SUMMARY DATA'!$C:$C=$B482,'SUMMARY DATA'!$B:$B=""RWS"")),
  IF(
    OR(
      ISNUMBER(SEARCH(""CDM CASH DEPOSIT"",$C482)),
      ISNUMBER(SEARCH(""CASH DEPOSIT"",$C48"&amp;"2)),
      COUNTIFS('SUMMARY DATA'!$D:$D,$C482,'SUMMARY DATA'!$B:$B,""RWS"")&lt;&gt;1
    ),
    """",
    IFERROR(TEXTJOIN(CHAR(10),TRUE,FILTER('SUMMARY DATA'!G:G,'SUMMARY DATA'!$D:$D=$C482,'SUMMARY DATA'!$B:$B=""RWS"")),"""")
  )
)"),"")</f>
      </c>
      <c r="H482" s="18" t="str">
        <f>IFERROR(__xludf.DUMMYFUNCTION("IFERROR(
  TEXTJOIN(CHAR(10),TRUE,FILTER('SUMMARY DATA'!H:H,'SUMMARY DATA'!$A:$A=$A482,'SUMMARY DATA'!$C:$C=$B482,'SUMMARY DATA'!$B:$B=""RWS"",'SUMMARY DATA'!$H:$H=$D482)),
  IF(
    OR(
      ISNUMBER(SEARCH(""CDM CASH DEPOSIT"",$C482)),
      ISNUMBER(S"&amp;"EARCH(""CASH DEPOSIT"",$C482))
    ),
    """",
    IFERROR(TEXTJOIN(CHAR(10),TRUE,FILTER('SUMMARY DATA'!H:H,'SUMMARY DATA'!$D:$D=$C482,'SUMMARY DATA'!$B:$B=""RWS"",'SUMMARY DATA'!$H:$H=$D482)),"""")
  )
)"),"")</f>
      </c>
      <c r="I482" s="18" t="str">
        <f>IFERROR(__xludf.DUMMYFUNCTION("IF(H482="""","""",
SUM(ARRAYFORMULA(VALUE(SPLIT(H482,CHAR(10)))))
)"),"")</f>
      </c>
      <c r="J482" s="17" t="str">
        <f>IFERROR(__xludf.DUMMYFUNCTION("IFERROR(
  TEXTJOIN(CHAR(10),TRUE,FILTER('SUMMARY DATA'!I:I,'SUMMARY DATA'!$A:$A=$A482,'SUMMARY DATA'!$C:$C=$B482,'SUMMARY DATA'!$B:$B=""RWS"")),
  IF(
    OR(
      ISNUMBER(SEARCH(""CDM CASH DEPOSIT"",$C482)),
      ISNUMBER(SEARCH(""CASH DEPOSIT"",$C48"&amp;"2)),
      COUNTIFS('SUMMARY DATA'!$D:$D,$C482,'SUMMARY DATA'!$B:$B,""RWS"")&lt;&gt;1
    ),
    """",
    IFERROR(TEXTJOIN(CHAR(10),TRUE,FILTER('SUMMARY DATA'!I:I,'SUMMARY DATA'!$D:$D=$C482,'SUMMARY DATA'!$B:$B=""RWS"")),"""")
  )
)"),"")</f>
      </c>
      <c r="K482" s="2"/>
      <c r="L482" s="2"/>
      <c r="M482" s="2"/>
      <c r="N482" s="2"/>
      <c r="O482" s="2"/>
      <c r="P482" s="2"/>
      <c r="Q482" s="2"/>
      <c r="R482" s="2"/>
      <c r="S482" s="2"/>
      <c r="T482" s="2"/>
      <c r="U482" s="2"/>
      <c r="V482" s="2"/>
      <c r="W482" s="2"/>
      <c r="X482" s="2"/>
      <c r="Y482" s="2"/>
      <c r="Z482" s="2"/>
      <c r="AA482" s="2"/>
      <c r="AB482" s="2"/>
    </row>
    <row r="483" spans="1:28" customHeight="true">
      <c r="A483" s="2" t="s">
        <v>794</v>
      </c>
      <c r="B483" s="15">
        <v>46001</v>
      </c>
      <c r="C483" s="2" t="s">
        <v>795</v>
      </c>
      <c r="D483" s="3">
        <v>35.99</v>
      </c>
      <c r="E483" s="16" t="s">
        <v>2500</v>
      </c>
      <c r="F483" s="17" t="s">
        <v>2542</v>
      </c>
      <c r="G483" s="17" t="s">
        <v>2393</v>
      </c>
      <c r="H483" s="18">
        <v>35.99</v>
      </c>
      <c r="I483" s="18">
        <v>35.99</v>
      </c>
      <c r="J483" s="17" t="s">
        <v>2394</v>
      </c>
      <c r="K483" s="2" t="s">
        <v>2395</v>
      </c>
      <c r="L483" s="2"/>
      <c r="M483" s="2"/>
      <c r="N483" s="2"/>
      <c r="O483" s="2"/>
      <c r="P483" s="2"/>
      <c r="Q483" s="2"/>
      <c r="R483" s="2"/>
      <c r="S483" s="2"/>
      <c r="T483" s="2"/>
      <c r="U483" s="2"/>
      <c r="V483" s="2"/>
      <c r="W483" s="2"/>
      <c r="X483" s="2"/>
      <c r="Y483" s="2"/>
      <c r="Z483" s="2"/>
      <c r="AA483" s="2"/>
      <c r="AB483" s="2"/>
    </row>
    <row r="484" spans="1:28" customHeight="true">
      <c r="A484" s="2" t="s">
        <v>796</v>
      </c>
      <c r="B484" s="15">
        <v>46000</v>
      </c>
      <c r="C484" s="2" t="s">
        <v>797</v>
      </c>
      <c r="D484" s="3">
        <v>631</v>
      </c>
      <c r="E484" s="16" t="str">
        <f>IFERROR(__xludf.DUMMYFUNCTION("IFERROR(
  TEXTJOIN(CHAR(10),TRUE,FILTER('SUMMARY DATA'!E:E,'SUMMARY DATA'!$A:$A=$A484,'SUMMARY DATA'!$C:$C=$B484,'SUMMARY DATA'!$B:$B=""RWS"")),
  IF(
    OR(
      ISNUMBER(SEARCH(""CDM CASH DEPOSIT"",$C484)),
      ISNUMBER(SEARCH(""CASH DEPOSIT"",$C48"&amp;"4)),
      COUNTIFS('SUMMARY DATA'!$D:$D,$C484,'SUMMARY DATA'!$B:$B,""RWS"")&lt;&gt;1
    ),
    """",
    IFERROR(TEXTJOIN(CHAR(10),TRUE,FILTER('SUMMARY DATA'!E:E,'SUMMARY DATA'!$D:$D=$C484,'SUMMARY DATA'!$B:$B=""RWS"")),"""")
  )
)"),"")</f>
      </c>
      <c r="F484" s="17" t="str">
        <f>IFERROR(__xludf.DUMMYFUNCTION("IFERROR(
  TEXTJOIN(CHAR(10),TRUE,FILTER('SUMMARY DATA'!F:F,'SUMMARY DATA'!$A:$A=$A484,'SUMMARY DATA'!$C:$C=$B484,'SUMMARY DATA'!$B:$B=""RWS"")),
  IF(
    OR(
      ISNUMBER(SEARCH(""CDM CASH DEPOSIT"",$C484)),
      ISNUMBER(SEARCH(""CASH DEPOSIT"",$C48"&amp;"4)),
      COUNTIFS('SUMMARY DATA'!$D:$D,$C484,'SUMMARY DATA'!$B:$B,""RWS"")&lt;&gt;1
    ),
    """",
    IFERROR(TEXTJOIN(CHAR(10),TRUE,FILTER('SUMMARY DATA'!F:F,'SUMMARY DATA'!$D:$D=$C484,'SUMMARY DATA'!$B:$B=""RWS"")),"""")
  )
)"),"")</f>
      </c>
      <c r="G484" s="17" t="str">
        <f>IFERROR(__xludf.DUMMYFUNCTION("IFERROR(
  TEXTJOIN(CHAR(10),TRUE,FILTER('SUMMARY DATA'!G:G,'SUMMARY DATA'!$A:$A=$A484,'SUMMARY DATA'!$C:$C=$B484,'SUMMARY DATA'!$B:$B=""RWS"")),
  IF(
    OR(
      ISNUMBER(SEARCH(""CDM CASH DEPOSIT"",$C484)),
      ISNUMBER(SEARCH(""CASH DEPOSIT"",$C48"&amp;"4)),
      COUNTIFS('SUMMARY DATA'!$D:$D,$C484,'SUMMARY DATA'!$B:$B,""RWS"")&lt;&gt;1
    ),
    """",
    IFERROR(TEXTJOIN(CHAR(10),TRUE,FILTER('SUMMARY DATA'!G:G,'SUMMARY DATA'!$D:$D=$C484,'SUMMARY DATA'!$B:$B=""RWS"")),"""")
  )
)"),"")</f>
      </c>
      <c r="H484" s="18" t="str">
        <f>IFERROR(__xludf.DUMMYFUNCTION("IFERROR(
  TEXTJOIN(CHAR(10),TRUE,FILTER('SUMMARY DATA'!H:H,'SUMMARY DATA'!$A:$A=$A484,'SUMMARY DATA'!$C:$C=$B484,'SUMMARY DATA'!$B:$B=""RWS"",'SUMMARY DATA'!$H:$H=$D484)),
  IF(
    OR(
      ISNUMBER(SEARCH(""CDM CASH DEPOSIT"",$C484)),
      ISNUMBER(S"&amp;"EARCH(""CASH DEPOSIT"",$C484))
    ),
    """",
    IFERROR(TEXTJOIN(CHAR(10),TRUE,FILTER('SUMMARY DATA'!H:H,'SUMMARY DATA'!$D:$D=$C484,'SUMMARY DATA'!$B:$B=""RWS"",'SUMMARY DATA'!$H:$H=$D484)),"""")
  )
)"),"")</f>
      </c>
      <c r="I484" s="18" t="str">
        <f>IFERROR(__xludf.DUMMYFUNCTION("IF(H484="""","""",
SUM(ARRAYFORMULA(VALUE(SPLIT(H484,CHAR(10)))))
)"),"")</f>
      </c>
      <c r="J484" s="17" t="str">
        <f>IFERROR(__xludf.DUMMYFUNCTION("IFERROR(
  TEXTJOIN(CHAR(10),TRUE,FILTER('SUMMARY DATA'!I:I,'SUMMARY DATA'!$A:$A=$A484,'SUMMARY DATA'!$C:$C=$B484,'SUMMARY DATA'!$B:$B=""RWS"")),
  IF(
    OR(
      ISNUMBER(SEARCH(""CDM CASH DEPOSIT"",$C484)),
      ISNUMBER(SEARCH(""CASH DEPOSIT"",$C48"&amp;"4)),
      COUNTIFS('SUMMARY DATA'!$D:$D,$C484,'SUMMARY DATA'!$B:$B,""RWS"")&lt;&gt;1
    ),
    """",
    IFERROR(TEXTJOIN(CHAR(10),TRUE,FILTER('SUMMARY DATA'!I:I,'SUMMARY DATA'!$D:$D=$C484,'SUMMARY DATA'!$B:$B=""RWS"")),"""")
  )
)"),"")</f>
      </c>
      <c r="K484" s="2"/>
      <c r="L484" s="2"/>
      <c r="M484" s="2"/>
      <c r="N484" s="2"/>
      <c r="O484" s="2"/>
      <c r="P484" s="2"/>
      <c r="Q484" s="2"/>
      <c r="R484" s="2"/>
      <c r="S484" s="2"/>
      <c r="T484" s="2"/>
      <c r="U484" s="2"/>
      <c r="V484" s="2"/>
      <c r="W484" s="2"/>
      <c r="X484" s="2"/>
      <c r="Y484" s="2"/>
      <c r="Z484" s="2"/>
      <c r="AA484" s="2"/>
      <c r="AB484" s="2"/>
    </row>
    <row r="485" spans="1:28" customHeight="true">
      <c r="A485" s="2" t="s">
        <v>798</v>
      </c>
      <c r="B485" s="15">
        <v>46000</v>
      </c>
      <c r="C485" s="2" t="s">
        <v>799</v>
      </c>
      <c r="D485" s="3">
        <v>29</v>
      </c>
      <c r="E485" s="16" t="str">
        <f>IFERROR(__xludf.DUMMYFUNCTION("IFERROR(
  TEXTJOIN(CHAR(10),TRUE,FILTER('SUMMARY DATA'!E:E,'SUMMARY DATA'!$A:$A=$A485,'SUMMARY DATA'!$C:$C=$B485,'SUMMARY DATA'!$B:$B=""RWS"")),
  IF(
    OR(
      ISNUMBER(SEARCH(""CDM CASH DEPOSIT"",$C485)),
      ISNUMBER(SEARCH(""CASH DEPOSIT"",$C48"&amp;"5)),
      COUNTIFS('SUMMARY DATA'!$D:$D,$C485,'SUMMARY DATA'!$B:$B,""RWS"")&lt;&gt;1
    ),
    """",
    IFERROR(TEXTJOIN(CHAR(10),TRUE,FILTER('SUMMARY DATA'!E:E,'SUMMARY DATA'!$D:$D=$C485,'SUMMARY DATA'!$B:$B=""RWS"")),"""")
  )
)"),"")</f>
      </c>
      <c r="F485" s="17" t="str">
        <f>IFERROR(__xludf.DUMMYFUNCTION("IFERROR(
  TEXTJOIN(CHAR(10),TRUE,FILTER('SUMMARY DATA'!F:F,'SUMMARY DATA'!$A:$A=$A485,'SUMMARY DATA'!$C:$C=$B485,'SUMMARY DATA'!$B:$B=""RWS"")),
  IF(
    OR(
      ISNUMBER(SEARCH(""CDM CASH DEPOSIT"",$C485)),
      ISNUMBER(SEARCH(""CASH DEPOSIT"",$C48"&amp;"5)),
      COUNTIFS('SUMMARY DATA'!$D:$D,$C485,'SUMMARY DATA'!$B:$B,""RWS"")&lt;&gt;1
    ),
    """",
    IFERROR(TEXTJOIN(CHAR(10),TRUE,FILTER('SUMMARY DATA'!F:F,'SUMMARY DATA'!$D:$D=$C485,'SUMMARY DATA'!$B:$B=""RWS"")),"""")
  )
)"),"")</f>
      </c>
      <c r="G485" s="17" t="str">
        <f>IFERROR(__xludf.DUMMYFUNCTION("IFERROR(
  TEXTJOIN(CHAR(10),TRUE,FILTER('SUMMARY DATA'!G:G,'SUMMARY DATA'!$A:$A=$A485,'SUMMARY DATA'!$C:$C=$B485,'SUMMARY DATA'!$B:$B=""RWS"")),
  IF(
    OR(
      ISNUMBER(SEARCH(""CDM CASH DEPOSIT"",$C485)),
      ISNUMBER(SEARCH(""CASH DEPOSIT"",$C48"&amp;"5)),
      COUNTIFS('SUMMARY DATA'!$D:$D,$C485,'SUMMARY DATA'!$B:$B,""RWS"")&lt;&gt;1
    ),
    """",
    IFERROR(TEXTJOIN(CHAR(10),TRUE,FILTER('SUMMARY DATA'!G:G,'SUMMARY DATA'!$D:$D=$C485,'SUMMARY DATA'!$B:$B=""RWS"")),"""")
  )
)"),"")</f>
      </c>
      <c r="H485" s="18" t="str">
        <f>IFERROR(__xludf.DUMMYFUNCTION("IFERROR(
  TEXTJOIN(CHAR(10),TRUE,FILTER('SUMMARY DATA'!H:H,'SUMMARY DATA'!$A:$A=$A485,'SUMMARY DATA'!$C:$C=$B485,'SUMMARY DATA'!$B:$B=""RWS"",'SUMMARY DATA'!$H:$H=$D485)),
  IF(
    OR(
      ISNUMBER(SEARCH(""CDM CASH DEPOSIT"",$C485)),
      ISNUMBER(S"&amp;"EARCH(""CASH DEPOSIT"",$C485))
    ),
    """",
    IFERROR(TEXTJOIN(CHAR(10),TRUE,FILTER('SUMMARY DATA'!H:H,'SUMMARY DATA'!$D:$D=$C485,'SUMMARY DATA'!$B:$B=""RWS"",'SUMMARY DATA'!$H:$H=$D485)),"""")
  )
)"),"")</f>
      </c>
      <c r="I485" s="18" t="str">
        <f>IFERROR(__xludf.DUMMYFUNCTION("IF(H485="""","""",
SUM(ARRAYFORMULA(VALUE(SPLIT(H485,CHAR(10)))))
)"),"")</f>
      </c>
      <c r="J485" s="17" t="str">
        <f>IFERROR(__xludf.DUMMYFUNCTION("IFERROR(
  TEXTJOIN(CHAR(10),TRUE,FILTER('SUMMARY DATA'!I:I,'SUMMARY DATA'!$A:$A=$A485,'SUMMARY DATA'!$C:$C=$B485,'SUMMARY DATA'!$B:$B=""RWS"")),
  IF(
    OR(
      ISNUMBER(SEARCH(""CDM CASH DEPOSIT"",$C485)),
      ISNUMBER(SEARCH(""CASH DEPOSIT"",$C48"&amp;"5)),
      COUNTIFS('SUMMARY DATA'!$D:$D,$C485,'SUMMARY DATA'!$B:$B,""RWS"")&lt;&gt;1
    ),
    """",
    IFERROR(TEXTJOIN(CHAR(10),TRUE,FILTER('SUMMARY DATA'!I:I,'SUMMARY DATA'!$D:$D=$C485,'SUMMARY DATA'!$B:$B=""RWS"")),"""")
  )
)"),"")</f>
      </c>
      <c r="K485" s="2"/>
      <c r="L485" s="2"/>
      <c r="M485" s="2"/>
      <c r="N485" s="2"/>
      <c r="O485" s="2"/>
      <c r="P485" s="2"/>
      <c r="Q485" s="2"/>
      <c r="R485" s="2"/>
      <c r="S485" s="2"/>
      <c r="T485" s="2"/>
      <c r="U485" s="2"/>
      <c r="V485" s="2"/>
      <c r="W485" s="2"/>
      <c r="X485" s="2"/>
      <c r="Y485" s="2"/>
      <c r="Z485" s="2"/>
      <c r="AA485" s="2"/>
      <c r="AB485" s="2"/>
    </row>
    <row r="486" spans="1:28" customHeight="true">
      <c r="A486" s="2" t="s">
        <v>800</v>
      </c>
      <c r="B486" s="15">
        <v>46000</v>
      </c>
      <c r="C486" s="2" t="s">
        <v>801</v>
      </c>
      <c r="D486" s="3">
        <v>29.99</v>
      </c>
      <c r="E486" s="16" t="s">
        <v>2464</v>
      </c>
      <c r="F486" s="17" t="s">
        <v>2543</v>
      </c>
      <c r="G486" s="17" t="s">
        <v>2393</v>
      </c>
      <c r="H486" s="18">
        <v>29.99</v>
      </c>
      <c r="I486" s="18">
        <v>29.99</v>
      </c>
      <c r="J486" s="17" t="s">
        <v>2394</v>
      </c>
      <c r="K486" s="2" t="s">
        <v>2395</v>
      </c>
      <c r="L486" s="2"/>
      <c r="M486" s="2"/>
      <c r="N486" s="2"/>
      <c r="O486" s="2"/>
      <c r="P486" s="2"/>
      <c r="Q486" s="2"/>
      <c r="R486" s="2"/>
      <c r="S486" s="2"/>
      <c r="T486" s="2"/>
      <c r="U486" s="2"/>
      <c r="V486" s="2"/>
      <c r="W486" s="2"/>
      <c r="X486" s="2"/>
      <c r="Y486" s="2"/>
      <c r="Z486" s="2"/>
      <c r="AA486" s="2"/>
      <c r="AB486" s="2"/>
    </row>
    <row r="487" spans="1:28" customHeight="true">
      <c r="A487" s="2" t="s">
        <v>802</v>
      </c>
      <c r="B487" s="15">
        <v>45999</v>
      </c>
      <c r="C487" s="2" t="s">
        <v>803</v>
      </c>
      <c r="D487" s="3">
        <v>296.9</v>
      </c>
      <c r="E487" s="16" t="str">
        <f>IFERROR(__xludf.DUMMYFUNCTION("IFERROR(
  TEXTJOIN(CHAR(10),TRUE,FILTER('SUMMARY DATA'!E:E,'SUMMARY DATA'!$A:$A=$A487,'SUMMARY DATA'!$C:$C=$B487,'SUMMARY DATA'!$B:$B=""RWS"")),
  IF(
    OR(
      ISNUMBER(SEARCH(""CDM CASH DEPOSIT"",$C487)),
      ISNUMBER(SEARCH(""CASH DEPOSIT"",$C48"&amp;"7)),
      COUNTIFS('SUMMARY DATA'!$D:$D,$C487,'SUMMARY DATA'!$B:$B,""RWS"")&lt;&gt;1
    ),
    """",
    IFERROR(TEXTJOIN(CHAR(10),TRUE,FILTER('SUMMARY DATA'!E:E,'SUMMARY DATA'!$D:$D=$C487,'SUMMARY DATA'!$B:$B=""RWS"")),"""")
  )
)"),"")</f>
      </c>
      <c r="F487" s="17" t="str">
        <f>IFERROR(__xludf.DUMMYFUNCTION("IFERROR(
  TEXTJOIN(CHAR(10),TRUE,FILTER('SUMMARY DATA'!F:F,'SUMMARY DATA'!$A:$A=$A487,'SUMMARY DATA'!$C:$C=$B487,'SUMMARY DATA'!$B:$B=""RWS"")),
  IF(
    OR(
      ISNUMBER(SEARCH(""CDM CASH DEPOSIT"",$C487)),
      ISNUMBER(SEARCH(""CASH DEPOSIT"",$C48"&amp;"7)),
      COUNTIFS('SUMMARY DATA'!$D:$D,$C487,'SUMMARY DATA'!$B:$B,""RWS"")&lt;&gt;1
    ),
    """",
    IFERROR(TEXTJOIN(CHAR(10),TRUE,FILTER('SUMMARY DATA'!F:F,'SUMMARY DATA'!$D:$D=$C487,'SUMMARY DATA'!$B:$B=""RWS"")),"""")
  )
)"),"")</f>
      </c>
      <c r="G487" s="17" t="str">
        <f>IFERROR(__xludf.DUMMYFUNCTION("IFERROR(
  TEXTJOIN(CHAR(10),TRUE,FILTER('SUMMARY DATA'!G:G,'SUMMARY DATA'!$A:$A=$A487,'SUMMARY DATA'!$C:$C=$B487,'SUMMARY DATA'!$B:$B=""RWS"")),
  IF(
    OR(
      ISNUMBER(SEARCH(""CDM CASH DEPOSIT"",$C487)),
      ISNUMBER(SEARCH(""CASH DEPOSIT"",$C48"&amp;"7)),
      COUNTIFS('SUMMARY DATA'!$D:$D,$C487,'SUMMARY DATA'!$B:$B,""RWS"")&lt;&gt;1
    ),
    """",
    IFERROR(TEXTJOIN(CHAR(10),TRUE,FILTER('SUMMARY DATA'!G:G,'SUMMARY DATA'!$D:$D=$C487,'SUMMARY DATA'!$B:$B=""RWS"")),"""")
  )
)"),"")</f>
      </c>
      <c r="H487" s="18" t="str">
        <f>IFERROR(__xludf.DUMMYFUNCTION("IFERROR(
  TEXTJOIN(CHAR(10),TRUE,FILTER('SUMMARY DATA'!H:H,'SUMMARY DATA'!$A:$A=$A487,'SUMMARY DATA'!$C:$C=$B487,'SUMMARY DATA'!$B:$B=""RWS"",'SUMMARY DATA'!$H:$H=$D487)),
  IF(
    OR(
      ISNUMBER(SEARCH(""CDM CASH DEPOSIT"",$C487)),
      ISNUMBER(S"&amp;"EARCH(""CASH DEPOSIT"",$C487))
    ),
    """",
    IFERROR(TEXTJOIN(CHAR(10),TRUE,FILTER('SUMMARY DATA'!H:H,'SUMMARY DATA'!$D:$D=$C487,'SUMMARY DATA'!$B:$B=""RWS"",'SUMMARY DATA'!$H:$H=$D487)),"""")
  )
)"),"")</f>
      </c>
      <c r="I487" s="18" t="str">
        <f>IFERROR(__xludf.DUMMYFUNCTION("IF(H487="""","""",
SUM(ARRAYFORMULA(VALUE(SPLIT(H487,CHAR(10)))))
)"),"")</f>
      </c>
      <c r="J487" s="17" t="str">
        <f>IFERROR(__xludf.DUMMYFUNCTION("IFERROR(
  TEXTJOIN(CHAR(10),TRUE,FILTER('SUMMARY DATA'!I:I,'SUMMARY DATA'!$A:$A=$A487,'SUMMARY DATA'!$C:$C=$B487,'SUMMARY DATA'!$B:$B=""RWS"")),
  IF(
    OR(
      ISNUMBER(SEARCH(""CDM CASH DEPOSIT"",$C487)),
      ISNUMBER(SEARCH(""CASH DEPOSIT"",$C48"&amp;"7)),
      COUNTIFS('SUMMARY DATA'!$D:$D,$C487,'SUMMARY DATA'!$B:$B,""RWS"")&lt;&gt;1
    ),
    """",
    IFERROR(TEXTJOIN(CHAR(10),TRUE,FILTER('SUMMARY DATA'!I:I,'SUMMARY DATA'!$D:$D=$C487,'SUMMARY DATA'!$B:$B=""RWS"")),"""")
  )
)"),"")</f>
      </c>
      <c r="K487" s="2"/>
      <c r="L487" s="2"/>
      <c r="M487" s="2"/>
      <c r="N487" s="2"/>
      <c r="O487" s="2"/>
      <c r="P487" s="2"/>
      <c r="Q487" s="2"/>
      <c r="R487" s="2"/>
      <c r="S487" s="2"/>
      <c r="T487" s="2"/>
      <c r="U487" s="2"/>
      <c r="V487" s="2"/>
      <c r="W487" s="2"/>
      <c r="X487" s="2"/>
      <c r="Y487" s="2"/>
      <c r="Z487" s="2"/>
      <c r="AA487" s="2"/>
      <c r="AB487" s="2"/>
    </row>
    <row r="488" spans="1:28" customHeight="true">
      <c r="A488" s="2" t="s">
        <v>804</v>
      </c>
      <c r="B488" s="15">
        <v>45999</v>
      </c>
      <c r="C488" s="2" t="s">
        <v>805</v>
      </c>
      <c r="D488" s="3">
        <v>120</v>
      </c>
      <c r="E488" s="16" t="s">
        <v>2544</v>
      </c>
      <c r="F488" s="17" t="s">
        <v>2545</v>
      </c>
      <c r="G488" s="17" t="s">
        <v>2393</v>
      </c>
      <c r="H488" s="18">
        <v>120</v>
      </c>
      <c r="I488" s="18">
        <v>120</v>
      </c>
      <c r="J488" s="17" t="s">
        <v>2546</v>
      </c>
      <c r="K488" s="2" t="s">
        <v>2395</v>
      </c>
      <c r="L488" s="2"/>
      <c r="M488" s="2"/>
      <c r="N488" s="2"/>
      <c r="O488" s="2"/>
      <c r="P488" s="2"/>
      <c r="Q488" s="2"/>
      <c r="R488" s="2"/>
      <c r="S488" s="2"/>
      <c r="T488" s="2"/>
      <c r="U488" s="2"/>
      <c r="V488" s="2"/>
      <c r="W488" s="2"/>
      <c r="X488" s="2"/>
      <c r="Y488" s="2"/>
      <c r="Z488" s="2"/>
      <c r="AA488" s="2"/>
      <c r="AB488" s="2"/>
    </row>
    <row r="489" spans="1:28" customHeight="true">
      <c r="A489" s="2" t="s">
        <v>806</v>
      </c>
      <c r="B489" s="15">
        <v>45999</v>
      </c>
      <c r="C489" s="2" t="s">
        <v>807</v>
      </c>
      <c r="D489" s="3">
        <v>20</v>
      </c>
      <c r="E489" s="16" t="s">
        <v>2500</v>
      </c>
      <c r="F489" s="17" t="s">
        <v>2547</v>
      </c>
      <c r="G489" s="17" t="s">
        <v>2393</v>
      </c>
      <c r="H489" s="18">
        <v>20</v>
      </c>
      <c r="I489" s="18">
        <v>20</v>
      </c>
      <c r="J489" s="17" t="s">
        <v>2394</v>
      </c>
      <c r="K489" s="2" t="s">
        <v>2395</v>
      </c>
      <c r="L489" s="2"/>
      <c r="M489" s="2"/>
      <c r="N489" s="2"/>
      <c r="O489" s="2"/>
      <c r="P489" s="2"/>
      <c r="Q489" s="2"/>
      <c r="R489" s="2"/>
      <c r="S489" s="2"/>
      <c r="T489" s="2"/>
      <c r="U489" s="2"/>
      <c r="V489" s="2"/>
      <c r="W489" s="2"/>
      <c r="X489" s="2"/>
      <c r="Y489" s="2"/>
      <c r="Z489" s="2"/>
      <c r="AA489" s="2"/>
      <c r="AB489" s="2"/>
    </row>
    <row r="490" spans="1:28" customHeight="true">
      <c r="A490" s="2" t="s">
        <v>808</v>
      </c>
      <c r="B490" s="15">
        <v>45999</v>
      </c>
      <c r="C490" s="2" t="s">
        <v>809</v>
      </c>
      <c r="D490" s="3">
        <v>29.99</v>
      </c>
      <c r="E490" s="16" t="str">
        <f>IFERROR(__xludf.DUMMYFUNCTION("IFERROR(
  TEXTJOIN(CHAR(10),TRUE,FILTER('SUMMARY DATA'!E:E,'SUMMARY DATA'!$A:$A=$A490,'SUMMARY DATA'!$C:$C=$B490,'SUMMARY DATA'!$B:$B=""RWS"")),
  IF(
    OR(
      ISNUMBER(SEARCH(""CDM CASH DEPOSIT"",$C490)),
      ISNUMBER(SEARCH(""CASH DEPOSIT"",$C49"&amp;"0)),
      COUNTIFS('SUMMARY DATA'!$D:$D,$C490,'SUMMARY DATA'!$B:$B,""RWS"")&lt;&gt;1
    ),
    """",
    IFERROR(TEXTJOIN(CHAR(10),TRUE,FILTER('SUMMARY DATA'!E:E,'SUMMARY DATA'!$D:$D=$C490,'SUMMARY DATA'!$B:$B=""RWS"")),"""")
  )
)"),"")</f>
      </c>
      <c r="F490" s="17" t="str">
        <f>IFERROR(__xludf.DUMMYFUNCTION("IFERROR(
  TEXTJOIN(CHAR(10),TRUE,FILTER('SUMMARY DATA'!F:F,'SUMMARY DATA'!$A:$A=$A490,'SUMMARY DATA'!$C:$C=$B490,'SUMMARY DATA'!$B:$B=""RWS"")),
  IF(
    OR(
      ISNUMBER(SEARCH(""CDM CASH DEPOSIT"",$C490)),
      ISNUMBER(SEARCH(""CASH DEPOSIT"",$C49"&amp;"0)),
      COUNTIFS('SUMMARY DATA'!$D:$D,$C490,'SUMMARY DATA'!$B:$B,""RWS"")&lt;&gt;1
    ),
    """",
    IFERROR(TEXTJOIN(CHAR(10),TRUE,FILTER('SUMMARY DATA'!F:F,'SUMMARY DATA'!$D:$D=$C490,'SUMMARY DATA'!$B:$B=""RWS"")),"""")
  )
)"),"")</f>
      </c>
      <c r="G490" s="17" t="str">
        <f>IFERROR(__xludf.DUMMYFUNCTION("IFERROR(
  TEXTJOIN(CHAR(10),TRUE,FILTER('SUMMARY DATA'!G:G,'SUMMARY DATA'!$A:$A=$A490,'SUMMARY DATA'!$C:$C=$B490,'SUMMARY DATA'!$B:$B=""RWS"")),
  IF(
    OR(
      ISNUMBER(SEARCH(""CDM CASH DEPOSIT"",$C490)),
      ISNUMBER(SEARCH(""CASH DEPOSIT"",$C49"&amp;"0)),
      COUNTIFS('SUMMARY DATA'!$D:$D,$C490,'SUMMARY DATA'!$B:$B,""RWS"")&lt;&gt;1
    ),
    """",
    IFERROR(TEXTJOIN(CHAR(10),TRUE,FILTER('SUMMARY DATA'!G:G,'SUMMARY DATA'!$D:$D=$C490,'SUMMARY DATA'!$B:$B=""RWS"")),"""")
  )
)"),"")</f>
      </c>
      <c r="H490" s="18" t="str">
        <f>IFERROR(__xludf.DUMMYFUNCTION("IFERROR(
  TEXTJOIN(CHAR(10),TRUE,FILTER('SUMMARY DATA'!H:H,'SUMMARY DATA'!$A:$A=$A490,'SUMMARY DATA'!$C:$C=$B490,'SUMMARY DATA'!$B:$B=""RWS"",'SUMMARY DATA'!$H:$H=$D490)),
  IF(
    OR(
      ISNUMBER(SEARCH(""CDM CASH DEPOSIT"",$C490)),
      ISNUMBER(S"&amp;"EARCH(""CASH DEPOSIT"",$C490))
    ),
    """",
    IFERROR(TEXTJOIN(CHAR(10),TRUE,FILTER('SUMMARY DATA'!H:H,'SUMMARY DATA'!$D:$D=$C490,'SUMMARY DATA'!$B:$B=""RWS"",'SUMMARY DATA'!$H:$H=$D490)),"""")
  )
)"),"")</f>
      </c>
      <c r="I490" s="18" t="str">
        <f>IFERROR(__xludf.DUMMYFUNCTION("IF(H490="""","""",
SUM(ARRAYFORMULA(VALUE(SPLIT(H490,CHAR(10)))))
)"),"")</f>
      </c>
      <c r="J490" s="17" t="str">
        <f>IFERROR(__xludf.DUMMYFUNCTION("IFERROR(
  TEXTJOIN(CHAR(10),TRUE,FILTER('SUMMARY DATA'!I:I,'SUMMARY DATA'!$A:$A=$A490,'SUMMARY DATA'!$C:$C=$B490,'SUMMARY DATA'!$B:$B=""RWS"")),
  IF(
    OR(
      ISNUMBER(SEARCH(""CDM CASH DEPOSIT"",$C490)),
      ISNUMBER(SEARCH(""CASH DEPOSIT"",$C49"&amp;"0)),
      COUNTIFS('SUMMARY DATA'!$D:$D,$C490,'SUMMARY DATA'!$B:$B,""RWS"")&lt;&gt;1
    ),
    """",
    IFERROR(TEXTJOIN(CHAR(10),TRUE,FILTER('SUMMARY DATA'!I:I,'SUMMARY DATA'!$D:$D=$C490,'SUMMARY DATA'!$B:$B=""RWS"")),"""")
  )
)"),"")</f>
      </c>
      <c r="K490" s="2"/>
      <c r="L490" s="2"/>
      <c r="M490" s="2"/>
      <c r="N490" s="2"/>
      <c r="O490" s="2"/>
      <c r="P490" s="2"/>
      <c r="Q490" s="2"/>
      <c r="R490" s="2"/>
      <c r="S490" s="2"/>
      <c r="T490" s="2"/>
      <c r="U490" s="2"/>
      <c r="V490" s="2"/>
      <c r="W490" s="2"/>
      <c r="X490" s="2"/>
      <c r="Y490" s="2"/>
      <c r="Z490" s="2"/>
      <c r="AA490" s="2"/>
      <c r="AB490" s="2"/>
    </row>
    <row r="491" spans="1:28" customHeight="true">
      <c r="A491" s="2" t="s">
        <v>781</v>
      </c>
      <c r="B491" s="15">
        <v>45999</v>
      </c>
      <c r="C491" s="2" t="s">
        <v>810</v>
      </c>
      <c r="D491" s="3">
        <v>430.12</v>
      </c>
      <c r="E491" s="16" t="str">
        <f>IFERROR(__xludf.DUMMYFUNCTION("IFERROR(
  TEXTJOIN(CHAR(10),TRUE,FILTER('SUMMARY DATA'!E:E,'SUMMARY DATA'!$A:$A=$A491,'SUMMARY DATA'!$C:$C=$B491,'SUMMARY DATA'!$B:$B=""RWS"")),
  IF(
    OR(
      ISNUMBER(SEARCH(""CDM CASH DEPOSIT"",$C491)),
      ISNUMBER(SEARCH(""CASH DEPOSIT"",$C49"&amp;"1)),
      COUNTIFS('SUMMARY DATA'!$D:$D,$C491,'SUMMARY DATA'!$B:$B,""RWS"")&lt;&gt;1
    ),
    """",
    IFERROR(TEXTJOIN(CHAR(10),TRUE,FILTER('SUMMARY DATA'!E:E,'SUMMARY DATA'!$D:$D=$C491,'SUMMARY DATA'!$B:$B=""RWS"")),"""")
  )
)"),"")</f>
      </c>
      <c r="F491" s="17" t="str">
        <f>IFERROR(__xludf.DUMMYFUNCTION("IFERROR(
  TEXTJOIN(CHAR(10),TRUE,FILTER('SUMMARY DATA'!F:F,'SUMMARY DATA'!$A:$A=$A491,'SUMMARY DATA'!$C:$C=$B491,'SUMMARY DATA'!$B:$B=""RWS"")),
  IF(
    OR(
      ISNUMBER(SEARCH(""CDM CASH DEPOSIT"",$C491)),
      ISNUMBER(SEARCH(""CASH DEPOSIT"",$C49"&amp;"1)),
      COUNTIFS('SUMMARY DATA'!$D:$D,$C491,'SUMMARY DATA'!$B:$B,""RWS"")&lt;&gt;1
    ),
    """",
    IFERROR(TEXTJOIN(CHAR(10),TRUE,FILTER('SUMMARY DATA'!F:F,'SUMMARY DATA'!$D:$D=$C491,'SUMMARY DATA'!$B:$B=""RWS"")),"""")
  )
)"),"")</f>
      </c>
      <c r="G491" s="17" t="str">
        <f>IFERROR(__xludf.DUMMYFUNCTION("IFERROR(
  TEXTJOIN(CHAR(10),TRUE,FILTER('SUMMARY DATA'!G:G,'SUMMARY DATA'!$A:$A=$A491,'SUMMARY DATA'!$C:$C=$B491,'SUMMARY DATA'!$B:$B=""RWS"")),
  IF(
    OR(
      ISNUMBER(SEARCH(""CDM CASH DEPOSIT"",$C491)),
      ISNUMBER(SEARCH(""CASH DEPOSIT"",$C49"&amp;"1)),
      COUNTIFS('SUMMARY DATA'!$D:$D,$C491,'SUMMARY DATA'!$B:$B,""RWS"")&lt;&gt;1
    ),
    """",
    IFERROR(TEXTJOIN(CHAR(10),TRUE,FILTER('SUMMARY DATA'!G:G,'SUMMARY DATA'!$D:$D=$C491,'SUMMARY DATA'!$B:$B=""RWS"")),"""")
  )
)"),"")</f>
      </c>
      <c r="H491" s="18" t="str">
        <f>IFERROR(__xludf.DUMMYFUNCTION("IFERROR(
  TEXTJOIN(CHAR(10),TRUE,FILTER('SUMMARY DATA'!H:H,'SUMMARY DATA'!$A:$A=$A491,'SUMMARY DATA'!$C:$C=$B491,'SUMMARY DATA'!$B:$B=""RWS"",'SUMMARY DATA'!$H:$H=$D491)),
  IF(
    OR(
      ISNUMBER(SEARCH(""CDM CASH DEPOSIT"",$C491)),
      ISNUMBER(S"&amp;"EARCH(""CASH DEPOSIT"",$C491))
    ),
    """",
    IFERROR(TEXTJOIN(CHAR(10),TRUE,FILTER('SUMMARY DATA'!H:H,'SUMMARY DATA'!$D:$D=$C491,'SUMMARY DATA'!$B:$B=""RWS"",'SUMMARY DATA'!$H:$H=$D491)),"""")
  )
)"),"")</f>
      </c>
      <c r="I491" s="18" t="str">
        <f>IFERROR(__xludf.DUMMYFUNCTION("IF(H491="""","""",
SUM(ARRAYFORMULA(VALUE(SPLIT(H491,CHAR(10)))))
)"),"")</f>
      </c>
      <c r="J491" s="17" t="str">
        <f>IFERROR(__xludf.DUMMYFUNCTION("IFERROR(
  TEXTJOIN(CHAR(10),TRUE,FILTER('SUMMARY DATA'!I:I,'SUMMARY DATA'!$A:$A=$A491,'SUMMARY DATA'!$C:$C=$B491,'SUMMARY DATA'!$B:$B=""RWS"")),
  IF(
    OR(
      ISNUMBER(SEARCH(""CDM CASH DEPOSIT"",$C491)),
      ISNUMBER(SEARCH(""CASH DEPOSIT"",$C49"&amp;"1)),
      COUNTIFS('SUMMARY DATA'!$D:$D,$C491,'SUMMARY DATA'!$B:$B,""RWS"")&lt;&gt;1
    ),
    """",
    IFERROR(TEXTJOIN(CHAR(10),TRUE,FILTER('SUMMARY DATA'!I:I,'SUMMARY DATA'!$D:$D=$C491,'SUMMARY DATA'!$B:$B=""RWS"")),"""")
  )
)"),"")</f>
      </c>
      <c r="K491" s="2"/>
      <c r="L491" s="2"/>
      <c r="M491" s="2"/>
      <c r="N491" s="2"/>
      <c r="O491" s="2"/>
      <c r="P491" s="2"/>
      <c r="Q491" s="2"/>
      <c r="R491" s="2"/>
      <c r="S491" s="2"/>
      <c r="T491" s="2"/>
      <c r="U491" s="2"/>
      <c r="V491" s="2"/>
      <c r="W491" s="2"/>
      <c r="X491" s="2"/>
      <c r="Y491" s="2"/>
      <c r="Z491" s="2"/>
      <c r="AA491" s="2"/>
      <c r="AB491" s="2"/>
    </row>
    <row r="492" spans="1:28" customHeight="true">
      <c r="A492" s="2" t="s">
        <v>811</v>
      </c>
      <c r="B492" s="15">
        <v>45999</v>
      </c>
      <c r="C492" s="2" t="s">
        <v>812</v>
      </c>
      <c r="D492" s="3">
        <v>353.39</v>
      </c>
      <c r="E492" s="16" t="str">
        <f>IFERROR(__xludf.DUMMYFUNCTION("IFERROR(
  TEXTJOIN(CHAR(10),TRUE,FILTER('SUMMARY DATA'!E:E,'SUMMARY DATA'!$A:$A=$A492,'SUMMARY DATA'!$C:$C=$B492,'SUMMARY DATA'!$B:$B=""RWS"")),
  IF(
    OR(
      ISNUMBER(SEARCH(""CDM CASH DEPOSIT"",$C492)),
      ISNUMBER(SEARCH(""CASH DEPOSIT"",$C49"&amp;"2)),
      COUNTIFS('SUMMARY DATA'!$D:$D,$C492,'SUMMARY DATA'!$B:$B,""RWS"")&lt;&gt;1
    ),
    """",
    IFERROR(TEXTJOIN(CHAR(10),TRUE,FILTER('SUMMARY DATA'!E:E,'SUMMARY DATA'!$D:$D=$C492,'SUMMARY DATA'!$B:$B=""RWS"")),"""")
  )
)"),"")</f>
      </c>
      <c r="F492" s="17" t="str">
        <f>IFERROR(__xludf.DUMMYFUNCTION("IFERROR(
  TEXTJOIN(CHAR(10),TRUE,FILTER('SUMMARY DATA'!F:F,'SUMMARY DATA'!$A:$A=$A492,'SUMMARY DATA'!$C:$C=$B492,'SUMMARY DATA'!$B:$B=""RWS"")),
  IF(
    OR(
      ISNUMBER(SEARCH(""CDM CASH DEPOSIT"",$C492)),
      ISNUMBER(SEARCH(""CASH DEPOSIT"",$C49"&amp;"2)),
      COUNTIFS('SUMMARY DATA'!$D:$D,$C492,'SUMMARY DATA'!$B:$B,""RWS"")&lt;&gt;1
    ),
    """",
    IFERROR(TEXTJOIN(CHAR(10),TRUE,FILTER('SUMMARY DATA'!F:F,'SUMMARY DATA'!$D:$D=$C492,'SUMMARY DATA'!$B:$B=""RWS"")),"""")
  )
)"),"")</f>
      </c>
      <c r="G492" s="17" t="str">
        <f>IFERROR(__xludf.DUMMYFUNCTION("IFERROR(
  TEXTJOIN(CHAR(10),TRUE,FILTER('SUMMARY DATA'!G:G,'SUMMARY DATA'!$A:$A=$A492,'SUMMARY DATA'!$C:$C=$B492,'SUMMARY DATA'!$B:$B=""RWS"")),
  IF(
    OR(
      ISNUMBER(SEARCH(""CDM CASH DEPOSIT"",$C492)),
      ISNUMBER(SEARCH(""CASH DEPOSIT"",$C49"&amp;"2)),
      COUNTIFS('SUMMARY DATA'!$D:$D,$C492,'SUMMARY DATA'!$B:$B,""RWS"")&lt;&gt;1
    ),
    """",
    IFERROR(TEXTJOIN(CHAR(10),TRUE,FILTER('SUMMARY DATA'!G:G,'SUMMARY DATA'!$D:$D=$C492,'SUMMARY DATA'!$B:$B=""RWS"")),"""")
  )
)"),"")</f>
      </c>
      <c r="H492" s="18" t="str">
        <f>IFERROR(__xludf.DUMMYFUNCTION("IFERROR(
  TEXTJOIN(CHAR(10),TRUE,FILTER('SUMMARY DATA'!H:H,'SUMMARY DATA'!$A:$A=$A492,'SUMMARY DATA'!$C:$C=$B492,'SUMMARY DATA'!$B:$B=""RWS"",'SUMMARY DATA'!$H:$H=$D492)),
  IF(
    OR(
      ISNUMBER(SEARCH(""CDM CASH DEPOSIT"",$C492)),
      ISNUMBER(S"&amp;"EARCH(""CASH DEPOSIT"",$C492))
    ),
    """",
    IFERROR(TEXTJOIN(CHAR(10),TRUE,FILTER('SUMMARY DATA'!H:H,'SUMMARY DATA'!$D:$D=$C492,'SUMMARY DATA'!$B:$B=""RWS"",'SUMMARY DATA'!$H:$H=$D492)),"""")
  )
)"),"")</f>
      </c>
      <c r="I492" s="18" t="str">
        <f>IFERROR(__xludf.DUMMYFUNCTION("IF(H492="""","""",
SUM(ARRAYFORMULA(VALUE(SPLIT(H492,CHAR(10)))))
)"),"")</f>
      </c>
      <c r="J492" s="17" t="str">
        <f>IFERROR(__xludf.DUMMYFUNCTION("IFERROR(
  TEXTJOIN(CHAR(10),TRUE,FILTER('SUMMARY DATA'!I:I,'SUMMARY DATA'!$A:$A=$A492,'SUMMARY DATA'!$C:$C=$B492,'SUMMARY DATA'!$B:$B=""RWS"")),
  IF(
    OR(
      ISNUMBER(SEARCH(""CDM CASH DEPOSIT"",$C492)),
      ISNUMBER(SEARCH(""CASH DEPOSIT"",$C49"&amp;"2)),
      COUNTIFS('SUMMARY DATA'!$D:$D,$C492,'SUMMARY DATA'!$B:$B,""RWS"")&lt;&gt;1
    ),
    """",
    IFERROR(TEXTJOIN(CHAR(10),TRUE,FILTER('SUMMARY DATA'!I:I,'SUMMARY DATA'!$D:$D=$C492,'SUMMARY DATA'!$B:$B=""RWS"")),"""")
  )
)"),"")</f>
      </c>
      <c r="K492" s="2"/>
      <c r="L492" s="2"/>
      <c r="M492" s="2"/>
      <c r="N492" s="2"/>
      <c r="O492" s="2"/>
      <c r="P492" s="2"/>
      <c r="Q492" s="2"/>
      <c r="R492" s="2"/>
      <c r="S492" s="2"/>
      <c r="T492" s="2"/>
      <c r="U492" s="2"/>
      <c r="V492" s="2"/>
      <c r="W492" s="2"/>
      <c r="X492" s="2"/>
      <c r="Y492" s="2"/>
      <c r="Z492" s="2"/>
      <c r="AA492" s="2"/>
      <c r="AB492" s="2"/>
    </row>
    <row r="493" spans="1:28" customHeight="true">
      <c r="A493" s="2"/>
      <c r="B493" s="15">
        <v>45998</v>
      </c>
      <c r="C493" s="2" t="s">
        <v>813</v>
      </c>
      <c r="D493" s="3">
        <v>39.9</v>
      </c>
      <c r="E493" s="16" t="str">
        <f>IFERROR(__xludf.DUMMYFUNCTION("IFERROR(
  TEXTJOIN(CHAR(10),TRUE,FILTER('SUMMARY DATA'!E:E,'SUMMARY DATA'!$A:$A=$A493,'SUMMARY DATA'!$C:$C=$B493,'SUMMARY DATA'!$B:$B=""RWS"")),
  IF(
    OR(
      ISNUMBER(SEARCH(""CDM CASH DEPOSIT"",$C493)),
      ISNUMBER(SEARCH(""CASH DEPOSIT"",$C49"&amp;"3)),
      COUNTIFS('SUMMARY DATA'!$D:$D,$C493,'SUMMARY DATA'!$B:$B,""RWS"")&lt;&gt;1
    ),
    """",
    IFERROR(TEXTJOIN(CHAR(10),TRUE,FILTER('SUMMARY DATA'!E:E,'SUMMARY DATA'!$D:$D=$C493,'SUMMARY DATA'!$B:$B=""RWS"")),"""")
  )
)"),"")</f>
      </c>
      <c r="F493" s="17" t="str">
        <f>IFERROR(__xludf.DUMMYFUNCTION("IFERROR(
  TEXTJOIN(CHAR(10),TRUE,FILTER('SUMMARY DATA'!F:F,'SUMMARY DATA'!$A:$A=$A493,'SUMMARY DATA'!$C:$C=$B493,'SUMMARY DATA'!$B:$B=""RWS"")),
  IF(
    OR(
      ISNUMBER(SEARCH(""CDM CASH DEPOSIT"",$C493)),
      ISNUMBER(SEARCH(""CASH DEPOSIT"",$C49"&amp;"3)),
      COUNTIFS('SUMMARY DATA'!$D:$D,$C493,'SUMMARY DATA'!$B:$B,""RWS"")&lt;&gt;1
    ),
    """",
    IFERROR(TEXTJOIN(CHAR(10),TRUE,FILTER('SUMMARY DATA'!F:F,'SUMMARY DATA'!$D:$D=$C493,'SUMMARY DATA'!$B:$B=""RWS"")),"""")
  )
)"),"")</f>
      </c>
      <c r="G493" s="17" t="str">
        <f>IFERROR(__xludf.DUMMYFUNCTION("IFERROR(
  TEXTJOIN(CHAR(10),TRUE,FILTER('SUMMARY DATA'!G:G,'SUMMARY DATA'!$A:$A=$A493,'SUMMARY DATA'!$C:$C=$B493,'SUMMARY DATA'!$B:$B=""RWS"")),
  IF(
    OR(
      ISNUMBER(SEARCH(""CDM CASH DEPOSIT"",$C493)),
      ISNUMBER(SEARCH(""CASH DEPOSIT"",$C49"&amp;"3)),
      COUNTIFS('SUMMARY DATA'!$D:$D,$C493,'SUMMARY DATA'!$B:$B,""RWS"")&lt;&gt;1
    ),
    """",
    IFERROR(TEXTJOIN(CHAR(10),TRUE,FILTER('SUMMARY DATA'!G:G,'SUMMARY DATA'!$D:$D=$C493,'SUMMARY DATA'!$B:$B=""RWS"")),"""")
  )
)"),"")</f>
      </c>
      <c r="H493" s="18" t="str">
        <f>IFERROR(__xludf.DUMMYFUNCTION("IFERROR(
  TEXTJOIN(CHAR(10),TRUE,FILTER('SUMMARY DATA'!H:H,'SUMMARY DATA'!$A:$A=$A493,'SUMMARY DATA'!$C:$C=$B493,'SUMMARY DATA'!$B:$B=""RWS"",'SUMMARY DATA'!$H:$H=$D493)),
  IF(
    OR(
      ISNUMBER(SEARCH(""CDM CASH DEPOSIT"",$C493)),
      ISNUMBER(S"&amp;"EARCH(""CASH DEPOSIT"",$C493))
    ),
    """",
    IFERROR(TEXTJOIN(CHAR(10),TRUE,FILTER('SUMMARY DATA'!H:H,'SUMMARY DATA'!$D:$D=$C493,'SUMMARY DATA'!$B:$B=""RWS"",'SUMMARY DATA'!$H:$H=$D493)),"""")
  )
)"),"")</f>
      </c>
      <c r="I493" s="18" t="str">
        <f>IFERROR(__xludf.DUMMYFUNCTION("IF(H493="""","""",
SUM(ARRAYFORMULA(VALUE(SPLIT(H493,CHAR(10)))))
)"),"")</f>
      </c>
      <c r="J493" s="17" t="str">
        <f>IFERROR(__xludf.DUMMYFUNCTION("IFERROR(
  TEXTJOIN(CHAR(10),TRUE,FILTER('SUMMARY DATA'!I:I,'SUMMARY DATA'!$A:$A=$A493,'SUMMARY DATA'!$C:$C=$B493,'SUMMARY DATA'!$B:$B=""RWS"")),
  IF(
    OR(
      ISNUMBER(SEARCH(""CDM CASH DEPOSIT"",$C493)),
      ISNUMBER(SEARCH(""CASH DEPOSIT"",$C49"&amp;"3)),
      COUNTIFS('SUMMARY DATA'!$D:$D,$C493,'SUMMARY DATA'!$B:$B,""RWS"")&lt;&gt;1
    ),
    """",
    IFERROR(TEXTJOIN(CHAR(10),TRUE,FILTER('SUMMARY DATA'!I:I,'SUMMARY DATA'!$D:$D=$C493,'SUMMARY DATA'!$B:$B=""RWS"")),"""")
  )
)"),"")</f>
      </c>
      <c r="K493" s="2"/>
      <c r="L493" s="2"/>
      <c r="M493" s="2"/>
      <c r="N493" s="2"/>
      <c r="O493" s="2"/>
      <c r="P493" s="2"/>
      <c r="Q493" s="2"/>
      <c r="R493" s="2"/>
      <c r="S493" s="2"/>
      <c r="T493" s="2"/>
      <c r="U493" s="2"/>
      <c r="V493" s="2"/>
      <c r="W493" s="2"/>
      <c r="X493" s="2"/>
      <c r="Y493" s="2"/>
      <c r="Z493" s="2"/>
      <c r="AA493" s="2"/>
      <c r="AB493" s="2"/>
    </row>
    <row r="494" spans="1:28" customHeight="true">
      <c r="A494" s="2" t="s">
        <v>814</v>
      </c>
      <c r="B494" s="15">
        <v>45998</v>
      </c>
      <c r="C494" s="2" t="s">
        <v>815</v>
      </c>
      <c r="D494" s="3">
        <v>2958.68</v>
      </c>
      <c r="E494" s="16" t="s">
        <v>2495</v>
      </c>
      <c r="F494" s="17" t="s">
        <v>2548</v>
      </c>
      <c r="G494" s="17" t="s">
        <v>2393</v>
      </c>
      <c r="H494" s="18">
        <v>2958.68</v>
      </c>
      <c r="I494" s="18">
        <v>2958.68</v>
      </c>
      <c r="J494" s="17" t="s">
        <v>2394</v>
      </c>
      <c r="K494" s="2" t="s">
        <v>2395</v>
      </c>
      <c r="L494" s="2"/>
      <c r="M494" s="2"/>
      <c r="N494" s="2"/>
      <c r="O494" s="2"/>
      <c r="P494" s="2"/>
      <c r="Q494" s="2"/>
      <c r="R494" s="2"/>
      <c r="S494" s="2"/>
      <c r="T494" s="2"/>
      <c r="U494" s="2"/>
      <c r="V494" s="2"/>
      <c r="W494" s="2"/>
      <c r="X494" s="2"/>
      <c r="Y494" s="2"/>
      <c r="Z494" s="2"/>
      <c r="AA494" s="2"/>
      <c r="AB494" s="2"/>
    </row>
    <row r="495" spans="1:28" customHeight="true">
      <c r="A495" s="2" t="s">
        <v>816</v>
      </c>
      <c r="B495" s="15">
        <v>45998</v>
      </c>
      <c r="C495" s="2" t="s">
        <v>817</v>
      </c>
      <c r="D495" s="3">
        <v>22</v>
      </c>
      <c r="E495" s="16" t="str">
        <f>IFERROR(__xludf.DUMMYFUNCTION("IFERROR(
  TEXTJOIN(CHAR(10),TRUE,FILTER('SUMMARY DATA'!E:E,'SUMMARY DATA'!$A:$A=$A495,'SUMMARY DATA'!$C:$C=$B495,'SUMMARY DATA'!$B:$B=""RWS"")),
  IF(
    OR(
      ISNUMBER(SEARCH(""CDM CASH DEPOSIT"",$C495)),
      ISNUMBER(SEARCH(""CASH DEPOSIT"",$C49"&amp;"5)),
      COUNTIFS('SUMMARY DATA'!$D:$D,$C495,'SUMMARY DATA'!$B:$B,""RWS"")&lt;&gt;1
    ),
    """",
    IFERROR(TEXTJOIN(CHAR(10),TRUE,FILTER('SUMMARY DATA'!E:E,'SUMMARY DATA'!$D:$D=$C495,'SUMMARY DATA'!$B:$B=""RWS"")),"""")
  )
)"),"")</f>
      </c>
      <c r="F495" s="17" t="str">
        <f>IFERROR(__xludf.DUMMYFUNCTION("IFERROR(
  TEXTJOIN(CHAR(10),TRUE,FILTER('SUMMARY DATA'!F:F,'SUMMARY DATA'!$A:$A=$A495,'SUMMARY DATA'!$C:$C=$B495,'SUMMARY DATA'!$B:$B=""RWS"")),
  IF(
    OR(
      ISNUMBER(SEARCH(""CDM CASH DEPOSIT"",$C495)),
      ISNUMBER(SEARCH(""CASH DEPOSIT"",$C49"&amp;"5)),
      COUNTIFS('SUMMARY DATA'!$D:$D,$C495,'SUMMARY DATA'!$B:$B,""RWS"")&lt;&gt;1
    ),
    """",
    IFERROR(TEXTJOIN(CHAR(10),TRUE,FILTER('SUMMARY DATA'!F:F,'SUMMARY DATA'!$D:$D=$C495,'SUMMARY DATA'!$B:$B=""RWS"")),"""")
  )
)"),"")</f>
      </c>
      <c r="G495" s="17" t="str">
        <f>IFERROR(__xludf.DUMMYFUNCTION("IFERROR(
  TEXTJOIN(CHAR(10),TRUE,FILTER('SUMMARY DATA'!G:G,'SUMMARY DATA'!$A:$A=$A495,'SUMMARY DATA'!$C:$C=$B495,'SUMMARY DATA'!$B:$B=""RWS"")),
  IF(
    OR(
      ISNUMBER(SEARCH(""CDM CASH DEPOSIT"",$C495)),
      ISNUMBER(SEARCH(""CASH DEPOSIT"",$C49"&amp;"5)),
      COUNTIFS('SUMMARY DATA'!$D:$D,$C495,'SUMMARY DATA'!$B:$B,""RWS"")&lt;&gt;1
    ),
    """",
    IFERROR(TEXTJOIN(CHAR(10),TRUE,FILTER('SUMMARY DATA'!G:G,'SUMMARY DATA'!$D:$D=$C495,'SUMMARY DATA'!$B:$B=""RWS"")),"""")
  )
)"),"")</f>
      </c>
      <c r="H495" s="18" t="str">
        <f>IFERROR(__xludf.DUMMYFUNCTION("IFERROR(
  TEXTJOIN(CHAR(10),TRUE,FILTER('SUMMARY DATA'!H:H,'SUMMARY DATA'!$A:$A=$A495,'SUMMARY DATA'!$C:$C=$B495,'SUMMARY DATA'!$B:$B=""RWS"",'SUMMARY DATA'!$H:$H=$D495)),
  IF(
    OR(
      ISNUMBER(SEARCH(""CDM CASH DEPOSIT"",$C495)),
      ISNUMBER(S"&amp;"EARCH(""CASH DEPOSIT"",$C495))
    ),
    """",
    IFERROR(TEXTJOIN(CHAR(10),TRUE,FILTER('SUMMARY DATA'!H:H,'SUMMARY DATA'!$D:$D=$C495,'SUMMARY DATA'!$B:$B=""RWS"",'SUMMARY DATA'!$H:$H=$D495)),"""")
  )
)"),"")</f>
      </c>
      <c r="I495" s="18" t="str">
        <f>IFERROR(__xludf.DUMMYFUNCTION("IF(H495="""","""",
SUM(ARRAYFORMULA(VALUE(SPLIT(H495,CHAR(10)))))
)"),"")</f>
      </c>
      <c r="J495" s="17" t="str">
        <f>IFERROR(__xludf.DUMMYFUNCTION("IFERROR(
  TEXTJOIN(CHAR(10),TRUE,FILTER('SUMMARY DATA'!I:I,'SUMMARY DATA'!$A:$A=$A495,'SUMMARY DATA'!$C:$C=$B495,'SUMMARY DATA'!$B:$B=""RWS"")),
  IF(
    OR(
      ISNUMBER(SEARCH(""CDM CASH DEPOSIT"",$C495)),
      ISNUMBER(SEARCH(""CASH DEPOSIT"",$C49"&amp;"5)),
      COUNTIFS('SUMMARY DATA'!$D:$D,$C495,'SUMMARY DATA'!$B:$B,""RWS"")&lt;&gt;1
    ),
    """",
    IFERROR(TEXTJOIN(CHAR(10),TRUE,FILTER('SUMMARY DATA'!I:I,'SUMMARY DATA'!$D:$D=$C495,'SUMMARY DATA'!$B:$B=""RWS"")),"""")
  )
)"),"")</f>
      </c>
      <c r="K495" s="2"/>
      <c r="L495" s="2"/>
      <c r="M495" s="2"/>
      <c r="N495" s="2"/>
      <c r="O495" s="2"/>
      <c r="P495" s="2"/>
      <c r="Q495" s="2"/>
      <c r="R495" s="2"/>
      <c r="S495" s="2"/>
      <c r="T495" s="2"/>
      <c r="U495" s="2"/>
      <c r="V495" s="2"/>
      <c r="W495" s="2"/>
      <c r="X495" s="2"/>
      <c r="Y495" s="2"/>
      <c r="Z495" s="2"/>
      <c r="AA495" s="2"/>
      <c r="AB495" s="2"/>
    </row>
    <row r="496" spans="1:28" customHeight="true">
      <c r="A496" s="2" t="s">
        <v>818</v>
      </c>
      <c r="B496" s="15">
        <v>45997</v>
      </c>
      <c r="C496" s="2" t="s">
        <v>819</v>
      </c>
      <c r="D496" s="3">
        <v>29.99</v>
      </c>
      <c r="E496" s="16" t="str">
        <f>IFERROR(__xludf.DUMMYFUNCTION("IFERROR(
  TEXTJOIN(CHAR(10),TRUE,FILTER('SUMMARY DATA'!E:E,'SUMMARY DATA'!$A:$A=$A496,'SUMMARY DATA'!$C:$C=$B496,'SUMMARY DATA'!$B:$B=""RWS"")),
  IF(
    OR(
      ISNUMBER(SEARCH(""CDM CASH DEPOSIT"",$C496)),
      ISNUMBER(SEARCH(""CASH DEPOSIT"",$C49"&amp;"6)),
      COUNTIFS('SUMMARY DATA'!$D:$D,$C496,'SUMMARY DATA'!$B:$B,""RWS"")&lt;&gt;1
    ),
    """",
    IFERROR(TEXTJOIN(CHAR(10),TRUE,FILTER('SUMMARY DATA'!E:E,'SUMMARY DATA'!$D:$D=$C496,'SUMMARY DATA'!$B:$B=""RWS"")),"""")
  )
)"),"")</f>
      </c>
      <c r="F496" s="17" t="str">
        <f>IFERROR(__xludf.DUMMYFUNCTION("IFERROR(
  TEXTJOIN(CHAR(10),TRUE,FILTER('SUMMARY DATA'!F:F,'SUMMARY DATA'!$A:$A=$A496,'SUMMARY DATA'!$C:$C=$B496,'SUMMARY DATA'!$B:$B=""RWS"")),
  IF(
    OR(
      ISNUMBER(SEARCH(""CDM CASH DEPOSIT"",$C496)),
      ISNUMBER(SEARCH(""CASH DEPOSIT"",$C49"&amp;"6)),
      COUNTIFS('SUMMARY DATA'!$D:$D,$C496,'SUMMARY DATA'!$B:$B,""RWS"")&lt;&gt;1
    ),
    """",
    IFERROR(TEXTJOIN(CHAR(10),TRUE,FILTER('SUMMARY DATA'!F:F,'SUMMARY DATA'!$D:$D=$C496,'SUMMARY DATA'!$B:$B=""RWS"")),"""")
  )
)"),"")</f>
      </c>
      <c r="G496" s="17" t="str">
        <f>IFERROR(__xludf.DUMMYFUNCTION("IFERROR(
  TEXTJOIN(CHAR(10),TRUE,FILTER('SUMMARY DATA'!G:G,'SUMMARY DATA'!$A:$A=$A496,'SUMMARY DATA'!$C:$C=$B496,'SUMMARY DATA'!$B:$B=""RWS"")),
  IF(
    OR(
      ISNUMBER(SEARCH(""CDM CASH DEPOSIT"",$C496)),
      ISNUMBER(SEARCH(""CASH DEPOSIT"",$C49"&amp;"6)),
      COUNTIFS('SUMMARY DATA'!$D:$D,$C496,'SUMMARY DATA'!$B:$B,""RWS"")&lt;&gt;1
    ),
    """",
    IFERROR(TEXTJOIN(CHAR(10),TRUE,FILTER('SUMMARY DATA'!G:G,'SUMMARY DATA'!$D:$D=$C496,'SUMMARY DATA'!$B:$B=""RWS"")),"""")
  )
)"),"")</f>
      </c>
      <c r="H496" s="18" t="str">
        <f>IFERROR(__xludf.DUMMYFUNCTION("IFERROR(
  TEXTJOIN(CHAR(10),TRUE,FILTER('SUMMARY DATA'!H:H,'SUMMARY DATA'!$A:$A=$A496,'SUMMARY DATA'!$C:$C=$B496,'SUMMARY DATA'!$B:$B=""RWS"",'SUMMARY DATA'!$H:$H=$D496)),
  IF(
    OR(
      ISNUMBER(SEARCH(""CDM CASH DEPOSIT"",$C496)),
      ISNUMBER(S"&amp;"EARCH(""CASH DEPOSIT"",$C496))
    ),
    """",
    IFERROR(TEXTJOIN(CHAR(10),TRUE,FILTER('SUMMARY DATA'!H:H,'SUMMARY DATA'!$D:$D=$C496,'SUMMARY DATA'!$B:$B=""RWS"",'SUMMARY DATA'!$H:$H=$D496)),"""")
  )
)"),"")</f>
      </c>
      <c r="I496" s="18" t="str">
        <f>IFERROR(__xludf.DUMMYFUNCTION("IF(H496="""","""",
SUM(ARRAYFORMULA(VALUE(SPLIT(H496,CHAR(10)))))
)"),"")</f>
      </c>
      <c r="J496" s="17" t="str">
        <f>IFERROR(__xludf.DUMMYFUNCTION("IFERROR(
  TEXTJOIN(CHAR(10),TRUE,FILTER('SUMMARY DATA'!I:I,'SUMMARY DATA'!$A:$A=$A496,'SUMMARY DATA'!$C:$C=$B496,'SUMMARY DATA'!$B:$B=""RWS"")),
  IF(
    OR(
      ISNUMBER(SEARCH(""CDM CASH DEPOSIT"",$C496)),
      ISNUMBER(SEARCH(""CASH DEPOSIT"",$C49"&amp;"6)),
      COUNTIFS('SUMMARY DATA'!$D:$D,$C496,'SUMMARY DATA'!$B:$B,""RWS"")&lt;&gt;1
    ),
    """",
    IFERROR(TEXTJOIN(CHAR(10),TRUE,FILTER('SUMMARY DATA'!I:I,'SUMMARY DATA'!$D:$D=$C496,'SUMMARY DATA'!$B:$B=""RWS"")),"""")
  )
)"),"")</f>
      </c>
      <c r="K496" s="2"/>
      <c r="L496" s="2"/>
      <c r="M496" s="2"/>
      <c r="N496" s="2"/>
      <c r="O496" s="2"/>
      <c r="P496" s="2"/>
      <c r="Q496" s="2"/>
      <c r="R496" s="2"/>
      <c r="S496" s="2"/>
      <c r="T496" s="2"/>
      <c r="U496" s="2"/>
      <c r="V496" s="2"/>
      <c r="W496" s="2"/>
      <c r="X496" s="2"/>
      <c r="Y496" s="2"/>
      <c r="Z496" s="2"/>
      <c r="AA496" s="2"/>
      <c r="AB496" s="2"/>
    </row>
    <row r="497" spans="1:28" customHeight="true">
      <c r="A497" s="2" t="s">
        <v>820</v>
      </c>
      <c r="B497" s="15">
        <v>45997</v>
      </c>
      <c r="C497" s="2" t="s">
        <v>821</v>
      </c>
      <c r="D497" s="3">
        <v>86.59</v>
      </c>
      <c r="E497" s="16" t="s">
        <v>2549</v>
      </c>
      <c r="F497" s="17" t="s">
        <v>2550</v>
      </c>
      <c r="G497" s="17" t="s">
        <v>2393</v>
      </c>
      <c r="H497" s="18">
        <v>86.59</v>
      </c>
      <c r="I497" s="18">
        <v>86.59</v>
      </c>
      <c r="J497" s="17" t="s">
        <v>2394</v>
      </c>
      <c r="K497" s="2" t="s">
        <v>2395</v>
      </c>
      <c r="L497" s="2"/>
      <c r="M497" s="2"/>
      <c r="N497" s="2"/>
      <c r="O497" s="2"/>
      <c r="P497" s="2"/>
      <c r="Q497" s="2"/>
      <c r="R497" s="2"/>
      <c r="S497" s="2"/>
      <c r="T497" s="2"/>
      <c r="U497" s="2"/>
      <c r="V497" s="2"/>
      <c r="W497" s="2"/>
      <c r="X497" s="2"/>
      <c r="Y497" s="2"/>
      <c r="Z497" s="2"/>
      <c r="AA497" s="2"/>
      <c r="AB497" s="2"/>
    </row>
    <row r="498" spans="1:28" customHeight="true">
      <c r="A498" s="2" t="s">
        <v>822</v>
      </c>
      <c r="B498" s="15">
        <v>45997</v>
      </c>
      <c r="C498" s="2" t="s">
        <v>823</v>
      </c>
      <c r="D498" s="3">
        <v>38.24</v>
      </c>
      <c r="E498" s="16" t="s">
        <v>2495</v>
      </c>
      <c r="F498" s="17" t="s">
        <v>2551</v>
      </c>
      <c r="G498" s="17" t="s">
        <v>2393</v>
      </c>
      <c r="H498" s="18">
        <v>38.24</v>
      </c>
      <c r="I498" s="18">
        <v>38.24</v>
      </c>
      <c r="J498" s="17" t="s">
        <v>2394</v>
      </c>
      <c r="K498" s="2" t="s">
        <v>2395</v>
      </c>
      <c r="L498" s="2"/>
      <c r="M498" s="2"/>
      <c r="N498" s="2"/>
      <c r="O498" s="2"/>
      <c r="P498" s="2"/>
      <c r="Q498" s="2"/>
      <c r="R498" s="2"/>
      <c r="S498" s="2"/>
      <c r="T498" s="2"/>
      <c r="U498" s="2"/>
      <c r="V498" s="2"/>
      <c r="W498" s="2"/>
      <c r="X498" s="2"/>
      <c r="Y498" s="2"/>
      <c r="Z498" s="2"/>
      <c r="AA498" s="2"/>
      <c r="AB498" s="2"/>
    </row>
    <row r="499" spans="1:28" customHeight="true">
      <c r="A499" s="2" t="s">
        <v>824</v>
      </c>
      <c r="B499" s="15">
        <v>45996</v>
      </c>
      <c r="C499" s="2" t="s">
        <v>825</v>
      </c>
      <c r="D499" s="3">
        <v>15</v>
      </c>
      <c r="E499" s="16" t="str">
        <f>IFERROR(__xludf.DUMMYFUNCTION("IFERROR(
  TEXTJOIN(CHAR(10),TRUE,FILTER('SUMMARY DATA'!E:E,'SUMMARY DATA'!$A:$A=$A499,'SUMMARY DATA'!$C:$C=$B499,'SUMMARY DATA'!$B:$B=""RWS"")),
  IF(
    OR(
      ISNUMBER(SEARCH(""CDM CASH DEPOSIT"",$C499)),
      ISNUMBER(SEARCH(""CASH DEPOSIT"",$C49"&amp;"9)),
      COUNTIFS('SUMMARY DATA'!$D:$D,$C499,'SUMMARY DATA'!$B:$B,""RWS"")&lt;&gt;1
    ),
    """",
    IFERROR(TEXTJOIN(CHAR(10),TRUE,FILTER('SUMMARY DATA'!E:E,'SUMMARY DATA'!$D:$D=$C499,'SUMMARY DATA'!$B:$B=""RWS"")),"""")
  )
)"),"")</f>
      </c>
      <c r="F499" s="17" t="str">
        <f>IFERROR(__xludf.DUMMYFUNCTION("IFERROR(
  TEXTJOIN(CHAR(10),TRUE,FILTER('SUMMARY DATA'!F:F,'SUMMARY DATA'!$A:$A=$A499,'SUMMARY DATA'!$C:$C=$B499,'SUMMARY DATA'!$B:$B=""RWS"")),
  IF(
    OR(
      ISNUMBER(SEARCH(""CDM CASH DEPOSIT"",$C499)),
      ISNUMBER(SEARCH(""CASH DEPOSIT"",$C49"&amp;"9)),
      COUNTIFS('SUMMARY DATA'!$D:$D,$C499,'SUMMARY DATA'!$B:$B,""RWS"")&lt;&gt;1
    ),
    """",
    IFERROR(TEXTJOIN(CHAR(10),TRUE,FILTER('SUMMARY DATA'!F:F,'SUMMARY DATA'!$D:$D=$C499,'SUMMARY DATA'!$B:$B=""RWS"")),"""")
  )
)"),"")</f>
      </c>
      <c r="G499" s="17" t="str">
        <f>IFERROR(__xludf.DUMMYFUNCTION("IFERROR(
  TEXTJOIN(CHAR(10),TRUE,FILTER('SUMMARY DATA'!G:G,'SUMMARY DATA'!$A:$A=$A499,'SUMMARY DATA'!$C:$C=$B499,'SUMMARY DATA'!$B:$B=""RWS"")),
  IF(
    OR(
      ISNUMBER(SEARCH(""CDM CASH DEPOSIT"",$C499)),
      ISNUMBER(SEARCH(""CASH DEPOSIT"",$C49"&amp;"9)),
      COUNTIFS('SUMMARY DATA'!$D:$D,$C499,'SUMMARY DATA'!$B:$B,""RWS"")&lt;&gt;1
    ),
    """",
    IFERROR(TEXTJOIN(CHAR(10),TRUE,FILTER('SUMMARY DATA'!G:G,'SUMMARY DATA'!$D:$D=$C499,'SUMMARY DATA'!$B:$B=""RWS"")),"""")
  )
)"),"")</f>
      </c>
      <c r="H499" s="18" t="str">
        <f>IFERROR(__xludf.DUMMYFUNCTION("IFERROR(
  TEXTJOIN(CHAR(10),TRUE,FILTER('SUMMARY DATA'!H:H,'SUMMARY DATA'!$A:$A=$A499,'SUMMARY DATA'!$C:$C=$B499,'SUMMARY DATA'!$B:$B=""RWS"",'SUMMARY DATA'!$H:$H=$D499)),
  IF(
    OR(
      ISNUMBER(SEARCH(""CDM CASH DEPOSIT"",$C499)),
      ISNUMBER(S"&amp;"EARCH(""CASH DEPOSIT"",$C499))
    ),
    """",
    IFERROR(TEXTJOIN(CHAR(10),TRUE,FILTER('SUMMARY DATA'!H:H,'SUMMARY DATA'!$D:$D=$C499,'SUMMARY DATA'!$B:$B=""RWS"",'SUMMARY DATA'!$H:$H=$D499)),"""")
  )
)"),"")</f>
      </c>
      <c r="I499" s="18" t="str">
        <f>IFERROR(__xludf.DUMMYFUNCTION("IF(H499="""","""",
SUM(ARRAYFORMULA(VALUE(SPLIT(H499,CHAR(10)))))
)"),"")</f>
      </c>
      <c r="J499" s="17" t="str">
        <f>IFERROR(__xludf.DUMMYFUNCTION("IFERROR(
  TEXTJOIN(CHAR(10),TRUE,FILTER('SUMMARY DATA'!I:I,'SUMMARY DATA'!$A:$A=$A499,'SUMMARY DATA'!$C:$C=$B499,'SUMMARY DATA'!$B:$B=""RWS"")),
  IF(
    OR(
      ISNUMBER(SEARCH(""CDM CASH DEPOSIT"",$C499)),
      ISNUMBER(SEARCH(""CASH DEPOSIT"",$C49"&amp;"9)),
      COUNTIFS('SUMMARY DATA'!$D:$D,$C499,'SUMMARY DATA'!$B:$B,""RWS"")&lt;&gt;1
    ),
    """",
    IFERROR(TEXTJOIN(CHAR(10),TRUE,FILTER('SUMMARY DATA'!I:I,'SUMMARY DATA'!$D:$D=$C499,'SUMMARY DATA'!$B:$B=""RWS"")),"""")
  )
)"),"")</f>
      </c>
      <c r="K499" s="2"/>
      <c r="L499" s="2"/>
      <c r="M499" s="2"/>
      <c r="N499" s="2"/>
      <c r="O499" s="2"/>
      <c r="P499" s="2"/>
      <c r="Q499" s="2"/>
      <c r="R499" s="2"/>
      <c r="S499" s="2"/>
      <c r="T499" s="2"/>
      <c r="U499" s="2"/>
      <c r="V499" s="2"/>
      <c r="W499" s="2"/>
      <c r="X499" s="2"/>
      <c r="Y499" s="2"/>
      <c r="Z499" s="2"/>
      <c r="AA499" s="2"/>
      <c r="AB499" s="2"/>
    </row>
    <row r="500" spans="1:28" customHeight="true">
      <c r="A500" s="2" t="s">
        <v>826</v>
      </c>
      <c r="B500" s="15">
        <v>45996</v>
      </c>
      <c r="C500" s="2" t="s">
        <v>827</v>
      </c>
      <c r="D500" s="3">
        <v>21.1</v>
      </c>
      <c r="E500" s="16" t="s">
        <v>2495</v>
      </c>
      <c r="F500" s="17" t="s">
        <v>2552</v>
      </c>
      <c r="G500" s="17" t="s">
        <v>2393</v>
      </c>
      <c r="H500" s="18">
        <v>21.1</v>
      </c>
      <c r="I500" s="18">
        <v>21.1</v>
      </c>
      <c r="J500" s="17" t="s">
        <v>2394</v>
      </c>
      <c r="K500" s="2" t="s">
        <v>2395</v>
      </c>
      <c r="L500" s="2"/>
      <c r="M500" s="2"/>
      <c r="N500" s="2"/>
      <c r="O500" s="2"/>
      <c r="P500" s="2"/>
      <c r="Q500" s="2"/>
      <c r="R500" s="2"/>
      <c r="S500" s="2"/>
      <c r="T500" s="2"/>
      <c r="U500" s="2"/>
      <c r="V500" s="2"/>
      <c r="W500" s="2"/>
      <c r="X500" s="2"/>
      <c r="Y500" s="2"/>
      <c r="Z500" s="2"/>
      <c r="AA500" s="2"/>
      <c r="AB500" s="2"/>
    </row>
    <row r="501" spans="1:28" customHeight="true">
      <c r="A501" s="2"/>
      <c r="B501" s="15">
        <v>45995</v>
      </c>
      <c r="C501" s="2" t="s">
        <v>828</v>
      </c>
      <c r="D501" s="3">
        <v>20</v>
      </c>
      <c r="E501" s="16" t="str">
        <f>IFERROR(__xludf.DUMMYFUNCTION("IFERROR(
  TEXTJOIN(CHAR(10),TRUE,FILTER('SUMMARY DATA'!E:E,'SUMMARY DATA'!$A:$A=$A501,'SUMMARY DATA'!$C:$C=$B501,'SUMMARY DATA'!$B:$B=""RWS"")),
  IF(
    OR(
      ISNUMBER(SEARCH(""CDM CASH DEPOSIT"",$C501)),
      ISNUMBER(SEARCH(""CASH DEPOSIT"",$C50"&amp;"1)),
      COUNTIFS('SUMMARY DATA'!$D:$D,$C501,'SUMMARY DATA'!$B:$B,""RWS"")&lt;&gt;1
    ),
    """",
    IFERROR(TEXTJOIN(CHAR(10),TRUE,FILTER('SUMMARY DATA'!E:E,'SUMMARY DATA'!$D:$D=$C501,'SUMMARY DATA'!$B:$B=""RWS"")),"""")
  )
)"),"")</f>
      </c>
      <c r="F501" s="17" t="str">
        <f>IFERROR(__xludf.DUMMYFUNCTION("IFERROR(
  TEXTJOIN(CHAR(10),TRUE,FILTER('SUMMARY DATA'!F:F,'SUMMARY DATA'!$A:$A=$A501,'SUMMARY DATA'!$C:$C=$B501,'SUMMARY DATA'!$B:$B=""RWS"")),
  IF(
    OR(
      ISNUMBER(SEARCH(""CDM CASH DEPOSIT"",$C501)),
      ISNUMBER(SEARCH(""CASH DEPOSIT"",$C50"&amp;"1)),
      COUNTIFS('SUMMARY DATA'!$D:$D,$C501,'SUMMARY DATA'!$B:$B,""RWS"")&lt;&gt;1
    ),
    """",
    IFERROR(TEXTJOIN(CHAR(10),TRUE,FILTER('SUMMARY DATA'!F:F,'SUMMARY DATA'!$D:$D=$C501,'SUMMARY DATA'!$B:$B=""RWS"")),"""")
  )
)"),"")</f>
      </c>
      <c r="G501" s="17" t="str">
        <f>IFERROR(__xludf.DUMMYFUNCTION("IFERROR(
  TEXTJOIN(CHAR(10),TRUE,FILTER('SUMMARY DATA'!G:G,'SUMMARY DATA'!$A:$A=$A501,'SUMMARY DATA'!$C:$C=$B501,'SUMMARY DATA'!$B:$B=""RWS"")),
  IF(
    OR(
      ISNUMBER(SEARCH(""CDM CASH DEPOSIT"",$C501)),
      ISNUMBER(SEARCH(""CASH DEPOSIT"",$C50"&amp;"1)),
      COUNTIFS('SUMMARY DATA'!$D:$D,$C501,'SUMMARY DATA'!$B:$B,""RWS"")&lt;&gt;1
    ),
    """",
    IFERROR(TEXTJOIN(CHAR(10),TRUE,FILTER('SUMMARY DATA'!G:G,'SUMMARY DATA'!$D:$D=$C501,'SUMMARY DATA'!$B:$B=""RWS"")),"""")
  )
)"),"")</f>
      </c>
      <c r="H501" s="18" t="str">
        <f>IFERROR(__xludf.DUMMYFUNCTION("IFERROR(
  TEXTJOIN(CHAR(10),TRUE,FILTER('SUMMARY DATA'!H:H,'SUMMARY DATA'!$A:$A=$A501,'SUMMARY DATA'!$C:$C=$B501,'SUMMARY DATA'!$B:$B=""RWS"",'SUMMARY DATA'!$H:$H=$D501)),
  IF(
    OR(
      ISNUMBER(SEARCH(""CDM CASH DEPOSIT"",$C501)),
      ISNUMBER(S"&amp;"EARCH(""CASH DEPOSIT"",$C501))
    ),
    """",
    IFERROR(TEXTJOIN(CHAR(10),TRUE,FILTER('SUMMARY DATA'!H:H,'SUMMARY DATA'!$D:$D=$C501,'SUMMARY DATA'!$B:$B=""RWS"",'SUMMARY DATA'!$H:$H=$D501)),"""")
  )
)"),"")</f>
      </c>
      <c r="I501" s="18" t="str">
        <f>IFERROR(__xludf.DUMMYFUNCTION("IF(H501="""","""",
SUM(ARRAYFORMULA(VALUE(SPLIT(H501,CHAR(10)))))
)"),"")</f>
      </c>
      <c r="J501" s="17" t="str">
        <f>IFERROR(__xludf.DUMMYFUNCTION("IFERROR(
  TEXTJOIN(CHAR(10),TRUE,FILTER('SUMMARY DATA'!I:I,'SUMMARY DATA'!$A:$A=$A501,'SUMMARY DATA'!$C:$C=$B501,'SUMMARY DATA'!$B:$B=""RWS"")),
  IF(
    OR(
      ISNUMBER(SEARCH(""CDM CASH DEPOSIT"",$C501)),
      ISNUMBER(SEARCH(""CASH DEPOSIT"",$C50"&amp;"1)),
      COUNTIFS('SUMMARY DATA'!$D:$D,$C501,'SUMMARY DATA'!$B:$B,""RWS"")&lt;&gt;1
    ),
    """",
    IFERROR(TEXTJOIN(CHAR(10),TRUE,FILTER('SUMMARY DATA'!I:I,'SUMMARY DATA'!$D:$D=$C501,'SUMMARY DATA'!$B:$B=""RWS"")),"""")
  )
)"),"")</f>
      </c>
      <c r="K501" s="2"/>
      <c r="L501" s="2"/>
      <c r="M501" s="2"/>
      <c r="N501" s="2"/>
      <c r="O501" s="2"/>
      <c r="P501" s="2"/>
      <c r="Q501" s="2"/>
      <c r="R501" s="2"/>
      <c r="S501" s="2"/>
      <c r="T501" s="2"/>
      <c r="U501" s="2"/>
      <c r="V501" s="2"/>
      <c r="W501" s="2"/>
      <c r="X501" s="2"/>
      <c r="Y501" s="2"/>
      <c r="Z501" s="2"/>
      <c r="AA501" s="2"/>
      <c r="AB501" s="2"/>
    </row>
    <row r="502" spans="1:28" customHeight="true">
      <c r="A502" s="2" t="s">
        <v>829</v>
      </c>
      <c r="B502" s="15">
        <v>45995</v>
      </c>
      <c r="C502" s="2" t="s">
        <v>830</v>
      </c>
      <c r="D502" s="3">
        <v>36</v>
      </c>
      <c r="E502" s="16" t="str">
        <f>IFERROR(__xludf.DUMMYFUNCTION("IFERROR(
  TEXTJOIN(CHAR(10),TRUE,FILTER('SUMMARY DATA'!E:E,'SUMMARY DATA'!$A:$A=$A502,'SUMMARY DATA'!$C:$C=$B502,'SUMMARY DATA'!$B:$B=""RWS"")),
  IF(
    OR(
      ISNUMBER(SEARCH(""CDM CASH DEPOSIT"",$C502)),
      ISNUMBER(SEARCH(""CASH DEPOSIT"",$C50"&amp;"2)),
      COUNTIFS('SUMMARY DATA'!$D:$D,$C502,'SUMMARY DATA'!$B:$B,""RWS"")&lt;&gt;1
    ),
    """",
    IFERROR(TEXTJOIN(CHAR(10),TRUE,FILTER('SUMMARY DATA'!E:E,'SUMMARY DATA'!$D:$D=$C502,'SUMMARY DATA'!$B:$B=""RWS"")),"""")
  )
)"),"")</f>
      </c>
      <c r="F502" s="17" t="str">
        <f>IFERROR(__xludf.DUMMYFUNCTION("IFERROR(
  TEXTJOIN(CHAR(10),TRUE,FILTER('SUMMARY DATA'!F:F,'SUMMARY DATA'!$A:$A=$A502,'SUMMARY DATA'!$C:$C=$B502,'SUMMARY DATA'!$B:$B=""RWS"")),
  IF(
    OR(
      ISNUMBER(SEARCH(""CDM CASH DEPOSIT"",$C502)),
      ISNUMBER(SEARCH(""CASH DEPOSIT"",$C50"&amp;"2)),
      COUNTIFS('SUMMARY DATA'!$D:$D,$C502,'SUMMARY DATA'!$B:$B,""RWS"")&lt;&gt;1
    ),
    """",
    IFERROR(TEXTJOIN(CHAR(10),TRUE,FILTER('SUMMARY DATA'!F:F,'SUMMARY DATA'!$D:$D=$C502,'SUMMARY DATA'!$B:$B=""RWS"")),"""")
  )
)"),"")</f>
      </c>
      <c r="G502" s="17" t="str">
        <f>IFERROR(__xludf.DUMMYFUNCTION("IFERROR(
  TEXTJOIN(CHAR(10),TRUE,FILTER('SUMMARY DATA'!G:G,'SUMMARY DATA'!$A:$A=$A502,'SUMMARY DATA'!$C:$C=$B502,'SUMMARY DATA'!$B:$B=""RWS"")),
  IF(
    OR(
      ISNUMBER(SEARCH(""CDM CASH DEPOSIT"",$C502)),
      ISNUMBER(SEARCH(""CASH DEPOSIT"",$C50"&amp;"2)),
      COUNTIFS('SUMMARY DATA'!$D:$D,$C502,'SUMMARY DATA'!$B:$B,""RWS"")&lt;&gt;1
    ),
    """",
    IFERROR(TEXTJOIN(CHAR(10),TRUE,FILTER('SUMMARY DATA'!G:G,'SUMMARY DATA'!$D:$D=$C502,'SUMMARY DATA'!$B:$B=""RWS"")),"""")
  )
)"),"")</f>
      </c>
      <c r="H502" s="18" t="str">
        <f>IFERROR(__xludf.DUMMYFUNCTION("IFERROR(
  TEXTJOIN(CHAR(10),TRUE,FILTER('SUMMARY DATA'!H:H,'SUMMARY DATA'!$A:$A=$A502,'SUMMARY DATA'!$C:$C=$B502,'SUMMARY DATA'!$B:$B=""RWS"",'SUMMARY DATA'!$H:$H=$D502)),
  IF(
    OR(
      ISNUMBER(SEARCH(""CDM CASH DEPOSIT"",$C502)),
      ISNUMBER(S"&amp;"EARCH(""CASH DEPOSIT"",$C502))
    ),
    """",
    IFERROR(TEXTJOIN(CHAR(10),TRUE,FILTER('SUMMARY DATA'!H:H,'SUMMARY DATA'!$D:$D=$C502,'SUMMARY DATA'!$B:$B=""RWS"",'SUMMARY DATA'!$H:$H=$D502)),"""")
  )
)"),"")</f>
      </c>
      <c r="I502" s="18" t="str">
        <f>IFERROR(__xludf.DUMMYFUNCTION("IF(H502="""","""",
SUM(ARRAYFORMULA(VALUE(SPLIT(H502,CHAR(10)))))
)"),"")</f>
      </c>
      <c r="J502" s="17" t="str">
        <f>IFERROR(__xludf.DUMMYFUNCTION("IFERROR(
  TEXTJOIN(CHAR(10),TRUE,FILTER('SUMMARY DATA'!I:I,'SUMMARY DATA'!$A:$A=$A502,'SUMMARY DATA'!$C:$C=$B502,'SUMMARY DATA'!$B:$B=""RWS"")),
  IF(
    OR(
      ISNUMBER(SEARCH(""CDM CASH DEPOSIT"",$C502)),
      ISNUMBER(SEARCH(""CASH DEPOSIT"",$C50"&amp;"2)),
      COUNTIFS('SUMMARY DATA'!$D:$D,$C502,'SUMMARY DATA'!$B:$B,""RWS"")&lt;&gt;1
    ),
    """",
    IFERROR(TEXTJOIN(CHAR(10),TRUE,FILTER('SUMMARY DATA'!I:I,'SUMMARY DATA'!$D:$D=$C502,'SUMMARY DATA'!$B:$B=""RWS"")),"""")
  )
)"),"")</f>
      </c>
      <c r="K502" s="2"/>
      <c r="L502" s="2"/>
      <c r="M502" s="2"/>
      <c r="N502" s="2"/>
      <c r="O502" s="2"/>
      <c r="P502" s="2"/>
      <c r="Q502" s="2"/>
      <c r="R502" s="2"/>
      <c r="S502" s="2"/>
      <c r="T502" s="2"/>
      <c r="U502" s="2"/>
      <c r="V502" s="2"/>
      <c r="W502" s="2"/>
      <c r="X502" s="2"/>
      <c r="Y502" s="2"/>
      <c r="Z502" s="2"/>
      <c r="AA502" s="2"/>
      <c r="AB502" s="2"/>
    </row>
    <row r="503" spans="1:28" customHeight="true">
      <c r="A503" s="2" t="s">
        <v>831</v>
      </c>
      <c r="B503" s="15">
        <v>45995</v>
      </c>
      <c r="C503" s="2" t="s">
        <v>832</v>
      </c>
      <c r="D503" s="3">
        <v>28.38</v>
      </c>
      <c r="E503" s="16" t="s">
        <v>2464</v>
      </c>
      <c r="F503" s="17" t="s">
        <v>2553</v>
      </c>
      <c r="G503" s="17" t="s">
        <v>2393</v>
      </c>
      <c r="H503" s="18">
        <v>28.38</v>
      </c>
      <c r="I503" s="18">
        <v>28.38</v>
      </c>
      <c r="J503" s="17" t="s">
        <v>2394</v>
      </c>
      <c r="K503" s="2" t="s">
        <v>2395</v>
      </c>
      <c r="L503" s="2"/>
      <c r="M503" s="2"/>
      <c r="N503" s="2"/>
      <c r="O503" s="2"/>
      <c r="P503" s="2"/>
      <c r="Q503" s="2"/>
      <c r="R503" s="2"/>
      <c r="S503" s="2"/>
      <c r="T503" s="2"/>
      <c r="U503" s="2"/>
      <c r="V503" s="2"/>
      <c r="W503" s="2"/>
      <c r="X503" s="2"/>
      <c r="Y503" s="2"/>
      <c r="Z503" s="2"/>
      <c r="AA503" s="2"/>
      <c r="AB503" s="2"/>
    </row>
    <row r="504" spans="1:28" customHeight="true">
      <c r="A504" s="2" t="s">
        <v>833</v>
      </c>
      <c r="B504" s="15">
        <v>45994</v>
      </c>
      <c r="C504" s="2" t="s">
        <v>834</v>
      </c>
      <c r="D504" s="3">
        <v>215.09</v>
      </c>
      <c r="E504" s="16" t="s">
        <v>2554</v>
      </c>
      <c r="F504" s="17" t="s">
        <v>2555</v>
      </c>
      <c r="G504" s="17" t="s">
        <v>2393</v>
      </c>
      <c r="H504" s="18">
        <v>215.09</v>
      </c>
      <c r="I504" s="18">
        <v>215.09</v>
      </c>
      <c r="J504" s="17" t="s">
        <v>2394</v>
      </c>
      <c r="K504" s="2" t="s">
        <v>2395</v>
      </c>
      <c r="L504" s="2"/>
      <c r="M504" s="2"/>
      <c r="N504" s="2"/>
      <c r="O504" s="2"/>
      <c r="P504" s="2"/>
      <c r="Q504" s="2"/>
      <c r="R504" s="2"/>
      <c r="S504" s="2"/>
      <c r="T504" s="2"/>
      <c r="U504" s="2"/>
      <c r="V504" s="2"/>
      <c r="W504" s="2"/>
      <c r="X504" s="2"/>
      <c r="Y504" s="2"/>
      <c r="Z504" s="2"/>
      <c r="AA504" s="2"/>
      <c r="AB504" s="2"/>
    </row>
    <row r="505" spans="1:28" customHeight="true">
      <c r="A505" s="2" t="s">
        <v>497</v>
      </c>
      <c r="B505" s="15">
        <v>45994</v>
      </c>
      <c r="C505" s="2" t="s">
        <v>835</v>
      </c>
      <c r="D505" s="3">
        <v>82.24</v>
      </c>
      <c r="E505" s="16" t="s">
        <v>2495</v>
      </c>
      <c r="F505" s="17" t="s">
        <v>2556</v>
      </c>
      <c r="G505" s="17" t="s">
        <v>2393</v>
      </c>
      <c r="H505" s="18">
        <v>82.24</v>
      </c>
      <c r="I505" s="18">
        <v>82.24</v>
      </c>
      <c r="J505" s="17" t="s">
        <v>2394</v>
      </c>
      <c r="K505" s="2" t="s">
        <v>2395</v>
      </c>
      <c r="L505" s="2"/>
      <c r="M505" s="2"/>
      <c r="N505" s="2"/>
      <c r="O505" s="2"/>
      <c r="P505" s="2"/>
      <c r="Q505" s="2"/>
      <c r="R505" s="2"/>
      <c r="S505" s="2"/>
      <c r="T505" s="2"/>
      <c r="U505" s="2"/>
      <c r="V505" s="2"/>
      <c r="W505" s="2"/>
      <c r="X505" s="2"/>
      <c r="Y505" s="2"/>
      <c r="Z505" s="2"/>
      <c r="AA505" s="2"/>
      <c r="AB505" s="2"/>
    </row>
    <row r="506" spans="1:28" customHeight="true">
      <c r="A506" s="2" t="s">
        <v>836</v>
      </c>
      <c r="B506" s="15">
        <v>45994</v>
      </c>
      <c r="C506" s="2" t="s">
        <v>837</v>
      </c>
      <c r="D506" s="3">
        <v>50</v>
      </c>
      <c r="E506" s="16" t="s">
        <v>2557</v>
      </c>
      <c r="F506" s="17" t="s">
        <v>2558</v>
      </c>
      <c r="G506" s="17" t="s">
        <v>2393</v>
      </c>
      <c r="H506" s="18">
        <v>50</v>
      </c>
      <c r="I506" s="18">
        <v>50</v>
      </c>
      <c r="J506" s="17" t="s">
        <v>2394</v>
      </c>
      <c r="K506" s="2" t="s">
        <v>2395</v>
      </c>
      <c r="L506" s="2"/>
      <c r="M506" s="2"/>
      <c r="N506" s="2"/>
      <c r="O506" s="2"/>
      <c r="P506" s="2"/>
      <c r="Q506" s="2"/>
      <c r="R506" s="2"/>
      <c r="S506" s="2"/>
      <c r="T506" s="2"/>
      <c r="U506" s="2"/>
      <c r="V506" s="2"/>
      <c r="W506" s="2"/>
      <c r="X506" s="2"/>
      <c r="Y506" s="2"/>
      <c r="Z506" s="2"/>
      <c r="AA506" s="2"/>
      <c r="AB506" s="2"/>
    </row>
    <row r="507" spans="1:28" customHeight="true">
      <c r="A507" s="2" t="s">
        <v>838</v>
      </c>
      <c r="B507" s="15">
        <v>45994</v>
      </c>
      <c r="C507" s="2" t="s">
        <v>839</v>
      </c>
      <c r="D507" s="3">
        <v>58.86</v>
      </c>
      <c r="E507" s="16" t="s">
        <v>2554</v>
      </c>
      <c r="F507" s="17" t="s">
        <v>2559</v>
      </c>
      <c r="G507" s="17" t="s">
        <v>2393</v>
      </c>
      <c r="H507" s="18">
        <v>58.86</v>
      </c>
      <c r="I507" s="18">
        <v>58.86</v>
      </c>
      <c r="J507" s="17" t="s">
        <v>2394</v>
      </c>
      <c r="K507" s="2" t="s">
        <v>2395</v>
      </c>
      <c r="L507" s="2"/>
      <c r="M507" s="2"/>
      <c r="N507" s="2"/>
      <c r="O507" s="2"/>
      <c r="P507" s="2"/>
      <c r="Q507" s="2"/>
      <c r="R507" s="2"/>
      <c r="S507" s="2"/>
      <c r="T507" s="2"/>
      <c r="U507" s="2"/>
      <c r="V507" s="2"/>
      <c r="W507" s="2"/>
      <c r="X507" s="2"/>
      <c r="Y507" s="2"/>
      <c r="Z507" s="2"/>
      <c r="AA507" s="2"/>
      <c r="AB507" s="2"/>
    </row>
    <row r="508" spans="1:28" customHeight="true">
      <c r="A508" s="2" t="s">
        <v>840</v>
      </c>
      <c r="B508" s="15">
        <v>45994</v>
      </c>
      <c r="C508" s="2" t="s">
        <v>841</v>
      </c>
      <c r="D508" s="3">
        <v>69.6</v>
      </c>
      <c r="E508" s="16" t="s">
        <v>2495</v>
      </c>
      <c r="F508" s="17" t="s">
        <v>2560</v>
      </c>
      <c r="G508" s="17" t="s">
        <v>2393</v>
      </c>
      <c r="H508" s="18">
        <v>69.6</v>
      </c>
      <c r="I508" s="18">
        <v>69.6</v>
      </c>
      <c r="J508" s="17" t="s">
        <v>2394</v>
      </c>
      <c r="K508" s="2" t="s">
        <v>2395</v>
      </c>
      <c r="L508" s="2"/>
      <c r="M508" s="2"/>
      <c r="N508" s="2"/>
      <c r="O508" s="2"/>
      <c r="P508" s="2"/>
      <c r="Q508" s="2"/>
      <c r="R508" s="2"/>
      <c r="S508" s="2"/>
      <c r="T508" s="2"/>
      <c r="U508" s="2"/>
      <c r="V508" s="2"/>
      <c r="W508" s="2"/>
      <c r="X508" s="2"/>
      <c r="Y508" s="2"/>
      <c r="Z508" s="2"/>
      <c r="AA508" s="2"/>
      <c r="AB508" s="2"/>
    </row>
    <row r="509" spans="1:28" customHeight="true">
      <c r="A509" s="2" t="s">
        <v>842</v>
      </c>
      <c r="B509" s="15">
        <v>45993</v>
      </c>
      <c r="C509" s="2" t="s">
        <v>843</v>
      </c>
      <c r="D509" s="3">
        <v>10</v>
      </c>
      <c r="E509" s="16" t="str">
        <f>IFERROR(__xludf.DUMMYFUNCTION("IFERROR(
  TEXTJOIN(CHAR(10),TRUE,FILTER('SUMMARY DATA'!E:E,'SUMMARY DATA'!$A:$A=$A509,'SUMMARY DATA'!$C:$C=$B509,'SUMMARY DATA'!$B:$B=""RWS"")),
  IF(
    OR(
      ISNUMBER(SEARCH(""CDM CASH DEPOSIT"",$C509)),
      ISNUMBER(SEARCH(""CASH DEPOSIT"",$C50"&amp;"9)),
      COUNTIFS('SUMMARY DATA'!$D:$D,$C509,'SUMMARY DATA'!$B:$B,""RWS"")&lt;&gt;1
    ),
    """",
    IFERROR(TEXTJOIN(CHAR(10),TRUE,FILTER('SUMMARY DATA'!E:E,'SUMMARY DATA'!$D:$D=$C509,'SUMMARY DATA'!$B:$B=""RWS"")),"""")
  )
)"),"")</f>
      </c>
      <c r="F509" s="17" t="str">
        <f>IFERROR(__xludf.DUMMYFUNCTION("IFERROR(
  TEXTJOIN(CHAR(10),TRUE,FILTER('SUMMARY DATA'!F:F,'SUMMARY DATA'!$A:$A=$A509,'SUMMARY DATA'!$C:$C=$B509,'SUMMARY DATA'!$B:$B=""RWS"")),
  IF(
    OR(
      ISNUMBER(SEARCH(""CDM CASH DEPOSIT"",$C509)),
      ISNUMBER(SEARCH(""CASH DEPOSIT"",$C50"&amp;"9)),
      COUNTIFS('SUMMARY DATA'!$D:$D,$C509,'SUMMARY DATA'!$B:$B,""RWS"")&lt;&gt;1
    ),
    """",
    IFERROR(TEXTJOIN(CHAR(10),TRUE,FILTER('SUMMARY DATA'!F:F,'SUMMARY DATA'!$D:$D=$C509,'SUMMARY DATA'!$B:$B=""RWS"")),"""")
  )
)"),"")</f>
      </c>
      <c r="G509" s="17" t="str">
        <f>IFERROR(__xludf.DUMMYFUNCTION("IFERROR(
  TEXTJOIN(CHAR(10),TRUE,FILTER('SUMMARY DATA'!G:G,'SUMMARY DATA'!$A:$A=$A509,'SUMMARY DATA'!$C:$C=$B509,'SUMMARY DATA'!$B:$B=""RWS"")),
  IF(
    OR(
      ISNUMBER(SEARCH(""CDM CASH DEPOSIT"",$C509)),
      ISNUMBER(SEARCH(""CASH DEPOSIT"",$C50"&amp;"9)),
      COUNTIFS('SUMMARY DATA'!$D:$D,$C509,'SUMMARY DATA'!$B:$B,""RWS"")&lt;&gt;1
    ),
    """",
    IFERROR(TEXTJOIN(CHAR(10),TRUE,FILTER('SUMMARY DATA'!G:G,'SUMMARY DATA'!$D:$D=$C509,'SUMMARY DATA'!$B:$B=""RWS"")),"""")
  )
)"),"")</f>
      </c>
      <c r="H509" s="18" t="str">
        <f>IFERROR(__xludf.DUMMYFUNCTION("IFERROR(
  TEXTJOIN(CHAR(10),TRUE,FILTER('SUMMARY DATA'!H:H,'SUMMARY DATA'!$A:$A=$A509,'SUMMARY DATA'!$C:$C=$B509,'SUMMARY DATA'!$B:$B=""RWS"",'SUMMARY DATA'!$H:$H=$D509)),
  IF(
    OR(
      ISNUMBER(SEARCH(""CDM CASH DEPOSIT"",$C509)),
      ISNUMBER(S"&amp;"EARCH(""CASH DEPOSIT"",$C509))
    ),
    """",
    IFERROR(TEXTJOIN(CHAR(10),TRUE,FILTER('SUMMARY DATA'!H:H,'SUMMARY DATA'!$D:$D=$C509,'SUMMARY DATA'!$B:$B=""RWS"",'SUMMARY DATA'!$H:$H=$D509)),"""")
  )
)"),"")</f>
      </c>
      <c r="I509" s="18" t="str">
        <f>IFERROR(__xludf.DUMMYFUNCTION("IF(H509="""","""",
SUM(ARRAYFORMULA(VALUE(SPLIT(H509,CHAR(10)))))
)"),"")</f>
      </c>
      <c r="J509" s="17" t="str">
        <f>IFERROR(__xludf.DUMMYFUNCTION("IFERROR(
  TEXTJOIN(CHAR(10),TRUE,FILTER('SUMMARY DATA'!I:I,'SUMMARY DATA'!$A:$A=$A509,'SUMMARY DATA'!$C:$C=$B509,'SUMMARY DATA'!$B:$B=""RWS"")),
  IF(
    OR(
      ISNUMBER(SEARCH(""CDM CASH DEPOSIT"",$C509)),
      ISNUMBER(SEARCH(""CASH DEPOSIT"",$C50"&amp;"9)),
      COUNTIFS('SUMMARY DATA'!$D:$D,$C509,'SUMMARY DATA'!$B:$B,""RWS"")&lt;&gt;1
    ),
    """",
    IFERROR(TEXTJOIN(CHAR(10),TRUE,FILTER('SUMMARY DATA'!I:I,'SUMMARY DATA'!$D:$D=$C509,'SUMMARY DATA'!$B:$B=""RWS"")),"""")
  )
)"),"")</f>
      </c>
      <c r="K509" s="2"/>
      <c r="L509" s="2"/>
      <c r="M509" s="2"/>
      <c r="N509" s="2"/>
      <c r="O509" s="2"/>
      <c r="P509" s="2"/>
      <c r="Q509" s="2"/>
      <c r="R509" s="2"/>
      <c r="S509" s="2"/>
      <c r="T509" s="2"/>
      <c r="U509" s="2"/>
      <c r="V509" s="2"/>
      <c r="W509" s="2"/>
      <c r="X509" s="2"/>
      <c r="Y509" s="2"/>
      <c r="Z509" s="2"/>
      <c r="AA509" s="2"/>
      <c r="AB509" s="2"/>
    </row>
    <row r="510" spans="1:28" customHeight="true">
      <c r="A510" s="2" t="s">
        <v>844</v>
      </c>
      <c r="B510" s="15">
        <v>45993</v>
      </c>
      <c r="C510" s="2" t="s">
        <v>845</v>
      </c>
      <c r="D510" s="3">
        <v>17.98</v>
      </c>
      <c r="E510" s="16" t="s">
        <v>2561</v>
      </c>
      <c r="F510" s="17" t="s">
        <v>2562</v>
      </c>
      <c r="G510" s="17" t="s">
        <v>2393</v>
      </c>
      <c r="H510" s="18">
        <v>17.98</v>
      </c>
      <c r="I510" s="18">
        <v>17.98</v>
      </c>
      <c r="J510" s="17" t="s">
        <v>2394</v>
      </c>
      <c r="K510" s="2" t="s">
        <v>2395</v>
      </c>
      <c r="L510" s="2"/>
      <c r="M510" s="2"/>
      <c r="N510" s="2"/>
      <c r="O510" s="2"/>
      <c r="P510" s="2"/>
      <c r="Q510" s="2"/>
      <c r="R510" s="2"/>
      <c r="S510" s="2"/>
      <c r="T510" s="2"/>
      <c r="U510" s="2"/>
      <c r="V510" s="2"/>
      <c r="W510" s="2"/>
      <c r="X510" s="2"/>
      <c r="Y510" s="2"/>
      <c r="Z510" s="2"/>
      <c r="AA510" s="2"/>
      <c r="AB510" s="2"/>
    </row>
    <row r="511" spans="1:28" customHeight="true">
      <c r="A511" s="2" t="s">
        <v>846</v>
      </c>
      <c r="B511" s="15">
        <v>45993</v>
      </c>
      <c r="C511" s="2" t="s">
        <v>847</v>
      </c>
      <c r="D511" s="3">
        <v>53.59</v>
      </c>
      <c r="E511" s="16" t="s">
        <v>2453</v>
      </c>
      <c r="F511" s="17" t="s">
        <v>2563</v>
      </c>
      <c r="G511" s="17" t="s">
        <v>2393</v>
      </c>
      <c r="H511" s="18">
        <v>53.59</v>
      </c>
      <c r="I511" s="18">
        <v>53.59</v>
      </c>
      <c r="J511" s="17" t="s">
        <v>2394</v>
      </c>
      <c r="K511" s="2" t="s">
        <v>2395</v>
      </c>
      <c r="L511" s="2"/>
      <c r="M511" s="2"/>
      <c r="N511" s="2"/>
      <c r="O511" s="2"/>
      <c r="P511" s="2"/>
      <c r="Q511" s="2"/>
      <c r="R511" s="2"/>
      <c r="S511" s="2"/>
      <c r="T511" s="2"/>
      <c r="U511" s="2"/>
      <c r="V511" s="2"/>
      <c r="W511" s="2"/>
      <c r="X511" s="2"/>
      <c r="Y511" s="2"/>
      <c r="Z511" s="2"/>
      <c r="AA511" s="2"/>
      <c r="AB511" s="2"/>
    </row>
    <row r="512" spans="1:28" customHeight="true">
      <c r="A512" s="2" t="s">
        <v>848</v>
      </c>
      <c r="B512" s="15">
        <v>45993</v>
      </c>
      <c r="C512" s="2" t="s">
        <v>849</v>
      </c>
      <c r="D512" s="3">
        <v>79</v>
      </c>
      <c r="E512" s="16" t="str">
        <f>IFERROR(__xludf.DUMMYFUNCTION("IFERROR(
  TEXTJOIN(CHAR(10),TRUE,FILTER('SUMMARY DATA'!E:E,'SUMMARY DATA'!$A:$A=$A512,'SUMMARY DATA'!$C:$C=$B512,'SUMMARY DATA'!$B:$B=""RWS"")),
  IF(
    OR(
      ISNUMBER(SEARCH(""CDM CASH DEPOSIT"",$C512)),
      ISNUMBER(SEARCH(""CASH DEPOSIT"",$C51"&amp;"2)),
      COUNTIFS('SUMMARY DATA'!$D:$D,$C512,'SUMMARY DATA'!$B:$B,""RWS"")&lt;&gt;1
    ),
    """",
    IFERROR(TEXTJOIN(CHAR(10),TRUE,FILTER('SUMMARY DATA'!E:E,'SUMMARY DATA'!$D:$D=$C512,'SUMMARY DATA'!$B:$B=""RWS"")),"""")
  )
)"),"")</f>
      </c>
      <c r="F512" s="17" t="str">
        <f>IFERROR(__xludf.DUMMYFUNCTION("IFERROR(
  TEXTJOIN(CHAR(10),TRUE,FILTER('SUMMARY DATA'!F:F,'SUMMARY DATA'!$A:$A=$A512,'SUMMARY DATA'!$C:$C=$B512,'SUMMARY DATA'!$B:$B=""RWS"")),
  IF(
    OR(
      ISNUMBER(SEARCH(""CDM CASH DEPOSIT"",$C512)),
      ISNUMBER(SEARCH(""CASH DEPOSIT"",$C51"&amp;"2)),
      COUNTIFS('SUMMARY DATA'!$D:$D,$C512,'SUMMARY DATA'!$B:$B,""RWS"")&lt;&gt;1
    ),
    """",
    IFERROR(TEXTJOIN(CHAR(10),TRUE,FILTER('SUMMARY DATA'!F:F,'SUMMARY DATA'!$D:$D=$C512,'SUMMARY DATA'!$B:$B=""RWS"")),"""")
  )
)"),"")</f>
      </c>
      <c r="G512" s="17" t="str">
        <f>IFERROR(__xludf.DUMMYFUNCTION("IFERROR(
  TEXTJOIN(CHAR(10),TRUE,FILTER('SUMMARY DATA'!G:G,'SUMMARY DATA'!$A:$A=$A512,'SUMMARY DATA'!$C:$C=$B512,'SUMMARY DATA'!$B:$B=""RWS"")),
  IF(
    OR(
      ISNUMBER(SEARCH(""CDM CASH DEPOSIT"",$C512)),
      ISNUMBER(SEARCH(""CASH DEPOSIT"",$C51"&amp;"2)),
      COUNTIFS('SUMMARY DATA'!$D:$D,$C512,'SUMMARY DATA'!$B:$B,""RWS"")&lt;&gt;1
    ),
    """",
    IFERROR(TEXTJOIN(CHAR(10),TRUE,FILTER('SUMMARY DATA'!G:G,'SUMMARY DATA'!$D:$D=$C512,'SUMMARY DATA'!$B:$B=""RWS"")),"""")
  )
)"),"")</f>
      </c>
      <c r="H512" s="18" t="str">
        <f>IFERROR(__xludf.DUMMYFUNCTION("IFERROR(
  TEXTJOIN(CHAR(10),TRUE,FILTER('SUMMARY DATA'!H:H,'SUMMARY DATA'!$A:$A=$A512,'SUMMARY DATA'!$C:$C=$B512,'SUMMARY DATA'!$B:$B=""RWS"",'SUMMARY DATA'!$H:$H=$D512)),
  IF(
    OR(
      ISNUMBER(SEARCH(""CDM CASH DEPOSIT"",$C512)),
      ISNUMBER(S"&amp;"EARCH(""CASH DEPOSIT"",$C512))
    ),
    """",
    IFERROR(TEXTJOIN(CHAR(10),TRUE,FILTER('SUMMARY DATA'!H:H,'SUMMARY DATA'!$D:$D=$C512,'SUMMARY DATA'!$B:$B=""RWS"",'SUMMARY DATA'!$H:$H=$D512)),"""")
  )
)"),"")</f>
      </c>
      <c r="I512" s="18" t="str">
        <f>IFERROR(__xludf.DUMMYFUNCTION("IF(H512="""","""",
SUM(ARRAYFORMULA(VALUE(SPLIT(H512,CHAR(10)))))
)"),"")</f>
      </c>
      <c r="J512" s="17" t="str">
        <f>IFERROR(__xludf.DUMMYFUNCTION("IFERROR(
  TEXTJOIN(CHAR(10),TRUE,FILTER('SUMMARY DATA'!I:I,'SUMMARY DATA'!$A:$A=$A512,'SUMMARY DATA'!$C:$C=$B512,'SUMMARY DATA'!$B:$B=""RWS"")),
  IF(
    OR(
      ISNUMBER(SEARCH(""CDM CASH DEPOSIT"",$C512)),
      ISNUMBER(SEARCH(""CASH DEPOSIT"",$C51"&amp;"2)),
      COUNTIFS('SUMMARY DATA'!$D:$D,$C512,'SUMMARY DATA'!$B:$B,""RWS"")&lt;&gt;1
    ),
    """",
    IFERROR(TEXTJOIN(CHAR(10),TRUE,FILTER('SUMMARY DATA'!I:I,'SUMMARY DATA'!$D:$D=$C512,'SUMMARY DATA'!$B:$B=""RWS"")),"""")
  )
)"),"")</f>
      </c>
      <c r="K512" s="2"/>
      <c r="L512" s="2"/>
      <c r="M512" s="2"/>
      <c r="N512" s="2"/>
      <c r="O512" s="2"/>
      <c r="P512" s="2"/>
      <c r="Q512" s="2"/>
      <c r="R512" s="2"/>
      <c r="S512" s="2"/>
      <c r="T512" s="2"/>
      <c r="U512" s="2"/>
      <c r="V512" s="2"/>
      <c r="W512" s="2"/>
      <c r="X512" s="2"/>
      <c r="Y512" s="2"/>
      <c r="Z512" s="2"/>
      <c r="AA512" s="2"/>
      <c r="AB512" s="2"/>
    </row>
    <row r="513" spans="1:28" customHeight="true">
      <c r="A513" s="2" t="s">
        <v>850</v>
      </c>
      <c r="B513" s="15">
        <v>45993</v>
      </c>
      <c r="C513" s="2" t="s">
        <v>851</v>
      </c>
      <c r="D513" s="3">
        <v>109.97</v>
      </c>
      <c r="E513" s="16" t="s">
        <v>2554</v>
      </c>
      <c r="F513" s="17" t="s">
        <v>2564</v>
      </c>
      <c r="G513" s="17" t="s">
        <v>2393</v>
      </c>
      <c r="H513" s="18">
        <v>109.97</v>
      </c>
      <c r="I513" s="18">
        <v>109.97</v>
      </c>
      <c r="J513" s="17" t="s">
        <v>2394</v>
      </c>
      <c r="K513" s="2" t="s">
        <v>2395</v>
      </c>
      <c r="L513" s="2"/>
      <c r="M513" s="2"/>
      <c r="N513" s="2"/>
      <c r="O513" s="2"/>
      <c r="P513" s="2"/>
      <c r="Q513" s="2"/>
      <c r="R513" s="2"/>
      <c r="S513" s="2"/>
      <c r="T513" s="2"/>
      <c r="U513" s="2"/>
      <c r="V513" s="2"/>
      <c r="W513" s="2"/>
      <c r="X513" s="2"/>
      <c r="Y513" s="2"/>
      <c r="Z513" s="2"/>
      <c r="AA513" s="2"/>
      <c r="AB513" s="2"/>
    </row>
    <row r="514" spans="1:28" customHeight="true">
      <c r="A514" s="2" t="s">
        <v>852</v>
      </c>
      <c r="B514" s="15">
        <v>45993</v>
      </c>
      <c r="C514" s="2" t="s">
        <v>853</v>
      </c>
      <c r="D514" s="3">
        <v>7.75</v>
      </c>
      <c r="E514" s="16" t="str">
        <f>IFERROR(__xludf.DUMMYFUNCTION("IFERROR(
  TEXTJOIN(CHAR(10),TRUE,FILTER('SUMMARY DATA'!E:E,'SUMMARY DATA'!$A:$A=$A514,'SUMMARY DATA'!$C:$C=$B514,'SUMMARY DATA'!$B:$B=""RWS"")),
  IF(
    OR(
      ISNUMBER(SEARCH(""CDM CASH DEPOSIT"",$C514)),
      ISNUMBER(SEARCH(""CASH DEPOSIT"",$C51"&amp;"4)),
      COUNTIFS('SUMMARY DATA'!$D:$D,$C514,'SUMMARY DATA'!$B:$B,""RWS"")&lt;&gt;1
    ),
    """",
    IFERROR(TEXTJOIN(CHAR(10),TRUE,FILTER('SUMMARY DATA'!E:E,'SUMMARY DATA'!$D:$D=$C514,'SUMMARY DATA'!$B:$B=""RWS"")),"""")
  )
)"),"")</f>
      </c>
      <c r="F514" s="17" t="str">
        <f>IFERROR(__xludf.DUMMYFUNCTION("IFERROR(
  TEXTJOIN(CHAR(10),TRUE,FILTER('SUMMARY DATA'!F:F,'SUMMARY DATA'!$A:$A=$A514,'SUMMARY DATA'!$C:$C=$B514,'SUMMARY DATA'!$B:$B=""RWS"")),
  IF(
    OR(
      ISNUMBER(SEARCH(""CDM CASH DEPOSIT"",$C514)),
      ISNUMBER(SEARCH(""CASH DEPOSIT"",$C51"&amp;"4)),
      COUNTIFS('SUMMARY DATA'!$D:$D,$C514,'SUMMARY DATA'!$B:$B,""RWS"")&lt;&gt;1
    ),
    """",
    IFERROR(TEXTJOIN(CHAR(10),TRUE,FILTER('SUMMARY DATA'!F:F,'SUMMARY DATA'!$D:$D=$C514,'SUMMARY DATA'!$B:$B=""RWS"")),"""")
  )
)"),"")</f>
      </c>
      <c r="G514" s="17" t="str">
        <f>IFERROR(__xludf.DUMMYFUNCTION("IFERROR(
  TEXTJOIN(CHAR(10),TRUE,FILTER('SUMMARY DATA'!G:G,'SUMMARY DATA'!$A:$A=$A514,'SUMMARY DATA'!$C:$C=$B514,'SUMMARY DATA'!$B:$B=""RWS"")),
  IF(
    OR(
      ISNUMBER(SEARCH(""CDM CASH DEPOSIT"",$C514)),
      ISNUMBER(SEARCH(""CASH DEPOSIT"",$C51"&amp;"4)),
      COUNTIFS('SUMMARY DATA'!$D:$D,$C514,'SUMMARY DATA'!$B:$B,""RWS"")&lt;&gt;1
    ),
    """",
    IFERROR(TEXTJOIN(CHAR(10),TRUE,FILTER('SUMMARY DATA'!G:G,'SUMMARY DATA'!$D:$D=$C514,'SUMMARY DATA'!$B:$B=""RWS"")),"""")
  )
)"),"")</f>
      </c>
      <c r="H514" s="18" t="str">
        <f>IFERROR(__xludf.DUMMYFUNCTION("IFERROR(
  TEXTJOIN(CHAR(10),TRUE,FILTER('SUMMARY DATA'!H:H,'SUMMARY DATA'!$A:$A=$A514,'SUMMARY DATA'!$C:$C=$B514,'SUMMARY DATA'!$B:$B=""RWS"",'SUMMARY DATA'!$H:$H=$D514)),
  IF(
    OR(
      ISNUMBER(SEARCH(""CDM CASH DEPOSIT"",$C514)),
      ISNUMBER(S"&amp;"EARCH(""CASH DEPOSIT"",$C514))
    ),
    """",
    IFERROR(TEXTJOIN(CHAR(10),TRUE,FILTER('SUMMARY DATA'!H:H,'SUMMARY DATA'!$D:$D=$C514,'SUMMARY DATA'!$B:$B=""RWS"",'SUMMARY DATA'!$H:$H=$D514)),"""")
  )
)"),"")</f>
      </c>
      <c r="I514" s="18" t="str">
        <f>IFERROR(__xludf.DUMMYFUNCTION("IF(H514="""","""",
SUM(ARRAYFORMULA(VALUE(SPLIT(H514,CHAR(10)))))
)"),"")</f>
      </c>
      <c r="J514" s="17" t="str">
        <f>IFERROR(__xludf.DUMMYFUNCTION("IFERROR(
  TEXTJOIN(CHAR(10),TRUE,FILTER('SUMMARY DATA'!I:I,'SUMMARY DATA'!$A:$A=$A514,'SUMMARY DATA'!$C:$C=$B514,'SUMMARY DATA'!$B:$B=""RWS"")),
  IF(
    OR(
      ISNUMBER(SEARCH(""CDM CASH DEPOSIT"",$C514)),
      ISNUMBER(SEARCH(""CASH DEPOSIT"",$C51"&amp;"4)),
      COUNTIFS('SUMMARY DATA'!$D:$D,$C514,'SUMMARY DATA'!$B:$B,""RWS"")&lt;&gt;1
    ),
    """",
    IFERROR(TEXTJOIN(CHAR(10),TRUE,FILTER('SUMMARY DATA'!I:I,'SUMMARY DATA'!$D:$D=$C514,'SUMMARY DATA'!$B:$B=""RWS"")),"""")
  )
)"),"")</f>
      </c>
      <c r="K514" s="2"/>
      <c r="L514" s="2"/>
      <c r="M514" s="2"/>
      <c r="N514" s="2"/>
      <c r="O514" s="2"/>
      <c r="P514" s="2"/>
      <c r="Q514" s="2"/>
      <c r="R514" s="2"/>
      <c r="S514" s="2"/>
      <c r="T514" s="2"/>
      <c r="U514" s="2"/>
      <c r="V514" s="2"/>
      <c r="W514" s="2"/>
      <c r="X514" s="2"/>
      <c r="Y514" s="2"/>
      <c r="Z514" s="2"/>
      <c r="AA514" s="2"/>
      <c r="AB514" s="2"/>
    </row>
    <row r="515" spans="1:28" customHeight="true">
      <c r="A515" s="2" t="s">
        <v>854</v>
      </c>
      <c r="B515" s="15">
        <v>45993</v>
      </c>
      <c r="C515" s="2" t="s">
        <v>855</v>
      </c>
      <c r="D515" s="3">
        <v>35</v>
      </c>
      <c r="E515" s="16" t="s">
        <v>2495</v>
      </c>
      <c r="F515" s="17" t="s">
        <v>2565</v>
      </c>
      <c r="G515" s="17" t="s">
        <v>2393</v>
      </c>
      <c r="H515" s="18">
        <v>35</v>
      </c>
      <c r="I515" s="18">
        <v>35</v>
      </c>
      <c r="J515" s="17" t="s">
        <v>2394</v>
      </c>
      <c r="K515" s="2" t="s">
        <v>2395</v>
      </c>
      <c r="L515" s="2"/>
      <c r="M515" s="2"/>
      <c r="N515" s="2"/>
      <c r="O515" s="2"/>
      <c r="P515" s="2"/>
      <c r="Q515" s="2"/>
      <c r="R515" s="2"/>
      <c r="S515" s="2"/>
      <c r="T515" s="2"/>
      <c r="U515" s="2"/>
      <c r="V515" s="2"/>
      <c r="W515" s="2"/>
      <c r="X515" s="2"/>
      <c r="Y515" s="2"/>
      <c r="Z515" s="2"/>
      <c r="AA515" s="2"/>
      <c r="AB515" s="2"/>
    </row>
    <row r="516" spans="1:28" customHeight="true">
      <c r="A516" s="2" t="s">
        <v>856</v>
      </c>
      <c r="B516" s="15">
        <v>45993</v>
      </c>
      <c r="C516" s="2" t="s">
        <v>857</v>
      </c>
      <c r="D516" s="3">
        <v>24.95</v>
      </c>
      <c r="E516" s="16" t="s">
        <v>2561</v>
      </c>
      <c r="F516" s="17" t="s">
        <v>2566</v>
      </c>
      <c r="G516" s="17" t="s">
        <v>2393</v>
      </c>
      <c r="H516" s="18">
        <v>24.95</v>
      </c>
      <c r="I516" s="18">
        <v>24.95</v>
      </c>
      <c r="J516" s="17" t="s">
        <v>2394</v>
      </c>
      <c r="K516" s="2" t="s">
        <v>2395</v>
      </c>
      <c r="L516" s="2"/>
      <c r="M516" s="2"/>
      <c r="N516" s="2"/>
      <c r="O516" s="2"/>
      <c r="P516" s="2"/>
      <c r="Q516" s="2"/>
      <c r="R516" s="2"/>
      <c r="S516" s="2"/>
      <c r="T516" s="2"/>
      <c r="U516" s="2"/>
      <c r="V516" s="2"/>
      <c r="W516" s="2"/>
      <c r="X516" s="2"/>
      <c r="Y516" s="2"/>
      <c r="Z516" s="2"/>
      <c r="AA516" s="2"/>
      <c r="AB516" s="2"/>
    </row>
    <row r="517" spans="1:28" customHeight="true">
      <c r="A517" s="2" t="s">
        <v>858</v>
      </c>
      <c r="B517" s="15">
        <v>45993</v>
      </c>
      <c r="C517" s="2" t="s">
        <v>859</v>
      </c>
      <c r="D517" s="3">
        <v>106</v>
      </c>
      <c r="E517" s="16" t="str">
        <f>IFERROR(__xludf.DUMMYFUNCTION("IFERROR(
  TEXTJOIN(CHAR(10),TRUE,FILTER('SUMMARY DATA'!E:E,'SUMMARY DATA'!$A:$A=$A517,'SUMMARY DATA'!$C:$C=$B517,'SUMMARY DATA'!$B:$B=""RWS"")),
  IF(
    OR(
      ISNUMBER(SEARCH(""CDM CASH DEPOSIT"",$C517)),
      ISNUMBER(SEARCH(""CASH DEPOSIT"",$C51"&amp;"7)),
      COUNTIFS('SUMMARY DATA'!$D:$D,$C517,'SUMMARY DATA'!$B:$B,""RWS"")&lt;&gt;1
    ),
    """",
    IFERROR(TEXTJOIN(CHAR(10),TRUE,FILTER('SUMMARY DATA'!E:E,'SUMMARY DATA'!$D:$D=$C517,'SUMMARY DATA'!$B:$B=""RWS"")),"""")
  )
)"),"")</f>
      </c>
      <c r="F517" s="17" t="str">
        <f>IFERROR(__xludf.DUMMYFUNCTION("IFERROR(
  TEXTJOIN(CHAR(10),TRUE,FILTER('SUMMARY DATA'!F:F,'SUMMARY DATA'!$A:$A=$A517,'SUMMARY DATA'!$C:$C=$B517,'SUMMARY DATA'!$B:$B=""RWS"")),
  IF(
    OR(
      ISNUMBER(SEARCH(""CDM CASH DEPOSIT"",$C517)),
      ISNUMBER(SEARCH(""CASH DEPOSIT"",$C51"&amp;"7)),
      COUNTIFS('SUMMARY DATA'!$D:$D,$C517,'SUMMARY DATA'!$B:$B,""RWS"")&lt;&gt;1
    ),
    """",
    IFERROR(TEXTJOIN(CHAR(10),TRUE,FILTER('SUMMARY DATA'!F:F,'SUMMARY DATA'!$D:$D=$C517,'SUMMARY DATA'!$B:$B=""RWS"")),"""")
  )
)"),"")</f>
      </c>
      <c r="G517" s="17" t="str">
        <f>IFERROR(__xludf.DUMMYFUNCTION("IFERROR(
  TEXTJOIN(CHAR(10),TRUE,FILTER('SUMMARY DATA'!G:G,'SUMMARY DATA'!$A:$A=$A517,'SUMMARY DATA'!$C:$C=$B517,'SUMMARY DATA'!$B:$B=""RWS"")),
  IF(
    OR(
      ISNUMBER(SEARCH(""CDM CASH DEPOSIT"",$C517)),
      ISNUMBER(SEARCH(""CASH DEPOSIT"",$C51"&amp;"7)),
      COUNTIFS('SUMMARY DATA'!$D:$D,$C517,'SUMMARY DATA'!$B:$B,""RWS"")&lt;&gt;1
    ),
    """",
    IFERROR(TEXTJOIN(CHAR(10),TRUE,FILTER('SUMMARY DATA'!G:G,'SUMMARY DATA'!$D:$D=$C517,'SUMMARY DATA'!$B:$B=""RWS"")),"""")
  )
)"),"")</f>
      </c>
      <c r="H517" s="18" t="str">
        <f>IFERROR(__xludf.DUMMYFUNCTION("IFERROR(
  TEXTJOIN(CHAR(10),TRUE,FILTER('SUMMARY DATA'!H:H,'SUMMARY DATA'!$A:$A=$A517,'SUMMARY DATA'!$C:$C=$B517,'SUMMARY DATA'!$B:$B=""RWS"",'SUMMARY DATA'!$H:$H=$D517)),
  IF(
    OR(
      ISNUMBER(SEARCH(""CDM CASH DEPOSIT"",$C517)),
      ISNUMBER(S"&amp;"EARCH(""CASH DEPOSIT"",$C517))
    ),
    """",
    IFERROR(TEXTJOIN(CHAR(10),TRUE,FILTER('SUMMARY DATA'!H:H,'SUMMARY DATA'!$D:$D=$C517,'SUMMARY DATA'!$B:$B=""RWS"",'SUMMARY DATA'!$H:$H=$D517)),"""")
  )
)"),"")</f>
      </c>
      <c r="I517" s="18" t="str">
        <f>IFERROR(__xludf.DUMMYFUNCTION("IF(H517="""","""",
SUM(ARRAYFORMULA(VALUE(SPLIT(H517,CHAR(10)))))
)"),"")</f>
      </c>
      <c r="J517" s="17" t="str">
        <f>IFERROR(__xludf.DUMMYFUNCTION("IFERROR(
  TEXTJOIN(CHAR(10),TRUE,FILTER('SUMMARY DATA'!I:I,'SUMMARY DATA'!$A:$A=$A517,'SUMMARY DATA'!$C:$C=$B517,'SUMMARY DATA'!$B:$B=""RWS"")),
  IF(
    OR(
      ISNUMBER(SEARCH(""CDM CASH DEPOSIT"",$C517)),
      ISNUMBER(SEARCH(""CASH DEPOSIT"",$C51"&amp;"7)),
      COUNTIFS('SUMMARY DATA'!$D:$D,$C517,'SUMMARY DATA'!$B:$B,""RWS"")&lt;&gt;1
    ),
    """",
    IFERROR(TEXTJOIN(CHAR(10),TRUE,FILTER('SUMMARY DATA'!I:I,'SUMMARY DATA'!$D:$D=$C517,'SUMMARY DATA'!$B:$B=""RWS"")),"""")
  )
)"),"")</f>
      </c>
      <c r="K517" s="2"/>
      <c r="L517" s="2"/>
      <c r="M517" s="2"/>
      <c r="N517" s="2"/>
      <c r="O517" s="2"/>
      <c r="P517" s="2"/>
      <c r="Q517" s="2"/>
      <c r="R517" s="2"/>
      <c r="S517" s="2"/>
      <c r="T517" s="2"/>
      <c r="U517" s="2"/>
      <c r="V517" s="2"/>
      <c r="W517" s="2"/>
      <c r="X517" s="2"/>
      <c r="Y517" s="2"/>
      <c r="Z517" s="2"/>
      <c r="AA517" s="2"/>
      <c r="AB517" s="2"/>
    </row>
    <row r="518" spans="1:28" customHeight="true">
      <c r="A518" s="2" t="s">
        <v>860</v>
      </c>
      <c r="B518" s="15">
        <v>45992</v>
      </c>
      <c r="C518" s="2" t="s">
        <v>32</v>
      </c>
      <c r="D518" s="3">
        <v>43.88</v>
      </c>
      <c r="E518" s="16" t="s">
        <v>2457</v>
      </c>
      <c r="F518" s="17" t="s">
        <v>2567</v>
      </c>
      <c r="G518" s="17" t="s">
        <v>2393</v>
      </c>
      <c r="H518" s="18">
        <v>43.88</v>
      </c>
      <c r="I518" s="18">
        <v>43.88</v>
      </c>
      <c r="J518" s="17" t="s">
        <v>2394</v>
      </c>
      <c r="K518" s="2" t="s">
        <v>2395</v>
      </c>
      <c r="L518" s="2"/>
      <c r="M518" s="2"/>
      <c r="N518" s="2"/>
      <c r="O518" s="2"/>
      <c r="P518" s="2"/>
      <c r="Q518" s="2"/>
      <c r="R518" s="2"/>
      <c r="S518" s="2"/>
      <c r="T518" s="2"/>
      <c r="U518" s="2"/>
      <c r="V518" s="2"/>
      <c r="W518" s="2"/>
      <c r="X518" s="2"/>
      <c r="Y518" s="2"/>
      <c r="Z518" s="2"/>
      <c r="AA518" s="2"/>
      <c r="AB518" s="2"/>
    </row>
    <row r="519" spans="1:28" customHeight="true">
      <c r="A519" s="2" t="s">
        <v>861</v>
      </c>
      <c r="B519" s="15">
        <v>45992</v>
      </c>
      <c r="C519" s="2" t="s">
        <v>862</v>
      </c>
      <c r="D519" s="3">
        <v>51.38</v>
      </c>
      <c r="E519" s="16" t="s">
        <v>2495</v>
      </c>
      <c r="F519" s="17" t="s">
        <v>2568</v>
      </c>
      <c r="G519" s="17" t="s">
        <v>2393</v>
      </c>
      <c r="H519" s="18">
        <v>51.38</v>
      </c>
      <c r="I519" s="18">
        <v>51.38</v>
      </c>
      <c r="J519" s="17" t="s">
        <v>2394</v>
      </c>
      <c r="K519" s="2" t="s">
        <v>2395</v>
      </c>
      <c r="L519" s="2"/>
      <c r="M519" s="2"/>
      <c r="N519" s="2"/>
      <c r="O519" s="2"/>
      <c r="P519" s="2"/>
      <c r="Q519" s="2"/>
      <c r="R519" s="2"/>
      <c r="S519" s="2"/>
      <c r="T519" s="2"/>
      <c r="U519" s="2"/>
      <c r="V519" s="2"/>
      <c r="W519" s="2"/>
      <c r="X519" s="2"/>
      <c r="Y519" s="2"/>
      <c r="Z519" s="2"/>
      <c r="AA519" s="2"/>
      <c r="AB519" s="2"/>
    </row>
    <row r="520" spans="1:28" customHeight="true">
      <c r="A520" s="2" t="s">
        <v>863</v>
      </c>
      <c r="B520" s="15">
        <v>45992</v>
      </c>
      <c r="C520" s="2" t="s">
        <v>864</v>
      </c>
      <c r="D520" s="3">
        <v>25</v>
      </c>
      <c r="E520" s="16" t="s">
        <v>2569</v>
      </c>
      <c r="F520" s="17" t="s">
        <v>2570</v>
      </c>
      <c r="G520" s="17" t="s">
        <v>2393</v>
      </c>
      <c r="H520" s="18">
        <v>25</v>
      </c>
      <c r="I520" s="18">
        <v>25</v>
      </c>
      <c r="J520" s="17" t="s">
        <v>2571</v>
      </c>
      <c r="K520" s="2" t="s">
        <v>2395</v>
      </c>
      <c r="L520" s="2"/>
      <c r="M520" s="2"/>
      <c r="N520" s="2"/>
      <c r="O520" s="2"/>
      <c r="P520" s="2"/>
      <c r="Q520" s="2"/>
      <c r="R520" s="2"/>
      <c r="S520" s="2"/>
      <c r="T520" s="2"/>
      <c r="U520" s="2"/>
      <c r="V520" s="2"/>
      <c r="W520" s="2"/>
      <c r="X520" s="2"/>
      <c r="Y520" s="2"/>
      <c r="Z520" s="2"/>
      <c r="AA520" s="2"/>
      <c r="AB520" s="2"/>
    </row>
    <row r="521" spans="1:28" customHeight="true">
      <c r="A521" s="2" t="s">
        <v>865</v>
      </c>
      <c r="B521" s="15">
        <v>45992</v>
      </c>
      <c r="C521" s="2" t="s">
        <v>866</v>
      </c>
      <c r="D521" s="3">
        <v>10</v>
      </c>
      <c r="E521" s="16" t="str">
        <f>IFERROR(__xludf.DUMMYFUNCTION("IFERROR(
  TEXTJOIN(CHAR(10),TRUE,FILTER('SUMMARY DATA'!E:E,'SUMMARY DATA'!$A:$A=$A521,'SUMMARY DATA'!$C:$C=$B521,'SUMMARY DATA'!$B:$B=""RWS"")),
  IF(
    OR(
      ISNUMBER(SEARCH(""CDM CASH DEPOSIT"",$C521)),
      ISNUMBER(SEARCH(""CASH DEPOSIT"",$C52"&amp;"1)),
      COUNTIFS('SUMMARY DATA'!$D:$D,$C521,'SUMMARY DATA'!$B:$B,""RWS"")&lt;&gt;1
    ),
    """",
    IFERROR(TEXTJOIN(CHAR(10),TRUE,FILTER('SUMMARY DATA'!E:E,'SUMMARY DATA'!$D:$D=$C521,'SUMMARY DATA'!$B:$B=""RWS"")),"""")
  )
)"),"")</f>
      </c>
      <c r="F521" s="17" t="str">
        <f>IFERROR(__xludf.DUMMYFUNCTION("IFERROR(
  TEXTJOIN(CHAR(10),TRUE,FILTER('SUMMARY DATA'!F:F,'SUMMARY DATA'!$A:$A=$A521,'SUMMARY DATA'!$C:$C=$B521,'SUMMARY DATA'!$B:$B=""RWS"")),
  IF(
    OR(
      ISNUMBER(SEARCH(""CDM CASH DEPOSIT"",$C521)),
      ISNUMBER(SEARCH(""CASH DEPOSIT"",$C52"&amp;"1)),
      COUNTIFS('SUMMARY DATA'!$D:$D,$C521,'SUMMARY DATA'!$B:$B,""RWS"")&lt;&gt;1
    ),
    """",
    IFERROR(TEXTJOIN(CHAR(10),TRUE,FILTER('SUMMARY DATA'!F:F,'SUMMARY DATA'!$D:$D=$C521,'SUMMARY DATA'!$B:$B=""RWS"")),"""")
  )
)"),"")</f>
      </c>
      <c r="G521" s="17" t="str">
        <f>IFERROR(__xludf.DUMMYFUNCTION("IFERROR(
  TEXTJOIN(CHAR(10),TRUE,FILTER('SUMMARY DATA'!G:G,'SUMMARY DATA'!$A:$A=$A521,'SUMMARY DATA'!$C:$C=$B521,'SUMMARY DATA'!$B:$B=""RWS"")),
  IF(
    OR(
      ISNUMBER(SEARCH(""CDM CASH DEPOSIT"",$C521)),
      ISNUMBER(SEARCH(""CASH DEPOSIT"",$C52"&amp;"1)),
      COUNTIFS('SUMMARY DATA'!$D:$D,$C521,'SUMMARY DATA'!$B:$B,""RWS"")&lt;&gt;1
    ),
    """",
    IFERROR(TEXTJOIN(CHAR(10),TRUE,FILTER('SUMMARY DATA'!G:G,'SUMMARY DATA'!$D:$D=$C521,'SUMMARY DATA'!$B:$B=""RWS"")),"""")
  )
)"),"")</f>
      </c>
      <c r="H521" s="18" t="str">
        <f>IFERROR(__xludf.DUMMYFUNCTION("IFERROR(
  TEXTJOIN(CHAR(10),TRUE,FILTER('SUMMARY DATA'!H:H,'SUMMARY DATA'!$A:$A=$A521,'SUMMARY DATA'!$C:$C=$B521,'SUMMARY DATA'!$B:$B=""RWS"",'SUMMARY DATA'!$H:$H=$D521)),
  IF(
    OR(
      ISNUMBER(SEARCH(""CDM CASH DEPOSIT"",$C521)),
      ISNUMBER(S"&amp;"EARCH(""CASH DEPOSIT"",$C521))
    ),
    """",
    IFERROR(TEXTJOIN(CHAR(10),TRUE,FILTER('SUMMARY DATA'!H:H,'SUMMARY DATA'!$D:$D=$C521,'SUMMARY DATA'!$B:$B=""RWS"",'SUMMARY DATA'!$H:$H=$D521)),"""")
  )
)"),"")</f>
      </c>
      <c r="I521" s="18" t="str">
        <f>IFERROR(__xludf.DUMMYFUNCTION("IF(H521="""","""",
SUM(ARRAYFORMULA(VALUE(SPLIT(H521,CHAR(10)))))
)"),"")</f>
      </c>
      <c r="J521" s="17" t="str">
        <f>IFERROR(__xludf.DUMMYFUNCTION("IFERROR(
  TEXTJOIN(CHAR(10),TRUE,FILTER('SUMMARY DATA'!I:I,'SUMMARY DATA'!$A:$A=$A521,'SUMMARY DATA'!$C:$C=$B521,'SUMMARY DATA'!$B:$B=""RWS"")),
  IF(
    OR(
      ISNUMBER(SEARCH(""CDM CASH DEPOSIT"",$C521)),
      ISNUMBER(SEARCH(""CASH DEPOSIT"",$C52"&amp;"1)),
      COUNTIFS('SUMMARY DATA'!$D:$D,$C521,'SUMMARY DATA'!$B:$B,""RWS"")&lt;&gt;1
    ),
    """",
    IFERROR(TEXTJOIN(CHAR(10),TRUE,FILTER('SUMMARY DATA'!I:I,'SUMMARY DATA'!$D:$D=$C521,'SUMMARY DATA'!$B:$B=""RWS"")),"""")
  )
)"),"")</f>
      </c>
      <c r="K521" s="2"/>
      <c r="L521" s="2"/>
      <c r="M521" s="2"/>
      <c r="N521" s="2"/>
      <c r="O521" s="2"/>
      <c r="P521" s="2"/>
      <c r="Q521" s="2"/>
      <c r="R521" s="2"/>
      <c r="S521" s="2"/>
      <c r="T521" s="2"/>
      <c r="U521" s="2"/>
      <c r="V521" s="2"/>
      <c r="W521" s="2"/>
      <c r="X521" s="2"/>
      <c r="Y521" s="2"/>
      <c r="Z521" s="2"/>
      <c r="AA521" s="2"/>
      <c r="AB521" s="2"/>
    </row>
    <row r="522" spans="1:28" customHeight="true">
      <c r="A522" s="2" t="s">
        <v>867</v>
      </c>
      <c r="B522" s="15">
        <v>45992</v>
      </c>
      <c r="C522" s="2" t="s">
        <v>868</v>
      </c>
      <c r="D522" s="3">
        <v>9.87</v>
      </c>
      <c r="E522" s="16" t="s">
        <v>2572</v>
      </c>
      <c r="F522" s="17" t="s">
        <v>2573</v>
      </c>
      <c r="G522" s="17" t="s">
        <v>2393</v>
      </c>
      <c r="H522" s="18">
        <v>9.87</v>
      </c>
      <c r="I522" s="18">
        <v>9.87</v>
      </c>
      <c r="J522" s="17" t="s">
        <v>2394</v>
      </c>
      <c r="K522" s="2" t="s">
        <v>2395</v>
      </c>
      <c r="L522" s="2"/>
      <c r="M522" s="2"/>
      <c r="N522" s="2"/>
      <c r="O522" s="2"/>
      <c r="P522" s="2"/>
      <c r="Q522" s="2"/>
      <c r="R522" s="2"/>
      <c r="S522" s="2"/>
      <c r="T522" s="2"/>
      <c r="U522" s="2"/>
      <c r="V522" s="2"/>
      <c r="W522" s="2"/>
      <c r="X522" s="2"/>
      <c r="Y522" s="2"/>
      <c r="Z522" s="2"/>
      <c r="AA522" s="2"/>
      <c r="AB522" s="2"/>
    </row>
    <row r="523" spans="1:28" customHeight="true">
      <c r="A523" s="2" t="s">
        <v>869</v>
      </c>
      <c r="B523" s="15">
        <v>45992</v>
      </c>
      <c r="C523" s="2" t="s">
        <v>870</v>
      </c>
      <c r="D523" s="3">
        <v>217.36</v>
      </c>
      <c r="E523" s="16" t="s">
        <v>2495</v>
      </c>
      <c r="F523" s="17" t="s">
        <v>2574</v>
      </c>
      <c r="G523" s="17" t="s">
        <v>2393</v>
      </c>
      <c r="H523" s="18">
        <v>217.36</v>
      </c>
      <c r="I523" s="18">
        <v>217.36</v>
      </c>
      <c r="J523" s="17" t="s">
        <v>2394</v>
      </c>
      <c r="K523" s="2" t="s">
        <v>2395</v>
      </c>
      <c r="L523" s="2"/>
      <c r="M523" s="2"/>
      <c r="N523" s="2"/>
      <c r="O523" s="2"/>
      <c r="P523" s="2"/>
      <c r="Q523" s="2"/>
      <c r="R523" s="2"/>
      <c r="S523" s="2"/>
      <c r="T523" s="2"/>
      <c r="U523" s="2"/>
      <c r="V523" s="2"/>
      <c r="W523" s="2"/>
      <c r="X523" s="2"/>
      <c r="Y523" s="2"/>
      <c r="Z523" s="2"/>
      <c r="AA523" s="2"/>
      <c r="AB523" s="2"/>
    </row>
    <row r="524" spans="1:28" customHeight="true">
      <c r="A524" s="2" t="s">
        <v>871</v>
      </c>
      <c r="B524" s="15">
        <v>45992</v>
      </c>
      <c r="C524" s="2" t="s">
        <v>349</v>
      </c>
      <c r="D524" s="3">
        <v>158</v>
      </c>
      <c r="E524" s="16" t="s">
        <v>2495</v>
      </c>
      <c r="F524" s="17" t="s">
        <v>2575</v>
      </c>
      <c r="G524" s="17" t="s">
        <v>2393</v>
      </c>
      <c r="H524" s="18">
        <v>158</v>
      </c>
      <c r="I524" s="18">
        <v>158</v>
      </c>
      <c r="J524" s="17" t="s">
        <v>2394</v>
      </c>
      <c r="K524" s="2" t="s">
        <v>2395</v>
      </c>
      <c r="L524" s="2"/>
      <c r="M524" s="2"/>
      <c r="N524" s="2"/>
      <c r="O524" s="2"/>
      <c r="P524" s="2"/>
      <c r="Q524" s="2"/>
      <c r="R524" s="2"/>
      <c r="S524" s="2"/>
      <c r="T524" s="2"/>
      <c r="U524" s="2"/>
      <c r="V524" s="2"/>
      <c r="W524" s="2"/>
      <c r="X524" s="2"/>
      <c r="Y524" s="2"/>
      <c r="Z524" s="2"/>
      <c r="AA524" s="2"/>
      <c r="AB524" s="2"/>
    </row>
    <row r="525" spans="1:28" customHeight="true">
      <c r="A525" s="2" t="s">
        <v>872</v>
      </c>
      <c r="B525" s="15">
        <v>46053</v>
      </c>
      <c r="C525" s="2" t="s">
        <v>873</v>
      </c>
      <c r="D525" s="3">
        <v>159.96</v>
      </c>
      <c r="E525" s="16" t="s">
        <v>2576</v>
      </c>
      <c r="F525" s="17" t="s">
        <v>2577</v>
      </c>
      <c r="G525" s="17" t="s">
        <v>2393</v>
      </c>
      <c r="H525" s="18">
        <v>159.96</v>
      </c>
      <c r="I525" s="18">
        <v>159.96</v>
      </c>
      <c r="J525" s="17" t="s">
        <v>2571</v>
      </c>
      <c r="K525" s="2" t="s">
        <v>2395</v>
      </c>
      <c r="L525" s="2"/>
      <c r="M525" s="2"/>
      <c r="N525" s="2"/>
      <c r="O525" s="2"/>
      <c r="P525" s="2"/>
      <c r="Q525" s="2"/>
      <c r="R525" s="2"/>
      <c r="S525" s="2"/>
      <c r="T525" s="2"/>
      <c r="U525" s="2"/>
      <c r="V525" s="2"/>
      <c r="W525" s="2"/>
      <c r="X525" s="2"/>
      <c r="Y525" s="2"/>
      <c r="Z525" s="2"/>
      <c r="AA525" s="2"/>
      <c r="AB525" s="2"/>
    </row>
    <row r="526" spans="1:28" customHeight="true">
      <c r="A526" s="2" t="s">
        <v>874</v>
      </c>
      <c r="B526" s="15">
        <v>46052</v>
      </c>
      <c r="C526" s="2" t="s">
        <v>875</v>
      </c>
      <c r="D526" s="3">
        <v>30</v>
      </c>
      <c r="E526" s="16" t="s">
        <v>2576</v>
      </c>
      <c r="F526" s="17" t="s">
        <v>2578</v>
      </c>
      <c r="G526" s="17" t="s">
        <v>2393</v>
      </c>
      <c r="H526" s="18">
        <v>30</v>
      </c>
      <c r="I526" s="18">
        <v>30</v>
      </c>
      <c r="J526" s="17" t="s">
        <v>2571</v>
      </c>
      <c r="K526" s="2" t="s">
        <v>2395</v>
      </c>
      <c r="L526" s="2"/>
      <c r="M526" s="2"/>
      <c r="N526" s="2"/>
      <c r="O526" s="2"/>
      <c r="P526" s="2"/>
      <c r="Q526" s="2"/>
      <c r="R526" s="2"/>
      <c r="S526" s="2"/>
      <c r="T526" s="2"/>
      <c r="U526" s="2"/>
      <c r="V526" s="2"/>
      <c r="W526" s="2"/>
      <c r="X526" s="2"/>
      <c r="Y526" s="2"/>
      <c r="Z526" s="2"/>
      <c r="AA526" s="2"/>
      <c r="AB526" s="2"/>
    </row>
    <row r="527" spans="1:28" customHeight="true">
      <c r="A527" s="2" t="s">
        <v>876</v>
      </c>
      <c r="B527" s="15">
        <v>46052</v>
      </c>
      <c r="C527" s="2" t="s">
        <v>877</v>
      </c>
      <c r="D527" s="3">
        <v>1</v>
      </c>
      <c r="E527" s="16" t="str">
        <f>IFERROR(__xludf.DUMMYFUNCTION("IFERROR(
  TEXTJOIN(CHAR(10),TRUE,FILTER('SUMMARY DATA'!E:E,'SUMMARY DATA'!$A:$A=$A527,'SUMMARY DATA'!$C:$C=$B527,'SUMMARY DATA'!$B:$B=""RWS"")),
  IF(
    OR(
      ISNUMBER(SEARCH(""CDM CASH DEPOSIT"",$C527)),
      ISNUMBER(SEARCH(""CASH DEPOSIT"",$C52"&amp;"7)),
      COUNTIFS('SUMMARY DATA'!$D:$D,$C527,'SUMMARY DATA'!$B:$B,""RWS"")&lt;&gt;1
    ),
    """",
    IFERROR(TEXTJOIN(CHAR(10),TRUE,FILTER('SUMMARY DATA'!E:E,'SUMMARY DATA'!$D:$D=$C527,'SUMMARY DATA'!$B:$B=""RWS"")),"""")
  )
)"),"")</f>
      </c>
      <c r="F527" s="17" t="str">
        <f>IFERROR(__xludf.DUMMYFUNCTION("IFERROR(
  TEXTJOIN(CHAR(10),TRUE,FILTER('SUMMARY DATA'!F:F,'SUMMARY DATA'!$A:$A=$A527,'SUMMARY DATA'!$C:$C=$B527,'SUMMARY DATA'!$B:$B=""RWS"")),
  IF(
    OR(
      ISNUMBER(SEARCH(""CDM CASH DEPOSIT"",$C527)),
      ISNUMBER(SEARCH(""CASH DEPOSIT"",$C52"&amp;"7)),
      COUNTIFS('SUMMARY DATA'!$D:$D,$C527,'SUMMARY DATA'!$B:$B,""RWS"")&lt;&gt;1
    ),
    """",
    IFERROR(TEXTJOIN(CHAR(10),TRUE,FILTER('SUMMARY DATA'!F:F,'SUMMARY DATA'!$D:$D=$C527,'SUMMARY DATA'!$B:$B=""RWS"")),"""")
  )
)"),"")</f>
      </c>
      <c r="G527" s="17" t="str">
        <f>IFERROR(__xludf.DUMMYFUNCTION("IFERROR(
  TEXTJOIN(CHAR(10),TRUE,FILTER('SUMMARY DATA'!G:G,'SUMMARY DATA'!$A:$A=$A527,'SUMMARY DATA'!$C:$C=$B527,'SUMMARY DATA'!$B:$B=""RWS"")),
  IF(
    OR(
      ISNUMBER(SEARCH(""CDM CASH DEPOSIT"",$C527)),
      ISNUMBER(SEARCH(""CASH DEPOSIT"",$C52"&amp;"7)),
      COUNTIFS('SUMMARY DATA'!$D:$D,$C527,'SUMMARY DATA'!$B:$B,""RWS"")&lt;&gt;1
    ),
    """",
    IFERROR(TEXTJOIN(CHAR(10),TRUE,FILTER('SUMMARY DATA'!G:G,'SUMMARY DATA'!$D:$D=$C527,'SUMMARY DATA'!$B:$B=""RWS"")),"""")
  )
)"),"")</f>
      </c>
      <c r="H527" s="18" t="str">
        <f>IFERROR(__xludf.DUMMYFUNCTION("IFERROR(
  TEXTJOIN(CHAR(10),TRUE,FILTER('SUMMARY DATA'!H:H,'SUMMARY DATA'!$A:$A=$A527,'SUMMARY DATA'!$C:$C=$B527,'SUMMARY DATA'!$B:$B=""RWS"",'SUMMARY DATA'!$H:$H=$D527)),
  IF(
    OR(
      ISNUMBER(SEARCH(""CDM CASH DEPOSIT"",$C527)),
      ISNUMBER(S"&amp;"EARCH(""CASH DEPOSIT"",$C527))
    ),
    """",
    IFERROR(TEXTJOIN(CHAR(10),TRUE,FILTER('SUMMARY DATA'!H:H,'SUMMARY DATA'!$D:$D=$C527,'SUMMARY DATA'!$B:$B=""RWS"",'SUMMARY DATA'!$H:$H=$D527)),"""")
  )
)"),"")</f>
      </c>
      <c r="I527" s="18" t="str">
        <f>IFERROR(__xludf.DUMMYFUNCTION("IF(H527="""","""",
SUM(ARRAYFORMULA(VALUE(SPLIT(H527,CHAR(10)))))
)"),"")</f>
      </c>
      <c r="J527" s="17" t="str">
        <f>IFERROR(__xludf.DUMMYFUNCTION("IFERROR(
  TEXTJOIN(CHAR(10),TRUE,FILTER('SUMMARY DATA'!I:I,'SUMMARY DATA'!$A:$A=$A527,'SUMMARY DATA'!$C:$C=$B527,'SUMMARY DATA'!$B:$B=""RWS"")),
  IF(
    OR(
      ISNUMBER(SEARCH(""CDM CASH DEPOSIT"",$C527)),
      ISNUMBER(SEARCH(""CASH DEPOSIT"",$C52"&amp;"7)),
      COUNTIFS('SUMMARY DATA'!$D:$D,$C527,'SUMMARY DATA'!$B:$B,""RWS"")&lt;&gt;1
    ),
    """",
    IFERROR(TEXTJOIN(CHAR(10),TRUE,FILTER('SUMMARY DATA'!I:I,'SUMMARY DATA'!$D:$D=$C527,'SUMMARY DATA'!$B:$B=""RWS"")),"""")
  )
)"),"")</f>
      </c>
      <c r="K527" s="2"/>
      <c r="L527" s="2"/>
      <c r="M527" s="2"/>
      <c r="N527" s="2"/>
      <c r="O527" s="2"/>
      <c r="P527" s="2"/>
      <c r="Q527" s="2"/>
      <c r="R527" s="2"/>
      <c r="S527" s="2"/>
      <c r="T527" s="2"/>
      <c r="U527" s="2"/>
      <c r="V527" s="2"/>
      <c r="W527" s="2"/>
      <c r="X527" s="2"/>
      <c r="Y527" s="2"/>
      <c r="Z527" s="2"/>
      <c r="AA527" s="2"/>
      <c r="AB527" s="2"/>
    </row>
    <row r="528" spans="1:28" customHeight="true">
      <c r="A528" s="2" t="s">
        <v>878</v>
      </c>
      <c r="B528" s="15">
        <v>46052</v>
      </c>
      <c r="C528" s="2" t="s">
        <v>879</v>
      </c>
      <c r="D528" s="3">
        <v>1</v>
      </c>
      <c r="E528" s="16" t="str">
        <f>IFERROR(__xludf.DUMMYFUNCTION("IFERROR(
  TEXTJOIN(CHAR(10),TRUE,FILTER('SUMMARY DATA'!E:E,'SUMMARY DATA'!$A:$A=$A528,'SUMMARY DATA'!$C:$C=$B528,'SUMMARY DATA'!$B:$B=""RWS"")),
  IF(
    OR(
      ISNUMBER(SEARCH(""CDM CASH DEPOSIT"",$C528)),
      ISNUMBER(SEARCH(""CASH DEPOSIT"",$C52"&amp;"8)),
      COUNTIFS('SUMMARY DATA'!$D:$D,$C528,'SUMMARY DATA'!$B:$B,""RWS"")&lt;&gt;1
    ),
    """",
    IFERROR(TEXTJOIN(CHAR(10),TRUE,FILTER('SUMMARY DATA'!E:E,'SUMMARY DATA'!$D:$D=$C528,'SUMMARY DATA'!$B:$B=""RWS"")),"""")
  )
)"),"")</f>
      </c>
      <c r="F528" s="17" t="str">
        <f>IFERROR(__xludf.DUMMYFUNCTION("IFERROR(
  TEXTJOIN(CHAR(10),TRUE,FILTER('SUMMARY DATA'!F:F,'SUMMARY DATA'!$A:$A=$A528,'SUMMARY DATA'!$C:$C=$B528,'SUMMARY DATA'!$B:$B=""RWS"")),
  IF(
    OR(
      ISNUMBER(SEARCH(""CDM CASH DEPOSIT"",$C528)),
      ISNUMBER(SEARCH(""CASH DEPOSIT"",$C52"&amp;"8)),
      COUNTIFS('SUMMARY DATA'!$D:$D,$C528,'SUMMARY DATA'!$B:$B,""RWS"")&lt;&gt;1
    ),
    """",
    IFERROR(TEXTJOIN(CHAR(10),TRUE,FILTER('SUMMARY DATA'!F:F,'SUMMARY DATA'!$D:$D=$C528,'SUMMARY DATA'!$B:$B=""RWS"")),"""")
  )
)"),"")</f>
      </c>
      <c r="G528" s="17" t="str">
        <f>IFERROR(__xludf.DUMMYFUNCTION("IFERROR(
  TEXTJOIN(CHAR(10),TRUE,FILTER('SUMMARY DATA'!G:G,'SUMMARY DATA'!$A:$A=$A528,'SUMMARY DATA'!$C:$C=$B528,'SUMMARY DATA'!$B:$B=""RWS"")),
  IF(
    OR(
      ISNUMBER(SEARCH(""CDM CASH DEPOSIT"",$C528)),
      ISNUMBER(SEARCH(""CASH DEPOSIT"",$C52"&amp;"8)),
      COUNTIFS('SUMMARY DATA'!$D:$D,$C528,'SUMMARY DATA'!$B:$B,""RWS"")&lt;&gt;1
    ),
    """",
    IFERROR(TEXTJOIN(CHAR(10),TRUE,FILTER('SUMMARY DATA'!G:G,'SUMMARY DATA'!$D:$D=$C528,'SUMMARY DATA'!$B:$B=""RWS"")),"""")
  )
)"),"")</f>
      </c>
      <c r="H528" s="18" t="str">
        <f>IFERROR(__xludf.DUMMYFUNCTION("IFERROR(
  TEXTJOIN(CHAR(10),TRUE,FILTER('SUMMARY DATA'!H:H,'SUMMARY DATA'!$A:$A=$A528,'SUMMARY DATA'!$C:$C=$B528,'SUMMARY DATA'!$B:$B=""RWS"",'SUMMARY DATA'!$H:$H=$D528)),
  IF(
    OR(
      ISNUMBER(SEARCH(""CDM CASH DEPOSIT"",$C528)),
      ISNUMBER(S"&amp;"EARCH(""CASH DEPOSIT"",$C528))
    ),
    """",
    IFERROR(TEXTJOIN(CHAR(10),TRUE,FILTER('SUMMARY DATA'!H:H,'SUMMARY DATA'!$D:$D=$C528,'SUMMARY DATA'!$B:$B=""RWS"",'SUMMARY DATA'!$H:$H=$D528)),"""")
  )
)"),"")</f>
      </c>
      <c r="I528" s="18" t="str">
        <f>IFERROR(__xludf.DUMMYFUNCTION("IF(H528="""","""",
SUM(ARRAYFORMULA(VALUE(SPLIT(H528,CHAR(10)))))
)"),"")</f>
      </c>
      <c r="J528" s="17" t="str">
        <f>IFERROR(__xludf.DUMMYFUNCTION("IFERROR(
  TEXTJOIN(CHAR(10),TRUE,FILTER('SUMMARY DATA'!I:I,'SUMMARY DATA'!$A:$A=$A528,'SUMMARY DATA'!$C:$C=$B528,'SUMMARY DATA'!$B:$B=""RWS"")),
  IF(
    OR(
      ISNUMBER(SEARCH(""CDM CASH DEPOSIT"",$C528)),
      ISNUMBER(SEARCH(""CASH DEPOSIT"",$C52"&amp;"8)),
      COUNTIFS('SUMMARY DATA'!$D:$D,$C528,'SUMMARY DATA'!$B:$B,""RWS"")&lt;&gt;1
    ),
    """",
    IFERROR(TEXTJOIN(CHAR(10),TRUE,FILTER('SUMMARY DATA'!I:I,'SUMMARY DATA'!$D:$D=$C528,'SUMMARY DATA'!$B:$B=""RWS"")),"""")
  )
)"),"")</f>
      </c>
      <c r="K528" s="2"/>
      <c r="L528" s="2"/>
      <c r="M528" s="2"/>
      <c r="N528" s="2"/>
      <c r="O528" s="2"/>
      <c r="P528" s="2"/>
      <c r="Q528" s="2"/>
      <c r="R528" s="2"/>
      <c r="S528" s="2"/>
      <c r="T528" s="2"/>
      <c r="U528" s="2"/>
      <c r="V528" s="2"/>
      <c r="W528" s="2"/>
      <c r="X528" s="2"/>
      <c r="Y528" s="2"/>
      <c r="Z528" s="2"/>
      <c r="AA528" s="2"/>
      <c r="AB528" s="2"/>
    </row>
    <row r="529" spans="1:28" customHeight="true">
      <c r="A529" s="2" t="s">
        <v>880</v>
      </c>
      <c r="B529" s="15">
        <v>46052</v>
      </c>
      <c r="C529" s="2" t="s">
        <v>881</v>
      </c>
      <c r="D529" s="3">
        <v>353</v>
      </c>
      <c r="E529" s="16" t="str">
        <f>IFERROR(__xludf.DUMMYFUNCTION("IFERROR(
  TEXTJOIN(CHAR(10),TRUE,FILTER('SUMMARY DATA'!E:E,'SUMMARY DATA'!$A:$A=$A529,'SUMMARY DATA'!$C:$C=$B529,'SUMMARY DATA'!$B:$B=""RWS"")),
  IF(
    OR(
      ISNUMBER(SEARCH(""CDM CASH DEPOSIT"",$C529)),
      ISNUMBER(SEARCH(""CASH DEPOSIT"",$C52"&amp;"9)),
      COUNTIFS('SUMMARY DATA'!$D:$D,$C529,'SUMMARY DATA'!$B:$B,""RWS"")&lt;&gt;1
    ),
    """",
    IFERROR(TEXTJOIN(CHAR(10),TRUE,FILTER('SUMMARY DATA'!E:E,'SUMMARY DATA'!$D:$D=$C529,'SUMMARY DATA'!$B:$B=""RWS"")),"""")
  )
)"),"")</f>
      </c>
      <c r="F529" s="17" t="str">
        <f>IFERROR(__xludf.DUMMYFUNCTION("IFERROR(
  TEXTJOIN(CHAR(10),TRUE,FILTER('SUMMARY DATA'!F:F,'SUMMARY DATA'!$A:$A=$A529,'SUMMARY DATA'!$C:$C=$B529,'SUMMARY DATA'!$B:$B=""RWS"")),
  IF(
    OR(
      ISNUMBER(SEARCH(""CDM CASH DEPOSIT"",$C529)),
      ISNUMBER(SEARCH(""CASH DEPOSIT"",$C52"&amp;"9)),
      COUNTIFS('SUMMARY DATA'!$D:$D,$C529,'SUMMARY DATA'!$B:$B,""RWS"")&lt;&gt;1
    ),
    """",
    IFERROR(TEXTJOIN(CHAR(10),TRUE,FILTER('SUMMARY DATA'!F:F,'SUMMARY DATA'!$D:$D=$C529,'SUMMARY DATA'!$B:$B=""RWS"")),"""")
  )
)"),"")</f>
      </c>
      <c r="G529" s="17" t="str">
        <f>IFERROR(__xludf.DUMMYFUNCTION("IFERROR(
  TEXTJOIN(CHAR(10),TRUE,FILTER('SUMMARY DATA'!G:G,'SUMMARY DATA'!$A:$A=$A529,'SUMMARY DATA'!$C:$C=$B529,'SUMMARY DATA'!$B:$B=""RWS"")),
  IF(
    OR(
      ISNUMBER(SEARCH(""CDM CASH DEPOSIT"",$C529)),
      ISNUMBER(SEARCH(""CASH DEPOSIT"",$C52"&amp;"9)),
      COUNTIFS('SUMMARY DATA'!$D:$D,$C529,'SUMMARY DATA'!$B:$B,""RWS"")&lt;&gt;1
    ),
    """",
    IFERROR(TEXTJOIN(CHAR(10),TRUE,FILTER('SUMMARY DATA'!G:G,'SUMMARY DATA'!$D:$D=$C529,'SUMMARY DATA'!$B:$B=""RWS"")),"""")
  )
)"),"")</f>
      </c>
      <c r="H529" s="18" t="str">
        <f>IFERROR(__xludf.DUMMYFUNCTION("IFERROR(
  TEXTJOIN(CHAR(10),TRUE,FILTER('SUMMARY DATA'!H:H,'SUMMARY DATA'!$A:$A=$A529,'SUMMARY DATA'!$C:$C=$B529,'SUMMARY DATA'!$B:$B=""RWS"",'SUMMARY DATA'!$H:$H=$D529)),
  IF(
    OR(
      ISNUMBER(SEARCH(""CDM CASH DEPOSIT"",$C529)),
      ISNUMBER(S"&amp;"EARCH(""CASH DEPOSIT"",$C529))
    ),
    """",
    IFERROR(TEXTJOIN(CHAR(10),TRUE,FILTER('SUMMARY DATA'!H:H,'SUMMARY DATA'!$D:$D=$C529,'SUMMARY DATA'!$B:$B=""RWS"",'SUMMARY DATA'!$H:$H=$D529)),"""")
  )
)"),"")</f>
      </c>
      <c r="I529" s="18" t="str">
        <f>IFERROR(__xludf.DUMMYFUNCTION("IF(H529="""","""",
SUM(ARRAYFORMULA(VALUE(SPLIT(H529,CHAR(10)))))
)"),"")</f>
      </c>
      <c r="J529" s="17" t="str">
        <f>IFERROR(__xludf.DUMMYFUNCTION("IFERROR(
  TEXTJOIN(CHAR(10),TRUE,FILTER('SUMMARY DATA'!I:I,'SUMMARY DATA'!$A:$A=$A529,'SUMMARY DATA'!$C:$C=$B529,'SUMMARY DATA'!$B:$B=""RWS"")),
  IF(
    OR(
      ISNUMBER(SEARCH(""CDM CASH DEPOSIT"",$C529)),
      ISNUMBER(SEARCH(""CASH DEPOSIT"",$C52"&amp;"9)),
      COUNTIFS('SUMMARY DATA'!$D:$D,$C529,'SUMMARY DATA'!$B:$B,""RWS"")&lt;&gt;1
    ),
    """",
    IFERROR(TEXTJOIN(CHAR(10),TRUE,FILTER('SUMMARY DATA'!I:I,'SUMMARY DATA'!$D:$D=$C529,'SUMMARY DATA'!$B:$B=""RWS"")),"""")
  )
)"),"")</f>
      </c>
      <c r="K529" s="2"/>
      <c r="L529" s="2"/>
      <c r="M529" s="2"/>
      <c r="N529" s="2"/>
      <c r="O529" s="2"/>
      <c r="P529" s="2"/>
      <c r="Q529" s="2"/>
      <c r="R529" s="2"/>
      <c r="S529" s="2"/>
      <c r="T529" s="2"/>
      <c r="U529" s="2"/>
      <c r="V529" s="2"/>
      <c r="W529" s="2"/>
      <c r="X529" s="2"/>
      <c r="Y529" s="2"/>
      <c r="Z529" s="2"/>
      <c r="AA529" s="2"/>
      <c r="AB529" s="2"/>
    </row>
    <row r="530" spans="1:28" customHeight="true">
      <c r="A530" s="2" t="s">
        <v>882</v>
      </c>
      <c r="B530" s="15">
        <v>46052</v>
      </c>
      <c r="C530" s="2" t="s">
        <v>883</v>
      </c>
      <c r="D530" s="3">
        <v>231.84</v>
      </c>
      <c r="E530" s="16" t="s">
        <v>2504</v>
      </c>
      <c r="F530" s="17" t="s">
        <v>2579</v>
      </c>
      <c r="G530" s="17" t="s">
        <v>2393</v>
      </c>
      <c r="H530" s="18">
        <v>231.84</v>
      </c>
      <c r="I530" s="18">
        <v>231.84</v>
      </c>
      <c r="J530" s="17" t="s">
        <v>2394</v>
      </c>
      <c r="K530" s="2" t="s">
        <v>2395</v>
      </c>
      <c r="L530" s="2"/>
      <c r="M530" s="2"/>
      <c r="N530" s="2"/>
      <c r="O530" s="2"/>
      <c r="P530" s="2"/>
      <c r="Q530" s="2"/>
      <c r="R530" s="2"/>
      <c r="S530" s="2"/>
      <c r="T530" s="2"/>
      <c r="U530" s="2"/>
      <c r="V530" s="2"/>
      <c r="W530" s="2"/>
      <c r="X530" s="2"/>
      <c r="Y530" s="2"/>
      <c r="Z530" s="2"/>
      <c r="AA530" s="2"/>
      <c r="AB530" s="2"/>
    </row>
    <row r="531" spans="1:28" customHeight="true">
      <c r="A531" s="2" t="s">
        <v>884</v>
      </c>
      <c r="B531" s="15">
        <v>46052</v>
      </c>
      <c r="C531" s="2" t="s">
        <v>885</v>
      </c>
      <c r="D531" s="3">
        <v>75.45</v>
      </c>
      <c r="E531" s="16" t="str">
        <f>IFERROR(__xludf.DUMMYFUNCTION("IFERROR(
  TEXTJOIN(CHAR(10),TRUE,FILTER('SUMMARY DATA'!E:E,'SUMMARY DATA'!$A:$A=$A531,'SUMMARY DATA'!$C:$C=$B531,'SUMMARY DATA'!$B:$B=""RWS"")),
  IF(
    OR(
      ISNUMBER(SEARCH(""CDM CASH DEPOSIT"",$C531)),
      ISNUMBER(SEARCH(""CASH DEPOSIT"",$C53"&amp;"1)),
      COUNTIFS('SUMMARY DATA'!$D:$D,$C531,'SUMMARY DATA'!$B:$B,""RWS"")&lt;&gt;1
    ),
    """",
    IFERROR(TEXTJOIN(CHAR(10),TRUE,FILTER('SUMMARY DATA'!E:E,'SUMMARY DATA'!$D:$D=$C531,'SUMMARY DATA'!$B:$B=""RWS"")),"""")
  )
)"),"")</f>
      </c>
      <c r="F531" s="17" t="str">
        <f>IFERROR(__xludf.DUMMYFUNCTION("IFERROR(
  TEXTJOIN(CHAR(10),TRUE,FILTER('SUMMARY DATA'!F:F,'SUMMARY DATA'!$A:$A=$A531,'SUMMARY DATA'!$C:$C=$B531,'SUMMARY DATA'!$B:$B=""RWS"")),
  IF(
    OR(
      ISNUMBER(SEARCH(""CDM CASH DEPOSIT"",$C531)),
      ISNUMBER(SEARCH(""CASH DEPOSIT"",$C53"&amp;"1)),
      COUNTIFS('SUMMARY DATA'!$D:$D,$C531,'SUMMARY DATA'!$B:$B,""RWS"")&lt;&gt;1
    ),
    """",
    IFERROR(TEXTJOIN(CHAR(10),TRUE,FILTER('SUMMARY DATA'!F:F,'SUMMARY DATA'!$D:$D=$C531,'SUMMARY DATA'!$B:$B=""RWS"")),"""")
  )
)"),"")</f>
      </c>
      <c r="G531" s="17" t="str">
        <f>IFERROR(__xludf.DUMMYFUNCTION("IFERROR(
  TEXTJOIN(CHAR(10),TRUE,FILTER('SUMMARY DATA'!G:G,'SUMMARY DATA'!$A:$A=$A531,'SUMMARY DATA'!$C:$C=$B531,'SUMMARY DATA'!$B:$B=""RWS"")),
  IF(
    OR(
      ISNUMBER(SEARCH(""CDM CASH DEPOSIT"",$C531)),
      ISNUMBER(SEARCH(""CASH DEPOSIT"",$C53"&amp;"1)),
      COUNTIFS('SUMMARY DATA'!$D:$D,$C531,'SUMMARY DATA'!$B:$B,""RWS"")&lt;&gt;1
    ),
    """",
    IFERROR(TEXTJOIN(CHAR(10),TRUE,FILTER('SUMMARY DATA'!G:G,'SUMMARY DATA'!$D:$D=$C531,'SUMMARY DATA'!$B:$B=""RWS"")),"""")
  )
)"),"")</f>
      </c>
      <c r="H531" s="18" t="str">
        <f>IFERROR(__xludf.DUMMYFUNCTION("IFERROR(
  TEXTJOIN(CHAR(10),TRUE,FILTER('SUMMARY DATA'!H:H,'SUMMARY DATA'!$A:$A=$A531,'SUMMARY DATA'!$C:$C=$B531,'SUMMARY DATA'!$B:$B=""RWS"",'SUMMARY DATA'!$H:$H=$D531)),
  IF(
    OR(
      ISNUMBER(SEARCH(""CDM CASH DEPOSIT"",$C531)),
      ISNUMBER(S"&amp;"EARCH(""CASH DEPOSIT"",$C531))
    ),
    """",
    IFERROR(TEXTJOIN(CHAR(10),TRUE,FILTER('SUMMARY DATA'!H:H,'SUMMARY DATA'!$D:$D=$C531,'SUMMARY DATA'!$B:$B=""RWS"",'SUMMARY DATA'!$H:$H=$D531)),"""")
  )
)"),"")</f>
      </c>
      <c r="I531" s="18" t="str">
        <f>IFERROR(__xludf.DUMMYFUNCTION("IF(H531="""","""",
SUM(ARRAYFORMULA(VALUE(SPLIT(H531,CHAR(10)))))
)"),"")</f>
      </c>
      <c r="J531" s="17" t="str">
        <f>IFERROR(__xludf.DUMMYFUNCTION("IFERROR(
  TEXTJOIN(CHAR(10),TRUE,FILTER('SUMMARY DATA'!I:I,'SUMMARY DATA'!$A:$A=$A531,'SUMMARY DATA'!$C:$C=$B531,'SUMMARY DATA'!$B:$B=""RWS"")),
  IF(
    OR(
      ISNUMBER(SEARCH(""CDM CASH DEPOSIT"",$C531)),
      ISNUMBER(SEARCH(""CASH DEPOSIT"",$C53"&amp;"1)),
      COUNTIFS('SUMMARY DATA'!$D:$D,$C531,'SUMMARY DATA'!$B:$B,""RWS"")&lt;&gt;1
    ),
    """",
    IFERROR(TEXTJOIN(CHAR(10),TRUE,FILTER('SUMMARY DATA'!I:I,'SUMMARY DATA'!$D:$D=$C531,'SUMMARY DATA'!$B:$B=""RWS"")),"""")
  )
)"),"")</f>
      </c>
      <c r="K531" s="2"/>
      <c r="L531" s="2"/>
      <c r="M531" s="2"/>
      <c r="N531" s="2"/>
      <c r="O531" s="2"/>
      <c r="P531" s="2"/>
      <c r="Q531" s="2"/>
      <c r="R531" s="2"/>
      <c r="S531" s="2"/>
      <c r="T531" s="2"/>
      <c r="U531" s="2"/>
      <c r="V531" s="2"/>
      <c r="W531" s="2"/>
      <c r="X531" s="2"/>
      <c r="Y531" s="2"/>
      <c r="Z531" s="2"/>
      <c r="AA531" s="2"/>
      <c r="AB531" s="2"/>
    </row>
    <row r="532" spans="1:28" customHeight="true">
      <c r="A532" s="2" t="s">
        <v>886</v>
      </c>
      <c r="B532" s="15">
        <v>46052</v>
      </c>
      <c r="C532" s="2" t="s">
        <v>887</v>
      </c>
      <c r="D532" s="3">
        <v>1</v>
      </c>
      <c r="E532" s="16" t="str">
        <f>IFERROR(__xludf.DUMMYFUNCTION("IFERROR(
  TEXTJOIN(CHAR(10),TRUE,FILTER('SUMMARY DATA'!E:E,'SUMMARY DATA'!$A:$A=$A532,'SUMMARY DATA'!$C:$C=$B532,'SUMMARY DATA'!$B:$B=""RWS"")),
  IF(
    OR(
      ISNUMBER(SEARCH(""CDM CASH DEPOSIT"",$C532)),
      ISNUMBER(SEARCH(""CASH DEPOSIT"",$C53"&amp;"2)),
      COUNTIFS('SUMMARY DATA'!$D:$D,$C532,'SUMMARY DATA'!$B:$B,""RWS"")&lt;&gt;1
    ),
    """",
    IFERROR(TEXTJOIN(CHAR(10),TRUE,FILTER('SUMMARY DATA'!E:E,'SUMMARY DATA'!$D:$D=$C532,'SUMMARY DATA'!$B:$B=""RWS"")),"""")
  )
)"),"")</f>
      </c>
      <c r="F532" s="17" t="str">
        <f>IFERROR(__xludf.DUMMYFUNCTION("IFERROR(
  TEXTJOIN(CHAR(10),TRUE,FILTER('SUMMARY DATA'!F:F,'SUMMARY DATA'!$A:$A=$A532,'SUMMARY DATA'!$C:$C=$B532,'SUMMARY DATA'!$B:$B=""RWS"")),
  IF(
    OR(
      ISNUMBER(SEARCH(""CDM CASH DEPOSIT"",$C532)),
      ISNUMBER(SEARCH(""CASH DEPOSIT"",$C53"&amp;"2)),
      COUNTIFS('SUMMARY DATA'!$D:$D,$C532,'SUMMARY DATA'!$B:$B,""RWS"")&lt;&gt;1
    ),
    """",
    IFERROR(TEXTJOIN(CHAR(10),TRUE,FILTER('SUMMARY DATA'!F:F,'SUMMARY DATA'!$D:$D=$C532,'SUMMARY DATA'!$B:$B=""RWS"")),"""")
  )
)"),"")</f>
      </c>
      <c r="G532" s="17" t="str">
        <f>IFERROR(__xludf.DUMMYFUNCTION("IFERROR(
  TEXTJOIN(CHAR(10),TRUE,FILTER('SUMMARY DATA'!G:G,'SUMMARY DATA'!$A:$A=$A532,'SUMMARY DATA'!$C:$C=$B532,'SUMMARY DATA'!$B:$B=""RWS"")),
  IF(
    OR(
      ISNUMBER(SEARCH(""CDM CASH DEPOSIT"",$C532)),
      ISNUMBER(SEARCH(""CASH DEPOSIT"",$C53"&amp;"2)),
      COUNTIFS('SUMMARY DATA'!$D:$D,$C532,'SUMMARY DATA'!$B:$B,""RWS"")&lt;&gt;1
    ),
    """",
    IFERROR(TEXTJOIN(CHAR(10),TRUE,FILTER('SUMMARY DATA'!G:G,'SUMMARY DATA'!$D:$D=$C532,'SUMMARY DATA'!$B:$B=""RWS"")),"""")
  )
)"),"")</f>
      </c>
      <c r="H532" s="18" t="str">
        <f>IFERROR(__xludf.DUMMYFUNCTION("IFERROR(
  TEXTJOIN(CHAR(10),TRUE,FILTER('SUMMARY DATA'!H:H,'SUMMARY DATA'!$A:$A=$A532,'SUMMARY DATA'!$C:$C=$B532,'SUMMARY DATA'!$B:$B=""RWS"",'SUMMARY DATA'!$H:$H=$D532)),
  IF(
    OR(
      ISNUMBER(SEARCH(""CDM CASH DEPOSIT"",$C532)),
      ISNUMBER(S"&amp;"EARCH(""CASH DEPOSIT"",$C532))
    ),
    """",
    IFERROR(TEXTJOIN(CHAR(10),TRUE,FILTER('SUMMARY DATA'!H:H,'SUMMARY DATA'!$D:$D=$C532,'SUMMARY DATA'!$B:$B=""RWS"",'SUMMARY DATA'!$H:$H=$D532)),"""")
  )
)"),"")</f>
      </c>
      <c r="I532" s="18" t="str">
        <f>IFERROR(__xludf.DUMMYFUNCTION("IF(H532="""","""",
SUM(ARRAYFORMULA(VALUE(SPLIT(H532,CHAR(10)))))
)"),"")</f>
      </c>
      <c r="J532" s="17" t="str">
        <f>IFERROR(__xludf.DUMMYFUNCTION("IFERROR(
  TEXTJOIN(CHAR(10),TRUE,FILTER('SUMMARY DATA'!I:I,'SUMMARY DATA'!$A:$A=$A532,'SUMMARY DATA'!$C:$C=$B532,'SUMMARY DATA'!$B:$B=""RWS"")),
  IF(
    OR(
      ISNUMBER(SEARCH(""CDM CASH DEPOSIT"",$C532)),
      ISNUMBER(SEARCH(""CASH DEPOSIT"",$C53"&amp;"2)),
      COUNTIFS('SUMMARY DATA'!$D:$D,$C532,'SUMMARY DATA'!$B:$B,""RWS"")&lt;&gt;1
    ),
    """",
    IFERROR(TEXTJOIN(CHAR(10),TRUE,FILTER('SUMMARY DATA'!I:I,'SUMMARY DATA'!$D:$D=$C532,'SUMMARY DATA'!$B:$B=""RWS"")),"""")
  )
)"),"")</f>
      </c>
      <c r="K532" s="2"/>
      <c r="L532" s="2"/>
      <c r="M532" s="2"/>
      <c r="N532" s="2"/>
      <c r="O532" s="2"/>
      <c r="P532" s="2"/>
      <c r="Q532" s="2"/>
      <c r="R532" s="2"/>
      <c r="S532" s="2"/>
      <c r="T532" s="2"/>
      <c r="U532" s="2"/>
      <c r="V532" s="2"/>
      <c r="W532" s="2"/>
      <c r="X532" s="2"/>
      <c r="Y532" s="2"/>
      <c r="Z532" s="2"/>
      <c r="AA532" s="2"/>
      <c r="AB532" s="2"/>
    </row>
    <row r="533" spans="1:28" customHeight="true">
      <c r="A533" s="2" t="s">
        <v>888</v>
      </c>
      <c r="B533" s="15">
        <v>46052</v>
      </c>
      <c r="C533" s="2" t="s">
        <v>889</v>
      </c>
      <c r="D533" s="3">
        <v>107.5</v>
      </c>
      <c r="E533" s="16" t="str">
        <f>IFERROR(__xludf.DUMMYFUNCTION("IFERROR(
  TEXTJOIN(CHAR(10),TRUE,FILTER('SUMMARY DATA'!E:E,'SUMMARY DATA'!$A:$A=$A533,'SUMMARY DATA'!$C:$C=$B533,'SUMMARY DATA'!$B:$B=""RWS"")),
  IF(
    OR(
      ISNUMBER(SEARCH(""CDM CASH DEPOSIT"",$C533)),
      ISNUMBER(SEARCH(""CASH DEPOSIT"",$C53"&amp;"3)),
      COUNTIFS('SUMMARY DATA'!$D:$D,$C533,'SUMMARY DATA'!$B:$B,""RWS"")&lt;&gt;1
    ),
    """",
    IFERROR(TEXTJOIN(CHAR(10),TRUE,FILTER('SUMMARY DATA'!E:E,'SUMMARY DATA'!$D:$D=$C533,'SUMMARY DATA'!$B:$B=""RWS"")),"""")
  )
)"),"")</f>
      </c>
      <c r="F533" s="17" t="str">
        <f>IFERROR(__xludf.DUMMYFUNCTION("IFERROR(
  TEXTJOIN(CHAR(10),TRUE,FILTER('SUMMARY DATA'!F:F,'SUMMARY DATA'!$A:$A=$A533,'SUMMARY DATA'!$C:$C=$B533,'SUMMARY DATA'!$B:$B=""RWS"")),
  IF(
    OR(
      ISNUMBER(SEARCH(""CDM CASH DEPOSIT"",$C533)),
      ISNUMBER(SEARCH(""CASH DEPOSIT"",$C53"&amp;"3)),
      COUNTIFS('SUMMARY DATA'!$D:$D,$C533,'SUMMARY DATA'!$B:$B,""RWS"")&lt;&gt;1
    ),
    """",
    IFERROR(TEXTJOIN(CHAR(10),TRUE,FILTER('SUMMARY DATA'!F:F,'SUMMARY DATA'!$D:$D=$C533,'SUMMARY DATA'!$B:$B=""RWS"")),"""")
  )
)"),"")</f>
      </c>
      <c r="G533" s="17" t="str">
        <f>IFERROR(__xludf.DUMMYFUNCTION("IFERROR(
  TEXTJOIN(CHAR(10),TRUE,FILTER('SUMMARY DATA'!G:G,'SUMMARY DATA'!$A:$A=$A533,'SUMMARY DATA'!$C:$C=$B533,'SUMMARY DATA'!$B:$B=""RWS"")),
  IF(
    OR(
      ISNUMBER(SEARCH(""CDM CASH DEPOSIT"",$C533)),
      ISNUMBER(SEARCH(""CASH DEPOSIT"",$C53"&amp;"3)),
      COUNTIFS('SUMMARY DATA'!$D:$D,$C533,'SUMMARY DATA'!$B:$B,""RWS"")&lt;&gt;1
    ),
    """",
    IFERROR(TEXTJOIN(CHAR(10),TRUE,FILTER('SUMMARY DATA'!G:G,'SUMMARY DATA'!$D:$D=$C533,'SUMMARY DATA'!$B:$B=""RWS"")),"""")
  )
)"),"")</f>
      </c>
      <c r="H533" s="18" t="str">
        <f>IFERROR(__xludf.DUMMYFUNCTION("IFERROR(
  TEXTJOIN(CHAR(10),TRUE,FILTER('SUMMARY DATA'!H:H,'SUMMARY DATA'!$A:$A=$A533,'SUMMARY DATA'!$C:$C=$B533,'SUMMARY DATA'!$B:$B=""RWS"",'SUMMARY DATA'!$H:$H=$D533)),
  IF(
    OR(
      ISNUMBER(SEARCH(""CDM CASH DEPOSIT"",$C533)),
      ISNUMBER(S"&amp;"EARCH(""CASH DEPOSIT"",$C533))
    ),
    """",
    IFERROR(TEXTJOIN(CHAR(10),TRUE,FILTER('SUMMARY DATA'!H:H,'SUMMARY DATA'!$D:$D=$C533,'SUMMARY DATA'!$B:$B=""RWS"",'SUMMARY DATA'!$H:$H=$D533)),"""")
  )
)"),"")</f>
      </c>
      <c r="I533" s="18" t="str">
        <f>IFERROR(__xludf.DUMMYFUNCTION("IF(H533="""","""",
SUM(ARRAYFORMULA(VALUE(SPLIT(H533,CHAR(10)))))
)"),"")</f>
      </c>
      <c r="J533" s="17" t="str">
        <f>IFERROR(__xludf.DUMMYFUNCTION("IFERROR(
  TEXTJOIN(CHAR(10),TRUE,FILTER('SUMMARY DATA'!I:I,'SUMMARY DATA'!$A:$A=$A533,'SUMMARY DATA'!$C:$C=$B533,'SUMMARY DATA'!$B:$B=""RWS"")),
  IF(
    OR(
      ISNUMBER(SEARCH(""CDM CASH DEPOSIT"",$C533)),
      ISNUMBER(SEARCH(""CASH DEPOSIT"",$C53"&amp;"3)),
      COUNTIFS('SUMMARY DATA'!$D:$D,$C533,'SUMMARY DATA'!$B:$B,""RWS"")&lt;&gt;1
    ),
    """",
    IFERROR(TEXTJOIN(CHAR(10),TRUE,FILTER('SUMMARY DATA'!I:I,'SUMMARY DATA'!$D:$D=$C533,'SUMMARY DATA'!$B:$B=""RWS"")),"""")
  )
)"),"")</f>
      </c>
      <c r="K533" s="2"/>
      <c r="L533" s="2"/>
      <c r="M533" s="2"/>
      <c r="N533" s="2"/>
      <c r="O533" s="2"/>
      <c r="P533" s="2"/>
      <c r="Q533" s="2"/>
      <c r="R533" s="2"/>
      <c r="S533" s="2"/>
      <c r="T533" s="2"/>
      <c r="U533" s="2"/>
      <c r="V533" s="2"/>
      <c r="W533" s="2"/>
      <c r="X533" s="2"/>
      <c r="Y533" s="2"/>
      <c r="Z533" s="2"/>
      <c r="AA533" s="2"/>
      <c r="AB533" s="2"/>
    </row>
    <row r="534" spans="1:28" customHeight="true">
      <c r="A534" s="2" t="s">
        <v>109</v>
      </c>
      <c r="B534" s="15">
        <v>46051</v>
      </c>
      <c r="C534" s="2" t="s">
        <v>890</v>
      </c>
      <c r="D534" s="3">
        <v>20.26</v>
      </c>
      <c r="E534" s="16" t="s">
        <v>2580</v>
      </c>
      <c r="F534" s="17" t="s">
        <v>2581</v>
      </c>
      <c r="G534" s="17" t="s">
        <v>2393</v>
      </c>
      <c r="H534" s="18">
        <v>20.26</v>
      </c>
      <c r="I534" s="18">
        <v>20.26</v>
      </c>
      <c r="J534" s="17" t="s">
        <v>2571</v>
      </c>
      <c r="K534" s="2" t="s">
        <v>2395</v>
      </c>
      <c r="L534" s="2"/>
      <c r="M534" s="2"/>
      <c r="N534" s="2"/>
      <c r="O534" s="2"/>
      <c r="P534" s="2"/>
      <c r="Q534" s="2"/>
      <c r="R534" s="2"/>
      <c r="S534" s="2"/>
      <c r="T534" s="2"/>
      <c r="U534" s="2"/>
      <c r="V534" s="2"/>
      <c r="W534" s="2"/>
      <c r="X534" s="2"/>
      <c r="Y534" s="2"/>
      <c r="Z534" s="2"/>
      <c r="AA534" s="2"/>
      <c r="AB534" s="2"/>
    </row>
    <row r="535" spans="1:28" customHeight="true">
      <c r="A535" s="2"/>
      <c r="B535" s="15">
        <v>46051</v>
      </c>
      <c r="C535" s="2" t="s">
        <v>891</v>
      </c>
      <c r="D535" s="3">
        <v>98</v>
      </c>
      <c r="E535" s="16" t="str">
        <f>IFERROR(__xludf.DUMMYFUNCTION("IFERROR(
  TEXTJOIN(CHAR(10),TRUE,FILTER('SUMMARY DATA'!E:E,'SUMMARY DATA'!$A:$A=$A535,'SUMMARY DATA'!$C:$C=$B535,'SUMMARY DATA'!$B:$B=""RWS"")),
  IF(
    OR(
      ISNUMBER(SEARCH(""CDM CASH DEPOSIT"",$C535)),
      ISNUMBER(SEARCH(""CASH DEPOSIT"",$C53"&amp;"5)),
      COUNTIFS('SUMMARY DATA'!$D:$D,$C535,'SUMMARY DATA'!$B:$B,""RWS"")&lt;&gt;1
    ),
    """",
    IFERROR(TEXTJOIN(CHAR(10),TRUE,FILTER('SUMMARY DATA'!E:E,'SUMMARY DATA'!$D:$D=$C535,'SUMMARY DATA'!$B:$B=""RWS"")),"""")
  )
)"),"")</f>
      </c>
      <c r="F535" s="17" t="str">
        <f>IFERROR(__xludf.DUMMYFUNCTION("IFERROR(
  TEXTJOIN(CHAR(10),TRUE,FILTER('SUMMARY DATA'!F:F,'SUMMARY DATA'!$A:$A=$A535,'SUMMARY DATA'!$C:$C=$B535,'SUMMARY DATA'!$B:$B=""RWS"")),
  IF(
    OR(
      ISNUMBER(SEARCH(""CDM CASH DEPOSIT"",$C535)),
      ISNUMBER(SEARCH(""CASH DEPOSIT"",$C53"&amp;"5)),
      COUNTIFS('SUMMARY DATA'!$D:$D,$C535,'SUMMARY DATA'!$B:$B,""RWS"")&lt;&gt;1
    ),
    """",
    IFERROR(TEXTJOIN(CHAR(10),TRUE,FILTER('SUMMARY DATA'!F:F,'SUMMARY DATA'!$D:$D=$C535,'SUMMARY DATA'!$B:$B=""RWS"")),"""")
  )
)"),"")</f>
      </c>
      <c r="G535" s="17" t="str">
        <f>IFERROR(__xludf.DUMMYFUNCTION("IFERROR(
  TEXTJOIN(CHAR(10),TRUE,FILTER('SUMMARY DATA'!G:G,'SUMMARY DATA'!$A:$A=$A535,'SUMMARY DATA'!$C:$C=$B535,'SUMMARY DATA'!$B:$B=""RWS"")),
  IF(
    OR(
      ISNUMBER(SEARCH(""CDM CASH DEPOSIT"",$C535)),
      ISNUMBER(SEARCH(""CASH DEPOSIT"",$C53"&amp;"5)),
      COUNTIFS('SUMMARY DATA'!$D:$D,$C535,'SUMMARY DATA'!$B:$B,""RWS"")&lt;&gt;1
    ),
    """",
    IFERROR(TEXTJOIN(CHAR(10),TRUE,FILTER('SUMMARY DATA'!G:G,'SUMMARY DATA'!$D:$D=$C535,'SUMMARY DATA'!$B:$B=""RWS"")),"""")
  )
)"),"")</f>
      </c>
      <c r="H535" s="18" t="str">
        <f>IFERROR(__xludf.DUMMYFUNCTION("IFERROR(
  TEXTJOIN(CHAR(10),TRUE,FILTER('SUMMARY DATA'!H:H,'SUMMARY DATA'!$A:$A=$A535,'SUMMARY DATA'!$C:$C=$B535,'SUMMARY DATA'!$B:$B=""RWS"",'SUMMARY DATA'!$H:$H=$D535)),
  IF(
    OR(
      ISNUMBER(SEARCH(""CDM CASH DEPOSIT"",$C535)),
      ISNUMBER(S"&amp;"EARCH(""CASH DEPOSIT"",$C535))
    ),
    """",
    IFERROR(TEXTJOIN(CHAR(10),TRUE,FILTER('SUMMARY DATA'!H:H,'SUMMARY DATA'!$D:$D=$C535,'SUMMARY DATA'!$B:$B=""RWS"",'SUMMARY DATA'!$H:$H=$D535)),"""")
  )
)"),"")</f>
      </c>
      <c r="I535" s="18" t="str">
        <f>IFERROR(__xludf.DUMMYFUNCTION("IF(H535="""","""",
SUM(ARRAYFORMULA(VALUE(SPLIT(H535,CHAR(10)))))
)"),"")</f>
      </c>
      <c r="J535" s="17" t="str">
        <f>IFERROR(__xludf.DUMMYFUNCTION("IFERROR(
  TEXTJOIN(CHAR(10),TRUE,FILTER('SUMMARY DATA'!I:I,'SUMMARY DATA'!$A:$A=$A535,'SUMMARY DATA'!$C:$C=$B535,'SUMMARY DATA'!$B:$B=""RWS"")),
  IF(
    OR(
      ISNUMBER(SEARCH(""CDM CASH DEPOSIT"",$C535)),
      ISNUMBER(SEARCH(""CASH DEPOSIT"",$C53"&amp;"5)),
      COUNTIFS('SUMMARY DATA'!$D:$D,$C535,'SUMMARY DATA'!$B:$B,""RWS"")&lt;&gt;1
    ),
    """",
    IFERROR(TEXTJOIN(CHAR(10),TRUE,FILTER('SUMMARY DATA'!I:I,'SUMMARY DATA'!$D:$D=$C535,'SUMMARY DATA'!$B:$B=""RWS"")),"""")
  )
)"),"")</f>
      </c>
      <c r="K535" s="2"/>
      <c r="L535" s="2"/>
      <c r="M535" s="2"/>
      <c r="N535" s="2"/>
      <c r="O535" s="2"/>
      <c r="P535" s="2"/>
      <c r="Q535" s="2"/>
      <c r="R535" s="2"/>
      <c r="S535" s="2"/>
      <c r="T535" s="2"/>
      <c r="U535" s="2"/>
      <c r="V535" s="2"/>
      <c r="W535" s="2"/>
      <c r="X535" s="2"/>
      <c r="Y535" s="2"/>
      <c r="Z535" s="2"/>
      <c r="AA535" s="2"/>
      <c r="AB535" s="2"/>
    </row>
    <row r="536" spans="1:28" customHeight="true">
      <c r="A536" s="2"/>
      <c r="B536" s="15">
        <v>46051</v>
      </c>
      <c r="C536" s="2" t="s">
        <v>892</v>
      </c>
      <c r="D536" s="3">
        <v>80.4</v>
      </c>
      <c r="E536" s="16" t="str">
        <f>IFERROR(__xludf.DUMMYFUNCTION("IFERROR(
  TEXTJOIN(CHAR(10),TRUE,FILTER('SUMMARY DATA'!E:E,'SUMMARY DATA'!$A:$A=$A536,'SUMMARY DATA'!$C:$C=$B536,'SUMMARY DATA'!$B:$B=""RWS"")),
  IF(
    OR(
      ISNUMBER(SEARCH(""CDM CASH DEPOSIT"",$C536)),
      ISNUMBER(SEARCH(""CASH DEPOSIT"",$C53"&amp;"6)),
      COUNTIFS('SUMMARY DATA'!$D:$D,$C536,'SUMMARY DATA'!$B:$B,""RWS"")&lt;&gt;1
    ),
    """",
    IFERROR(TEXTJOIN(CHAR(10),TRUE,FILTER('SUMMARY DATA'!E:E,'SUMMARY DATA'!$D:$D=$C536,'SUMMARY DATA'!$B:$B=""RWS"")),"""")
  )
)"),"")</f>
      </c>
      <c r="F536" s="17" t="str">
        <f>IFERROR(__xludf.DUMMYFUNCTION("IFERROR(
  TEXTJOIN(CHAR(10),TRUE,FILTER('SUMMARY DATA'!F:F,'SUMMARY DATA'!$A:$A=$A536,'SUMMARY DATA'!$C:$C=$B536,'SUMMARY DATA'!$B:$B=""RWS"")),
  IF(
    OR(
      ISNUMBER(SEARCH(""CDM CASH DEPOSIT"",$C536)),
      ISNUMBER(SEARCH(""CASH DEPOSIT"",$C53"&amp;"6)),
      COUNTIFS('SUMMARY DATA'!$D:$D,$C536,'SUMMARY DATA'!$B:$B,""RWS"")&lt;&gt;1
    ),
    """",
    IFERROR(TEXTJOIN(CHAR(10),TRUE,FILTER('SUMMARY DATA'!F:F,'SUMMARY DATA'!$D:$D=$C536,'SUMMARY DATA'!$B:$B=""RWS"")),"""")
  )
)"),"")</f>
      </c>
      <c r="G536" s="17" t="str">
        <f>IFERROR(__xludf.DUMMYFUNCTION("IFERROR(
  TEXTJOIN(CHAR(10),TRUE,FILTER('SUMMARY DATA'!G:G,'SUMMARY DATA'!$A:$A=$A536,'SUMMARY DATA'!$C:$C=$B536,'SUMMARY DATA'!$B:$B=""RWS"")),
  IF(
    OR(
      ISNUMBER(SEARCH(""CDM CASH DEPOSIT"",$C536)),
      ISNUMBER(SEARCH(""CASH DEPOSIT"",$C53"&amp;"6)),
      COUNTIFS('SUMMARY DATA'!$D:$D,$C536,'SUMMARY DATA'!$B:$B,""RWS"")&lt;&gt;1
    ),
    """",
    IFERROR(TEXTJOIN(CHAR(10),TRUE,FILTER('SUMMARY DATA'!G:G,'SUMMARY DATA'!$D:$D=$C536,'SUMMARY DATA'!$B:$B=""RWS"")),"""")
  )
)"),"")</f>
      </c>
      <c r="H536" s="18" t="str">
        <f>IFERROR(__xludf.DUMMYFUNCTION("IFERROR(
  TEXTJOIN(CHAR(10),TRUE,FILTER('SUMMARY DATA'!H:H,'SUMMARY DATA'!$A:$A=$A536,'SUMMARY DATA'!$C:$C=$B536,'SUMMARY DATA'!$B:$B=""RWS"",'SUMMARY DATA'!$H:$H=$D536)),
  IF(
    OR(
      ISNUMBER(SEARCH(""CDM CASH DEPOSIT"",$C536)),
      ISNUMBER(S"&amp;"EARCH(""CASH DEPOSIT"",$C536))
    ),
    """",
    IFERROR(TEXTJOIN(CHAR(10),TRUE,FILTER('SUMMARY DATA'!H:H,'SUMMARY DATA'!$D:$D=$C536,'SUMMARY DATA'!$B:$B=""RWS"",'SUMMARY DATA'!$H:$H=$D536)),"""")
  )
)"),"")</f>
      </c>
      <c r="I536" s="18" t="str">
        <f>IFERROR(__xludf.DUMMYFUNCTION("IF(H536="""","""",
SUM(ARRAYFORMULA(VALUE(SPLIT(H536,CHAR(10)))))
)"),"")</f>
      </c>
      <c r="J536" s="17" t="str">
        <f>IFERROR(__xludf.DUMMYFUNCTION("IFERROR(
  TEXTJOIN(CHAR(10),TRUE,FILTER('SUMMARY DATA'!I:I,'SUMMARY DATA'!$A:$A=$A536,'SUMMARY DATA'!$C:$C=$B536,'SUMMARY DATA'!$B:$B=""RWS"")),
  IF(
    OR(
      ISNUMBER(SEARCH(""CDM CASH DEPOSIT"",$C536)),
      ISNUMBER(SEARCH(""CASH DEPOSIT"",$C53"&amp;"6)),
      COUNTIFS('SUMMARY DATA'!$D:$D,$C536,'SUMMARY DATA'!$B:$B,""RWS"")&lt;&gt;1
    ),
    """",
    IFERROR(TEXTJOIN(CHAR(10),TRUE,FILTER('SUMMARY DATA'!I:I,'SUMMARY DATA'!$D:$D=$C536,'SUMMARY DATA'!$B:$B=""RWS"")),"""")
  )
)"),"")</f>
      </c>
      <c r="K536" s="2"/>
      <c r="L536" s="2"/>
      <c r="M536" s="2"/>
      <c r="N536" s="2"/>
      <c r="O536" s="2"/>
      <c r="P536" s="2"/>
      <c r="Q536" s="2"/>
      <c r="R536" s="2"/>
      <c r="S536" s="2"/>
      <c r="T536" s="2"/>
      <c r="U536" s="2"/>
      <c r="V536" s="2"/>
      <c r="W536" s="2"/>
      <c r="X536" s="2"/>
      <c r="Y536" s="2"/>
      <c r="Z536" s="2"/>
      <c r="AA536" s="2"/>
      <c r="AB536" s="2"/>
    </row>
    <row r="537" spans="1:28" customHeight="true">
      <c r="A537" s="2"/>
      <c r="B537" s="15">
        <v>46051</v>
      </c>
      <c r="C537" s="2" t="s">
        <v>893</v>
      </c>
      <c r="D537" s="3">
        <v>26.42</v>
      </c>
      <c r="E537" s="16" t="str">
        <f>IFERROR(__xludf.DUMMYFUNCTION("IFERROR(
  TEXTJOIN(CHAR(10),TRUE,FILTER('SUMMARY DATA'!E:E,'SUMMARY DATA'!$A:$A=$A537,'SUMMARY DATA'!$C:$C=$B537,'SUMMARY DATA'!$B:$B=""RWS"")),
  IF(
    OR(
      ISNUMBER(SEARCH(""CDM CASH DEPOSIT"",$C537)),
      ISNUMBER(SEARCH(""CASH DEPOSIT"",$C53"&amp;"7)),
      COUNTIFS('SUMMARY DATA'!$D:$D,$C537,'SUMMARY DATA'!$B:$B,""RWS"")&lt;&gt;1
    ),
    """",
    IFERROR(TEXTJOIN(CHAR(10),TRUE,FILTER('SUMMARY DATA'!E:E,'SUMMARY DATA'!$D:$D=$C537,'SUMMARY DATA'!$B:$B=""RWS"")),"""")
  )
)"),"")</f>
      </c>
      <c r="F537" s="17" t="str">
        <f>IFERROR(__xludf.DUMMYFUNCTION("IFERROR(
  TEXTJOIN(CHAR(10),TRUE,FILTER('SUMMARY DATA'!F:F,'SUMMARY DATA'!$A:$A=$A537,'SUMMARY DATA'!$C:$C=$B537,'SUMMARY DATA'!$B:$B=""RWS"")),
  IF(
    OR(
      ISNUMBER(SEARCH(""CDM CASH DEPOSIT"",$C537)),
      ISNUMBER(SEARCH(""CASH DEPOSIT"",$C53"&amp;"7)),
      COUNTIFS('SUMMARY DATA'!$D:$D,$C537,'SUMMARY DATA'!$B:$B,""RWS"")&lt;&gt;1
    ),
    """",
    IFERROR(TEXTJOIN(CHAR(10),TRUE,FILTER('SUMMARY DATA'!F:F,'SUMMARY DATA'!$D:$D=$C537,'SUMMARY DATA'!$B:$B=""RWS"")),"""")
  )
)"),"")</f>
      </c>
      <c r="G537" s="17" t="str">
        <f>IFERROR(__xludf.DUMMYFUNCTION("IFERROR(
  TEXTJOIN(CHAR(10),TRUE,FILTER('SUMMARY DATA'!G:G,'SUMMARY DATA'!$A:$A=$A537,'SUMMARY DATA'!$C:$C=$B537,'SUMMARY DATA'!$B:$B=""RWS"")),
  IF(
    OR(
      ISNUMBER(SEARCH(""CDM CASH DEPOSIT"",$C537)),
      ISNUMBER(SEARCH(""CASH DEPOSIT"",$C53"&amp;"7)),
      COUNTIFS('SUMMARY DATA'!$D:$D,$C537,'SUMMARY DATA'!$B:$B,""RWS"")&lt;&gt;1
    ),
    """",
    IFERROR(TEXTJOIN(CHAR(10),TRUE,FILTER('SUMMARY DATA'!G:G,'SUMMARY DATA'!$D:$D=$C537,'SUMMARY DATA'!$B:$B=""RWS"")),"""")
  )
)"),"")</f>
      </c>
      <c r="H537" s="18" t="str">
        <f>IFERROR(__xludf.DUMMYFUNCTION("IFERROR(
  TEXTJOIN(CHAR(10),TRUE,FILTER('SUMMARY DATA'!H:H,'SUMMARY DATA'!$A:$A=$A537,'SUMMARY DATA'!$C:$C=$B537,'SUMMARY DATA'!$B:$B=""RWS"",'SUMMARY DATA'!$H:$H=$D537)),
  IF(
    OR(
      ISNUMBER(SEARCH(""CDM CASH DEPOSIT"",$C537)),
      ISNUMBER(S"&amp;"EARCH(""CASH DEPOSIT"",$C537))
    ),
    """",
    IFERROR(TEXTJOIN(CHAR(10),TRUE,FILTER('SUMMARY DATA'!H:H,'SUMMARY DATA'!$D:$D=$C537,'SUMMARY DATA'!$B:$B=""RWS"",'SUMMARY DATA'!$H:$H=$D537)),"""")
  )
)"),"")</f>
      </c>
      <c r="I537" s="18" t="str">
        <f>IFERROR(__xludf.DUMMYFUNCTION("IF(H537="""","""",
SUM(ARRAYFORMULA(VALUE(SPLIT(H537,CHAR(10)))))
)"),"")</f>
      </c>
      <c r="J537" s="17" t="str">
        <f>IFERROR(__xludf.DUMMYFUNCTION("IFERROR(
  TEXTJOIN(CHAR(10),TRUE,FILTER('SUMMARY DATA'!I:I,'SUMMARY DATA'!$A:$A=$A537,'SUMMARY DATA'!$C:$C=$B537,'SUMMARY DATA'!$B:$B=""RWS"")),
  IF(
    OR(
      ISNUMBER(SEARCH(""CDM CASH DEPOSIT"",$C537)),
      ISNUMBER(SEARCH(""CASH DEPOSIT"",$C53"&amp;"7)),
      COUNTIFS('SUMMARY DATA'!$D:$D,$C537,'SUMMARY DATA'!$B:$B,""RWS"")&lt;&gt;1
    ),
    """",
    IFERROR(TEXTJOIN(CHAR(10),TRUE,FILTER('SUMMARY DATA'!I:I,'SUMMARY DATA'!$D:$D=$C537,'SUMMARY DATA'!$B:$B=""RWS"")),"""")
  )
)"),"")</f>
      </c>
      <c r="K537" s="2"/>
      <c r="L537" s="2"/>
      <c r="M537" s="2"/>
      <c r="N537" s="2"/>
      <c r="O537" s="2"/>
      <c r="P537" s="2"/>
      <c r="Q537" s="2"/>
      <c r="R537" s="2"/>
      <c r="S537" s="2"/>
      <c r="T537" s="2"/>
      <c r="U537" s="2"/>
      <c r="V537" s="2"/>
      <c r="W537" s="2"/>
      <c r="X537" s="2"/>
      <c r="Y537" s="2"/>
      <c r="Z537" s="2"/>
      <c r="AA537" s="2"/>
      <c r="AB537" s="2"/>
    </row>
    <row r="538" spans="1:28" customHeight="true">
      <c r="A538" s="2"/>
      <c r="B538" s="15">
        <v>46051</v>
      </c>
      <c r="C538" s="2" t="s">
        <v>894</v>
      </c>
      <c r="D538" s="3">
        <v>1421.26</v>
      </c>
      <c r="E538" s="16" t="str">
        <f>IFERROR(__xludf.DUMMYFUNCTION("IFERROR(
  TEXTJOIN(CHAR(10),TRUE,FILTER('SUMMARY DATA'!E:E,'SUMMARY DATA'!$A:$A=$A538,'SUMMARY DATA'!$C:$C=$B538,'SUMMARY DATA'!$B:$B=""RWS"")),
  IF(
    OR(
      ISNUMBER(SEARCH(""CDM CASH DEPOSIT"",$C538)),
      ISNUMBER(SEARCH(""CASH DEPOSIT"",$C53"&amp;"8)),
      COUNTIFS('SUMMARY DATA'!$D:$D,$C538,'SUMMARY DATA'!$B:$B,""RWS"")&lt;&gt;1
    ),
    """",
    IFERROR(TEXTJOIN(CHAR(10),TRUE,FILTER('SUMMARY DATA'!E:E,'SUMMARY DATA'!$D:$D=$C538,'SUMMARY DATA'!$B:$B=""RWS"")),"""")
  )
)"),"")</f>
      </c>
      <c r="F538" s="17" t="str">
        <f>IFERROR(__xludf.DUMMYFUNCTION("IFERROR(
  TEXTJOIN(CHAR(10),TRUE,FILTER('SUMMARY DATA'!F:F,'SUMMARY DATA'!$A:$A=$A538,'SUMMARY DATA'!$C:$C=$B538,'SUMMARY DATA'!$B:$B=""RWS"")),
  IF(
    OR(
      ISNUMBER(SEARCH(""CDM CASH DEPOSIT"",$C538)),
      ISNUMBER(SEARCH(""CASH DEPOSIT"",$C53"&amp;"8)),
      COUNTIFS('SUMMARY DATA'!$D:$D,$C538,'SUMMARY DATA'!$B:$B,""RWS"")&lt;&gt;1
    ),
    """",
    IFERROR(TEXTJOIN(CHAR(10),TRUE,FILTER('SUMMARY DATA'!F:F,'SUMMARY DATA'!$D:$D=$C538,'SUMMARY DATA'!$B:$B=""RWS"")),"""")
  )
)"),"")</f>
      </c>
      <c r="G538" s="17" t="str">
        <f>IFERROR(__xludf.DUMMYFUNCTION("IFERROR(
  TEXTJOIN(CHAR(10),TRUE,FILTER('SUMMARY DATA'!G:G,'SUMMARY DATA'!$A:$A=$A538,'SUMMARY DATA'!$C:$C=$B538,'SUMMARY DATA'!$B:$B=""RWS"")),
  IF(
    OR(
      ISNUMBER(SEARCH(""CDM CASH DEPOSIT"",$C538)),
      ISNUMBER(SEARCH(""CASH DEPOSIT"",$C53"&amp;"8)),
      COUNTIFS('SUMMARY DATA'!$D:$D,$C538,'SUMMARY DATA'!$B:$B,""RWS"")&lt;&gt;1
    ),
    """",
    IFERROR(TEXTJOIN(CHAR(10),TRUE,FILTER('SUMMARY DATA'!G:G,'SUMMARY DATA'!$D:$D=$C538,'SUMMARY DATA'!$B:$B=""RWS"")),"""")
  )
)"),"")</f>
      </c>
      <c r="H538" s="18" t="str">
        <f>IFERROR(__xludf.DUMMYFUNCTION("IFERROR(
  TEXTJOIN(CHAR(10),TRUE,FILTER('SUMMARY DATA'!H:H,'SUMMARY DATA'!$A:$A=$A538,'SUMMARY DATA'!$C:$C=$B538,'SUMMARY DATA'!$B:$B=""RWS"",'SUMMARY DATA'!$H:$H=$D538)),
  IF(
    OR(
      ISNUMBER(SEARCH(""CDM CASH DEPOSIT"",$C538)),
      ISNUMBER(S"&amp;"EARCH(""CASH DEPOSIT"",$C538))
    ),
    """",
    IFERROR(TEXTJOIN(CHAR(10),TRUE,FILTER('SUMMARY DATA'!H:H,'SUMMARY DATA'!$D:$D=$C538,'SUMMARY DATA'!$B:$B=""RWS"",'SUMMARY DATA'!$H:$H=$D538)),"""")
  )
)"),"")</f>
      </c>
      <c r="I538" s="18" t="str">
        <f>IFERROR(__xludf.DUMMYFUNCTION("IF(H538="""","""",
SUM(ARRAYFORMULA(VALUE(SPLIT(H538,CHAR(10)))))
)"),"")</f>
      </c>
      <c r="J538" s="17" t="str">
        <f>IFERROR(__xludf.DUMMYFUNCTION("IFERROR(
  TEXTJOIN(CHAR(10),TRUE,FILTER('SUMMARY DATA'!I:I,'SUMMARY DATA'!$A:$A=$A538,'SUMMARY DATA'!$C:$C=$B538,'SUMMARY DATA'!$B:$B=""RWS"")),
  IF(
    OR(
      ISNUMBER(SEARCH(""CDM CASH DEPOSIT"",$C538)),
      ISNUMBER(SEARCH(""CASH DEPOSIT"",$C53"&amp;"8)),
      COUNTIFS('SUMMARY DATA'!$D:$D,$C538,'SUMMARY DATA'!$B:$B,""RWS"")&lt;&gt;1
    ),
    """",
    IFERROR(TEXTJOIN(CHAR(10),TRUE,FILTER('SUMMARY DATA'!I:I,'SUMMARY DATA'!$D:$D=$C538,'SUMMARY DATA'!$B:$B=""RWS"")),"""")
  )
)"),"")</f>
      </c>
      <c r="K538" s="2"/>
      <c r="L538" s="2"/>
      <c r="M538" s="2"/>
      <c r="N538" s="2"/>
      <c r="O538" s="2"/>
      <c r="P538" s="2"/>
      <c r="Q538" s="2"/>
      <c r="R538" s="2"/>
      <c r="S538" s="2"/>
      <c r="T538" s="2"/>
      <c r="U538" s="2"/>
      <c r="V538" s="2"/>
      <c r="W538" s="2"/>
      <c r="X538" s="2"/>
      <c r="Y538" s="2"/>
      <c r="Z538" s="2"/>
      <c r="AA538" s="2"/>
      <c r="AB538" s="2"/>
    </row>
    <row r="539" spans="1:28" customHeight="true">
      <c r="A539" s="2" t="s">
        <v>871</v>
      </c>
      <c r="B539" s="15">
        <v>46051</v>
      </c>
      <c r="C539" s="2" t="s">
        <v>349</v>
      </c>
      <c r="D539" s="3">
        <v>48.88</v>
      </c>
      <c r="E539" s="16" t="s">
        <v>2580</v>
      </c>
      <c r="F539" s="17" t="s">
        <v>2582</v>
      </c>
      <c r="G539" s="17" t="s">
        <v>2393</v>
      </c>
      <c r="H539" s="18">
        <v>48.88</v>
      </c>
      <c r="I539" s="18">
        <v>48.88</v>
      </c>
      <c r="J539" s="17" t="s">
        <v>2583</v>
      </c>
      <c r="K539" s="2" t="s">
        <v>2395</v>
      </c>
      <c r="L539" s="2"/>
      <c r="M539" s="2"/>
      <c r="N539" s="2"/>
      <c r="O539" s="2"/>
      <c r="P539" s="2"/>
      <c r="Q539" s="2"/>
      <c r="R539" s="2"/>
      <c r="S539" s="2"/>
      <c r="T539" s="2"/>
      <c r="U539" s="2"/>
      <c r="V539" s="2"/>
      <c r="W539" s="2"/>
      <c r="X539" s="2"/>
      <c r="Y539" s="2"/>
      <c r="Z539" s="2"/>
      <c r="AA539" s="2"/>
      <c r="AB539" s="2"/>
    </row>
    <row r="540" spans="1:28" customHeight="true">
      <c r="A540" s="2" t="s">
        <v>895</v>
      </c>
      <c r="B540" s="15">
        <v>46051</v>
      </c>
      <c r="C540" s="2" t="s">
        <v>896</v>
      </c>
      <c r="D540" s="3">
        <v>1</v>
      </c>
      <c r="E540" s="16" t="str">
        <f>IFERROR(__xludf.DUMMYFUNCTION("IFERROR(
  TEXTJOIN(CHAR(10),TRUE,FILTER('SUMMARY DATA'!E:E,'SUMMARY DATA'!$A:$A=$A540,'SUMMARY DATA'!$C:$C=$B540,'SUMMARY DATA'!$B:$B=""RWS"")),
  IF(
    OR(
      ISNUMBER(SEARCH(""CDM CASH DEPOSIT"",$C540)),
      ISNUMBER(SEARCH(""CASH DEPOSIT"",$C54"&amp;"0)),
      COUNTIFS('SUMMARY DATA'!$D:$D,$C540,'SUMMARY DATA'!$B:$B,""RWS"")&lt;&gt;1
    ),
    """",
    IFERROR(TEXTJOIN(CHAR(10),TRUE,FILTER('SUMMARY DATA'!E:E,'SUMMARY DATA'!$D:$D=$C540,'SUMMARY DATA'!$B:$B=""RWS"")),"""")
  )
)"),"")</f>
      </c>
      <c r="F540" s="17" t="str">
        <f>IFERROR(__xludf.DUMMYFUNCTION("IFERROR(
  TEXTJOIN(CHAR(10),TRUE,FILTER('SUMMARY DATA'!F:F,'SUMMARY DATA'!$A:$A=$A540,'SUMMARY DATA'!$C:$C=$B540,'SUMMARY DATA'!$B:$B=""RWS"")),
  IF(
    OR(
      ISNUMBER(SEARCH(""CDM CASH DEPOSIT"",$C540)),
      ISNUMBER(SEARCH(""CASH DEPOSIT"",$C54"&amp;"0)),
      COUNTIFS('SUMMARY DATA'!$D:$D,$C540,'SUMMARY DATA'!$B:$B,""RWS"")&lt;&gt;1
    ),
    """",
    IFERROR(TEXTJOIN(CHAR(10),TRUE,FILTER('SUMMARY DATA'!F:F,'SUMMARY DATA'!$D:$D=$C540,'SUMMARY DATA'!$B:$B=""RWS"")),"""")
  )
)"),"")</f>
      </c>
      <c r="G540" s="17" t="str">
        <f>IFERROR(__xludf.DUMMYFUNCTION("IFERROR(
  TEXTJOIN(CHAR(10),TRUE,FILTER('SUMMARY DATA'!G:G,'SUMMARY DATA'!$A:$A=$A540,'SUMMARY DATA'!$C:$C=$B540,'SUMMARY DATA'!$B:$B=""RWS"")),
  IF(
    OR(
      ISNUMBER(SEARCH(""CDM CASH DEPOSIT"",$C540)),
      ISNUMBER(SEARCH(""CASH DEPOSIT"",$C54"&amp;"0)),
      COUNTIFS('SUMMARY DATA'!$D:$D,$C540,'SUMMARY DATA'!$B:$B,""RWS"")&lt;&gt;1
    ),
    """",
    IFERROR(TEXTJOIN(CHAR(10),TRUE,FILTER('SUMMARY DATA'!G:G,'SUMMARY DATA'!$D:$D=$C540,'SUMMARY DATA'!$B:$B=""RWS"")),"""")
  )
)"),"")</f>
      </c>
      <c r="H540" s="18" t="str">
        <f>IFERROR(__xludf.DUMMYFUNCTION("IFERROR(
  TEXTJOIN(CHAR(10),TRUE,FILTER('SUMMARY DATA'!H:H,'SUMMARY DATA'!$A:$A=$A540,'SUMMARY DATA'!$C:$C=$B540,'SUMMARY DATA'!$B:$B=""RWS"",'SUMMARY DATA'!$H:$H=$D540)),
  IF(
    OR(
      ISNUMBER(SEARCH(""CDM CASH DEPOSIT"",$C540)),
      ISNUMBER(S"&amp;"EARCH(""CASH DEPOSIT"",$C540))
    ),
    """",
    IFERROR(TEXTJOIN(CHAR(10),TRUE,FILTER('SUMMARY DATA'!H:H,'SUMMARY DATA'!$D:$D=$C540,'SUMMARY DATA'!$B:$B=""RWS"",'SUMMARY DATA'!$H:$H=$D540)),"""")
  )
)"),"")</f>
      </c>
      <c r="I540" s="18" t="str">
        <f>IFERROR(__xludf.DUMMYFUNCTION("IF(H540="""","""",
SUM(ARRAYFORMULA(VALUE(SPLIT(H540,CHAR(10)))))
)"),"")</f>
      </c>
      <c r="J540" s="17" t="str">
        <f>IFERROR(__xludf.DUMMYFUNCTION("IFERROR(
  TEXTJOIN(CHAR(10),TRUE,FILTER('SUMMARY DATA'!I:I,'SUMMARY DATA'!$A:$A=$A540,'SUMMARY DATA'!$C:$C=$B540,'SUMMARY DATA'!$B:$B=""RWS"")),
  IF(
    OR(
      ISNUMBER(SEARCH(""CDM CASH DEPOSIT"",$C540)),
      ISNUMBER(SEARCH(""CASH DEPOSIT"",$C54"&amp;"0)),
      COUNTIFS('SUMMARY DATA'!$D:$D,$C540,'SUMMARY DATA'!$B:$B,""RWS"")&lt;&gt;1
    ),
    """",
    IFERROR(TEXTJOIN(CHAR(10),TRUE,FILTER('SUMMARY DATA'!I:I,'SUMMARY DATA'!$D:$D=$C540,'SUMMARY DATA'!$B:$B=""RWS"")),"""")
  )
)"),"")</f>
      </c>
      <c r="K540" s="2"/>
      <c r="L540" s="2"/>
      <c r="M540" s="2"/>
      <c r="N540" s="2"/>
      <c r="O540" s="2"/>
      <c r="P540" s="2"/>
      <c r="Q540" s="2"/>
      <c r="R540" s="2"/>
      <c r="S540" s="2"/>
      <c r="T540" s="2"/>
      <c r="U540" s="2"/>
      <c r="V540" s="2"/>
      <c r="W540" s="2"/>
      <c r="X540" s="2"/>
      <c r="Y540" s="2"/>
      <c r="Z540" s="2"/>
      <c r="AA540" s="2"/>
      <c r="AB540" s="2"/>
    </row>
    <row r="541" spans="1:28" customHeight="true">
      <c r="A541" s="2" t="s">
        <v>897</v>
      </c>
      <c r="B541" s="15">
        <v>46050</v>
      </c>
      <c r="C541" s="2" t="s">
        <v>898</v>
      </c>
      <c r="D541" s="3">
        <v>55.19</v>
      </c>
      <c r="E541" s="16" t="str">
        <f>IFERROR(__xludf.DUMMYFUNCTION("IFERROR(
  TEXTJOIN(CHAR(10),TRUE,FILTER('SUMMARY DATA'!E:E,'SUMMARY DATA'!$A:$A=$A541,'SUMMARY DATA'!$C:$C=$B541,'SUMMARY DATA'!$B:$B=""RWS"")),
  IF(
    OR(
      ISNUMBER(SEARCH(""CDM CASH DEPOSIT"",$C541)),
      ISNUMBER(SEARCH(""CASH DEPOSIT"",$C54"&amp;"1)),
      COUNTIFS('SUMMARY DATA'!$D:$D,$C541,'SUMMARY DATA'!$B:$B,""RWS"")&lt;&gt;1
    ),
    """",
    IFERROR(TEXTJOIN(CHAR(10),TRUE,FILTER('SUMMARY DATA'!E:E,'SUMMARY DATA'!$D:$D=$C541,'SUMMARY DATA'!$B:$B=""RWS"")),"""")
  )
)"),"")</f>
      </c>
      <c r="F541" s="17" t="str">
        <f>IFERROR(__xludf.DUMMYFUNCTION("IFERROR(
  TEXTJOIN(CHAR(10),TRUE,FILTER('SUMMARY DATA'!F:F,'SUMMARY DATA'!$A:$A=$A541,'SUMMARY DATA'!$C:$C=$B541,'SUMMARY DATA'!$B:$B=""RWS"")),
  IF(
    OR(
      ISNUMBER(SEARCH(""CDM CASH DEPOSIT"",$C541)),
      ISNUMBER(SEARCH(""CASH DEPOSIT"",$C54"&amp;"1)),
      COUNTIFS('SUMMARY DATA'!$D:$D,$C541,'SUMMARY DATA'!$B:$B,""RWS"")&lt;&gt;1
    ),
    """",
    IFERROR(TEXTJOIN(CHAR(10),TRUE,FILTER('SUMMARY DATA'!F:F,'SUMMARY DATA'!$D:$D=$C541,'SUMMARY DATA'!$B:$B=""RWS"")),"""")
  )
)"),"")</f>
      </c>
      <c r="G541" s="17" t="str">
        <f>IFERROR(__xludf.DUMMYFUNCTION("IFERROR(
  TEXTJOIN(CHAR(10),TRUE,FILTER('SUMMARY DATA'!G:G,'SUMMARY DATA'!$A:$A=$A541,'SUMMARY DATA'!$C:$C=$B541,'SUMMARY DATA'!$B:$B=""RWS"")),
  IF(
    OR(
      ISNUMBER(SEARCH(""CDM CASH DEPOSIT"",$C541)),
      ISNUMBER(SEARCH(""CASH DEPOSIT"",$C54"&amp;"1)),
      COUNTIFS('SUMMARY DATA'!$D:$D,$C541,'SUMMARY DATA'!$B:$B,""RWS"")&lt;&gt;1
    ),
    """",
    IFERROR(TEXTJOIN(CHAR(10),TRUE,FILTER('SUMMARY DATA'!G:G,'SUMMARY DATA'!$D:$D=$C541,'SUMMARY DATA'!$B:$B=""RWS"")),"""")
  )
)"),"")</f>
      </c>
      <c r="H541" s="18" t="str">
        <f>IFERROR(__xludf.DUMMYFUNCTION("IFERROR(
  TEXTJOIN(CHAR(10),TRUE,FILTER('SUMMARY DATA'!H:H,'SUMMARY DATA'!$A:$A=$A541,'SUMMARY DATA'!$C:$C=$B541,'SUMMARY DATA'!$B:$B=""RWS"",'SUMMARY DATA'!$H:$H=$D541)),
  IF(
    OR(
      ISNUMBER(SEARCH(""CDM CASH DEPOSIT"",$C541)),
      ISNUMBER(S"&amp;"EARCH(""CASH DEPOSIT"",$C541))
    ),
    """",
    IFERROR(TEXTJOIN(CHAR(10),TRUE,FILTER('SUMMARY DATA'!H:H,'SUMMARY DATA'!$D:$D=$C541,'SUMMARY DATA'!$B:$B=""RWS"",'SUMMARY DATA'!$H:$H=$D541)),"""")
  )
)"),"")</f>
      </c>
      <c r="I541" s="18" t="str">
        <f>IFERROR(__xludf.DUMMYFUNCTION("IF(H541="""","""",
SUM(ARRAYFORMULA(VALUE(SPLIT(H541,CHAR(10)))))
)"),"")</f>
      </c>
      <c r="J541" s="17" t="str">
        <f>IFERROR(__xludf.DUMMYFUNCTION("IFERROR(
  TEXTJOIN(CHAR(10),TRUE,FILTER('SUMMARY DATA'!I:I,'SUMMARY DATA'!$A:$A=$A541,'SUMMARY DATA'!$C:$C=$B541,'SUMMARY DATA'!$B:$B=""RWS"")),
  IF(
    OR(
      ISNUMBER(SEARCH(""CDM CASH DEPOSIT"",$C541)),
      ISNUMBER(SEARCH(""CASH DEPOSIT"",$C54"&amp;"1)),
      COUNTIFS('SUMMARY DATA'!$D:$D,$C541,'SUMMARY DATA'!$B:$B,""RWS"")&lt;&gt;1
    ),
    """",
    IFERROR(TEXTJOIN(CHAR(10),TRUE,FILTER('SUMMARY DATA'!I:I,'SUMMARY DATA'!$D:$D=$C541,'SUMMARY DATA'!$B:$B=""RWS"")),"""")
  )
)"),"")</f>
      </c>
      <c r="K541" s="2"/>
      <c r="L541" s="2"/>
      <c r="M541" s="2"/>
      <c r="N541" s="2"/>
      <c r="O541" s="2"/>
      <c r="P541" s="2"/>
      <c r="Q541" s="2"/>
      <c r="R541" s="2"/>
      <c r="S541" s="2"/>
      <c r="T541" s="2"/>
      <c r="U541" s="2"/>
      <c r="V541" s="2"/>
      <c r="W541" s="2"/>
      <c r="X541" s="2"/>
      <c r="Y541" s="2"/>
      <c r="Z541" s="2"/>
      <c r="AA541" s="2"/>
      <c r="AB541" s="2"/>
    </row>
    <row r="542" spans="1:28" customHeight="true">
      <c r="A542" s="2" t="s">
        <v>899</v>
      </c>
      <c r="B542" s="15">
        <v>46050</v>
      </c>
      <c r="C542" s="2" t="s">
        <v>900</v>
      </c>
      <c r="D542" s="3">
        <v>158</v>
      </c>
      <c r="E542" s="16" t="str">
        <f>IFERROR(__xludf.DUMMYFUNCTION("IFERROR(
  TEXTJOIN(CHAR(10),TRUE,FILTER('SUMMARY DATA'!E:E,'SUMMARY DATA'!$A:$A=$A542,'SUMMARY DATA'!$C:$C=$B542,'SUMMARY DATA'!$B:$B=""RWS"")),
  IF(
    OR(
      ISNUMBER(SEARCH(""CDM CASH DEPOSIT"",$C542)),
      ISNUMBER(SEARCH(""CASH DEPOSIT"",$C54"&amp;"2)),
      COUNTIFS('SUMMARY DATA'!$D:$D,$C542,'SUMMARY DATA'!$B:$B,""RWS"")&lt;&gt;1
    ),
    """",
    IFERROR(TEXTJOIN(CHAR(10),TRUE,FILTER('SUMMARY DATA'!E:E,'SUMMARY DATA'!$D:$D=$C542,'SUMMARY DATA'!$B:$B=""RWS"")),"""")
  )
)"),"")</f>
      </c>
      <c r="F542" s="17" t="str">
        <f>IFERROR(__xludf.DUMMYFUNCTION("IFERROR(
  TEXTJOIN(CHAR(10),TRUE,FILTER('SUMMARY DATA'!F:F,'SUMMARY DATA'!$A:$A=$A542,'SUMMARY DATA'!$C:$C=$B542,'SUMMARY DATA'!$B:$B=""RWS"")),
  IF(
    OR(
      ISNUMBER(SEARCH(""CDM CASH DEPOSIT"",$C542)),
      ISNUMBER(SEARCH(""CASH DEPOSIT"",$C54"&amp;"2)),
      COUNTIFS('SUMMARY DATA'!$D:$D,$C542,'SUMMARY DATA'!$B:$B,""RWS"")&lt;&gt;1
    ),
    """",
    IFERROR(TEXTJOIN(CHAR(10),TRUE,FILTER('SUMMARY DATA'!F:F,'SUMMARY DATA'!$D:$D=$C542,'SUMMARY DATA'!$B:$B=""RWS"")),"""")
  )
)"),"")</f>
      </c>
      <c r="G542" s="17" t="str">
        <f>IFERROR(__xludf.DUMMYFUNCTION("IFERROR(
  TEXTJOIN(CHAR(10),TRUE,FILTER('SUMMARY DATA'!G:G,'SUMMARY DATA'!$A:$A=$A542,'SUMMARY DATA'!$C:$C=$B542,'SUMMARY DATA'!$B:$B=""RWS"")),
  IF(
    OR(
      ISNUMBER(SEARCH(""CDM CASH DEPOSIT"",$C542)),
      ISNUMBER(SEARCH(""CASH DEPOSIT"",$C54"&amp;"2)),
      COUNTIFS('SUMMARY DATA'!$D:$D,$C542,'SUMMARY DATA'!$B:$B,""RWS"")&lt;&gt;1
    ),
    """",
    IFERROR(TEXTJOIN(CHAR(10),TRUE,FILTER('SUMMARY DATA'!G:G,'SUMMARY DATA'!$D:$D=$C542,'SUMMARY DATA'!$B:$B=""RWS"")),"""")
  )
)"),"")</f>
      </c>
      <c r="H542" s="18" t="str">
        <f>IFERROR(__xludf.DUMMYFUNCTION("IFERROR(
  TEXTJOIN(CHAR(10),TRUE,FILTER('SUMMARY DATA'!H:H,'SUMMARY DATA'!$A:$A=$A542,'SUMMARY DATA'!$C:$C=$B542,'SUMMARY DATA'!$B:$B=""RWS"",'SUMMARY DATA'!$H:$H=$D542)),
  IF(
    OR(
      ISNUMBER(SEARCH(""CDM CASH DEPOSIT"",$C542)),
      ISNUMBER(S"&amp;"EARCH(""CASH DEPOSIT"",$C542))
    ),
    """",
    IFERROR(TEXTJOIN(CHAR(10),TRUE,FILTER('SUMMARY DATA'!H:H,'SUMMARY DATA'!$D:$D=$C542,'SUMMARY DATA'!$B:$B=""RWS"",'SUMMARY DATA'!$H:$H=$D542)),"""")
  )
)"),"")</f>
      </c>
      <c r="I542" s="18" t="str">
        <f>IFERROR(__xludf.DUMMYFUNCTION("IF(H542="""","""",
SUM(ARRAYFORMULA(VALUE(SPLIT(H542,CHAR(10)))))
)"),"")</f>
      </c>
      <c r="J542" s="17" t="str">
        <f>IFERROR(__xludf.DUMMYFUNCTION("IFERROR(
  TEXTJOIN(CHAR(10),TRUE,FILTER('SUMMARY DATA'!I:I,'SUMMARY DATA'!$A:$A=$A542,'SUMMARY DATA'!$C:$C=$B542,'SUMMARY DATA'!$B:$B=""RWS"")),
  IF(
    OR(
      ISNUMBER(SEARCH(""CDM CASH DEPOSIT"",$C542)),
      ISNUMBER(SEARCH(""CASH DEPOSIT"",$C54"&amp;"2)),
      COUNTIFS('SUMMARY DATA'!$D:$D,$C542,'SUMMARY DATA'!$B:$B,""RWS"")&lt;&gt;1
    ),
    """",
    IFERROR(TEXTJOIN(CHAR(10),TRUE,FILTER('SUMMARY DATA'!I:I,'SUMMARY DATA'!$D:$D=$C542,'SUMMARY DATA'!$B:$B=""RWS"")),"""")
  )
)"),"")</f>
      </c>
      <c r="K542" s="2"/>
      <c r="L542" s="2"/>
      <c r="M542" s="2"/>
      <c r="N542" s="2"/>
      <c r="O542" s="2"/>
      <c r="P542" s="2"/>
      <c r="Q542" s="2"/>
      <c r="R542" s="2"/>
      <c r="S542" s="2"/>
      <c r="T542" s="2"/>
      <c r="U542" s="2"/>
      <c r="V542" s="2"/>
      <c r="W542" s="2"/>
      <c r="X542" s="2"/>
      <c r="Y542" s="2"/>
      <c r="Z542" s="2"/>
      <c r="AA542" s="2"/>
      <c r="AB542" s="2"/>
    </row>
    <row r="543" spans="1:28" customHeight="true">
      <c r="A543" s="2" t="s">
        <v>901</v>
      </c>
      <c r="B543" s="15">
        <v>46050</v>
      </c>
      <c r="C543" s="2" t="s">
        <v>902</v>
      </c>
      <c r="D543" s="3">
        <v>759.2</v>
      </c>
      <c r="E543" s="16" t="s">
        <v>2580</v>
      </c>
      <c r="F543" s="17" t="s">
        <v>2584</v>
      </c>
      <c r="G543" s="17" t="s">
        <v>2393</v>
      </c>
      <c r="H543" s="18">
        <v>759.2</v>
      </c>
      <c r="I543" s="18">
        <v>759.2</v>
      </c>
      <c r="J543" s="17" t="s">
        <v>2571</v>
      </c>
      <c r="K543" s="2" t="s">
        <v>2395</v>
      </c>
      <c r="L543" s="2"/>
      <c r="M543" s="2"/>
      <c r="N543" s="2"/>
      <c r="O543" s="2"/>
      <c r="P543" s="2"/>
      <c r="Q543" s="2"/>
      <c r="R543" s="2"/>
      <c r="S543" s="2"/>
      <c r="T543" s="2"/>
      <c r="U543" s="2"/>
      <c r="V543" s="2"/>
      <c r="W543" s="2"/>
      <c r="X543" s="2"/>
      <c r="Y543" s="2"/>
      <c r="Z543" s="2"/>
      <c r="AA543" s="2"/>
      <c r="AB543" s="2"/>
    </row>
    <row r="544" spans="1:28" customHeight="true">
      <c r="A544" s="2" t="s">
        <v>903</v>
      </c>
      <c r="B544" s="15">
        <v>46049</v>
      </c>
      <c r="C544" s="2" t="s">
        <v>904</v>
      </c>
      <c r="D544" s="3">
        <v>1</v>
      </c>
      <c r="E544" s="16" t="str">
        <f>IFERROR(__xludf.DUMMYFUNCTION("IFERROR(
  TEXTJOIN(CHAR(10),TRUE,FILTER('SUMMARY DATA'!E:E,'SUMMARY DATA'!$A:$A=$A544,'SUMMARY DATA'!$C:$C=$B544,'SUMMARY DATA'!$B:$B=""RWS"")),
  IF(
    OR(
      ISNUMBER(SEARCH(""CDM CASH DEPOSIT"",$C544)),
      ISNUMBER(SEARCH(""CASH DEPOSIT"",$C54"&amp;"4)),
      COUNTIFS('SUMMARY DATA'!$D:$D,$C544,'SUMMARY DATA'!$B:$B,""RWS"")&lt;&gt;1
    ),
    """",
    IFERROR(TEXTJOIN(CHAR(10),TRUE,FILTER('SUMMARY DATA'!E:E,'SUMMARY DATA'!$D:$D=$C544,'SUMMARY DATA'!$B:$B=""RWS"")),"""")
  )
)"),"")</f>
      </c>
      <c r="F544" s="17" t="str">
        <f>IFERROR(__xludf.DUMMYFUNCTION("IFERROR(
  TEXTJOIN(CHAR(10),TRUE,FILTER('SUMMARY DATA'!F:F,'SUMMARY DATA'!$A:$A=$A544,'SUMMARY DATA'!$C:$C=$B544,'SUMMARY DATA'!$B:$B=""RWS"")),
  IF(
    OR(
      ISNUMBER(SEARCH(""CDM CASH DEPOSIT"",$C544)),
      ISNUMBER(SEARCH(""CASH DEPOSIT"",$C54"&amp;"4)),
      COUNTIFS('SUMMARY DATA'!$D:$D,$C544,'SUMMARY DATA'!$B:$B,""RWS"")&lt;&gt;1
    ),
    """",
    IFERROR(TEXTJOIN(CHAR(10),TRUE,FILTER('SUMMARY DATA'!F:F,'SUMMARY DATA'!$D:$D=$C544,'SUMMARY DATA'!$B:$B=""RWS"")),"""")
  )
)"),"")</f>
      </c>
      <c r="G544" s="17" t="str">
        <f>IFERROR(__xludf.DUMMYFUNCTION("IFERROR(
  TEXTJOIN(CHAR(10),TRUE,FILTER('SUMMARY DATA'!G:G,'SUMMARY DATA'!$A:$A=$A544,'SUMMARY DATA'!$C:$C=$B544,'SUMMARY DATA'!$B:$B=""RWS"")),
  IF(
    OR(
      ISNUMBER(SEARCH(""CDM CASH DEPOSIT"",$C544)),
      ISNUMBER(SEARCH(""CASH DEPOSIT"",$C54"&amp;"4)),
      COUNTIFS('SUMMARY DATA'!$D:$D,$C544,'SUMMARY DATA'!$B:$B,""RWS"")&lt;&gt;1
    ),
    """",
    IFERROR(TEXTJOIN(CHAR(10),TRUE,FILTER('SUMMARY DATA'!G:G,'SUMMARY DATA'!$D:$D=$C544,'SUMMARY DATA'!$B:$B=""RWS"")),"""")
  )
)"),"")</f>
      </c>
      <c r="H544" s="18" t="str">
        <f>IFERROR(__xludf.DUMMYFUNCTION("IFERROR(
  TEXTJOIN(CHAR(10),TRUE,FILTER('SUMMARY DATA'!H:H,'SUMMARY DATA'!$A:$A=$A544,'SUMMARY DATA'!$C:$C=$B544,'SUMMARY DATA'!$B:$B=""RWS"",'SUMMARY DATA'!$H:$H=$D544)),
  IF(
    OR(
      ISNUMBER(SEARCH(""CDM CASH DEPOSIT"",$C544)),
      ISNUMBER(S"&amp;"EARCH(""CASH DEPOSIT"",$C544))
    ),
    """",
    IFERROR(TEXTJOIN(CHAR(10),TRUE,FILTER('SUMMARY DATA'!H:H,'SUMMARY DATA'!$D:$D=$C544,'SUMMARY DATA'!$B:$B=""RWS"",'SUMMARY DATA'!$H:$H=$D544)),"""")
  )
)"),"")</f>
      </c>
      <c r="I544" s="18" t="str">
        <f>IFERROR(__xludf.DUMMYFUNCTION("IF(H544="""","""",
SUM(ARRAYFORMULA(VALUE(SPLIT(H544,CHAR(10)))))
)"),"")</f>
      </c>
      <c r="J544" s="17" t="str">
        <f>IFERROR(__xludf.DUMMYFUNCTION("IFERROR(
  TEXTJOIN(CHAR(10),TRUE,FILTER('SUMMARY DATA'!I:I,'SUMMARY DATA'!$A:$A=$A544,'SUMMARY DATA'!$C:$C=$B544,'SUMMARY DATA'!$B:$B=""RWS"")),
  IF(
    OR(
      ISNUMBER(SEARCH(""CDM CASH DEPOSIT"",$C544)),
      ISNUMBER(SEARCH(""CASH DEPOSIT"",$C54"&amp;"4)),
      COUNTIFS('SUMMARY DATA'!$D:$D,$C544,'SUMMARY DATA'!$B:$B,""RWS"")&lt;&gt;1
    ),
    """",
    IFERROR(TEXTJOIN(CHAR(10),TRUE,FILTER('SUMMARY DATA'!I:I,'SUMMARY DATA'!$D:$D=$C544,'SUMMARY DATA'!$B:$B=""RWS"")),"""")
  )
)"),"")</f>
      </c>
      <c r="K544" s="2"/>
      <c r="L544" s="2"/>
      <c r="M544" s="2"/>
      <c r="N544" s="2"/>
      <c r="O544" s="2"/>
      <c r="P544" s="2"/>
      <c r="Q544" s="2"/>
      <c r="R544" s="2"/>
      <c r="S544" s="2"/>
      <c r="T544" s="2"/>
      <c r="U544" s="2"/>
      <c r="V544" s="2"/>
      <c r="W544" s="2"/>
      <c r="X544" s="2"/>
      <c r="Y544" s="2"/>
      <c r="Z544" s="2"/>
      <c r="AA544" s="2"/>
      <c r="AB544" s="2"/>
    </row>
    <row r="545" spans="1:28" customHeight="true">
      <c r="A545" s="2" t="s">
        <v>905</v>
      </c>
      <c r="B545" s="15">
        <v>46049</v>
      </c>
      <c r="C545" s="2" t="s">
        <v>906</v>
      </c>
      <c r="D545" s="3">
        <v>1564</v>
      </c>
      <c r="E545" s="16" t="s">
        <v>2576</v>
      </c>
      <c r="F545" s="17" t="s">
        <v>2585</v>
      </c>
      <c r="G545" s="17" t="s">
        <v>2393</v>
      </c>
      <c r="H545" s="18">
        <v>1564</v>
      </c>
      <c r="I545" s="18">
        <v>1564</v>
      </c>
      <c r="J545" s="17" t="s">
        <v>2571</v>
      </c>
      <c r="K545" s="2" t="s">
        <v>2395</v>
      </c>
      <c r="L545" s="2"/>
      <c r="M545" s="2"/>
      <c r="N545" s="2"/>
      <c r="O545" s="2"/>
      <c r="P545" s="2"/>
      <c r="Q545" s="2"/>
      <c r="R545" s="2"/>
      <c r="S545" s="2"/>
      <c r="T545" s="2"/>
      <c r="U545" s="2"/>
      <c r="V545" s="2"/>
      <c r="W545" s="2"/>
      <c r="X545" s="2"/>
      <c r="Y545" s="2"/>
      <c r="Z545" s="2"/>
      <c r="AA545" s="2"/>
      <c r="AB545" s="2"/>
    </row>
    <row r="546" spans="1:28" customHeight="true">
      <c r="A546" s="2" t="s">
        <v>907</v>
      </c>
      <c r="B546" s="15">
        <v>46049</v>
      </c>
      <c r="C546" s="2" t="s">
        <v>908</v>
      </c>
      <c r="D546" s="3">
        <v>18.88</v>
      </c>
      <c r="E546" s="16" t="str">
        <f>IFERROR(__xludf.DUMMYFUNCTION("IFERROR(
  TEXTJOIN(CHAR(10),TRUE,FILTER('SUMMARY DATA'!E:E,'SUMMARY DATA'!$A:$A=$A546,'SUMMARY DATA'!$C:$C=$B546,'SUMMARY DATA'!$B:$B=""RWS"")),
  IF(
    OR(
      ISNUMBER(SEARCH(""CDM CASH DEPOSIT"",$C546)),
      ISNUMBER(SEARCH(""CASH DEPOSIT"",$C54"&amp;"6)),
      COUNTIFS('SUMMARY DATA'!$D:$D,$C546,'SUMMARY DATA'!$B:$B,""RWS"")&lt;&gt;1
    ),
    """",
    IFERROR(TEXTJOIN(CHAR(10),TRUE,FILTER('SUMMARY DATA'!E:E,'SUMMARY DATA'!$D:$D=$C546,'SUMMARY DATA'!$B:$B=""RWS"")),"""")
  )
)"),"")</f>
      </c>
      <c r="F546" s="17" t="str">
        <f>IFERROR(__xludf.DUMMYFUNCTION("IFERROR(
  TEXTJOIN(CHAR(10),TRUE,FILTER('SUMMARY DATA'!F:F,'SUMMARY DATA'!$A:$A=$A546,'SUMMARY DATA'!$C:$C=$B546,'SUMMARY DATA'!$B:$B=""RWS"")),
  IF(
    OR(
      ISNUMBER(SEARCH(""CDM CASH DEPOSIT"",$C546)),
      ISNUMBER(SEARCH(""CASH DEPOSIT"",$C54"&amp;"6)),
      COUNTIFS('SUMMARY DATA'!$D:$D,$C546,'SUMMARY DATA'!$B:$B,""RWS"")&lt;&gt;1
    ),
    """",
    IFERROR(TEXTJOIN(CHAR(10),TRUE,FILTER('SUMMARY DATA'!F:F,'SUMMARY DATA'!$D:$D=$C546,'SUMMARY DATA'!$B:$B=""RWS"")),"""")
  )
)"),"")</f>
      </c>
      <c r="G546" s="17" t="str">
        <f>IFERROR(__xludf.DUMMYFUNCTION("IFERROR(
  TEXTJOIN(CHAR(10),TRUE,FILTER('SUMMARY DATA'!G:G,'SUMMARY DATA'!$A:$A=$A546,'SUMMARY DATA'!$C:$C=$B546,'SUMMARY DATA'!$B:$B=""RWS"")),
  IF(
    OR(
      ISNUMBER(SEARCH(""CDM CASH DEPOSIT"",$C546)),
      ISNUMBER(SEARCH(""CASH DEPOSIT"",$C54"&amp;"6)),
      COUNTIFS('SUMMARY DATA'!$D:$D,$C546,'SUMMARY DATA'!$B:$B,""RWS"")&lt;&gt;1
    ),
    """",
    IFERROR(TEXTJOIN(CHAR(10),TRUE,FILTER('SUMMARY DATA'!G:G,'SUMMARY DATA'!$D:$D=$C546,'SUMMARY DATA'!$B:$B=""RWS"")),"""")
  )
)"),"")</f>
      </c>
      <c r="H546" s="18" t="str">
        <f>IFERROR(__xludf.DUMMYFUNCTION("IFERROR(
  TEXTJOIN(CHAR(10),TRUE,FILTER('SUMMARY DATA'!H:H,'SUMMARY DATA'!$A:$A=$A546,'SUMMARY DATA'!$C:$C=$B546,'SUMMARY DATA'!$B:$B=""RWS"",'SUMMARY DATA'!$H:$H=$D546)),
  IF(
    OR(
      ISNUMBER(SEARCH(""CDM CASH DEPOSIT"",$C546)),
      ISNUMBER(S"&amp;"EARCH(""CASH DEPOSIT"",$C546))
    ),
    """",
    IFERROR(TEXTJOIN(CHAR(10),TRUE,FILTER('SUMMARY DATA'!H:H,'SUMMARY DATA'!$D:$D=$C546,'SUMMARY DATA'!$B:$B=""RWS"",'SUMMARY DATA'!$H:$H=$D546)),"""")
  )
)"),"")</f>
      </c>
      <c r="I546" s="18" t="str">
        <f>IFERROR(__xludf.DUMMYFUNCTION("IF(H546="""","""",
SUM(ARRAYFORMULA(VALUE(SPLIT(H546,CHAR(10)))))
)"),"")</f>
      </c>
      <c r="J546" s="17" t="str">
        <f>IFERROR(__xludf.DUMMYFUNCTION("IFERROR(
  TEXTJOIN(CHAR(10),TRUE,FILTER('SUMMARY DATA'!I:I,'SUMMARY DATA'!$A:$A=$A546,'SUMMARY DATA'!$C:$C=$B546,'SUMMARY DATA'!$B:$B=""RWS"")),
  IF(
    OR(
      ISNUMBER(SEARCH(""CDM CASH DEPOSIT"",$C546)),
      ISNUMBER(SEARCH(""CASH DEPOSIT"",$C54"&amp;"6)),
      COUNTIFS('SUMMARY DATA'!$D:$D,$C546,'SUMMARY DATA'!$B:$B,""RWS"")&lt;&gt;1
    ),
    """",
    IFERROR(TEXTJOIN(CHAR(10),TRUE,FILTER('SUMMARY DATA'!I:I,'SUMMARY DATA'!$D:$D=$C546,'SUMMARY DATA'!$B:$B=""RWS"")),"""")
  )
)"),"")</f>
      </c>
      <c r="K546" s="2"/>
      <c r="L546" s="2"/>
      <c r="M546" s="2"/>
      <c r="N546" s="2"/>
      <c r="O546" s="2"/>
      <c r="P546" s="2"/>
      <c r="Q546" s="2"/>
      <c r="R546" s="2"/>
      <c r="S546" s="2"/>
      <c r="T546" s="2"/>
      <c r="U546" s="2"/>
      <c r="V546" s="2"/>
      <c r="W546" s="2"/>
      <c r="X546" s="2"/>
      <c r="Y546" s="2"/>
      <c r="Z546" s="2"/>
      <c r="AA546" s="2"/>
      <c r="AB546" s="2"/>
    </row>
    <row r="547" spans="1:28" customHeight="true">
      <c r="A547" s="2" t="s">
        <v>909</v>
      </c>
      <c r="B547" s="15">
        <v>46049</v>
      </c>
      <c r="C547" s="2" t="s">
        <v>910</v>
      </c>
      <c r="D547" s="3">
        <v>1</v>
      </c>
      <c r="E547" s="16" t="str">
        <f>IFERROR(__xludf.DUMMYFUNCTION("IFERROR(
  TEXTJOIN(CHAR(10),TRUE,FILTER('SUMMARY DATA'!E:E,'SUMMARY DATA'!$A:$A=$A547,'SUMMARY DATA'!$C:$C=$B547,'SUMMARY DATA'!$B:$B=""RWS"")),
  IF(
    OR(
      ISNUMBER(SEARCH(""CDM CASH DEPOSIT"",$C547)),
      ISNUMBER(SEARCH(""CASH DEPOSIT"",$C54"&amp;"7)),
      COUNTIFS('SUMMARY DATA'!$D:$D,$C547,'SUMMARY DATA'!$B:$B,""RWS"")&lt;&gt;1
    ),
    """",
    IFERROR(TEXTJOIN(CHAR(10),TRUE,FILTER('SUMMARY DATA'!E:E,'SUMMARY DATA'!$D:$D=$C547,'SUMMARY DATA'!$B:$B=""RWS"")),"""")
  )
)"),"")</f>
      </c>
      <c r="F547" s="17" t="str">
        <f>IFERROR(__xludf.DUMMYFUNCTION("IFERROR(
  TEXTJOIN(CHAR(10),TRUE,FILTER('SUMMARY DATA'!F:F,'SUMMARY DATA'!$A:$A=$A547,'SUMMARY DATA'!$C:$C=$B547,'SUMMARY DATA'!$B:$B=""RWS"")),
  IF(
    OR(
      ISNUMBER(SEARCH(""CDM CASH DEPOSIT"",$C547)),
      ISNUMBER(SEARCH(""CASH DEPOSIT"",$C54"&amp;"7)),
      COUNTIFS('SUMMARY DATA'!$D:$D,$C547,'SUMMARY DATA'!$B:$B,""RWS"")&lt;&gt;1
    ),
    """",
    IFERROR(TEXTJOIN(CHAR(10),TRUE,FILTER('SUMMARY DATA'!F:F,'SUMMARY DATA'!$D:$D=$C547,'SUMMARY DATA'!$B:$B=""RWS"")),"""")
  )
)"),"")</f>
      </c>
      <c r="G547" s="17" t="str">
        <f>IFERROR(__xludf.DUMMYFUNCTION("IFERROR(
  TEXTJOIN(CHAR(10),TRUE,FILTER('SUMMARY DATA'!G:G,'SUMMARY DATA'!$A:$A=$A547,'SUMMARY DATA'!$C:$C=$B547,'SUMMARY DATA'!$B:$B=""RWS"")),
  IF(
    OR(
      ISNUMBER(SEARCH(""CDM CASH DEPOSIT"",$C547)),
      ISNUMBER(SEARCH(""CASH DEPOSIT"",$C54"&amp;"7)),
      COUNTIFS('SUMMARY DATA'!$D:$D,$C547,'SUMMARY DATA'!$B:$B,""RWS"")&lt;&gt;1
    ),
    """",
    IFERROR(TEXTJOIN(CHAR(10),TRUE,FILTER('SUMMARY DATA'!G:G,'SUMMARY DATA'!$D:$D=$C547,'SUMMARY DATA'!$B:$B=""RWS"")),"""")
  )
)"),"")</f>
      </c>
      <c r="H547" s="18" t="str">
        <f>IFERROR(__xludf.DUMMYFUNCTION("IFERROR(
  TEXTJOIN(CHAR(10),TRUE,FILTER('SUMMARY DATA'!H:H,'SUMMARY DATA'!$A:$A=$A547,'SUMMARY DATA'!$C:$C=$B547,'SUMMARY DATA'!$B:$B=""RWS"",'SUMMARY DATA'!$H:$H=$D547)),
  IF(
    OR(
      ISNUMBER(SEARCH(""CDM CASH DEPOSIT"",$C547)),
      ISNUMBER(S"&amp;"EARCH(""CASH DEPOSIT"",$C547))
    ),
    """",
    IFERROR(TEXTJOIN(CHAR(10),TRUE,FILTER('SUMMARY DATA'!H:H,'SUMMARY DATA'!$D:$D=$C547,'SUMMARY DATA'!$B:$B=""RWS"",'SUMMARY DATA'!$H:$H=$D547)),"""")
  )
)"),"")</f>
      </c>
      <c r="I547" s="18" t="str">
        <f>IFERROR(__xludf.DUMMYFUNCTION("IF(H547="""","""",
SUM(ARRAYFORMULA(VALUE(SPLIT(H547,CHAR(10)))))
)"),"")</f>
      </c>
      <c r="J547" s="17" t="str">
        <f>IFERROR(__xludf.DUMMYFUNCTION("IFERROR(
  TEXTJOIN(CHAR(10),TRUE,FILTER('SUMMARY DATA'!I:I,'SUMMARY DATA'!$A:$A=$A547,'SUMMARY DATA'!$C:$C=$B547,'SUMMARY DATA'!$B:$B=""RWS"")),
  IF(
    OR(
      ISNUMBER(SEARCH(""CDM CASH DEPOSIT"",$C547)),
      ISNUMBER(SEARCH(""CASH DEPOSIT"",$C54"&amp;"7)),
      COUNTIFS('SUMMARY DATA'!$D:$D,$C547,'SUMMARY DATA'!$B:$B,""RWS"")&lt;&gt;1
    ),
    """",
    IFERROR(TEXTJOIN(CHAR(10),TRUE,FILTER('SUMMARY DATA'!I:I,'SUMMARY DATA'!$D:$D=$C547,'SUMMARY DATA'!$B:$B=""RWS"")),"""")
  )
)"),"")</f>
      </c>
      <c r="K547" s="2"/>
      <c r="L547" s="2"/>
      <c r="M547" s="2"/>
      <c r="N547" s="2"/>
      <c r="O547" s="2"/>
      <c r="P547" s="2"/>
      <c r="Q547" s="2"/>
      <c r="R547" s="2"/>
      <c r="S547" s="2"/>
      <c r="T547" s="2"/>
      <c r="U547" s="2"/>
      <c r="V547" s="2"/>
      <c r="W547" s="2"/>
      <c r="X547" s="2"/>
      <c r="Y547" s="2"/>
      <c r="Z547" s="2"/>
      <c r="AA547" s="2"/>
      <c r="AB547" s="2"/>
    </row>
    <row r="548" spans="1:28" customHeight="true">
      <c r="A548" s="2" t="s">
        <v>911</v>
      </c>
      <c r="B548" s="15">
        <v>46049</v>
      </c>
      <c r="C548" s="2" t="s">
        <v>912</v>
      </c>
      <c r="D548" s="3">
        <v>31.82</v>
      </c>
      <c r="E548" s="16" t="s">
        <v>2569</v>
      </c>
      <c r="F548" s="17" t="s">
        <v>2586</v>
      </c>
      <c r="G548" s="17" t="s">
        <v>2393</v>
      </c>
      <c r="H548" s="18">
        <v>31.82</v>
      </c>
      <c r="I548" s="18">
        <v>31.82</v>
      </c>
      <c r="J548" s="17" t="s">
        <v>2571</v>
      </c>
      <c r="K548" s="2" t="s">
        <v>2395</v>
      </c>
      <c r="L548" s="2"/>
      <c r="M548" s="2"/>
      <c r="N548" s="2"/>
      <c r="O548" s="2"/>
      <c r="P548" s="2"/>
      <c r="Q548" s="2"/>
      <c r="R548" s="2"/>
      <c r="S548" s="2"/>
      <c r="T548" s="2"/>
      <c r="U548" s="2"/>
      <c r="V548" s="2"/>
      <c r="W548" s="2"/>
      <c r="X548" s="2"/>
      <c r="Y548" s="2"/>
      <c r="Z548" s="2"/>
      <c r="AA548" s="2"/>
      <c r="AB548" s="2"/>
    </row>
    <row r="549" spans="1:28" customHeight="true">
      <c r="A549" s="2" t="s">
        <v>913</v>
      </c>
      <c r="B549" s="15">
        <v>46049</v>
      </c>
      <c r="C549" s="2" t="s">
        <v>914</v>
      </c>
      <c r="D549" s="3">
        <v>38.31</v>
      </c>
      <c r="E549" s="16" t="s">
        <v>2587</v>
      </c>
      <c r="F549" s="17" t="s">
        <v>2588</v>
      </c>
      <c r="G549" s="17" t="s">
        <v>2393</v>
      </c>
      <c r="H549" s="18">
        <v>38.31</v>
      </c>
      <c r="I549" s="18">
        <v>38.31</v>
      </c>
      <c r="J549" s="17" t="s">
        <v>2394</v>
      </c>
      <c r="K549" s="2" t="s">
        <v>2395</v>
      </c>
      <c r="L549" s="2"/>
      <c r="M549" s="2"/>
      <c r="N549" s="2"/>
      <c r="O549" s="2"/>
      <c r="P549" s="2"/>
      <c r="Q549" s="2"/>
      <c r="R549" s="2"/>
      <c r="S549" s="2"/>
      <c r="T549" s="2"/>
      <c r="U549" s="2"/>
      <c r="V549" s="2"/>
      <c r="W549" s="2"/>
      <c r="X549" s="2"/>
      <c r="Y549" s="2"/>
      <c r="Z549" s="2"/>
      <c r="AA549" s="2"/>
      <c r="AB549" s="2"/>
    </row>
    <row r="550" spans="1:28" customHeight="true">
      <c r="A550" s="2"/>
      <c r="B550" s="15">
        <v>46049</v>
      </c>
      <c r="C550" s="2" t="s">
        <v>915</v>
      </c>
      <c r="D550" s="3">
        <v>299.91</v>
      </c>
      <c r="E550" s="16" t="str">
        <f>IFERROR(__xludf.DUMMYFUNCTION("IFERROR(
  TEXTJOIN(CHAR(10),TRUE,FILTER('SUMMARY DATA'!E:E,'SUMMARY DATA'!$A:$A=$A550,'SUMMARY DATA'!$C:$C=$B550,'SUMMARY DATA'!$B:$B=""RWS"")),
  IF(
    OR(
      ISNUMBER(SEARCH(""CDM CASH DEPOSIT"",$C550)),
      ISNUMBER(SEARCH(""CASH DEPOSIT"",$C55"&amp;"0)),
      COUNTIFS('SUMMARY DATA'!$D:$D,$C550,'SUMMARY DATA'!$B:$B,""RWS"")&lt;&gt;1
    ),
    """",
    IFERROR(TEXTJOIN(CHAR(10),TRUE,FILTER('SUMMARY DATA'!E:E,'SUMMARY DATA'!$D:$D=$C550,'SUMMARY DATA'!$B:$B=""RWS"")),"""")
  )
)"),"")</f>
      </c>
      <c r="F550" s="17" t="str">
        <f>IFERROR(__xludf.DUMMYFUNCTION("IFERROR(
  TEXTJOIN(CHAR(10),TRUE,FILTER('SUMMARY DATA'!F:F,'SUMMARY DATA'!$A:$A=$A550,'SUMMARY DATA'!$C:$C=$B550,'SUMMARY DATA'!$B:$B=""RWS"")),
  IF(
    OR(
      ISNUMBER(SEARCH(""CDM CASH DEPOSIT"",$C550)),
      ISNUMBER(SEARCH(""CASH DEPOSIT"",$C55"&amp;"0)),
      COUNTIFS('SUMMARY DATA'!$D:$D,$C550,'SUMMARY DATA'!$B:$B,""RWS"")&lt;&gt;1
    ),
    """",
    IFERROR(TEXTJOIN(CHAR(10),TRUE,FILTER('SUMMARY DATA'!F:F,'SUMMARY DATA'!$D:$D=$C550,'SUMMARY DATA'!$B:$B=""RWS"")),"""")
  )
)"),"")</f>
      </c>
      <c r="G550" s="17" t="str">
        <f>IFERROR(__xludf.DUMMYFUNCTION("IFERROR(
  TEXTJOIN(CHAR(10),TRUE,FILTER('SUMMARY DATA'!G:G,'SUMMARY DATA'!$A:$A=$A550,'SUMMARY DATA'!$C:$C=$B550,'SUMMARY DATA'!$B:$B=""RWS"")),
  IF(
    OR(
      ISNUMBER(SEARCH(""CDM CASH DEPOSIT"",$C550)),
      ISNUMBER(SEARCH(""CASH DEPOSIT"",$C55"&amp;"0)),
      COUNTIFS('SUMMARY DATA'!$D:$D,$C550,'SUMMARY DATA'!$B:$B,""RWS"")&lt;&gt;1
    ),
    """",
    IFERROR(TEXTJOIN(CHAR(10),TRUE,FILTER('SUMMARY DATA'!G:G,'SUMMARY DATA'!$D:$D=$C550,'SUMMARY DATA'!$B:$B=""RWS"")),"""")
  )
)"),"")</f>
      </c>
      <c r="H550" s="18" t="str">
        <f>IFERROR(__xludf.DUMMYFUNCTION("IFERROR(
  TEXTJOIN(CHAR(10),TRUE,FILTER('SUMMARY DATA'!H:H,'SUMMARY DATA'!$A:$A=$A550,'SUMMARY DATA'!$C:$C=$B550,'SUMMARY DATA'!$B:$B=""RWS"",'SUMMARY DATA'!$H:$H=$D550)),
  IF(
    OR(
      ISNUMBER(SEARCH(""CDM CASH DEPOSIT"",$C550)),
      ISNUMBER(S"&amp;"EARCH(""CASH DEPOSIT"",$C550))
    ),
    """",
    IFERROR(TEXTJOIN(CHAR(10),TRUE,FILTER('SUMMARY DATA'!H:H,'SUMMARY DATA'!$D:$D=$C550,'SUMMARY DATA'!$B:$B=""RWS"",'SUMMARY DATA'!$H:$H=$D550)),"""")
  )
)"),"")</f>
      </c>
      <c r="I550" s="18" t="str">
        <f>IFERROR(__xludf.DUMMYFUNCTION("IF(H550="""","""",
SUM(ARRAYFORMULA(VALUE(SPLIT(H550,CHAR(10)))))
)"),"")</f>
      </c>
      <c r="J550" s="17" t="str">
        <f>IFERROR(__xludf.DUMMYFUNCTION("IFERROR(
  TEXTJOIN(CHAR(10),TRUE,FILTER('SUMMARY DATA'!I:I,'SUMMARY DATA'!$A:$A=$A550,'SUMMARY DATA'!$C:$C=$B550,'SUMMARY DATA'!$B:$B=""RWS"")),
  IF(
    OR(
      ISNUMBER(SEARCH(""CDM CASH DEPOSIT"",$C550)),
      ISNUMBER(SEARCH(""CASH DEPOSIT"",$C55"&amp;"0)),
      COUNTIFS('SUMMARY DATA'!$D:$D,$C550,'SUMMARY DATA'!$B:$B,""RWS"")&lt;&gt;1
    ),
    """",
    IFERROR(TEXTJOIN(CHAR(10),TRUE,FILTER('SUMMARY DATA'!I:I,'SUMMARY DATA'!$D:$D=$C550,'SUMMARY DATA'!$B:$B=""RWS"")),"""")
  )
)"),"")</f>
      </c>
      <c r="K550" s="2"/>
      <c r="L550" s="2"/>
      <c r="M550" s="2"/>
      <c r="N550" s="2"/>
      <c r="O550" s="2"/>
      <c r="P550" s="2"/>
      <c r="Q550" s="2"/>
      <c r="R550" s="2"/>
      <c r="S550" s="2"/>
      <c r="T550" s="2"/>
      <c r="U550" s="2"/>
      <c r="V550" s="2"/>
      <c r="W550" s="2"/>
      <c r="X550" s="2"/>
      <c r="Y550" s="2"/>
      <c r="Z550" s="2"/>
      <c r="AA550" s="2"/>
      <c r="AB550" s="2"/>
    </row>
    <row r="551" spans="1:28" customHeight="true">
      <c r="A551" s="2" t="s">
        <v>916</v>
      </c>
      <c r="B551" s="15">
        <v>46049</v>
      </c>
      <c r="C551" s="2" t="s">
        <v>917</v>
      </c>
      <c r="D551" s="3">
        <v>1</v>
      </c>
      <c r="E551" s="16" t="str">
        <f>IFERROR(__xludf.DUMMYFUNCTION("IFERROR(
  TEXTJOIN(CHAR(10),TRUE,FILTER('SUMMARY DATA'!E:E,'SUMMARY DATA'!$A:$A=$A551,'SUMMARY DATA'!$C:$C=$B551,'SUMMARY DATA'!$B:$B=""RWS"")),
  IF(
    OR(
      ISNUMBER(SEARCH(""CDM CASH DEPOSIT"",$C551)),
      ISNUMBER(SEARCH(""CASH DEPOSIT"",$C55"&amp;"1)),
      COUNTIFS('SUMMARY DATA'!$D:$D,$C551,'SUMMARY DATA'!$B:$B,""RWS"")&lt;&gt;1
    ),
    """",
    IFERROR(TEXTJOIN(CHAR(10),TRUE,FILTER('SUMMARY DATA'!E:E,'SUMMARY DATA'!$D:$D=$C551,'SUMMARY DATA'!$B:$B=""RWS"")),"""")
  )
)"),"")</f>
      </c>
      <c r="F551" s="17" t="str">
        <f>IFERROR(__xludf.DUMMYFUNCTION("IFERROR(
  TEXTJOIN(CHAR(10),TRUE,FILTER('SUMMARY DATA'!F:F,'SUMMARY DATA'!$A:$A=$A551,'SUMMARY DATA'!$C:$C=$B551,'SUMMARY DATA'!$B:$B=""RWS"")),
  IF(
    OR(
      ISNUMBER(SEARCH(""CDM CASH DEPOSIT"",$C551)),
      ISNUMBER(SEARCH(""CASH DEPOSIT"",$C55"&amp;"1)),
      COUNTIFS('SUMMARY DATA'!$D:$D,$C551,'SUMMARY DATA'!$B:$B,""RWS"")&lt;&gt;1
    ),
    """",
    IFERROR(TEXTJOIN(CHAR(10),TRUE,FILTER('SUMMARY DATA'!F:F,'SUMMARY DATA'!$D:$D=$C551,'SUMMARY DATA'!$B:$B=""RWS"")),"""")
  )
)"),"")</f>
      </c>
      <c r="G551" s="17" t="str">
        <f>IFERROR(__xludf.DUMMYFUNCTION("IFERROR(
  TEXTJOIN(CHAR(10),TRUE,FILTER('SUMMARY DATA'!G:G,'SUMMARY DATA'!$A:$A=$A551,'SUMMARY DATA'!$C:$C=$B551,'SUMMARY DATA'!$B:$B=""RWS"")),
  IF(
    OR(
      ISNUMBER(SEARCH(""CDM CASH DEPOSIT"",$C551)),
      ISNUMBER(SEARCH(""CASH DEPOSIT"",$C55"&amp;"1)),
      COUNTIFS('SUMMARY DATA'!$D:$D,$C551,'SUMMARY DATA'!$B:$B,""RWS"")&lt;&gt;1
    ),
    """",
    IFERROR(TEXTJOIN(CHAR(10),TRUE,FILTER('SUMMARY DATA'!G:G,'SUMMARY DATA'!$D:$D=$C551,'SUMMARY DATA'!$B:$B=""RWS"")),"""")
  )
)"),"")</f>
      </c>
      <c r="H551" s="18" t="str">
        <f>IFERROR(__xludf.DUMMYFUNCTION("IFERROR(
  TEXTJOIN(CHAR(10),TRUE,FILTER('SUMMARY DATA'!H:H,'SUMMARY DATA'!$A:$A=$A551,'SUMMARY DATA'!$C:$C=$B551,'SUMMARY DATA'!$B:$B=""RWS"",'SUMMARY DATA'!$H:$H=$D551)),
  IF(
    OR(
      ISNUMBER(SEARCH(""CDM CASH DEPOSIT"",$C551)),
      ISNUMBER(S"&amp;"EARCH(""CASH DEPOSIT"",$C551))
    ),
    """",
    IFERROR(TEXTJOIN(CHAR(10),TRUE,FILTER('SUMMARY DATA'!H:H,'SUMMARY DATA'!$D:$D=$C551,'SUMMARY DATA'!$B:$B=""RWS"",'SUMMARY DATA'!$H:$H=$D551)),"""")
  )
)"),"")</f>
      </c>
      <c r="I551" s="18" t="str">
        <f>IFERROR(__xludf.DUMMYFUNCTION("IF(H551="""","""",
SUM(ARRAYFORMULA(VALUE(SPLIT(H551,CHAR(10)))))
)"),"")</f>
      </c>
      <c r="J551" s="17" t="str">
        <f>IFERROR(__xludf.DUMMYFUNCTION("IFERROR(
  TEXTJOIN(CHAR(10),TRUE,FILTER('SUMMARY DATA'!I:I,'SUMMARY DATA'!$A:$A=$A551,'SUMMARY DATA'!$C:$C=$B551,'SUMMARY DATA'!$B:$B=""RWS"")),
  IF(
    OR(
      ISNUMBER(SEARCH(""CDM CASH DEPOSIT"",$C551)),
      ISNUMBER(SEARCH(""CASH DEPOSIT"",$C55"&amp;"1)),
      COUNTIFS('SUMMARY DATA'!$D:$D,$C551,'SUMMARY DATA'!$B:$B,""RWS"")&lt;&gt;1
    ),
    """",
    IFERROR(TEXTJOIN(CHAR(10),TRUE,FILTER('SUMMARY DATA'!I:I,'SUMMARY DATA'!$D:$D=$C551,'SUMMARY DATA'!$B:$B=""RWS"")),"""")
  )
)"),"")</f>
      </c>
      <c r="K551" s="2"/>
      <c r="L551" s="2"/>
      <c r="M551" s="2"/>
      <c r="N551" s="2"/>
      <c r="O551" s="2"/>
      <c r="P551" s="2"/>
      <c r="Q551" s="2"/>
      <c r="R551" s="2"/>
      <c r="S551" s="2"/>
      <c r="T551" s="2"/>
      <c r="U551" s="2"/>
      <c r="V551" s="2"/>
      <c r="W551" s="2"/>
      <c r="X551" s="2"/>
      <c r="Y551" s="2"/>
      <c r="Z551" s="2"/>
      <c r="AA551" s="2"/>
      <c r="AB551" s="2"/>
    </row>
    <row r="552" spans="1:28" customHeight="true">
      <c r="A552" s="2" t="s">
        <v>689</v>
      </c>
      <c r="B552" s="15">
        <v>46049</v>
      </c>
      <c r="C552" s="2" t="s">
        <v>690</v>
      </c>
      <c r="D552" s="3">
        <v>168.14</v>
      </c>
      <c r="E552" s="16" t="s">
        <v>2549</v>
      </c>
      <c r="F552" s="17" t="s">
        <v>2589</v>
      </c>
      <c r="G552" s="17" t="s">
        <v>2393</v>
      </c>
      <c r="H552" s="18">
        <v>168.14</v>
      </c>
      <c r="I552" s="18">
        <v>168.14</v>
      </c>
      <c r="J552" s="17" t="s">
        <v>2394</v>
      </c>
      <c r="K552" s="2" t="s">
        <v>2395</v>
      </c>
      <c r="L552" s="2"/>
      <c r="M552" s="2"/>
      <c r="N552" s="2"/>
      <c r="O552" s="2"/>
      <c r="P552" s="2"/>
      <c r="Q552" s="2"/>
      <c r="R552" s="2"/>
      <c r="S552" s="2"/>
      <c r="T552" s="2"/>
      <c r="U552" s="2"/>
      <c r="V552" s="2"/>
      <c r="W552" s="2"/>
      <c r="X552" s="2"/>
      <c r="Y552" s="2"/>
      <c r="Z552" s="2"/>
      <c r="AA552" s="2"/>
      <c r="AB552" s="2"/>
    </row>
    <row r="553" spans="1:28" customHeight="true">
      <c r="A553" s="2" t="s">
        <v>918</v>
      </c>
      <c r="B553" s="15">
        <v>46049</v>
      </c>
      <c r="C553" s="2" t="s">
        <v>97</v>
      </c>
      <c r="D553" s="3">
        <v>100</v>
      </c>
      <c r="E553" s="16" t="str">
        <f>IFERROR(__xludf.DUMMYFUNCTION("IFERROR(
  TEXTJOIN(CHAR(10),TRUE,FILTER('SUMMARY DATA'!E:E,'SUMMARY DATA'!$A:$A=$A553,'SUMMARY DATA'!$C:$C=$B553,'SUMMARY DATA'!$B:$B=""RWS"")),
  IF(
    OR(
      ISNUMBER(SEARCH(""CDM CASH DEPOSIT"",$C553)),
      ISNUMBER(SEARCH(""CASH DEPOSIT"",$C55"&amp;"3)),
      COUNTIFS('SUMMARY DATA'!$D:$D,$C553,'SUMMARY DATA'!$B:$B,""RWS"")&lt;&gt;1
    ),
    """",
    IFERROR(TEXTJOIN(CHAR(10),TRUE,FILTER('SUMMARY DATA'!E:E,'SUMMARY DATA'!$D:$D=$C553,'SUMMARY DATA'!$B:$B=""RWS"")),"""")
  )
)"),"")</f>
      </c>
      <c r="F553" s="17" t="str">
        <f>IFERROR(__xludf.DUMMYFUNCTION("IFERROR(
  TEXTJOIN(CHAR(10),TRUE,FILTER('SUMMARY DATA'!F:F,'SUMMARY DATA'!$A:$A=$A553,'SUMMARY DATA'!$C:$C=$B553,'SUMMARY DATA'!$B:$B=""RWS"")),
  IF(
    OR(
      ISNUMBER(SEARCH(""CDM CASH DEPOSIT"",$C553)),
      ISNUMBER(SEARCH(""CASH DEPOSIT"",$C55"&amp;"3)),
      COUNTIFS('SUMMARY DATA'!$D:$D,$C553,'SUMMARY DATA'!$B:$B,""RWS"")&lt;&gt;1
    ),
    """",
    IFERROR(TEXTJOIN(CHAR(10),TRUE,FILTER('SUMMARY DATA'!F:F,'SUMMARY DATA'!$D:$D=$C553,'SUMMARY DATA'!$B:$B=""RWS"")),"""")
  )
)"),"")</f>
      </c>
      <c r="G553" s="17" t="str">
        <f>IFERROR(__xludf.DUMMYFUNCTION("IFERROR(
  TEXTJOIN(CHAR(10),TRUE,FILTER('SUMMARY DATA'!G:G,'SUMMARY DATA'!$A:$A=$A553,'SUMMARY DATA'!$C:$C=$B553,'SUMMARY DATA'!$B:$B=""RWS"")),
  IF(
    OR(
      ISNUMBER(SEARCH(""CDM CASH DEPOSIT"",$C553)),
      ISNUMBER(SEARCH(""CASH DEPOSIT"",$C55"&amp;"3)),
      COUNTIFS('SUMMARY DATA'!$D:$D,$C553,'SUMMARY DATA'!$B:$B,""RWS"")&lt;&gt;1
    ),
    """",
    IFERROR(TEXTJOIN(CHAR(10),TRUE,FILTER('SUMMARY DATA'!G:G,'SUMMARY DATA'!$D:$D=$C553,'SUMMARY DATA'!$B:$B=""RWS"")),"""")
  )
)"),"")</f>
      </c>
      <c r="H553" s="18" t="str">
        <f>IFERROR(__xludf.DUMMYFUNCTION("IFERROR(
  TEXTJOIN(CHAR(10),TRUE,FILTER('SUMMARY DATA'!H:H,'SUMMARY DATA'!$A:$A=$A553,'SUMMARY DATA'!$C:$C=$B553,'SUMMARY DATA'!$B:$B=""RWS"",'SUMMARY DATA'!$H:$H=$D553)),
  IF(
    OR(
      ISNUMBER(SEARCH(""CDM CASH DEPOSIT"",$C553)),
      ISNUMBER(S"&amp;"EARCH(""CASH DEPOSIT"",$C553))
    ),
    """",
    IFERROR(TEXTJOIN(CHAR(10),TRUE,FILTER('SUMMARY DATA'!H:H,'SUMMARY DATA'!$D:$D=$C553,'SUMMARY DATA'!$B:$B=""RWS"",'SUMMARY DATA'!$H:$H=$D553)),"""")
  )
)"),"")</f>
      </c>
      <c r="I553" s="18" t="str">
        <f>IFERROR(__xludf.DUMMYFUNCTION("IF(H553="""","""",
SUM(ARRAYFORMULA(VALUE(SPLIT(H553,CHAR(10)))))
)"),"")</f>
      </c>
      <c r="J553" s="17" t="str">
        <f>IFERROR(__xludf.DUMMYFUNCTION("IFERROR(
  TEXTJOIN(CHAR(10),TRUE,FILTER('SUMMARY DATA'!I:I,'SUMMARY DATA'!$A:$A=$A553,'SUMMARY DATA'!$C:$C=$B553,'SUMMARY DATA'!$B:$B=""RWS"")),
  IF(
    OR(
      ISNUMBER(SEARCH(""CDM CASH DEPOSIT"",$C553)),
      ISNUMBER(SEARCH(""CASH DEPOSIT"",$C55"&amp;"3)),
      COUNTIFS('SUMMARY DATA'!$D:$D,$C553,'SUMMARY DATA'!$B:$B,""RWS"")&lt;&gt;1
    ),
    """",
    IFERROR(TEXTJOIN(CHAR(10),TRUE,FILTER('SUMMARY DATA'!I:I,'SUMMARY DATA'!$D:$D=$C553,'SUMMARY DATA'!$B:$B=""RWS"")),"""")
  )
)"),"")</f>
      </c>
      <c r="K553" s="2"/>
      <c r="L553" s="2"/>
      <c r="M553" s="2"/>
      <c r="N553" s="2"/>
      <c r="O553" s="2"/>
      <c r="P553" s="2"/>
      <c r="Q553" s="2"/>
      <c r="R553" s="2"/>
      <c r="S553" s="2"/>
      <c r="T553" s="2"/>
      <c r="U553" s="2"/>
      <c r="V553" s="2"/>
      <c r="W553" s="2"/>
      <c r="X553" s="2"/>
      <c r="Y553" s="2"/>
      <c r="Z553" s="2"/>
      <c r="AA553" s="2"/>
      <c r="AB553" s="2"/>
    </row>
    <row r="554" spans="1:28" customHeight="true">
      <c r="A554" s="2"/>
      <c r="B554" s="15">
        <v>46049</v>
      </c>
      <c r="C554" s="2" t="s">
        <v>919</v>
      </c>
      <c r="D554" s="3">
        <v>45</v>
      </c>
      <c r="E554" s="16" t="str">
        <f>IFERROR(__xludf.DUMMYFUNCTION("IFERROR(
  TEXTJOIN(CHAR(10),TRUE,FILTER('SUMMARY DATA'!E:E,'SUMMARY DATA'!$A:$A=$A554,'SUMMARY DATA'!$C:$C=$B554,'SUMMARY DATA'!$B:$B=""RWS"")),
  IF(
    OR(
      ISNUMBER(SEARCH(""CDM CASH DEPOSIT"",$C554)),
      ISNUMBER(SEARCH(""CASH DEPOSIT"",$C55"&amp;"4)),
      COUNTIFS('SUMMARY DATA'!$D:$D,$C554,'SUMMARY DATA'!$B:$B,""RWS"")&lt;&gt;1
    ),
    """",
    IFERROR(TEXTJOIN(CHAR(10),TRUE,FILTER('SUMMARY DATA'!E:E,'SUMMARY DATA'!$D:$D=$C554,'SUMMARY DATA'!$B:$B=""RWS"")),"""")
  )
)"),"")</f>
      </c>
      <c r="F554" s="17" t="str">
        <f>IFERROR(__xludf.DUMMYFUNCTION("IFERROR(
  TEXTJOIN(CHAR(10),TRUE,FILTER('SUMMARY DATA'!F:F,'SUMMARY DATA'!$A:$A=$A554,'SUMMARY DATA'!$C:$C=$B554,'SUMMARY DATA'!$B:$B=""RWS"")),
  IF(
    OR(
      ISNUMBER(SEARCH(""CDM CASH DEPOSIT"",$C554)),
      ISNUMBER(SEARCH(""CASH DEPOSIT"",$C55"&amp;"4)),
      COUNTIFS('SUMMARY DATA'!$D:$D,$C554,'SUMMARY DATA'!$B:$B,""RWS"")&lt;&gt;1
    ),
    """",
    IFERROR(TEXTJOIN(CHAR(10),TRUE,FILTER('SUMMARY DATA'!F:F,'SUMMARY DATA'!$D:$D=$C554,'SUMMARY DATA'!$B:$B=""RWS"")),"""")
  )
)"),"")</f>
      </c>
      <c r="G554" s="17" t="str">
        <f>IFERROR(__xludf.DUMMYFUNCTION("IFERROR(
  TEXTJOIN(CHAR(10),TRUE,FILTER('SUMMARY DATA'!G:G,'SUMMARY DATA'!$A:$A=$A554,'SUMMARY DATA'!$C:$C=$B554,'SUMMARY DATA'!$B:$B=""RWS"")),
  IF(
    OR(
      ISNUMBER(SEARCH(""CDM CASH DEPOSIT"",$C554)),
      ISNUMBER(SEARCH(""CASH DEPOSIT"",$C55"&amp;"4)),
      COUNTIFS('SUMMARY DATA'!$D:$D,$C554,'SUMMARY DATA'!$B:$B,""RWS"")&lt;&gt;1
    ),
    """",
    IFERROR(TEXTJOIN(CHAR(10),TRUE,FILTER('SUMMARY DATA'!G:G,'SUMMARY DATA'!$D:$D=$C554,'SUMMARY DATA'!$B:$B=""RWS"")),"""")
  )
)"),"")</f>
      </c>
      <c r="H554" s="18" t="str">
        <f>IFERROR(__xludf.DUMMYFUNCTION("IFERROR(
  TEXTJOIN(CHAR(10),TRUE,FILTER('SUMMARY DATA'!H:H,'SUMMARY DATA'!$A:$A=$A554,'SUMMARY DATA'!$C:$C=$B554,'SUMMARY DATA'!$B:$B=""RWS"",'SUMMARY DATA'!$H:$H=$D554)),
  IF(
    OR(
      ISNUMBER(SEARCH(""CDM CASH DEPOSIT"",$C554)),
      ISNUMBER(S"&amp;"EARCH(""CASH DEPOSIT"",$C554))
    ),
    """",
    IFERROR(TEXTJOIN(CHAR(10),TRUE,FILTER('SUMMARY DATA'!H:H,'SUMMARY DATA'!$D:$D=$C554,'SUMMARY DATA'!$B:$B=""RWS"",'SUMMARY DATA'!$H:$H=$D554)),"""")
  )
)"),"")</f>
      </c>
      <c r="I554" s="18" t="str">
        <f>IFERROR(__xludf.DUMMYFUNCTION("IF(H554="""","""",
SUM(ARRAYFORMULA(VALUE(SPLIT(H554,CHAR(10)))))
)"),"")</f>
      </c>
      <c r="J554" s="17" t="str">
        <f>IFERROR(__xludf.DUMMYFUNCTION("IFERROR(
  TEXTJOIN(CHAR(10),TRUE,FILTER('SUMMARY DATA'!I:I,'SUMMARY DATA'!$A:$A=$A554,'SUMMARY DATA'!$C:$C=$B554,'SUMMARY DATA'!$B:$B=""RWS"")),
  IF(
    OR(
      ISNUMBER(SEARCH(""CDM CASH DEPOSIT"",$C554)),
      ISNUMBER(SEARCH(""CASH DEPOSIT"",$C55"&amp;"4)),
      COUNTIFS('SUMMARY DATA'!$D:$D,$C554,'SUMMARY DATA'!$B:$B,""RWS"")&lt;&gt;1
    ),
    """",
    IFERROR(TEXTJOIN(CHAR(10),TRUE,FILTER('SUMMARY DATA'!I:I,'SUMMARY DATA'!$D:$D=$C554,'SUMMARY DATA'!$B:$B=""RWS"")),"""")
  )
)"),"")</f>
      </c>
      <c r="K554" s="2"/>
      <c r="L554" s="2"/>
      <c r="M554" s="2"/>
      <c r="N554" s="2"/>
      <c r="O554" s="2"/>
      <c r="P554" s="2"/>
      <c r="Q554" s="2"/>
      <c r="R554" s="2"/>
      <c r="S554" s="2"/>
      <c r="T554" s="2"/>
      <c r="U554" s="2"/>
      <c r="V554" s="2"/>
      <c r="W554" s="2"/>
      <c r="X554" s="2"/>
      <c r="Y554" s="2"/>
      <c r="Z554" s="2"/>
      <c r="AA554" s="2"/>
      <c r="AB554" s="2"/>
    </row>
    <row r="555" spans="1:28" customHeight="true">
      <c r="A555" s="2" t="s">
        <v>920</v>
      </c>
      <c r="B555" s="15">
        <v>46049</v>
      </c>
      <c r="C555" s="2" t="s">
        <v>921</v>
      </c>
      <c r="D555" s="3">
        <v>99</v>
      </c>
      <c r="E555" s="16" t="s">
        <v>2576</v>
      </c>
      <c r="F555" s="17" t="s">
        <v>2590</v>
      </c>
      <c r="G555" s="17" t="s">
        <v>2393</v>
      </c>
      <c r="H555" s="18">
        <v>99</v>
      </c>
      <c r="I555" s="18">
        <v>99</v>
      </c>
      <c r="J555" s="17" t="s">
        <v>2571</v>
      </c>
      <c r="K555" s="2" t="s">
        <v>2395</v>
      </c>
      <c r="L555" s="2"/>
      <c r="M555" s="2"/>
      <c r="N555" s="2"/>
      <c r="O555" s="2"/>
      <c r="P555" s="2"/>
      <c r="Q555" s="2"/>
      <c r="R555" s="2"/>
      <c r="S555" s="2"/>
      <c r="T555" s="2"/>
      <c r="U555" s="2"/>
      <c r="V555" s="2"/>
      <c r="W555" s="2"/>
      <c r="X555" s="2"/>
      <c r="Y555" s="2"/>
      <c r="Z555" s="2"/>
      <c r="AA555" s="2"/>
      <c r="AB555" s="2"/>
    </row>
    <row r="556" spans="1:28" customHeight="true">
      <c r="A556" s="2" t="s">
        <v>922</v>
      </c>
      <c r="B556" s="15">
        <v>46049</v>
      </c>
      <c r="C556" s="2" t="s">
        <v>923</v>
      </c>
      <c r="D556" s="3">
        <v>21.76</v>
      </c>
      <c r="E556" s="16" t="str">
        <f>IFERROR(__xludf.DUMMYFUNCTION("IFERROR(
  TEXTJOIN(CHAR(10),TRUE,FILTER('SUMMARY DATA'!E:E,'SUMMARY DATA'!$A:$A=$A556,'SUMMARY DATA'!$C:$C=$B556,'SUMMARY DATA'!$B:$B=""RWS"")),
  IF(
    OR(
      ISNUMBER(SEARCH(""CDM CASH DEPOSIT"",$C556)),
      ISNUMBER(SEARCH(""CASH DEPOSIT"",$C55"&amp;"6)),
      COUNTIFS('SUMMARY DATA'!$D:$D,$C556,'SUMMARY DATA'!$B:$B,""RWS"")&lt;&gt;1
    ),
    """",
    IFERROR(TEXTJOIN(CHAR(10),TRUE,FILTER('SUMMARY DATA'!E:E,'SUMMARY DATA'!$D:$D=$C556,'SUMMARY DATA'!$B:$B=""RWS"")),"""")
  )
)"),"")</f>
      </c>
      <c r="F556" s="17" t="str">
        <f>IFERROR(__xludf.DUMMYFUNCTION("IFERROR(
  TEXTJOIN(CHAR(10),TRUE,FILTER('SUMMARY DATA'!F:F,'SUMMARY DATA'!$A:$A=$A556,'SUMMARY DATA'!$C:$C=$B556,'SUMMARY DATA'!$B:$B=""RWS"")),
  IF(
    OR(
      ISNUMBER(SEARCH(""CDM CASH DEPOSIT"",$C556)),
      ISNUMBER(SEARCH(""CASH DEPOSIT"",$C55"&amp;"6)),
      COUNTIFS('SUMMARY DATA'!$D:$D,$C556,'SUMMARY DATA'!$B:$B,""RWS"")&lt;&gt;1
    ),
    """",
    IFERROR(TEXTJOIN(CHAR(10),TRUE,FILTER('SUMMARY DATA'!F:F,'SUMMARY DATA'!$D:$D=$C556,'SUMMARY DATA'!$B:$B=""RWS"")),"""")
  )
)"),"")</f>
      </c>
      <c r="G556" s="17" t="str">
        <f>IFERROR(__xludf.DUMMYFUNCTION("IFERROR(
  TEXTJOIN(CHAR(10),TRUE,FILTER('SUMMARY DATA'!G:G,'SUMMARY DATA'!$A:$A=$A556,'SUMMARY DATA'!$C:$C=$B556,'SUMMARY DATA'!$B:$B=""RWS"")),
  IF(
    OR(
      ISNUMBER(SEARCH(""CDM CASH DEPOSIT"",$C556)),
      ISNUMBER(SEARCH(""CASH DEPOSIT"",$C55"&amp;"6)),
      COUNTIFS('SUMMARY DATA'!$D:$D,$C556,'SUMMARY DATA'!$B:$B,""RWS"")&lt;&gt;1
    ),
    """",
    IFERROR(TEXTJOIN(CHAR(10),TRUE,FILTER('SUMMARY DATA'!G:G,'SUMMARY DATA'!$D:$D=$C556,'SUMMARY DATA'!$B:$B=""RWS"")),"""")
  )
)"),"")</f>
      </c>
      <c r="H556" s="18" t="str">
        <f>IFERROR(__xludf.DUMMYFUNCTION("IFERROR(
  TEXTJOIN(CHAR(10),TRUE,FILTER('SUMMARY DATA'!H:H,'SUMMARY DATA'!$A:$A=$A556,'SUMMARY DATA'!$C:$C=$B556,'SUMMARY DATA'!$B:$B=""RWS"",'SUMMARY DATA'!$H:$H=$D556)),
  IF(
    OR(
      ISNUMBER(SEARCH(""CDM CASH DEPOSIT"",$C556)),
      ISNUMBER(S"&amp;"EARCH(""CASH DEPOSIT"",$C556))
    ),
    """",
    IFERROR(TEXTJOIN(CHAR(10),TRUE,FILTER('SUMMARY DATA'!H:H,'SUMMARY DATA'!$D:$D=$C556,'SUMMARY DATA'!$B:$B=""RWS"",'SUMMARY DATA'!$H:$H=$D556)),"""")
  )
)"),"")</f>
      </c>
      <c r="I556" s="18" t="str">
        <f>IFERROR(__xludf.DUMMYFUNCTION("IF(H556="""","""",
SUM(ARRAYFORMULA(VALUE(SPLIT(H556,CHAR(10)))))
)"),"")</f>
      </c>
      <c r="J556" s="17" t="str">
        <f>IFERROR(__xludf.DUMMYFUNCTION("IFERROR(
  TEXTJOIN(CHAR(10),TRUE,FILTER('SUMMARY DATA'!I:I,'SUMMARY DATA'!$A:$A=$A556,'SUMMARY DATA'!$C:$C=$B556,'SUMMARY DATA'!$B:$B=""RWS"")),
  IF(
    OR(
      ISNUMBER(SEARCH(""CDM CASH DEPOSIT"",$C556)),
      ISNUMBER(SEARCH(""CASH DEPOSIT"",$C55"&amp;"6)),
      COUNTIFS('SUMMARY DATA'!$D:$D,$C556,'SUMMARY DATA'!$B:$B,""RWS"")&lt;&gt;1
    ),
    """",
    IFERROR(TEXTJOIN(CHAR(10),TRUE,FILTER('SUMMARY DATA'!I:I,'SUMMARY DATA'!$D:$D=$C556,'SUMMARY DATA'!$B:$B=""RWS"")),"""")
  )
)"),"")</f>
      </c>
      <c r="K556" s="2"/>
      <c r="L556" s="2"/>
      <c r="M556" s="2"/>
      <c r="N556" s="2"/>
      <c r="O556" s="2"/>
      <c r="P556" s="2"/>
      <c r="Q556" s="2"/>
      <c r="R556" s="2"/>
      <c r="S556" s="2"/>
      <c r="T556" s="2"/>
      <c r="U556" s="2"/>
      <c r="V556" s="2"/>
      <c r="W556" s="2"/>
      <c r="X556" s="2"/>
      <c r="Y556" s="2"/>
      <c r="Z556" s="2"/>
      <c r="AA556" s="2"/>
      <c r="AB556" s="2"/>
    </row>
    <row r="557" spans="1:28" customHeight="true">
      <c r="A557" s="2" t="s">
        <v>924</v>
      </c>
      <c r="B557" s="15">
        <v>46048</v>
      </c>
      <c r="C557" s="2" t="s">
        <v>925</v>
      </c>
      <c r="D557" s="3">
        <v>77.88</v>
      </c>
      <c r="E557" s="16" t="s">
        <v>2587</v>
      </c>
      <c r="F557" s="17" t="s">
        <v>2591</v>
      </c>
      <c r="G557" s="17" t="s">
        <v>2393</v>
      </c>
      <c r="H557" s="18">
        <v>77.88</v>
      </c>
      <c r="I557" s="18">
        <v>77.88</v>
      </c>
      <c r="J557" s="17" t="s">
        <v>2394</v>
      </c>
      <c r="K557" s="2" t="s">
        <v>2395</v>
      </c>
      <c r="L557" s="2"/>
      <c r="M557" s="2"/>
      <c r="N557" s="2"/>
      <c r="O557" s="2"/>
      <c r="P557" s="2"/>
      <c r="Q557" s="2"/>
      <c r="R557" s="2"/>
      <c r="S557" s="2"/>
      <c r="T557" s="2"/>
      <c r="U557" s="2"/>
      <c r="V557" s="2"/>
      <c r="W557" s="2"/>
      <c r="X557" s="2"/>
      <c r="Y557" s="2"/>
      <c r="Z557" s="2"/>
      <c r="AA557" s="2"/>
      <c r="AB557" s="2"/>
    </row>
    <row r="558" spans="1:28" customHeight="true">
      <c r="A558" s="2" t="s">
        <v>926</v>
      </c>
      <c r="B558" s="15">
        <v>46048</v>
      </c>
      <c r="C558" s="2" t="s">
        <v>181</v>
      </c>
      <c r="D558" s="3">
        <v>1105</v>
      </c>
      <c r="E558" s="16" t="str">
        <f>IFERROR(__xludf.DUMMYFUNCTION("IFERROR(
  TEXTJOIN(CHAR(10),TRUE,FILTER('SUMMARY DATA'!E:E,'SUMMARY DATA'!$A:$A=$A558,'SUMMARY DATA'!$C:$C=$B558,'SUMMARY DATA'!$B:$B=""RWS"")),
  IF(
    OR(
      ISNUMBER(SEARCH(""CDM CASH DEPOSIT"",$C558)),
      ISNUMBER(SEARCH(""CASH DEPOSIT"",$C55"&amp;"8)),
      COUNTIFS('SUMMARY DATA'!$D:$D,$C558,'SUMMARY DATA'!$B:$B,""RWS"")&lt;&gt;1
    ),
    """",
    IFERROR(TEXTJOIN(CHAR(10),TRUE,FILTER('SUMMARY DATA'!E:E,'SUMMARY DATA'!$D:$D=$C558,'SUMMARY DATA'!$B:$B=""RWS"")),"""")
  )
)"),"03/11/2025")</f>
        <v>03/11/2025</v>
      </c>
      <c r="F558" s="17" t="str">
        <f>IFERROR(__xludf.DUMMYFUNCTION("IFERROR(
  TEXTJOIN(CHAR(10),TRUE,FILTER('SUMMARY DATA'!F:F,'SUMMARY DATA'!$A:$A=$A558,'SUMMARY DATA'!$C:$C=$B558,'SUMMARY DATA'!$B:$B=""RWS"")),
  IF(
    OR(
      ISNUMBER(SEARCH(""CDM CASH DEPOSIT"",$C558)),
      ISNUMBER(SEARCH(""CASH DEPOSIT"",$C55"&amp;"8)),
      COUNTIFS('SUMMARY DATA'!$D:$D,$C558,'SUMMARY DATA'!$B:$B,""RWS"")&lt;&gt;1
    ),
    """",
    IFERROR(TEXTJOIN(CHAR(10),TRUE,FILTER('SUMMARY DATA'!F:F,'SUMMARY DATA'!$D:$D=$C558,'SUMMARY DATA'!$B:$B=""RWS"")),"""")
  )
)"),"PVPBB-2511-045")</f>
        <v>PVPBB-2511-045</v>
      </c>
      <c r="G558" s="17" t="str">
        <f>IFERROR(__xludf.DUMMYFUNCTION("IFERROR(
  TEXTJOIN(CHAR(10),TRUE,FILTER('SUMMARY DATA'!G:G,'SUMMARY DATA'!$A:$A=$A558,'SUMMARY DATA'!$C:$C=$B558,'SUMMARY DATA'!$B:$B=""RWS"")),
  IF(
    OR(
      ISNUMBER(SEARCH(""CDM CASH DEPOSIT"",$C558)),
      ISNUMBER(SEARCH(""CASH DEPOSIT"",$C55"&amp;"8)),
      COUNTIFS('SUMMARY DATA'!$D:$D,$C558,'SUMMARY DATA'!$B:$B,""RWS"")&lt;&gt;1
    ),
    """",
    IFERROR(TEXTJOIN(CHAR(10),TRUE,FILTER('SUMMARY DATA'!G:G,'SUMMARY DATA'!$D:$D=$C558,'SUMMARY DATA'!$B:$B=""RWS"")),"""")
  )
)"),"-")</f>
        <v>-</v>
      </c>
      <c r="H558" s="18" t="str">
        <f>IFERROR(__xludf.DUMMYFUNCTION("IFERROR(
  TEXTJOIN(CHAR(10),TRUE,FILTER('SUMMARY DATA'!H:H,'SUMMARY DATA'!$A:$A=$A558,'SUMMARY DATA'!$C:$C=$B558,'SUMMARY DATA'!$B:$B=""RWS"",'SUMMARY DATA'!$H:$H=$D558)),
  IF(
    OR(
      ISNUMBER(SEARCH(""CDM CASH DEPOSIT"",$C558)),
      ISNUMBER(S"&amp;"EARCH(""CASH DEPOSIT"",$C558))
    ),
    """",
    IFERROR(TEXTJOIN(CHAR(10),TRUE,FILTER('SUMMARY DATA'!H:H,'SUMMARY DATA'!$D:$D=$C558,'SUMMARY DATA'!$B:$B=""RWS"",'SUMMARY DATA'!$H:$H=$D558)),"""")
  )
)"),"")</f>
      </c>
      <c r="I558" s="18" t="str">
        <f>IFERROR(__xludf.DUMMYFUNCTION("IF(H558="""","""",
SUM(ARRAYFORMULA(VALUE(SPLIT(H558,CHAR(10)))))
)"),"")</f>
      </c>
      <c r="J558" s="17" t="str">
        <f>IFERROR(__xludf.DUMMYFUNCTION("IFERROR(
  TEXTJOIN(CHAR(10),TRUE,FILTER('SUMMARY DATA'!I:I,'SUMMARY DATA'!$A:$A=$A558,'SUMMARY DATA'!$C:$C=$B558,'SUMMARY DATA'!$B:$B=""RWS"")),
  IF(
    OR(
      ISNUMBER(SEARCH(""CDM CASH DEPOSIT"",$C558)),
      ISNUMBER(SEARCH(""CASH DEPOSIT"",$C55"&amp;"8)),
      COUNTIFS('SUMMARY DATA'!$D:$D,$C558,'SUMMARY DATA'!$B:$B,""RWS"")&lt;&gt;1
    ),
    """",
    IFERROR(TEXTJOIN(CHAR(10),TRUE,FILTER('SUMMARY DATA'!I:I,'SUMMARY DATA'!$D:$D=$C558,'SUMMARY DATA'!$B:$B=""RWS"")),"""")
  )
)"),"LR")</f>
        <v>LR</v>
      </c>
      <c r="K558" s="2"/>
      <c r="L558" s="2"/>
      <c r="M558" s="2"/>
      <c r="N558" s="2"/>
      <c r="O558" s="2"/>
      <c r="P558" s="2"/>
      <c r="Q558" s="2"/>
      <c r="R558" s="2"/>
      <c r="S558" s="2"/>
      <c r="T558" s="2"/>
      <c r="U558" s="2"/>
      <c r="V558" s="2"/>
      <c r="W558" s="2"/>
      <c r="X558" s="2"/>
      <c r="Y558" s="2"/>
      <c r="Z558" s="2"/>
      <c r="AA558" s="2"/>
      <c r="AB558" s="2"/>
    </row>
    <row r="559" spans="1:28" customHeight="true">
      <c r="A559" s="2"/>
      <c r="B559" s="15">
        <v>46048</v>
      </c>
      <c r="C559" s="2" t="s">
        <v>927</v>
      </c>
      <c r="D559" s="3">
        <v>5.94</v>
      </c>
      <c r="E559" s="16" t="str">
        <f>IFERROR(__xludf.DUMMYFUNCTION("IFERROR(
  TEXTJOIN(CHAR(10),TRUE,FILTER('SUMMARY DATA'!E:E,'SUMMARY DATA'!$A:$A=$A559,'SUMMARY DATA'!$C:$C=$B559,'SUMMARY DATA'!$B:$B=""RWS"")),
  IF(
    OR(
      ISNUMBER(SEARCH(""CDM CASH DEPOSIT"",$C559)),
      ISNUMBER(SEARCH(""CASH DEPOSIT"",$C55"&amp;"9)),
      COUNTIFS('SUMMARY DATA'!$D:$D,$C559,'SUMMARY DATA'!$B:$B,""RWS"")&lt;&gt;1
    ),
    """",
    IFERROR(TEXTJOIN(CHAR(10),TRUE,FILTER('SUMMARY DATA'!E:E,'SUMMARY DATA'!$D:$D=$C559,'SUMMARY DATA'!$B:$B=""RWS"")),"""")
  )
)"),"")</f>
      </c>
      <c r="F559" s="17" t="str">
        <f>IFERROR(__xludf.DUMMYFUNCTION("IFERROR(
  TEXTJOIN(CHAR(10),TRUE,FILTER('SUMMARY DATA'!F:F,'SUMMARY DATA'!$A:$A=$A559,'SUMMARY DATA'!$C:$C=$B559,'SUMMARY DATA'!$B:$B=""RWS"")),
  IF(
    OR(
      ISNUMBER(SEARCH(""CDM CASH DEPOSIT"",$C559)),
      ISNUMBER(SEARCH(""CASH DEPOSIT"",$C55"&amp;"9)),
      COUNTIFS('SUMMARY DATA'!$D:$D,$C559,'SUMMARY DATA'!$B:$B,""RWS"")&lt;&gt;1
    ),
    """",
    IFERROR(TEXTJOIN(CHAR(10),TRUE,FILTER('SUMMARY DATA'!F:F,'SUMMARY DATA'!$D:$D=$C559,'SUMMARY DATA'!$B:$B=""RWS"")),"""")
  )
)"),"")</f>
      </c>
      <c r="G559" s="17" t="str">
        <f>IFERROR(__xludf.DUMMYFUNCTION("IFERROR(
  TEXTJOIN(CHAR(10),TRUE,FILTER('SUMMARY DATA'!G:G,'SUMMARY DATA'!$A:$A=$A559,'SUMMARY DATA'!$C:$C=$B559,'SUMMARY DATA'!$B:$B=""RWS"")),
  IF(
    OR(
      ISNUMBER(SEARCH(""CDM CASH DEPOSIT"",$C559)),
      ISNUMBER(SEARCH(""CASH DEPOSIT"",$C55"&amp;"9)),
      COUNTIFS('SUMMARY DATA'!$D:$D,$C559,'SUMMARY DATA'!$B:$B,""RWS"")&lt;&gt;1
    ),
    """",
    IFERROR(TEXTJOIN(CHAR(10),TRUE,FILTER('SUMMARY DATA'!G:G,'SUMMARY DATA'!$D:$D=$C559,'SUMMARY DATA'!$B:$B=""RWS"")),"""")
  )
)"),"")</f>
      </c>
      <c r="H559" s="18" t="str">
        <f>IFERROR(__xludf.DUMMYFUNCTION("IFERROR(
  TEXTJOIN(CHAR(10),TRUE,FILTER('SUMMARY DATA'!H:H,'SUMMARY DATA'!$A:$A=$A559,'SUMMARY DATA'!$C:$C=$B559,'SUMMARY DATA'!$B:$B=""RWS"",'SUMMARY DATA'!$H:$H=$D559)),
  IF(
    OR(
      ISNUMBER(SEARCH(""CDM CASH DEPOSIT"",$C559)),
      ISNUMBER(S"&amp;"EARCH(""CASH DEPOSIT"",$C559))
    ),
    """",
    IFERROR(TEXTJOIN(CHAR(10),TRUE,FILTER('SUMMARY DATA'!H:H,'SUMMARY DATA'!$D:$D=$C559,'SUMMARY DATA'!$B:$B=""RWS"",'SUMMARY DATA'!$H:$H=$D559)),"""")
  )
)"),"")</f>
      </c>
      <c r="I559" s="18" t="str">
        <f>IFERROR(__xludf.DUMMYFUNCTION("IF(H559="""","""",
SUM(ARRAYFORMULA(VALUE(SPLIT(H559,CHAR(10)))))
)"),"")</f>
      </c>
      <c r="J559" s="17" t="str">
        <f>IFERROR(__xludf.DUMMYFUNCTION("IFERROR(
  TEXTJOIN(CHAR(10),TRUE,FILTER('SUMMARY DATA'!I:I,'SUMMARY DATA'!$A:$A=$A559,'SUMMARY DATA'!$C:$C=$B559,'SUMMARY DATA'!$B:$B=""RWS"")),
  IF(
    OR(
      ISNUMBER(SEARCH(""CDM CASH DEPOSIT"",$C559)),
      ISNUMBER(SEARCH(""CASH DEPOSIT"",$C55"&amp;"9)),
      COUNTIFS('SUMMARY DATA'!$D:$D,$C559,'SUMMARY DATA'!$B:$B,""RWS"")&lt;&gt;1
    ),
    """",
    IFERROR(TEXTJOIN(CHAR(10),TRUE,FILTER('SUMMARY DATA'!I:I,'SUMMARY DATA'!$D:$D=$C559,'SUMMARY DATA'!$B:$B=""RWS"")),"""")
  )
)"),"")</f>
      </c>
      <c r="K559" s="2"/>
      <c r="L559" s="2"/>
      <c r="M559" s="2"/>
      <c r="N559" s="2"/>
      <c r="O559" s="2"/>
      <c r="P559" s="2"/>
      <c r="Q559" s="2"/>
      <c r="R559" s="2"/>
      <c r="S559" s="2"/>
      <c r="T559" s="2"/>
      <c r="U559" s="2"/>
      <c r="V559" s="2"/>
      <c r="W559" s="2"/>
      <c r="X559" s="2"/>
      <c r="Y559" s="2"/>
      <c r="Z559" s="2"/>
      <c r="AA559" s="2"/>
      <c r="AB559" s="2"/>
    </row>
    <row r="560" spans="1:28" customHeight="true">
      <c r="A560" s="2"/>
      <c r="B560" s="15">
        <v>46048</v>
      </c>
      <c r="C560" s="2" t="s">
        <v>928</v>
      </c>
      <c r="D560" s="3">
        <v>237</v>
      </c>
      <c r="E560" s="16" t="str">
        <f>IFERROR(__xludf.DUMMYFUNCTION("IFERROR(
  TEXTJOIN(CHAR(10),TRUE,FILTER('SUMMARY DATA'!E:E,'SUMMARY DATA'!$A:$A=$A560,'SUMMARY DATA'!$C:$C=$B560,'SUMMARY DATA'!$B:$B=""RWS"")),
  IF(
    OR(
      ISNUMBER(SEARCH(""CDM CASH DEPOSIT"",$C560)),
      ISNUMBER(SEARCH(""CASH DEPOSIT"",$C56"&amp;"0)),
      COUNTIFS('SUMMARY DATA'!$D:$D,$C560,'SUMMARY DATA'!$B:$B,""RWS"")&lt;&gt;1
    ),
    """",
    IFERROR(TEXTJOIN(CHAR(10),TRUE,FILTER('SUMMARY DATA'!E:E,'SUMMARY DATA'!$D:$D=$C560,'SUMMARY DATA'!$B:$B=""RWS"")),"""")
  )
)"),"")</f>
      </c>
      <c r="F560" s="17" t="str">
        <f>IFERROR(__xludf.DUMMYFUNCTION("IFERROR(
  TEXTJOIN(CHAR(10),TRUE,FILTER('SUMMARY DATA'!F:F,'SUMMARY DATA'!$A:$A=$A560,'SUMMARY DATA'!$C:$C=$B560,'SUMMARY DATA'!$B:$B=""RWS"")),
  IF(
    OR(
      ISNUMBER(SEARCH(""CDM CASH DEPOSIT"",$C560)),
      ISNUMBER(SEARCH(""CASH DEPOSIT"",$C56"&amp;"0)),
      COUNTIFS('SUMMARY DATA'!$D:$D,$C560,'SUMMARY DATA'!$B:$B,""RWS"")&lt;&gt;1
    ),
    """",
    IFERROR(TEXTJOIN(CHAR(10),TRUE,FILTER('SUMMARY DATA'!F:F,'SUMMARY DATA'!$D:$D=$C560,'SUMMARY DATA'!$B:$B=""RWS"")),"""")
  )
)"),"")</f>
      </c>
      <c r="G560" s="17" t="str">
        <f>IFERROR(__xludf.DUMMYFUNCTION("IFERROR(
  TEXTJOIN(CHAR(10),TRUE,FILTER('SUMMARY DATA'!G:G,'SUMMARY DATA'!$A:$A=$A560,'SUMMARY DATA'!$C:$C=$B560,'SUMMARY DATA'!$B:$B=""RWS"")),
  IF(
    OR(
      ISNUMBER(SEARCH(""CDM CASH DEPOSIT"",$C560)),
      ISNUMBER(SEARCH(""CASH DEPOSIT"",$C56"&amp;"0)),
      COUNTIFS('SUMMARY DATA'!$D:$D,$C560,'SUMMARY DATA'!$B:$B,""RWS"")&lt;&gt;1
    ),
    """",
    IFERROR(TEXTJOIN(CHAR(10),TRUE,FILTER('SUMMARY DATA'!G:G,'SUMMARY DATA'!$D:$D=$C560,'SUMMARY DATA'!$B:$B=""RWS"")),"""")
  )
)"),"")</f>
      </c>
      <c r="H560" s="18" t="str">
        <f>IFERROR(__xludf.DUMMYFUNCTION("IFERROR(
  TEXTJOIN(CHAR(10),TRUE,FILTER('SUMMARY DATA'!H:H,'SUMMARY DATA'!$A:$A=$A560,'SUMMARY DATA'!$C:$C=$B560,'SUMMARY DATA'!$B:$B=""RWS"",'SUMMARY DATA'!$H:$H=$D560)),
  IF(
    OR(
      ISNUMBER(SEARCH(""CDM CASH DEPOSIT"",$C560)),
      ISNUMBER(S"&amp;"EARCH(""CASH DEPOSIT"",$C560))
    ),
    """",
    IFERROR(TEXTJOIN(CHAR(10),TRUE,FILTER('SUMMARY DATA'!H:H,'SUMMARY DATA'!$D:$D=$C560,'SUMMARY DATA'!$B:$B=""RWS"",'SUMMARY DATA'!$H:$H=$D560)),"""")
  )
)"),"")</f>
      </c>
      <c r="I560" s="18" t="str">
        <f>IFERROR(__xludf.DUMMYFUNCTION("IF(H560="""","""",
SUM(ARRAYFORMULA(VALUE(SPLIT(H560,CHAR(10)))))
)"),"")</f>
      </c>
      <c r="J560" s="17" t="str">
        <f>IFERROR(__xludf.DUMMYFUNCTION("IFERROR(
  TEXTJOIN(CHAR(10),TRUE,FILTER('SUMMARY DATA'!I:I,'SUMMARY DATA'!$A:$A=$A560,'SUMMARY DATA'!$C:$C=$B560,'SUMMARY DATA'!$B:$B=""RWS"")),
  IF(
    OR(
      ISNUMBER(SEARCH(""CDM CASH DEPOSIT"",$C560)),
      ISNUMBER(SEARCH(""CASH DEPOSIT"",$C56"&amp;"0)),
      COUNTIFS('SUMMARY DATA'!$D:$D,$C560,'SUMMARY DATA'!$B:$B,""RWS"")&lt;&gt;1
    ),
    """",
    IFERROR(TEXTJOIN(CHAR(10),TRUE,FILTER('SUMMARY DATA'!I:I,'SUMMARY DATA'!$D:$D=$C560,'SUMMARY DATA'!$B:$B=""RWS"")),"""")
  )
)"),"")</f>
      </c>
      <c r="K560" s="2"/>
      <c r="L560" s="2"/>
      <c r="M560" s="2"/>
      <c r="N560" s="2"/>
      <c r="O560" s="2"/>
      <c r="P560" s="2"/>
      <c r="Q560" s="2"/>
      <c r="R560" s="2"/>
      <c r="S560" s="2"/>
      <c r="T560" s="2"/>
      <c r="U560" s="2"/>
      <c r="V560" s="2"/>
      <c r="W560" s="2"/>
      <c r="X560" s="2"/>
      <c r="Y560" s="2"/>
      <c r="Z560" s="2"/>
      <c r="AA560" s="2"/>
      <c r="AB560" s="2"/>
    </row>
    <row r="561" spans="1:28" customHeight="true">
      <c r="A561" s="2" t="s">
        <v>929</v>
      </c>
      <c r="B561" s="15">
        <v>46048</v>
      </c>
      <c r="C561" s="2" t="s">
        <v>930</v>
      </c>
      <c r="D561" s="3">
        <v>72.81</v>
      </c>
      <c r="E561" s="16" t="s">
        <v>2592</v>
      </c>
      <c r="F561" s="17" t="s">
        <v>2593</v>
      </c>
      <c r="G561" s="17" t="s">
        <v>2393</v>
      </c>
      <c r="H561" s="18">
        <v>72.81</v>
      </c>
      <c r="I561" s="18">
        <v>72.81</v>
      </c>
      <c r="J561" s="17" t="s">
        <v>2394</v>
      </c>
      <c r="K561" s="2" t="s">
        <v>2395</v>
      </c>
      <c r="L561" s="2"/>
      <c r="M561" s="2"/>
      <c r="N561" s="2"/>
      <c r="O561" s="2"/>
      <c r="P561" s="2"/>
      <c r="Q561" s="2"/>
      <c r="R561" s="2"/>
      <c r="S561" s="2"/>
      <c r="T561" s="2"/>
      <c r="U561" s="2"/>
      <c r="V561" s="2"/>
      <c r="W561" s="2"/>
      <c r="X561" s="2"/>
      <c r="Y561" s="2"/>
      <c r="Z561" s="2"/>
      <c r="AA561" s="2"/>
      <c r="AB561" s="2"/>
    </row>
    <row r="562" spans="1:28" customHeight="true">
      <c r="A562" s="2"/>
      <c r="B562" s="15">
        <v>46048</v>
      </c>
      <c r="C562" s="2" t="s">
        <v>931</v>
      </c>
      <c r="D562" s="3">
        <v>118.6</v>
      </c>
      <c r="E562" s="16" t="str">
        <f>IFERROR(__xludf.DUMMYFUNCTION("IFERROR(
  TEXTJOIN(CHAR(10),TRUE,FILTER('SUMMARY DATA'!E:E,'SUMMARY DATA'!$A:$A=$A562,'SUMMARY DATA'!$C:$C=$B562,'SUMMARY DATA'!$B:$B=""RWS"")),
  IF(
    OR(
      ISNUMBER(SEARCH(""CDM CASH DEPOSIT"",$C562)),
      ISNUMBER(SEARCH(""CASH DEPOSIT"",$C56"&amp;"2)),
      COUNTIFS('SUMMARY DATA'!$D:$D,$C562,'SUMMARY DATA'!$B:$B,""RWS"")&lt;&gt;1
    ),
    """",
    IFERROR(TEXTJOIN(CHAR(10),TRUE,FILTER('SUMMARY DATA'!E:E,'SUMMARY DATA'!$D:$D=$C562,'SUMMARY DATA'!$B:$B=""RWS"")),"""")
  )
)"),"")</f>
      </c>
      <c r="F562" s="17" t="str">
        <f>IFERROR(__xludf.DUMMYFUNCTION("IFERROR(
  TEXTJOIN(CHAR(10),TRUE,FILTER('SUMMARY DATA'!F:F,'SUMMARY DATA'!$A:$A=$A562,'SUMMARY DATA'!$C:$C=$B562,'SUMMARY DATA'!$B:$B=""RWS"")),
  IF(
    OR(
      ISNUMBER(SEARCH(""CDM CASH DEPOSIT"",$C562)),
      ISNUMBER(SEARCH(""CASH DEPOSIT"",$C56"&amp;"2)),
      COUNTIFS('SUMMARY DATA'!$D:$D,$C562,'SUMMARY DATA'!$B:$B,""RWS"")&lt;&gt;1
    ),
    """",
    IFERROR(TEXTJOIN(CHAR(10),TRUE,FILTER('SUMMARY DATA'!F:F,'SUMMARY DATA'!$D:$D=$C562,'SUMMARY DATA'!$B:$B=""RWS"")),"""")
  )
)"),"")</f>
      </c>
      <c r="G562" s="17" t="str">
        <f>IFERROR(__xludf.DUMMYFUNCTION("IFERROR(
  TEXTJOIN(CHAR(10),TRUE,FILTER('SUMMARY DATA'!G:G,'SUMMARY DATA'!$A:$A=$A562,'SUMMARY DATA'!$C:$C=$B562,'SUMMARY DATA'!$B:$B=""RWS"")),
  IF(
    OR(
      ISNUMBER(SEARCH(""CDM CASH DEPOSIT"",$C562)),
      ISNUMBER(SEARCH(""CASH DEPOSIT"",$C56"&amp;"2)),
      COUNTIFS('SUMMARY DATA'!$D:$D,$C562,'SUMMARY DATA'!$B:$B,""RWS"")&lt;&gt;1
    ),
    """",
    IFERROR(TEXTJOIN(CHAR(10),TRUE,FILTER('SUMMARY DATA'!G:G,'SUMMARY DATA'!$D:$D=$C562,'SUMMARY DATA'!$B:$B=""RWS"")),"""")
  )
)"),"")</f>
      </c>
      <c r="H562" s="18" t="str">
        <f>IFERROR(__xludf.DUMMYFUNCTION("IFERROR(
  TEXTJOIN(CHAR(10),TRUE,FILTER('SUMMARY DATA'!H:H,'SUMMARY DATA'!$A:$A=$A562,'SUMMARY DATA'!$C:$C=$B562,'SUMMARY DATA'!$B:$B=""RWS"",'SUMMARY DATA'!$H:$H=$D562)),
  IF(
    OR(
      ISNUMBER(SEARCH(""CDM CASH DEPOSIT"",$C562)),
      ISNUMBER(S"&amp;"EARCH(""CASH DEPOSIT"",$C562))
    ),
    """",
    IFERROR(TEXTJOIN(CHAR(10),TRUE,FILTER('SUMMARY DATA'!H:H,'SUMMARY DATA'!$D:$D=$C562,'SUMMARY DATA'!$B:$B=""RWS"",'SUMMARY DATA'!$H:$H=$D562)),"""")
  )
)"),"")</f>
      </c>
      <c r="I562" s="18" t="str">
        <f>IFERROR(__xludf.DUMMYFUNCTION("IF(H562="""","""",
SUM(ARRAYFORMULA(VALUE(SPLIT(H562,CHAR(10)))))
)"),"")</f>
      </c>
      <c r="J562" s="17" t="str">
        <f>IFERROR(__xludf.DUMMYFUNCTION("IFERROR(
  TEXTJOIN(CHAR(10),TRUE,FILTER('SUMMARY DATA'!I:I,'SUMMARY DATA'!$A:$A=$A562,'SUMMARY DATA'!$C:$C=$B562,'SUMMARY DATA'!$B:$B=""RWS"")),
  IF(
    OR(
      ISNUMBER(SEARCH(""CDM CASH DEPOSIT"",$C562)),
      ISNUMBER(SEARCH(""CASH DEPOSIT"",$C56"&amp;"2)),
      COUNTIFS('SUMMARY DATA'!$D:$D,$C562,'SUMMARY DATA'!$B:$B,""RWS"")&lt;&gt;1
    ),
    """",
    IFERROR(TEXTJOIN(CHAR(10),TRUE,FILTER('SUMMARY DATA'!I:I,'SUMMARY DATA'!$D:$D=$C562,'SUMMARY DATA'!$B:$B=""RWS"")),"""")
  )
)"),"")</f>
      </c>
      <c r="K562" s="2"/>
      <c r="L562" s="2"/>
      <c r="M562" s="2"/>
      <c r="N562" s="2"/>
      <c r="O562" s="2"/>
      <c r="P562" s="2"/>
      <c r="Q562" s="2"/>
      <c r="R562" s="2"/>
      <c r="S562" s="2"/>
      <c r="T562" s="2"/>
      <c r="U562" s="2"/>
      <c r="V562" s="2"/>
      <c r="W562" s="2"/>
      <c r="X562" s="2"/>
      <c r="Y562" s="2"/>
      <c r="Z562" s="2"/>
      <c r="AA562" s="2"/>
      <c r="AB562" s="2"/>
    </row>
    <row r="563" spans="1:28" customHeight="true">
      <c r="A563" s="2" t="s">
        <v>932</v>
      </c>
      <c r="B563" s="15">
        <v>46048</v>
      </c>
      <c r="C563" s="2" t="s">
        <v>933</v>
      </c>
      <c r="D563" s="3">
        <v>10</v>
      </c>
      <c r="E563" s="16" t="str">
        <f>IFERROR(__xludf.DUMMYFUNCTION("IFERROR(
  TEXTJOIN(CHAR(10),TRUE,FILTER('SUMMARY DATA'!E:E,'SUMMARY DATA'!$A:$A=$A563,'SUMMARY DATA'!$C:$C=$B563,'SUMMARY DATA'!$B:$B=""RWS"")),
  IF(
    OR(
      ISNUMBER(SEARCH(""CDM CASH DEPOSIT"",$C563)),
      ISNUMBER(SEARCH(""CASH DEPOSIT"",$C56"&amp;"3)),
      COUNTIFS('SUMMARY DATA'!$D:$D,$C563,'SUMMARY DATA'!$B:$B,""RWS"")&lt;&gt;1
    ),
    """",
    IFERROR(TEXTJOIN(CHAR(10),TRUE,FILTER('SUMMARY DATA'!E:E,'SUMMARY DATA'!$D:$D=$C563,'SUMMARY DATA'!$B:$B=""RWS"")),"""")
  )
)"),"")</f>
      </c>
      <c r="F563" s="17" t="str">
        <f>IFERROR(__xludf.DUMMYFUNCTION("IFERROR(
  TEXTJOIN(CHAR(10),TRUE,FILTER('SUMMARY DATA'!F:F,'SUMMARY DATA'!$A:$A=$A563,'SUMMARY DATA'!$C:$C=$B563,'SUMMARY DATA'!$B:$B=""RWS"")),
  IF(
    OR(
      ISNUMBER(SEARCH(""CDM CASH DEPOSIT"",$C563)),
      ISNUMBER(SEARCH(""CASH DEPOSIT"",$C56"&amp;"3)),
      COUNTIFS('SUMMARY DATA'!$D:$D,$C563,'SUMMARY DATA'!$B:$B,""RWS"")&lt;&gt;1
    ),
    """",
    IFERROR(TEXTJOIN(CHAR(10),TRUE,FILTER('SUMMARY DATA'!F:F,'SUMMARY DATA'!$D:$D=$C563,'SUMMARY DATA'!$B:$B=""RWS"")),"""")
  )
)"),"")</f>
      </c>
      <c r="G563" s="17" t="str">
        <f>IFERROR(__xludf.DUMMYFUNCTION("IFERROR(
  TEXTJOIN(CHAR(10),TRUE,FILTER('SUMMARY DATA'!G:G,'SUMMARY DATA'!$A:$A=$A563,'SUMMARY DATA'!$C:$C=$B563,'SUMMARY DATA'!$B:$B=""RWS"")),
  IF(
    OR(
      ISNUMBER(SEARCH(""CDM CASH DEPOSIT"",$C563)),
      ISNUMBER(SEARCH(""CASH DEPOSIT"",$C56"&amp;"3)),
      COUNTIFS('SUMMARY DATA'!$D:$D,$C563,'SUMMARY DATA'!$B:$B,""RWS"")&lt;&gt;1
    ),
    """",
    IFERROR(TEXTJOIN(CHAR(10),TRUE,FILTER('SUMMARY DATA'!G:G,'SUMMARY DATA'!$D:$D=$C563,'SUMMARY DATA'!$B:$B=""RWS"")),"""")
  )
)"),"")</f>
      </c>
      <c r="H563" s="18" t="str">
        <f>IFERROR(__xludf.DUMMYFUNCTION("IFERROR(
  TEXTJOIN(CHAR(10),TRUE,FILTER('SUMMARY DATA'!H:H,'SUMMARY DATA'!$A:$A=$A563,'SUMMARY DATA'!$C:$C=$B563,'SUMMARY DATA'!$B:$B=""RWS"",'SUMMARY DATA'!$H:$H=$D563)),
  IF(
    OR(
      ISNUMBER(SEARCH(""CDM CASH DEPOSIT"",$C563)),
      ISNUMBER(S"&amp;"EARCH(""CASH DEPOSIT"",$C563))
    ),
    """",
    IFERROR(TEXTJOIN(CHAR(10),TRUE,FILTER('SUMMARY DATA'!H:H,'SUMMARY DATA'!$D:$D=$C563,'SUMMARY DATA'!$B:$B=""RWS"",'SUMMARY DATA'!$H:$H=$D563)),"""")
  )
)"),"")</f>
      </c>
      <c r="I563" s="18" t="str">
        <f>IFERROR(__xludf.DUMMYFUNCTION("IF(H563="""","""",
SUM(ARRAYFORMULA(VALUE(SPLIT(H563,CHAR(10)))))
)"),"")</f>
      </c>
      <c r="J563" s="17" t="str">
        <f>IFERROR(__xludf.DUMMYFUNCTION("IFERROR(
  TEXTJOIN(CHAR(10),TRUE,FILTER('SUMMARY DATA'!I:I,'SUMMARY DATA'!$A:$A=$A563,'SUMMARY DATA'!$C:$C=$B563,'SUMMARY DATA'!$B:$B=""RWS"")),
  IF(
    OR(
      ISNUMBER(SEARCH(""CDM CASH DEPOSIT"",$C563)),
      ISNUMBER(SEARCH(""CASH DEPOSIT"",$C56"&amp;"3)),
      COUNTIFS('SUMMARY DATA'!$D:$D,$C563,'SUMMARY DATA'!$B:$B,""RWS"")&lt;&gt;1
    ),
    """",
    IFERROR(TEXTJOIN(CHAR(10),TRUE,FILTER('SUMMARY DATA'!I:I,'SUMMARY DATA'!$D:$D=$C563,'SUMMARY DATA'!$B:$B=""RWS"")),"""")
  )
)"),"")</f>
      </c>
      <c r="K563" s="2"/>
      <c r="L563" s="2"/>
      <c r="M563" s="2"/>
      <c r="N563" s="2"/>
      <c r="O563" s="2"/>
      <c r="P563" s="2"/>
      <c r="Q563" s="2"/>
      <c r="R563" s="2"/>
      <c r="S563" s="2"/>
      <c r="T563" s="2"/>
      <c r="U563" s="2"/>
      <c r="V563" s="2"/>
      <c r="W563" s="2"/>
      <c r="X563" s="2"/>
      <c r="Y563" s="2"/>
      <c r="Z563" s="2"/>
      <c r="AA563" s="2"/>
      <c r="AB563" s="2"/>
    </row>
    <row r="564" spans="1:28" customHeight="true">
      <c r="A564" s="2"/>
      <c r="B564" s="15">
        <v>46048</v>
      </c>
      <c r="C564" s="2" t="s">
        <v>934</v>
      </c>
      <c r="D564" s="3">
        <v>217.51</v>
      </c>
      <c r="E564" s="16" t="str">
        <f>IFERROR(__xludf.DUMMYFUNCTION("IFERROR(
  TEXTJOIN(CHAR(10),TRUE,FILTER('SUMMARY DATA'!E:E,'SUMMARY DATA'!$A:$A=$A564,'SUMMARY DATA'!$C:$C=$B564,'SUMMARY DATA'!$B:$B=""RWS"")),
  IF(
    OR(
      ISNUMBER(SEARCH(""CDM CASH DEPOSIT"",$C564)),
      ISNUMBER(SEARCH(""CASH DEPOSIT"",$C56"&amp;"4)),
      COUNTIFS('SUMMARY DATA'!$D:$D,$C564,'SUMMARY DATA'!$B:$B,""RWS"")&lt;&gt;1
    ),
    """",
    IFERROR(TEXTJOIN(CHAR(10),TRUE,FILTER('SUMMARY DATA'!E:E,'SUMMARY DATA'!$D:$D=$C564,'SUMMARY DATA'!$B:$B=""RWS"")),"""")
  )
)"),"")</f>
      </c>
      <c r="F564" s="17" t="str">
        <f>IFERROR(__xludf.DUMMYFUNCTION("IFERROR(
  TEXTJOIN(CHAR(10),TRUE,FILTER('SUMMARY DATA'!F:F,'SUMMARY DATA'!$A:$A=$A564,'SUMMARY DATA'!$C:$C=$B564,'SUMMARY DATA'!$B:$B=""RWS"")),
  IF(
    OR(
      ISNUMBER(SEARCH(""CDM CASH DEPOSIT"",$C564)),
      ISNUMBER(SEARCH(""CASH DEPOSIT"",$C56"&amp;"4)),
      COUNTIFS('SUMMARY DATA'!$D:$D,$C564,'SUMMARY DATA'!$B:$B,""RWS"")&lt;&gt;1
    ),
    """",
    IFERROR(TEXTJOIN(CHAR(10),TRUE,FILTER('SUMMARY DATA'!F:F,'SUMMARY DATA'!$D:$D=$C564,'SUMMARY DATA'!$B:$B=""RWS"")),"""")
  )
)"),"")</f>
      </c>
      <c r="G564" s="17" t="str">
        <f>IFERROR(__xludf.DUMMYFUNCTION("IFERROR(
  TEXTJOIN(CHAR(10),TRUE,FILTER('SUMMARY DATA'!G:G,'SUMMARY DATA'!$A:$A=$A564,'SUMMARY DATA'!$C:$C=$B564,'SUMMARY DATA'!$B:$B=""RWS"")),
  IF(
    OR(
      ISNUMBER(SEARCH(""CDM CASH DEPOSIT"",$C564)),
      ISNUMBER(SEARCH(""CASH DEPOSIT"",$C56"&amp;"4)),
      COUNTIFS('SUMMARY DATA'!$D:$D,$C564,'SUMMARY DATA'!$B:$B,""RWS"")&lt;&gt;1
    ),
    """",
    IFERROR(TEXTJOIN(CHAR(10),TRUE,FILTER('SUMMARY DATA'!G:G,'SUMMARY DATA'!$D:$D=$C564,'SUMMARY DATA'!$B:$B=""RWS"")),"""")
  )
)"),"")</f>
      </c>
      <c r="H564" s="18" t="str">
        <f>IFERROR(__xludf.DUMMYFUNCTION("IFERROR(
  TEXTJOIN(CHAR(10),TRUE,FILTER('SUMMARY DATA'!H:H,'SUMMARY DATA'!$A:$A=$A564,'SUMMARY DATA'!$C:$C=$B564,'SUMMARY DATA'!$B:$B=""RWS"",'SUMMARY DATA'!$H:$H=$D564)),
  IF(
    OR(
      ISNUMBER(SEARCH(""CDM CASH DEPOSIT"",$C564)),
      ISNUMBER(S"&amp;"EARCH(""CASH DEPOSIT"",$C564))
    ),
    """",
    IFERROR(TEXTJOIN(CHAR(10),TRUE,FILTER('SUMMARY DATA'!H:H,'SUMMARY DATA'!$D:$D=$C564,'SUMMARY DATA'!$B:$B=""RWS"",'SUMMARY DATA'!$H:$H=$D564)),"""")
  )
)"),"")</f>
      </c>
      <c r="I564" s="18" t="str">
        <f>IFERROR(__xludf.DUMMYFUNCTION("IF(H564="""","""",
SUM(ARRAYFORMULA(VALUE(SPLIT(H564,CHAR(10)))))
)"),"")</f>
      </c>
      <c r="J564" s="17" t="str">
        <f>IFERROR(__xludf.DUMMYFUNCTION("IFERROR(
  TEXTJOIN(CHAR(10),TRUE,FILTER('SUMMARY DATA'!I:I,'SUMMARY DATA'!$A:$A=$A564,'SUMMARY DATA'!$C:$C=$B564,'SUMMARY DATA'!$B:$B=""RWS"")),
  IF(
    OR(
      ISNUMBER(SEARCH(""CDM CASH DEPOSIT"",$C564)),
      ISNUMBER(SEARCH(""CASH DEPOSIT"",$C56"&amp;"4)),
      COUNTIFS('SUMMARY DATA'!$D:$D,$C564,'SUMMARY DATA'!$B:$B,""RWS"")&lt;&gt;1
    ),
    """",
    IFERROR(TEXTJOIN(CHAR(10),TRUE,FILTER('SUMMARY DATA'!I:I,'SUMMARY DATA'!$D:$D=$C564,'SUMMARY DATA'!$B:$B=""RWS"")),"""")
  )
)"),"")</f>
      </c>
      <c r="K564" s="2"/>
      <c r="L564" s="2"/>
      <c r="M564" s="2"/>
      <c r="N564" s="2"/>
      <c r="O564" s="2"/>
      <c r="P564" s="2"/>
      <c r="Q564" s="2"/>
      <c r="R564" s="2"/>
      <c r="S564" s="2"/>
      <c r="T564" s="2"/>
      <c r="U564" s="2"/>
      <c r="V564" s="2"/>
      <c r="W564" s="2"/>
      <c r="X564" s="2"/>
      <c r="Y564" s="2"/>
      <c r="Z564" s="2"/>
      <c r="AA564" s="2"/>
      <c r="AB564" s="2"/>
    </row>
    <row r="565" spans="1:28" customHeight="true">
      <c r="A565" s="2"/>
      <c r="B565" s="15">
        <v>46048</v>
      </c>
      <c r="C565" s="2" t="s">
        <v>935</v>
      </c>
      <c r="D565" s="3">
        <v>2.5</v>
      </c>
      <c r="E565" s="16" t="str">
        <f>IFERROR(__xludf.DUMMYFUNCTION("IFERROR(
  TEXTJOIN(CHAR(10),TRUE,FILTER('SUMMARY DATA'!E:E,'SUMMARY DATA'!$A:$A=$A565,'SUMMARY DATA'!$C:$C=$B565,'SUMMARY DATA'!$B:$B=""RWS"")),
  IF(
    OR(
      ISNUMBER(SEARCH(""CDM CASH DEPOSIT"",$C565)),
      ISNUMBER(SEARCH(""CASH DEPOSIT"",$C56"&amp;"5)),
      COUNTIFS('SUMMARY DATA'!$D:$D,$C565,'SUMMARY DATA'!$B:$B,""RWS"")&lt;&gt;1
    ),
    """",
    IFERROR(TEXTJOIN(CHAR(10),TRUE,FILTER('SUMMARY DATA'!E:E,'SUMMARY DATA'!$D:$D=$C565,'SUMMARY DATA'!$B:$B=""RWS"")),"""")
  )
)"),"")</f>
      </c>
      <c r="F565" s="17" t="str">
        <f>IFERROR(__xludf.DUMMYFUNCTION("IFERROR(
  TEXTJOIN(CHAR(10),TRUE,FILTER('SUMMARY DATA'!F:F,'SUMMARY DATA'!$A:$A=$A565,'SUMMARY DATA'!$C:$C=$B565,'SUMMARY DATA'!$B:$B=""RWS"")),
  IF(
    OR(
      ISNUMBER(SEARCH(""CDM CASH DEPOSIT"",$C565)),
      ISNUMBER(SEARCH(""CASH DEPOSIT"",$C56"&amp;"5)),
      COUNTIFS('SUMMARY DATA'!$D:$D,$C565,'SUMMARY DATA'!$B:$B,""RWS"")&lt;&gt;1
    ),
    """",
    IFERROR(TEXTJOIN(CHAR(10),TRUE,FILTER('SUMMARY DATA'!F:F,'SUMMARY DATA'!$D:$D=$C565,'SUMMARY DATA'!$B:$B=""RWS"")),"""")
  )
)"),"")</f>
      </c>
      <c r="G565" s="17" t="str">
        <f>IFERROR(__xludf.DUMMYFUNCTION("IFERROR(
  TEXTJOIN(CHAR(10),TRUE,FILTER('SUMMARY DATA'!G:G,'SUMMARY DATA'!$A:$A=$A565,'SUMMARY DATA'!$C:$C=$B565,'SUMMARY DATA'!$B:$B=""RWS"")),
  IF(
    OR(
      ISNUMBER(SEARCH(""CDM CASH DEPOSIT"",$C565)),
      ISNUMBER(SEARCH(""CASH DEPOSIT"",$C56"&amp;"5)),
      COUNTIFS('SUMMARY DATA'!$D:$D,$C565,'SUMMARY DATA'!$B:$B,""RWS"")&lt;&gt;1
    ),
    """",
    IFERROR(TEXTJOIN(CHAR(10),TRUE,FILTER('SUMMARY DATA'!G:G,'SUMMARY DATA'!$D:$D=$C565,'SUMMARY DATA'!$B:$B=""RWS"")),"""")
  )
)"),"")</f>
      </c>
      <c r="H565" s="18" t="str">
        <f>IFERROR(__xludf.DUMMYFUNCTION("IFERROR(
  TEXTJOIN(CHAR(10),TRUE,FILTER('SUMMARY DATA'!H:H,'SUMMARY DATA'!$A:$A=$A565,'SUMMARY DATA'!$C:$C=$B565,'SUMMARY DATA'!$B:$B=""RWS"",'SUMMARY DATA'!$H:$H=$D565)),
  IF(
    OR(
      ISNUMBER(SEARCH(""CDM CASH DEPOSIT"",$C565)),
      ISNUMBER(S"&amp;"EARCH(""CASH DEPOSIT"",$C565))
    ),
    """",
    IFERROR(TEXTJOIN(CHAR(10),TRUE,FILTER('SUMMARY DATA'!H:H,'SUMMARY DATA'!$D:$D=$C565,'SUMMARY DATA'!$B:$B=""RWS"",'SUMMARY DATA'!$H:$H=$D565)),"""")
  )
)"),"")</f>
      </c>
      <c r="I565" s="18" t="str">
        <f>IFERROR(__xludf.DUMMYFUNCTION("IF(H565="""","""",
SUM(ARRAYFORMULA(VALUE(SPLIT(H565,CHAR(10)))))
)"),"")</f>
      </c>
      <c r="J565" s="17" t="str">
        <f>IFERROR(__xludf.DUMMYFUNCTION("IFERROR(
  TEXTJOIN(CHAR(10),TRUE,FILTER('SUMMARY DATA'!I:I,'SUMMARY DATA'!$A:$A=$A565,'SUMMARY DATA'!$C:$C=$B565,'SUMMARY DATA'!$B:$B=""RWS"")),
  IF(
    OR(
      ISNUMBER(SEARCH(""CDM CASH DEPOSIT"",$C565)),
      ISNUMBER(SEARCH(""CASH DEPOSIT"",$C56"&amp;"5)),
      COUNTIFS('SUMMARY DATA'!$D:$D,$C565,'SUMMARY DATA'!$B:$B,""RWS"")&lt;&gt;1
    ),
    """",
    IFERROR(TEXTJOIN(CHAR(10),TRUE,FILTER('SUMMARY DATA'!I:I,'SUMMARY DATA'!$D:$D=$C565,'SUMMARY DATA'!$B:$B=""RWS"")),"""")
  )
)"),"")</f>
      </c>
      <c r="K565" s="2"/>
      <c r="L565" s="2"/>
      <c r="M565" s="2"/>
      <c r="N565" s="2"/>
      <c r="O565" s="2"/>
      <c r="P565" s="2"/>
      <c r="Q565" s="2"/>
      <c r="R565" s="2"/>
      <c r="S565" s="2"/>
      <c r="T565" s="2"/>
      <c r="U565" s="2"/>
      <c r="V565" s="2"/>
      <c r="W565" s="2"/>
      <c r="X565" s="2"/>
      <c r="Y565" s="2"/>
      <c r="Z565" s="2"/>
      <c r="AA565" s="2"/>
      <c r="AB565" s="2"/>
    </row>
    <row r="566" spans="1:28" customHeight="true">
      <c r="A566" s="2" t="s">
        <v>936</v>
      </c>
      <c r="B566" s="15">
        <v>46048</v>
      </c>
      <c r="C566" s="2" t="s">
        <v>937</v>
      </c>
      <c r="D566" s="3">
        <v>1</v>
      </c>
      <c r="E566" s="16" t="str">
        <f>IFERROR(__xludf.DUMMYFUNCTION("IFERROR(
  TEXTJOIN(CHAR(10),TRUE,FILTER('SUMMARY DATA'!E:E,'SUMMARY DATA'!$A:$A=$A566,'SUMMARY DATA'!$C:$C=$B566,'SUMMARY DATA'!$B:$B=""RWS"")),
  IF(
    OR(
      ISNUMBER(SEARCH(""CDM CASH DEPOSIT"",$C566)),
      ISNUMBER(SEARCH(""CASH DEPOSIT"",$C56"&amp;"6)),
      COUNTIFS('SUMMARY DATA'!$D:$D,$C566,'SUMMARY DATA'!$B:$B,""RWS"")&lt;&gt;1
    ),
    """",
    IFERROR(TEXTJOIN(CHAR(10),TRUE,FILTER('SUMMARY DATA'!E:E,'SUMMARY DATA'!$D:$D=$C566,'SUMMARY DATA'!$B:$B=""RWS"")),"""")
  )
)"),"")</f>
      </c>
      <c r="F566" s="17" t="str">
        <f>IFERROR(__xludf.DUMMYFUNCTION("IFERROR(
  TEXTJOIN(CHAR(10),TRUE,FILTER('SUMMARY DATA'!F:F,'SUMMARY DATA'!$A:$A=$A566,'SUMMARY DATA'!$C:$C=$B566,'SUMMARY DATA'!$B:$B=""RWS"")),
  IF(
    OR(
      ISNUMBER(SEARCH(""CDM CASH DEPOSIT"",$C566)),
      ISNUMBER(SEARCH(""CASH DEPOSIT"",$C56"&amp;"6)),
      COUNTIFS('SUMMARY DATA'!$D:$D,$C566,'SUMMARY DATA'!$B:$B,""RWS"")&lt;&gt;1
    ),
    """",
    IFERROR(TEXTJOIN(CHAR(10),TRUE,FILTER('SUMMARY DATA'!F:F,'SUMMARY DATA'!$D:$D=$C566,'SUMMARY DATA'!$B:$B=""RWS"")),"""")
  )
)"),"")</f>
      </c>
      <c r="G566" s="17" t="str">
        <f>IFERROR(__xludf.DUMMYFUNCTION("IFERROR(
  TEXTJOIN(CHAR(10),TRUE,FILTER('SUMMARY DATA'!G:G,'SUMMARY DATA'!$A:$A=$A566,'SUMMARY DATA'!$C:$C=$B566,'SUMMARY DATA'!$B:$B=""RWS"")),
  IF(
    OR(
      ISNUMBER(SEARCH(""CDM CASH DEPOSIT"",$C566)),
      ISNUMBER(SEARCH(""CASH DEPOSIT"",$C56"&amp;"6)),
      COUNTIFS('SUMMARY DATA'!$D:$D,$C566,'SUMMARY DATA'!$B:$B,""RWS"")&lt;&gt;1
    ),
    """",
    IFERROR(TEXTJOIN(CHAR(10),TRUE,FILTER('SUMMARY DATA'!G:G,'SUMMARY DATA'!$D:$D=$C566,'SUMMARY DATA'!$B:$B=""RWS"")),"""")
  )
)"),"")</f>
      </c>
      <c r="H566" s="18" t="str">
        <f>IFERROR(__xludf.DUMMYFUNCTION("IFERROR(
  TEXTJOIN(CHAR(10),TRUE,FILTER('SUMMARY DATA'!H:H,'SUMMARY DATA'!$A:$A=$A566,'SUMMARY DATA'!$C:$C=$B566,'SUMMARY DATA'!$B:$B=""RWS"",'SUMMARY DATA'!$H:$H=$D566)),
  IF(
    OR(
      ISNUMBER(SEARCH(""CDM CASH DEPOSIT"",$C566)),
      ISNUMBER(S"&amp;"EARCH(""CASH DEPOSIT"",$C566))
    ),
    """",
    IFERROR(TEXTJOIN(CHAR(10),TRUE,FILTER('SUMMARY DATA'!H:H,'SUMMARY DATA'!$D:$D=$C566,'SUMMARY DATA'!$B:$B=""RWS"",'SUMMARY DATA'!$H:$H=$D566)),"""")
  )
)"),"")</f>
      </c>
      <c r="I566" s="18" t="str">
        <f>IFERROR(__xludf.DUMMYFUNCTION("IF(H566="""","""",
SUM(ARRAYFORMULA(VALUE(SPLIT(H566,CHAR(10)))))
)"),"")</f>
      </c>
      <c r="J566" s="17" t="str">
        <f>IFERROR(__xludf.DUMMYFUNCTION("IFERROR(
  TEXTJOIN(CHAR(10),TRUE,FILTER('SUMMARY DATA'!I:I,'SUMMARY DATA'!$A:$A=$A566,'SUMMARY DATA'!$C:$C=$B566,'SUMMARY DATA'!$B:$B=""RWS"")),
  IF(
    OR(
      ISNUMBER(SEARCH(""CDM CASH DEPOSIT"",$C566)),
      ISNUMBER(SEARCH(""CASH DEPOSIT"",$C56"&amp;"6)),
      COUNTIFS('SUMMARY DATA'!$D:$D,$C566,'SUMMARY DATA'!$B:$B,""RWS"")&lt;&gt;1
    ),
    """",
    IFERROR(TEXTJOIN(CHAR(10),TRUE,FILTER('SUMMARY DATA'!I:I,'SUMMARY DATA'!$D:$D=$C566,'SUMMARY DATA'!$B:$B=""RWS"")),"""")
  )
)"),"")</f>
      </c>
      <c r="K566" s="2"/>
      <c r="L566" s="2"/>
      <c r="M566" s="2"/>
      <c r="N566" s="2"/>
      <c r="O566" s="2"/>
      <c r="P566" s="2"/>
      <c r="Q566" s="2"/>
      <c r="R566" s="2"/>
      <c r="S566" s="2"/>
      <c r="T566" s="2"/>
      <c r="U566" s="2"/>
      <c r="V566" s="2"/>
      <c r="W566" s="2"/>
      <c r="X566" s="2"/>
      <c r="Y566" s="2"/>
      <c r="Z566" s="2"/>
      <c r="AA566" s="2"/>
      <c r="AB566" s="2"/>
    </row>
    <row r="567" spans="1:28" customHeight="true">
      <c r="A567" s="2" t="s">
        <v>938</v>
      </c>
      <c r="B567" s="15">
        <v>46048</v>
      </c>
      <c r="C567" s="2" t="s">
        <v>939</v>
      </c>
      <c r="D567" s="3">
        <v>167.2</v>
      </c>
      <c r="E567" s="16" t="s">
        <v>2594</v>
      </c>
      <c r="F567" s="17" t="s">
        <v>2595</v>
      </c>
      <c r="G567" s="17" t="s">
        <v>2393</v>
      </c>
      <c r="H567" s="18">
        <v>167.2</v>
      </c>
      <c r="I567" s="18">
        <v>167.2</v>
      </c>
      <c r="J567" s="17" t="s">
        <v>2394</v>
      </c>
      <c r="K567" s="2" t="s">
        <v>2395</v>
      </c>
      <c r="L567" s="2"/>
      <c r="M567" s="2"/>
      <c r="N567" s="2"/>
      <c r="O567" s="2"/>
      <c r="P567" s="2"/>
      <c r="Q567" s="2"/>
      <c r="R567" s="2"/>
      <c r="S567" s="2"/>
      <c r="T567" s="2"/>
      <c r="U567" s="2"/>
      <c r="V567" s="2"/>
      <c r="W567" s="2"/>
      <c r="X567" s="2"/>
      <c r="Y567" s="2"/>
      <c r="Z567" s="2"/>
      <c r="AA567" s="2"/>
      <c r="AB567" s="2"/>
    </row>
    <row r="568" spans="1:28" customHeight="true">
      <c r="A568" s="2" t="s">
        <v>940</v>
      </c>
      <c r="B568" s="15">
        <v>46048</v>
      </c>
      <c r="C568" s="2" t="s">
        <v>941</v>
      </c>
      <c r="D568" s="3">
        <v>1</v>
      </c>
      <c r="E568" s="16" t="str">
        <f>IFERROR(__xludf.DUMMYFUNCTION("IFERROR(
  TEXTJOIN(CHAR(10),TRUE,FILTER('SUMMARY DATA'!E:E,'SUMMARY DATA'!$A:$A=$A568,'SUMMARY DATA'!$C:$C=$B568,'SUMMARY DATA'!$B:$B=""RWS"")),
  IF(
    OR(
      ISNUMBER(SEARCH(""CDM CASH DEPOSIT"",$C568)),
      ISNUMBER(SEARCH(""CASH DEPOSIT"",$C56"&amp;"8)),
      COUNTIFS('SUMMARY DATA'!$D:$D,$C568,'SUMMARY DATA'!$B:$B,""RWS"")&lt;&gt;1
    ),
    """",
    IFERROR(TEXTJOIN(CHAR(10),TRUE,FILTER('SUMMARY DATA'!E:E,'SUMMARY DATA'!$D:$D=$C568,'SUMMARY DATA'!$B:$B=""RWS"")),"""")
  )
)"),"")</f>
      </c>
      <c r="F568" s="17" t="str">
        <f>IFERROR(__xludf.DUMMYFUNCTION("IFERROR(
  TEXTJOIN(CHAR(10),TRUE,FILTER('SUMMARY DATA'!F:F,'SUMMARY DATA'!$A:$A=$A568,'SUMMARY DATA'!$C:$C=$B568,'SUMMARY DATA'!$B:$B=""RWS"")),
  IF(
    OR(
      ISNUMBER(SEARCH(""CDM CASH DEPOSIT"",$C568)),
      ISNUMBER(SEARCH(""CASH DEPOSIT"",$C56"&amp;"8)),
      COUNTIFS('SUMMARY DATA'!$D:$D,$C568,'SUMMARY DATA'!$B:$B,""RWS"")&lt;&gt;1
    ),
    """",
    IFERROR(TEXTJOIN(CHAR(10),TRUE,FILTER('SUMMARY DATA'!F:F,'SUMMARY DATA'!$D:$D=$C568,'SUMMARY DATA'!$B:$B=""RWS"")),"""")
  )
)"),"")</f>
      </c>
      <c r="G568" s="17" t="str">
        <f>IFERROR(__xludf.DUMMYFUNCTION("IFERROR(
  TEXTJOIN(CHAR(10),TRUE,FILTER('SUMMARY DATA'!G:G,'SUMMARY DATA'!$A:$A=$A568,'SUMMARY DATA'!$C:$C=$B568,'SUMMARY DATA'!$B:$B=""RWS"")),
  IF(
    OR(
      ISNUMBER(SEARCH(""CDM CASH DEPOSIT"",$C568)),
      ISNUMBER(SEARCH(""CASH DEPOSIT"",$C56"&amp;"8)),
      COUNTIFS('SUMMARY DATA'!$D:$D,$C568,'SUMMARY DATA'!$B:$B,""RWS"")&lt;&gt;1
    ),
    """",
    IFERROR(TEXTJOIN(CHAR(10),TRUE,FILTER('SUMMARY DATA'!G:G,'SUMMARY DATA'!$D:$D=$C568,'SUMMARY DATA'!$B:$B=""RWS"")),"""")
  )
)"),"")</f>
      </c>
      <c r="H568" s="18" t="str">
        <f>IFERROR(__xludf.DUMMYFUNCTION("IFERROR(
  TEXTJOIN(CHAR(10),TRUE,FILTER('SUMMARY DATA'!H:H,'SUMMARY DATA'!$A:$A=$A568,'SUMMARY DATA'!$C:$C=$B568,'SUMMARY DATA'!$B:$B=""RWS"",'SUMMARY DATA'!$H:$H=$D568)),
  IF(
    OR(
      ISNUMBER(SEARCH(""CDM CASH DEPOSIT"",$C568)),
      ISNUMBER(S"&amp;"EARCH(""CASH DEPOSIT"",$C568))
    ),
    """",
    IFERROR(TEXTJOIN(CHAR(10),TRUE,FILTER('SUMMARY DATA'!H:H,'SUMMARY DATA'!$D:$D=$C568,'SUMMARY DATA'!$B:$B=""RWS"",'SUMMARY DATA'!$H:$H=$D568)),"""")
  )
)"),"")</f>
      </c>
      <c r="I568" s="18" t="str">
        <f>IFERROR(__xludf.DUMMYFUNCTION("IF(H568="""","""",
SUM(ARRAYFORMULA(VALUE(SPLIT(H568,CHAR(10)))))
)"),"")</f>
      </c>
      <c r="J568" s="17" t="str">
        <f>IFERROR(__xludf.DUMMYFUNCTION("IFERROR(
  TEXTJOIN(CHAR(10),TRUE,FILTER('SUMMARY DATA'!I:I,'SUMMARY DATA'!$A:$A=$A568,'SUMMARY DATA'!$C:$C=$B568,'SUMMARY DATA'!$B:$B=""RWS"")),
  IF(
    OR(
      ISNUMBER(SEARCH(""CDM CASH DEPOSIT"",$C568)),
      ISNUMBER(SEARCH(""CASH DEPOSIT"",$C56"&amp;"8)),
      COUNTIFS('SUMMARY DATA'!$D:$D,$C568,'SUMMARY DATA'!$B:$B,""RWS"")&lt;&gt;1
    ),
    """",
    IFERROR(TEXTJOIN(CHAR(10),TRUE,FILTER('SUMMARY DATA'!I:I,'SUMMARY DATA'!$D:$D=$C568,'SUMMARY DATA'!$B:$B=""RWS"")),"""")
  )
)"),"")</f>
      </c>
      <c r="K568" s="2"/>
      <c r="L568" s="2"/>
      <c r="M568" s="2"/>
      <c r="N568" s="2"/>
      <c r="O568" s="2"/>
      <c r="P568" s="2"/>
      <c r="Q568" s="2"/>
      <c r="R568" s="2"/>
      <c r="S568" s="2"/>
      <c r="T568" s="2"/>
      <c r="U568" s="2"/>
      <c r="V568" s="2"/>
      <c r="W568" s="2"/>
      <c r="X568" s="2"/>
      <c r="Y568" s="2"/>
      <c r="Z568" s="2"/>
      <c r="AA568" s="2"/>
      <c r="AB568" s="2"/>
    </row>
    <row r="569" spans="1:28" customHeight="true">
      <c r="A569" s="2"/>
      <c r="B569" s="15">
        <v>46048</v>
      </c>
      <c r="C569" s="2" t="s">
        <v>942</v>
      </c>
      <c r="D569" s="3">
        <v>1</v>
      </c>
      <c r="E569" s="16" t="str">
        <f>IFERROR(__xludf.DUMMYFUNCTION("IFERROR(
  TEXTJOIN(CHAR(10),TRUE,FILTER('SUMMARY DATA'!E:E,'SUMMARY DATA'!$A:$A=$A569,'SUMMARY DATA'!$C:$C=$B569,'SUMMARY DATA'!$B:$B=""RWS"")),
  IF(
    OR(
      ISNUMBER(SEARCH(""CDM CASH DEPOSIT"",$C569)),
      ISNUMBER(SEARCH(""CASH DEPOSIT"",$C56"&amp;"9)),
      COUNTIFS('SUMMARY DATA'!$D:$D,$C569,'SUMMARY DATA'!$B:$B,""RWS"")&lt;&gt;1
    ),
    """",
    IFERROR(TEXTJOIN(CHAR(10),TRUE,FILTER('SUMMARY DATA'!E:E,'SUMMARY DATA'!$D:$D=$C569,'SUMMARY DATA'!$B:$B=""RWS"")),"""")
  )
)"),"")</f>
      </c>
      <c r="F569" s="17" t="str">
        <f>IFERROR(__xludf.DUMMYFUNCTION("IFERROR(
  TEXTJOIN(CHAR(10),TRUE,FILTER('SUMMARY DATA'!F:F,'SUMMARY DATA'!$A:$A=$A569,'SUMMARY DATA'!$C:$C=$B569,'SUMMARY DATA'!$B:$B=""RWS"")),
  IF(
    OR(
      ISNUMBER(SEARCH(""CDM CASH DEPOSIT"",$C569)),
      ISNUMBER(SEARCH(""CASH DEPOSIT"",$C56"&amp;"9)),
      COUNTIFS('SUMMARY DATA'!$D:$D,$C569,'SUMMARY DATA'!$B:$B,""RWS"")&lt;&gt;1
    ),
    """",
    IFERROR(TEXTJOIN(CHAR(10),TRUE,FILTER('SUMMARY DATA'!F:F,'SUMMARY DATA'!$D:$D=$C569,'SUMMARY DATA'!$B:$B=""RWS"")),"""")
  )
)"),"")</f>
      </c>
      <c r="G569" s="17" t="str">
        <f>IFERROR(__xludf.DUMMYFUNCTION("IFERROR(
  TEXTJOIN(CHAR(10),TRUE,FILTER('SUMMARY DATA'!G:G,'SUMMARY DATA'!$A:$A=$A569,'SUMMARY DATA'!$C:$C=$B569,'SUMMARY DATA'!$B:$B=""RWS"")),
  IF(
    OR(
      ISNUMBER(SEARCH(""CDM CASH DEPOSIT"",$C569)),
      ISNUMBER(SEARCH(""CASH DEPOSIT"",$C56"&amp;"9)),
      COUNTIFS('SUMMARY DATA'!$D:$D,$C569,'SUMMARY DATA'!$B:$B,""RWS"")&lt;&gt;1
    ),
    """",
    IFERROR(TEXTJOIN(CHAR(10),TRUE,FILTER('SUMMARY DATA'!G:G,'SUMMARY DATA'!$D:$D=$C569,'SUMMARY DATA'!$B:$B=""RWS"")),"""")
  )
)"),"")</f>
      </c>
      <c r="H569" s="18" t="str">
        <f>IFERROR(__xludf.DUMMYFUNCTION("IFERROR(
  TEXTJOIN(CHAR(10),TRUE,FILTER('SUMMARY DATA'!H:H,'SUMMARY DATA'!$A:$A=$A569,'SUMMARY DATA'!$C:$C=$B569,'SUMMARY DATA'!$B:$B=""RWS"",'SUMMARY DATA'!$H:$H=$D569)),
  IF(
    OR(
      ISNUMBER(SEARCH(""CDM CASH DEPOSIT"",$C569)),
      ISNUMBER(S"&amp;"EARCH(""CASH DEPOSIT"",$C569))
    ),
    """",
    IFERROR(TEXTJOIN(CHAR(10),TRUE,FILTER('SUMMARY DATA'!H:H,'SUMMARY DATA'!$D:$D=$C569,'SUMMARY DATA'!$B:$B=""RWS"",'SUMMARY DATA'!$H:$H=$D569)),"""")
  )
)"),"")</f>
      </c>
      <c r="I569" s="18" t="str">
        <f>IFERROR(__xludf.DUMMYFUNCTION("IF(H569="""","""",
SUM(ARRAYFORMULA(VALUE(SPLIT(H569,CHAR(10)))))
)"),"")</f>
      </c>
      <c r="J569" s="17" t="str">
        <f>IFERROR(__xludf.DUMMYFUNCTION("IFERROR(
  TEXTJOIN(CHAR(10),TRUE,FILTER('SUMMARY DATA'!I:I,'SUMMARY DATA'!$A:$A=$A569,'SUMMARY DATA'!$C:$C=$B569,'SUMMARY DATA'!$B:$B=""RWS"")),
  IF(
    OR(
      ISNUMBER(SEARCH(""CDM CASH DEPOSIT"",$C569)),
      ISNUMBER(SEARCH(""CASH DEPOSIT"",$C56"&amp;"9)),
      COUNTIFS('SUMMARY DATA'!$D:$D,$C569,'SUMMARY DATA'!$B:$B,""RWS"")&lt;&gt;1
    ),
    """",
    IFERROR(TEXTJOIN(CHAR(10),TRUE,FILTER('SUMMARY DATA'!I:I,'SUMMARY DATA'!$D:$D=$C569,'SUMMARY DATA'!$B:$B=""RWS"")),"""")
  )
)"),"")</f>
      </c>
      <c r="K569" s="2"/>
      <c r="L569" s="2"/>
      <c r="M569" s="2"/>
      <c r="N569" s="2"/>
      <c r="O569" s="2"/>
      <c r="P569" s="2"/>
      <c r="Q569" s="2"/>
      <c r="R569" s="2"/>
      <c r="S569" s="2"/>
      <c r="T569" s="2"/>
      <c r="U569" s="2"/>
      <c r="V569" s="2"/>
      <c r="W569" s="2"/>
      <c r="X569" s="2"/>
      <c r="Y569" s="2"/>
      <c r="Z569" s="2"/>
      <c r="AA569" s="2"/>
      <c r="AB569" s="2"/>
    </row>
    <row r="570" spans="1:28" customHeight="true">
      <c r="A570" s="2" t="s">
        <v>943</v>
      </c>
      <c r="B570" s="15">
        <v>46048</v>
      </c>
      <c r="C570" s="2" t="s">
        <v>944</v>
      </c>
      <c r="D570" s="3">
        <v>239.21</v>
      </c>
      <c r="E570" s="16" t="str">
        <f>IFERROR(__xludf.DUMMYFUNCTION("IFERROR(
  TEXTJOIN(CHAR(10),TRUE,FILTER('SUMMARY DATA'!E:E,'SUMMARY DATA'!$A:$A=$A570,'SUMMARY DATA'!$C:$C=$B570,'SUMMARY DATA'!$B:$B=""RWS"")),
  IF(
    OR(
      ISNUMBER(SEARCH(""CDM CASH DEPOSIT"",$C570)),
      ISNUMBER(SEARCH(""CASH DEPOSIT"",$C57"&amp;"0)),
      COUNTIFS('SUMMARY DATA'!$D:$D,$C570,'SUMMARY DATA'!$B:$B,""RWS"")&lt;&gt;1
    ),
    """",
    IFERROR(TEXTJOIN(CHAR(10),TRUE,FILTER('SUMMARY DATA'!E:E,'SUMMARY DATA'!$D:$D=$C570,'SUMMARY DATA'!$B:$B=""RWS"")),"""")
  )
)"),"")</f>
      </c>
      <c r="F570" s="17" t="str">
        <f>IFERROR(__xludf.DUMMYFUNCTION("IFERROR(
  TEXTJOIN(CHAR(10),TRUE,FILTER('SUMMARY DATA'!F:F,'SUMMARY DATA'!$A:$A=$A570,'SUMMARY DATA'!$C:$C=$B570,'SUMMARY DATA'!$B:$B=""RWS"")),
  IF(
    OR(
      ISNUMBER(SEARCH(""CDM CASH DEPOSIT"",$C570)),
      ISNUMBER(SEARCH(""CASH DEPOSIT"",$C57"&amp;"0)),
      COUNTIFS('SUMMARY DATA'!$D:$D,$C570,'SUMMARY DATA'!$B:$B,""RWS"")&lt;&gt;1
    ),
    """",
    IFERROR(TEXTJOIN(CHAR(10),TRUE,FILTER('SUMMARY DATA'!F:F,'SUMMARY DATA'!$D:$D=$C570,'SUMMARY DATA'!$B:$B=""RWS"")),"""")
  )
)"),"")</f>
      </c>
      <c r="G570" s="17" t="str">
        <f>IFERROR(__xludf.DUMMYFUNCTION("IFERROR(
  TEXTJOIN(CHAR(10),TRUE,FILTER('SUMMARY DATA'!G:G,'SUMMARY DATA'!$A:$A=$A570,'SUMMARY DATA'!$C:$C=$B570,'SUMMARY DATA'!$B:$B=""RWS"")),
  IF(
    OR(
      ISNUMBER(SEARCH(""CDM CASH DEPOSIT"",$C570)),
      ISNUMBER(SEARCH(""CASH DEPOSIT"",$C57"&amp;"0)),
      COUNTIFS('SUMMARY DATA'!$D:$D,$C570,'SUMMARY DATA'!$B:$B,""RWS"")&lt;&gt;1
    ),
    """",
    IFERROR(TEXTJOIN(CHAR(10),TRUE,FILTER('SUMMARY DATA'!G:G,'SUMMARY DATA'!$D:$D=$C570,'SUMMARY DATA'!$B:$B=""RWS"")),"""")
  )
)"),"")</f>
      </c>
      <c r="H570" s="18" t="str">
        <f>IFERROR(__xludf.DUMMYFUNCTION("IFERROR(
  TEXTJOIN(CHAR(10),TRUE,FILTER('SUMMARY DATA'!H:H,'SUMMARY DATA'!$A:$A=$A570,'SUMMARY DATA'!$C:$C=$B570,'SUMMARY DATA'!$B:$B=""RWS"",'SUMMARY DATA'!$H:$H=$D570)),
  IF(
    OR(
      ISNUMBER(SEARCH(""CDM CASH DEPOSIT"",$C570)),
      ISNUMBER(S"&amp;"EARCH(""CASH DEPOSIT"",$C570))
    ),
    """",
    IFERROR(TEXTJOIN(CHAR(10),TRUE,FILTER('SUMMARY DATA'!H:H,'SUMMARY DATA'!$D:$D=$C570,'SUMMARY DATA'!$B:$B=""RWS"",'SUMMARY DATA'!$H:$H=$D570)),"""")
  )
)"),"")</f>
      </c>
      <c r="I570" s="18" t="str">
        <f>IFERROR(__xludf.DUMMYFUNCTION("IF(H570="""","""",
SUM(ARRAYFORMULA(VALUE(SPLIT(H570,CHAR(10)))))
)"),"")</f>
      </c>
      <c r="J570" s="17" t="str">
        <f>IFERROR(__xludf.DUMMYFUNCTION("IFERROR(
  TEXTJOIN(CHAR(10),TRUE,FILTER('SUMMARY DATA'!I:I,'SUMMARY DATA'!$A:$A=$A570,'SUMMARY DATA'!$C:$C=$B570,'SUMMARY DATA'!$B:$B=""RWS"")),
  IF(
    OR(
      ISNUMBER(SEARCH(""CDM CASH DEPOSIT"",$C570)),
      ISNUMBER(SEARCH(""CASH DEPOSIT"",$C57"&amp;"0)),
      COUNTIFS('SUMMARY DATA'!$D:$D,$C570,'SUMMARY DATA'!$B:$B,""RWS"")&lt;&gt;1
    ),
    """",
    IFERROR(TEXTJOIN(CHAR(10),TRUE,FILTER('SUMMARY DATA'!I:I,'SUMMARY DATA'!$D:$D=$C570,'SUMMARY DATA'!$B:$B=""RWS"")),"""")
  )
)"),"")</f>
      </c>
      <c r="K570" s="2"/>
      <c r="L570" s="2"/>
      <c r="M570" s="2"/>
      <c r="N570" s="2"/>
      <c r="O570" s="2"/>
      <c r="P570" s="2"/>
      <c r="Q570" s="2"/>
      <c r="R570" s="2"/>
      <c r="S570" s="2"/>
      <c r="T570" s="2"/>
      <c r="U570" s="2"/>
      <c r="V570" s="2"/>
      <c r="W570" s="2"/>
      <c r="X570" s="2"/>
      <c r="Y570" s="2"/>
      <c r="Z570" s="2"/>
      <c r="AA570" s="2"/>
      <c r="AB570" s="2"/>
    </row>
    <row r="571" spans="1:28" customHeight="true">
      <c r="A571" s="2"/>
      <c r="B571" s="15">
        <v>46048</v>
      </c>
      <c r="C571" s="2" t="s">
        <v>945</v>
      </c>
      <c r="D571" s="3">
        <v>1</v>
      </c>
      <c r="E571" s="16" t="str">
        <f>IFERROR(__xludf.DUMMYFUNCTION("IFERROR(
  TEXTJOIN(CHAR(10),TRUE,FILTER('SUMMARY DATA'!E:E,'SUMMARY DATA'!$A:$A=$A571,'SUMMARY DATA'!$C:$C=$B571,'SUMMARY DATA'!$B:$B=""RWS"")),
  IF(
    OR(
      ISNUMBER(SEARCH(""CDM CASH DEPOSIT"",$C571)),
      ISNUMBER(SEARCH(""CASH DEPOSIT"",$C57"&amp;"1)),
      COUNTIFS('SUMMARY DATA'!$D:$D,$C571,'SUMMARY DATA'!$B:$B,""RWS"")&lt;&gt;1
    ),
    """",
    IFERROR(TEXTJOIN(CHAR(10),TRUE,FILTER('SUMMARY DATA'!E:E,'SUMMARY DATA'!$D:$D=$C571,'SUMMARY DATA'!$B:$B=""RWS"")),"""")
  )
)"),"")</f>
      </c>
      <c r="F571" s="17" t="str">
        <f>IFERROR(__xludf.DUMMYFUNCTION("IFERROR(
  TEXTJOIN(CHAR(10),TRUE,FILTER('SUMMARY DATA'!F:F,'SUMMARY DATA'!$A:$A=$A571,'SUMMARY DATA'!$C:$C=$B571,'SUMMARY DATA'!$B:$B=""RWS"")),
  IF(
    OR(
      ISNUMBER(SEARCH(""CDM CASH DEPOSIT"",$C571)),
      ISNUMBER(SEARCH(""CASH DEPOSIT"",$C57"&amp;"1)),
      COUNTIFS('SUMMARY DATA'!$D:$D,$C571,'SUMMARY DATA'!$B:$B,""RWS"")&lt;&gt;1
    ),
    """",
    IFERROR(TEXTJOIN(CHAR(10),TRUE,FILTER('SUMMARY DATA'!F:F,'SUMMARY DATA'!$D:$D=$C571,'SUMMARY DATA'!$B:$B=""RWS"")),"""")
  )
)"),"")</f>
      </c>
      <c r="G571" s="17" t="str">
        <f>IFERROR(__xludf.DUMMYFUNCTION("IFERROR(
  TEXTJOIN(CHAR(10),TRUE,FILTER('SUMMARY DATA'!G:G,'SUMMARY DATA'!$A:$A=$A571,'SUMMARY DATA'!$C:$C=$B571,'SUMMARY DATA'!$B:$B=""RWS"")),
  IF(
    OR(
      ISNUMBER(SEARCH(""CDM CASH DEPOSIT"",$C571)),
      ISNUMBER(SEARCH(""CASH DEPOSIT"",$C57"&amp;"1)),
      COUNTIFS('SUMMARY DATA'!$D:$D,$C571,'SUMMARY DATA'!$B:$B,""RWS"")&lt;&gt;1
    ),
    """",
    IFERROR(TEXTJOIN(CHAR(10),TRUE,FILTER('SUMMARY DATA'!G:G,'SUMMARY DATA'!$D:$D=$C571,'SUMMARY DATA'!$B:$B=""RWS"")),"""")
  )
)"),"")</f>
      </c>
      <c r="H571" s="18" t="str">
        <f>IFERROR(__xludf.DUMMYFUNCTION("IFERROR(
  TEXTJOIN(CHAR(10),TRUE,FILTER('SUMMARY DATA'!H:H,'SUMMARY DATA'!$A:$A=$A571,'SUMMARY DATA'!$C:$C=$B571,'SUMMARY DATA'!$B:$B=""RWS"",'SUMMARY DATA'!$H:$H=$D571)),
  IF(
    OR(
      ISNUMBER(SEARCH(""CDM CASH DEPOSIT"",$C571)),
      ISNUMBER(S"&amp;"EARCH(""CASH DEPOSIT"",$C571))
    ),
    """",
    IFERROR(TEXTJOIN(CHAR(10),TRUE,FILTER('SUMMARY DATA'!H:H,'SUMMARY DATA'!$D:$D=$C571,'SUMMARY DATA'!$B:$B=""RWS"",'SUMMARY DATA'!$H:$H=$D571)),"""")
  )
)"),"")</f>
      </c>
      <c r="I571" s="18" t="str">
        <f>IFERROR(__xludf.DUMMYFUNCTION("IF(H571="""","""",
SUM(ARRAYFORMULA(VALUE(SPLIT(H571,CHAR(10)))))
)"),"")</f>
      </c>
      <c r="J571" s="17" t="str">
        <f>IFERROR(__xludf.DUMMYFUNCTION("IFERROR(
  TEXTJOIN(CHAR(10),TRUE,FILTER('SUMMARY DATA'!I:I,'SUMMARY DATA'!$A:$A=$A571,'SUMMARY DATA'!$C:$C=$B571,'SUMMARY DATA'!$B:$B=""RWS"")),
  IF(
    OR(
      ISNUMBER(SEARCH(""CDM CASH DEPOSIT"",$C571)),
      ISNUMBER(SEARCH(""CASH DEPOSIT"",$C57"&amp;"1)),
      COUNTIFS('SUMMARY DATA'!$D:$D,$C571,'SUMMARY DATA'!$B:$B,""RWS"")&lt;&gt;1
    ),
    """",
    IFERROR(TEXTJOIN(CHAR(10),TRUE,FILTER('SUMMARY DATA'!I:I,'SUMMARY DATA'!$D:$D=$C571,'SUMMARY DATA'!$B:$B=""RWS"")),"""")
  )
)"),"")</f>
      </c>
      <c r="K571" s="2"/>
      <c r="L571" s="2"/>
      <c r="M571" s="2"/>
      <c r="N571" s="2"/>
      <c r="O571" s="2"/>
      <c r="P571" s="2"/>
      <c r="Q571" s="2"/>
      <c r="R571" s="2"/>
      <c r="S571" s="2"/>
      <c r="T571" s="2"/>
      <c r="U571" s="2"/>
      <c r="V571" s="2"/>
      <c r="W571" s="2"/>
      <c r="X571" s="2"/>
      <c r="Y571" s="2"/>
      <c r="Z571" s="2"/>
      <c r="AA571" s="2"/>
      <c r="AB571" s="2"/>
    </row>
    <row r="572" spans="1:28" customHeight="true">
      <c r="A572" s="2"/>
      <c r="B572" s="15">
        <v>46048</v>
      </c>
      <c r="C572" s="2" t="s">
        <v>946</v>
      </c>
      <c r="D572" s="3">
        <v>1</v>
      </c>
      <c r="E572" s="16" t="str">
        <f>IFERROR(__xludf.DUMMYFUNCTION("IFERROR(
  TEXTJOIN(CHAR(10),TRUE,FILTER('SUMMARY DATA'!E:E,'SUMMARY DATA'!$A:$A=$A572,'SUMMARY DATA'!$C:$C=$B572,'SUMMARY DATA'!$B:$B=""RWS"")),
  IF(
    OR(
      ISNUMBER(SEARCH(""CDM CASH DEPOSIT"",$C572)),
      ISNUMBER(SEARCH(""CASH DEPOSIT"",$C57"&amp;"2)),
      COUNTIFS('SUMMARY DATA'!$D:$D,$C572,'SUMMARY DATA'!$B:$B,""RWS"")&lt;&gt;1
    ),
    """",
    IFERROR(TEXTJOIN(CHAR(10),TRUE,FILTER('SUMMARY DATA'!E:E,'SUMMARY DATA'!$D:$D=$C572,'SUMMARY DATA'!$B:$B=""RWS"")),"""")
  )
)"),"")</f>
      </c>
      <c r="F572" s="17" t="str">
        <f>IFERROR(__xludf.DUMMYFUNCTION("IFERROR(
  TEXTJOIN(CHAR(10),TRUE,FILTER('SUMMARY DATA'!F:F,'SUMMARY DATA'!$A:$A=$A572,'SUMMARY DATA'!$C:$C=$B572,'SUMMARY DATA'!$B:$B=""RWS"")),
  IF(
    OR(
      ISNUMBER(SEARCH(""CDM CASH DEPOSIT"",$C572)),
      ISNUMBER(SEARCH(""CASH DEPOSIT"",$C57"&amp;"2)),
      COUNTIFS('SUMMARY DATA'!$D:$D,$C572,'SUMMARY DATA'!$B:$B,""RWS"")&lt;&gt;1
    ),
    """",
    IFERROR(TEXTJOIN(CHAR(10),TRUE,FILTER('SUMMARY DATA'!F:F,'SUMMARY DATA'!$D:$D=$C572,'SUMMARY DATA'!$B:$B=""RWS"")),"""")
  )
)"),"")</f>
      </c>
      <c r="G572" s="17" t="str">
        <f>IFERROR(__xludf.DUMMYFUNCTION("IFERROR(
  TEXTJOIN(CHAR(10),TRUE,FILTER('SUMMARY DATA'!G:G,'SUMMARY DATA'!$A:$A=$A572,'SUMMARY DATA'!$C:$C=$B572,'SUMMARY DATA'!$B:$B=""RWS"")),
  IF(
    OR(
      ISNUMBER(SEARCH(""CDM CASH DEPOSIT"",$C572)),
      ISNUMBER(SEARCH(""CASH DEPOSIT"",$C57"&amp;"2)),
      COUNTIFS('SUMMARY DATA'!$D:$D,$C572,'SUMMARY DATA'!$B:$B,""RWS"")&lt;&gt;1
    ),
    """",
    IFERROR(TEXTJOIN(CHAR(10),TRUE,FILTER('SUMMARY DATA'!G:G,'SUMMARY DATA'!$D:$D=$C572,'SUMMARY DATA'!$B:$B=""RWS"")),"""")
  )
)"),"")</f>
      </c>
      <c r="H572" s="18" t="str">
        <f>IFERROR(__xludf.DUMMYFUNCTION("IFERROR(
  TEXTJOIN(CHAR(10),TRUE,FILTER('SUMMARY DATA'!H:H,'SUMMARY DATA'!$A:$A=$A572,'SUMMARY DATA'!$C:$C=$B572,'SUMMARY DATA'!$B:$B=""RWS"",'SUMMARY DATA'!$H:$H=$D572)),
  IF(
    OR(
      ISNUMBER(SEARCH(""CDM CASH DEPOSIT"",$C572)),
      ISNUMBER(S"&amp;"EARCH(""CASH DEPOSIT"",$C572))
    ),
    """",
    IFERROR(TEXTJOIN(CHAR(10),TRUE,FILTER('SUMMARY DATA'!H:H,'SUMMARY DATA'!$D:$D=$C572,'SUMMARY DATA'!$B:$B=""RWS"",'SUMMARY DATA'!$H:$H=$D572)),"""")
  )
)"),"")</f>
      </c>
      <c r="I572" s="18" t="str">
        <f>IFERROR(__xludf.DUMMYFUNCTION("IF(H572="""","""",
SUM(ARRAYFORMULA(VALUE(SPLIT(H572,CHAR(10)))))
)"),"")</f>
      </c>
      <c r="J572" s="17" t="str">
        <f>IFERROR(__xludf.DUMMYFUNCTION("IFERROR(
  TEXTJOIN(CHAR(10),TRUE,FILTER('SUMMARY DATA'!I:I,'SUMMARY DATA'!$A:$A=$A572,'SUMMARY DATA'!$C:$C=$B572,'SUMMARY DATA'!$B:$B=""RWS"")),
  IF(
    OR(
      ISNUMBER(SEARCH(""CDM CASH DEPOSIT"",$C572)),
      ISNUMBER(SEARCH(""CASH DEPOSIT"",$C57"&amp;"2)),
      COUNTIFS('SUMMARY DATA'!$D:$D,$C572,'SUMMARY DATA'!$B:$B,""RWS"")&lt;&gt;1
    ),
    """",
    IFERROR(TEXTJOIN(CHAR(10),TRUE,FILTER('SUMMARY DATA'!I:I,'SUMMARY DATA'!$D:$D=$C572,'SUMMARY DATA'!$B:$B=""RWS"")),"""")
  )
)"),"")</f>
      </c>
      <c r="K572" s="2"/>
      <c r="L572" s="2"/>
      <c r="M572" s="2"/>
      <c r="N572" s="2"/>
      <c r="O572" s="2"/>
      <c r="P572" s="2"/>
      <c r="Q572" s="2"/>
      <c r="R572" s="2"/>
      <c r="S572" s="2"/>
      <c r="T572" s="2"/>
      <c r="U572" s="2"/>
      <c r="V572" s="2"/>
      <c r="W572" s="2"/>
      <c r="X572" s="2"/>
      <c r="Y572" s="2"/>
      <c r="Z572" s="2"/>
      <c r="AA572" s="2"/>
      <c r="AB572" s="2"/>
    </row>
    <row r="573" spans="1:28" customHeight="true">
      <c r="A573" s="2"/>
      <c r="B573" s="15">
        <v>46048</v>
      </c>
      <c r="C573" s="2" t="s">
        <v>947</v>
      </c>
      <c r="D573" s="3">
        <v>1</v>
      </c>
      <c r="E573" s="16" t="str">
        <f>IFERROR(__xludf.DUMMYFUNCTION("IFERROR(
  TEXTJOIN(CHAR(10),TRUE,FILTER('SUMMARY DATA'!E:E,'SUMMARY DATA'!$A:$A=$A573,'SUMMARY DATA'!$C:$C=$B573,'SUMMARY DATA'!$B:$B=""RWS"")),
  IF(
    OR(
      ISNUMBER(SEARCH(""CDM CASH DEPOSIT"",$C573)),
      ISNUMBER(SEARCH(""CASH DEPOSIT"",$C57"&amp;"3)),
      COUNTIFS('SUMMARY DATA'!$D:$D,$C573,'SUMMARY DATA'!$B:$B,""RWS"")&lt;&gt;1
    ),
    """",
    IFERROR(TEXTJOIN(CHAR(10),TRUE,FILTER('SUMMARY DATA'!E:E,'SUMMARY DATA'!$D:$D=$C573,'SUMMARY DATA'!$B:$B=""RWS"")),"""")
  )
)"),"")</f>
      </c>
      <c r="F573" s="17" t="str">
        <f>IFERROR(__xludf.DUMMYFUNCTION("IFERROR(
  TEXTJOIN(CHAR(10),TRUE,FILTER('SUMMARY DATA'!F:F,'SUMMARY DATA'!$A:$A=$A573,'SUMMARY DATA'!$C:$C=$B573,'SUMMARY DATA'!$B:$B=""RWS"")),
  IF(
    OR(
      ISNUMBER(SEARCH(""CDM CASH DEPOSIT"",$C573)),
      ISNUMBER(SEARCH(""CASH DEPOSIT"",$C57"&amp;"3)),
      COUNTIFS('SUMMARY DATA'!$D:$D,$C573,'SUMMARY DATA'!$B:$B,""RWS"")&lt;&gt;1
    ),
    """",
    IFERROR(TEXTJOIN(CHAR(10),TRUE,FILTER('SUMMARY DATA'!F:F,'SUMMARY DATA'!$D:$D=$C573,'SUMMARY DATA'!$B:$B=""RWS"")),"""")
  )
)"),"")</f>
      </c>
      <c r="G573" s="17" t="str">
        <f>IFERROR(__xludf.DUMMYFUNCTION("IFERROR(
  TEXTJOIN(CHAR(10),TRUE,FILTER('SUMMARY DATA'!G:G,'SUMMARY DATA'!$A:$A=$A573,'SUMMARY DATA'!$C:$C=$B573,'SUMMARY DATA'!$B:$B=""RWS"")),
  IF(
    OR(
      ISNUMBER(SEARCH(""CDM CASH DEPOSIT"",$C573)),
      ISNUMBER(SEARCH(""CASH DEPOSIT"",$C57"&amp;"3)),
      COUNTIFS('SUMMARY DATA'!$D:$D,$C573,'SUMMARY DATA'!$B:$B,""RWS"")&lt;&gt;1
    ),
    """",
    IFERROR(TEXTJOIN(CHAR(10),TRUE,FILTER('SUMMARY DATA'!G:G,'SUMMARY DATA'!$D:$D=$C573,'SUMMARY DATA'!$B:$B=""RWS"")),"""")
  )
)"),"")</f>
      </c>
      <c r="H573" s="18" t="str">
        <f>IFERROR(__xludf.DUMMYFUNCTION("IFERROR(
  TEXTJOIN(CHAR(10),TRUE,FILTER('SUMMARY DATA'!H:H,'SUMMARY DATA'!$A:$A=$A573,'SUMMARY DATA'!$C:$C=$B573,'SUMMARY DATA'!$B:$B=""RWS"",'SUMMARY DATA'!$H:$H=$D573)),
  IF(
    OR(
      ISNUMBER(SEARCH(""CDM CASH DEPOSIT"",$C573)),
      ISNUMBER(S"&amp;"EARCH(""CASH DEPOSIT"",$C573))
    ),
    """",
    IFERROR(TEXTJOIN(CHAR(10),TRUE,FILTER('SUMMARY DATA'!H:H,'SUMMARY DATA'!$D:$D=$C573,'SUMMARY DATA'!$B:$B=""RWS"",'SUMMARY DATA'!$H:$H=$D573)),"""")
  )
)"),"")</f>
      </c>
      <c r="I573" s="18" t="str">
        <f>IFERROR(__xludf.DUMMYFUNCTION("IF(H573="""","""",
SUM(ARRAYFORMULA(VALUE(SPLIT(H573,CHAR(10)))))
)"),"")</f>
      </c>
      <c r="J573" s="17" t="str">
        <f>IFERROR(__xludf.DUMMYFUNCTION("IFERROR(
  TEXTJOIN(CHAR(10),TRUE,FILTER('SUMMARY DATA'!I:I,'SUMMARY DATA'!$A:$A=$A573,'SUMMARY DATA'!$C:$C=$B573,'SUMMARY DATA'!$B:$B=""RWS"")),
  IF(
    OR(
      ISNUMBER(SEARCH(""CDM CASH DEPOSIT"",$C573)),
      ISNUMBER(SEARCH(""CASH DEPOSIT"",$C57"&amp;"3)),
      COUNTIFS('SUMMARY DATA'!$D:$D,$C573,'SUMMARY DATA'!$B:$B,""RWS"")&lt;&gt;1
    ),
    """",
    IFERROR(TEXTJOIN(CHAR(10),TRUE,FILTER('SUMMARY DATA'!I:I,'SUMMARY DATA'!$D:$D=$C573,'SUMMARY DATA'!$B:$B=""RWS"")),"""")
  )
)"),"")</f>
      </c>
      <c r="K573" s="2"/>
      <c r="L573" s="2"/>
      <c r="M573" s="2"/>
      <c r="N573" s="2"/>
      <c r="O573" s="2"/>
      <c r="P573" s="2"/>
      <c r="Q573" s="2"/>
      <c r="R573" s="2"/>
      <c r="S573" s="2"/>
      <c r="T573" s="2"/>
      <c r="U573" s="2"/>
      <c r="V573" s="2"/>
      <c r="W573" s="2"/>
      <c r="X573" s="2"/>
      <c r="Y573" s="2"/>
      <c r="Z573" s="2"/>
      <c r="AA573" s="2"/>
      <c r="AB573" s="2"/>
    </row>
    <row r="574" spans="1:28" customHeight="true">
      <c r="A574" s="2"/>
      <c r="B574" s="15">
        <v>46048</v>
      </c>
      <c r="C574" s="2" t="s">
        <v>948</v>
      </c>
      <c r="D574" s="3">
        <v>1</v>
      </c>
      <c r="E574" s="16" t="str">
        <f>IFERROR(__xludf.DUMMYFUNCTION("IFERROR(
  TEXTJOIN(CHAR(10),TRUE,FILTER('SUMMARY DATA'!E:E,'SUMMARY DATA'!$A:$A=$A574,'SUMMARY DATA'!$C:$C=$B574,'SUMMARY DATA'!$B:$B=""RWS"")),
  IF(
    OR(
      ISNUMBER(SEARCH(""CDM CASH DEPOSIT"",$C574)),
      ISNUMBER(SEARCH(""CASH DEPOSIT"",$C57"&amp;"4)),
      COUNTIFS('SUMMARY DATA'!$D:$D,$C574,'SUMMARY DATA'!$B:$B,""RWS"")&lt;&gt;1
    ),
    """",
    IFERROR(TEXTJOIN(CHAR(10),TRUE,FILTER('SUMMARY DATA'!E:E,'SUMMARY DATA'!$D:$D=$C574,'SUMMARY DATA'!$B:$B=""RWS"")),"""")
  )
)"),"")</f>
      </c>
      <c r="F574" s="17" t="str">
        <f>IFERROR(__xludf.DUMMYFUNCTION("IFERROR(
  TEXTJOIN(CHAR(10),TRUE,FILTER('SUMMARY DATA'!F:F,'SUMMARY DATA'!$A:$A=$A574,'SUMMARY DATA'!$C:$C=$B574,'SUMMARY DATA'!$B:$B=""RWS"")),
  IF(
    OR(
      ISNUMBER(SEARCH(""CDM CASH DEPOSIT"",$C574)),
      ISNUMBER(SEARCH(""CASH DEPOSIT"",$C57"&amp;"4)),
      COUNTIFS('SUMMARY DATA'!$D:$D,$C574,'SUMMARY DATA'!$B:$B,""RWS"")&lt;&gt;1
    ),
    """",
    IFERROR(TEXTJOIN(CHAR(10),TRUE,FILTER('SUMMARY DATA'!F:F,'SUMMARY DATA'!$D:$D=$C574,'SUMMARY DATA'!$B:$B=""RWS"")),"""")
  )
)"),"")</f>
      </c>
      <c r="G574" s="17" t="str">
        <f>IFERROR(__xludf.DUMMYFUNCTION("IFERROR(
  TEXTJOIN(CHAR(10),TRUE,FILTER('SUMMARY DATA'!G:G,'SUMMARY DATA'!$A:$A=$A574,'SUMMARY DATA'!$C:$C=$B574,'SUMMARY DATA'!$B:$B=""RWS"")),
  IF(
    OR(
      ISNUMBER(SEARCH(""CDM CASH DEPOSIT"",$C574)),
      ISNUMBER(SEARCH(""CASH DEPOSIT"",$C57"&amp;"4)),
      COUNTIFS('SUMMARY DATA'!$D:$D,$C574,'SUMMARY DATA'!$B:$B,""RWS"")&lt;&gt;1
    ),
    """",
    IFERROR(TEXTJOIN(CHAR(10),TRUE,FILTER('SUMMARY DATA'!G:G,'SUMMARY DATA'!$D:$D=$C574,'SUMMARY DATA'!$B:$B=""RWS"")),"""")
  )
)"),"")</f>
      </c>
      <c r="H574" s="18" t="str">
        <f>IFERROR(__xludf.DUMMYFUNCTION("IFERROR(
  TEXTJOIN(CHAR(10),TRUE,FILTER('SUMMARY DATA'!H:H,'SUMMARY DATA'!$A:$A=$A574,'SUMMARY DATA'!$C:$C=$B574,'SUMMARY DATA'!$B:$B=""RWS"",'SUMMARY DATA'!$H:$H=$D574)),
  IF(
    OR(
      ISNUMBER(SEARCH(""CDM CASH DEPOSIT"",$C574)),
      ISNUMBER(S"&amp;"EARCH(""CASH DEPOSIT"",$C574))
    ),
    """",
    IFERROR(TEXTJOIN(CHAR(10),TRUE,FILTER('SUMMARY DATA'!H:H,'SUMMARY DATA'!$D:$D=$C574,'SUMMARY DATA'!$B:$B=""RWS"",'SUMMARY DATA'!$H:$H=$D574)),"""")
  )
)"),"")</f>
      </c>
      <c r="I574" s="18" t="str">
        <f>IFERROR(__xludf.DUMMYFUNCTION("IF(H574="""","""",
SUM(ARRAYFORMULA(VALUE(SPLIT(H574,CHAR(10)))))
)"),"")</f>
      </c>
      <c r="J574" s="17" t="str">
        <f>IFERROR(__xludf.DUMMYFUNCTION("IFERROR(
  TEXTJOIN(CHAR(10),TRUE,FILTER('SUMMARY DATA'!I:I,'SUMMARY DATA'!$A:$A=$A574,'SUMMARY DATA'!$C:$C=$B574,'SUMMARY DATA'!$B:$B=""RWS"")),
  IF(
    OR(
      ISNUMBER(SEARCH(""CDM CASH DEPOSIT"",$C574)),
      ISNUMBER(SEARCH(""CASH DEPOSIT"",$C57"&amp;"4)),
      COUNTIFS('SUMMARY DATA'!$D:$D,$C574,'SUMMARY DATA'!$B:$B,""RWS"")&lt;&gt;1
    ),
    """",
    IFERROR(TEXTJOIN(CHAR(10),TRUE,FILTER('SUMMARY DATA'!I:I,'SUMMARY DATA'!$D:$D=$C574,'SUMMARY DATA'!$B:$B=""RWS"")),"""")
  )
)"),"")</f>
      </c>
      <c r="K574" s="2"/>
      <c r="L574" s="2"/>
      <c r="M574" s="2"/>
      <c r="N574" s="2"/>
      <c r="O574" s="2"/>
      <c r="P574" s="2"/>
      <c r="Q574" s="2"/>
      <c r="R574" s="2"/>
      <c r="S574" s="2"/>
      <c r="T574" s="2"/>
      <c r="U574" s="2"/>
      <c r="V574" s="2"/>
      <c r="W574" s="2"/>
      <c r="X574" s="2"/>
      <c r="Y574" s="2"/>
      <c r="Z574" s="2"/>
      <c r="AA574" s="2"/>
      <c r="AB574" s="2"/>
    </row>
    <row r="575" spans="1:28" customHeight="true">
      <c r="A575" s="2" t="s">
        <v>949</v>
      </c>
      <c r="B575" s="15">
        <v>46048</v>
      </c>
      <c r="C575" s="2" t="s">
        <v>950</v>
      </c>
      <c r="D575" s="3">
        <v>57.85</v>
      </c>
      <c r="E575" s="16" t="s">
        <v>2439</v>
      </c>
      <c r="F575" s="17" t="s">
        <v>2596</v>
      </c>
      <c r="G575" s="17" t="s">
        <v>2393</v>
      </c>
      <c r="H575" s="18">
        <v>57.85</v>
      </c>
      <c r="I575" s="18">
        <v>57.85</v>
      </c>
      <c r="J575" s="17" t="s">
        <v>2394</v>
      </c>
      <c r="K575" s="2" t="s">
        <v>2395</v>
      </c>
      <c r="L575" s="2"/>
      <c r="M575" s="2"/>
      <c r="N575" s="2"/>
      <c r="O575" s="2"/>
      <c r="P575" s="2"/>
      <c r="Q575" s="2"/>
      <c r="R575" s="2"/>
      <c r="S575" s="2"/>
      <c r="T575" s="2"/>
      <c r="U575" s="2"/>
      <c r="V575" s="2"/>
      <c r="W575" s="2"/>
      <c r="X575" s="2"/>
      <c r="Y575" s="2"/>
      <c r="Z575" s="2"/>
      <c r="AA575" s="2"/>
      <c r="AB575" s="2"/>
    </row>
    <row r="576" spans="1:28" customHeight="true">
      <c r="A576" s="2"/>
      <c r="B576" s="15">
        <v>46048</v>
      </c>
      <c r="C576" s="2" t="s">
        <v>951</v>
      </c>
      <c r="D576" s="3">
        <v>157.88</v>
      </c>
      <c r="E576" s="16" t="str">
        <f>IFERROR(__xludf.DUMMYFUNCTION("IFERROR(
  TEXTJOIN(CHAR(10),TRUE,FILTER('SUMMARY DATA'!E:E,'SUMMARY DATA'!$A:$A=$A576,'SUMMARY DATA'!$C:$C=$B576,'SUMMARY DATA'!$B:$B=""RWS"")),
  IF(
    OR(
      ISNUMBER(SEARCH(""CDM CASH DEPOSIT"",$C576)),
      ISNUMBER(SEARCH(""CASH DEPOSIT"",$C57"&amp;"6)),
      COUNTIFS('SUMMARY DATA'!$D:$D,$C576,'SUMMARY DATA'!$B:$B,""RWS"")&lt;&gt;1
    ),
    """",
    IFERROR(TEXTJOIN(CHAR(10),TRUE,FILTER('SUMMARY DATA'!E:E,'SUMMARY DATA'!$D:$D=$C576,'SUMMARY DATA'!$B:$B=""RWS"")),"""")
  )
)"),"")</f>
      </c>
      <c r="F576" s="17" t="str">
        <f>IFERROR(__xludf.DUMMYFUNCTION("IFERROR(
  TEXTJOIN(CHAR(10),TRUE,FILTER('SUMMARY DATA'!F:F,'SUMMARY DATA'!$A:$A=$A576,'SUMMARY DATA'!$C:$C=$B576,'SUMMARY DATA'!$B:$B=""RWS"")),
  IF(
    OR(
      ISNUMBER(SEARCH(""CDM CASH DEPOSIT"",$C576)),
      ISNUMBER(SEARCH(""CASH DEPOSIT"",$C57"&amp;"6)),
      COUNTIFS('SUMMARY DATA'!$D:$D,$C576,'SUMMARY DATA'!$B:$B,""RWS"")&lt;&gt;1
    ),
    """",
    IFERROR(TEXTJOIN(CHAR(10),TRUE,FILTER('SUMMARY DATA'!F:F,'SUMMARY DATA'!$D:$D=$C576,'SUMMARY DATA'!$B:$B=""RWS"")),"""")
  )
)"),"")</f>
      </c>
      <c r="G576" s="17" t="str">
        <f>IFERROR(__xludf.DUMMYFUNCTION("IFERROR(
  TEXTJOIN(CHAR(10),TRUE,FILTER('SUMMARY DATA'!G:G,'SUMMARY DATA'!$A:$A=$A576,'SUMMARY DATA'!$C:$C=$B576,'SUMMARY DATA'!$B:$B=""RWS"")),
  IF(
    OR(
      ISNUMBER(SEARCH(""CDM CASH DEPOSIT"",$C576)),
      ISNUMBER(SEARCH(""CASH DEPOSIT"",$C57"&amp;"6)),
      COUNTIFS('SUMMARY DATA'!$D:$D,$C576,'SUMMARY DATA'!$B:$B,""RWS"")&lt;&gt;1
    ),
    """",
    IFERROR(TEXTJOIN(CHAR(10),TRUE,FILTER('SUMMARY DATA'!G:G,'SUMMARY DATA'!$D:$D=$C576,'SUMMARY DATA'!$B:$B=""RWS"")),"""")
  )
)"),"")</f>
      </c>
      <c r="H576" s="18" t="str">
        <f>IFERROR(__xludf.DUMMYFUNCTION("IFERROR(
  TEXTJOIN(CHAR(10),TRUE,FILTER('SUMMARY DATA'!H:H,'SUMMARY DATA'!$A:$A=$A576,'SUMMARY DATA'!$C:$C=$B576,'SUMMARY DATA'!$B:$B=""RWS"",'SUMMARY DATA'!$H:$H=$D576)),
  IF(
    OR(
      ISNUMBER(SEARCH(""CDM CASH DEPOSIT"",$C576)),
      ISNUMBER(S"&amp;"EARCH(""CASH DEPOSIT"",$C576))
    ),
    """",
    IFERROR(TEXTJOIN(CHAR(10),TRUE,FILTER('SUMMARY DATA'!H:H,'SUMMARY DATA'!$D:$D=$C576,'SUMMARY DATA'!$B:$B=""RWS"",'SUMMARY DATA'!$H:$H=$D576)),"""")
  )
)"),"")</f>
      </c>
      <c r="I576" s="18" t="str">
        <f>IFERROR(__xludf.DUMMYFUNCTION("IF(H576="""","""",
SUM(ARRAYFORMULA(VALUE(SPLIT(H576,CHAR(10)))))
)"),"")</f>
      </c>
      <c r="J576" s="17" t="str">
        <f>IFERROR(__xludf.DUMMYFUNCTION("IFERROR(
  TEXTJOIN(CHAR(10),TRUE,FILTER('SUMMARY DATA'!I:I,'SUMMARY DATA'!$A:$A=$A576,'SUMMARY DATA'!$C:$C=$B576,'SUMMARY DATA'!$B:$B=""RWS"")),
  IF(
    OR(
      ISNUMBER(SEARCH(""CDM CASH DEPOSIT"",$C576)),
      ISNUMBER(SEARCH(""CASH DEPOSIT"",$C57"&amp;"6)),
      COUNTIFS('SUMMARY DATA'!$D:$D,$C576,'SUMMARY DATA'!$B:$B,""RWS"")&lt;&gt;1
    ),
    """",
    IFERROR(TEXTJOIN(CHAR(10),TRUE,FILTER('SUMMARY DATA'!I:I,'SUMMARY DATA'!$D:$D=$C576,'SUMMARY DATA'!$B:$B=""RWS"")),"""")
  )
)"),"")</f>
      </c>
      <c r="K576" s="2"/>
      <c r="L576" s="2"/>
      <c r="M576" s="2"/>
      <c r="N576" s="2"/>
      <c r="O576" s="2"/>
      <c r="P576" s="2"/>
      <c r="Q576" s="2"/>
      <c r="R576" s="2"/>
      <c r="S576" s="2"/>
      <c r="T576" s="2"/>
      <c r="U576" s="2"/>
      <c r="V576" s="2"/>
      <c r="W576" s="2"/>
      <c r="X576" s="2"/>
      <c r="Y576" s="2"/>
      <c r="Z576" s="2"/>
      <c r="AA576" s="2"/>
      <c r="AB576" s="2"/>
    </row>
    <row r="577" spans="1:28" customHeight="true">
      <c r="A577" s="2"/>
      <c r="B577" s="15">
        <v>46048</v>
      </c>
      <c r="C577" s="2" t="s">
        <v>952</v>
      </c>
      <c r="D577" s="3">
        <v>11.99</v>
      </c>
      <c r="E577" s="16" t="str">
        <f>IFERROR(__xludf.DUMMYFUNCTION("IFERROR(
  TEXTJOIN(CHAR(10),TRUE,FILTER('SUMMARY DATA'!E:E,'SUMMARY DATA'!$A:$A=$A577,'SUMMARY DATA'!$C:$C=$B577,'SUMMARY DATA'!$B:$B=""RWS"")),
  IF(
    OR(
      ISNUMBER(SEARCH(""CDM CASH DEPOSIT"",$C577)),
      ISNUMBER(SEARCH(""CASH DEPOSIT"",$C57"&amp;"7)),
      COUNTIFS('SUMMARY DATA'!$D:$D,$C577,'SUMMARY DATA'!$B:$B,""RWS"")&lt;&gt;1
    ),
    """",
    IFERROR(TEXTJOIN(CHAR(10),TRUE,FILTER('SUMMARY DATA'!E:E,'SUMMARY DATA'!$D:$D=$C577,'SUMMARY DATA'!$B:$B=""RWS"")),"""")
  )
)"),"")</f>
      </c>
      <c r="F577" s="17" t="str">
        <f>IFERROR(__xludf.DUMMYFUNCTION("IFERROR(
  TEXTJOIN(CHAR(10),TRUE,FILTER('SUMMARY DATA'!F:F,'SUMMARY DATA'!$A:$A=$A577,'SUMMARY DATA'!$C:$C=$B577,'SUMMARY DATA'!$B:$B=""RWS"")),
  IF(
    OR(
      ISNUMBER(SEARCH(""CDM CASH DEPOSIT"",$C577)),
      ISNUMBER(SEARCH(""CASH DEPOSIT"",$C57"&amp;"7)),
      COUNTIFS('SUMMARY DATA'!$D:$D,$C577,'SUMMARY DATA'!$B:$B,""RWS"")&lt;&gt;1
    ),
    """",
    IFERROR(TEXTJOIN(CHAR(10),TRUE,FILTER('SUMMARY DATA'!F:F,'SUMMARY DATA'!$D:$D=$C577,'SUMMARY DATA'!$B:$B=""RWS"")),"""")
  )
)"),"")</f>
      </c>
      <c r="G577" s="17" t="str">
        <f>IFERROR(__xludf.DUMMYFUNCTION("IFERROR(
  TEXTJOIN(CHAR(10),TRUE,FILTER('SUMMARY DATA'!G:G,'SUMMARY DATA'!$A:$A=$A577,'SUMMARY DATA'!$C:$C=$B577,'SUMMARY DATA'!$B:$B=""RWS"")),
  IF(
    OR(
      ISNUMBER(SEARCH(""CDM CASH DEPOSIT"",$C577)),
      ISNUMBER(SEARCH(""CASH DEPOSIT"",$C57"&amp;"7)),
      COUNTIFS('SUMMARY DATA'!$D:$D,$C577,'SUMMARY DATA'!$B:$B,""RWS"")&lt;&gt;1
    ),
    """",
    IFERROR(TEXTJOIN(CHAR(10),TRUE,FILTER('SUMMARY DATA'!G:G,'SUMMARY DATA'!$D:$D=$C577,'SUMMARY DATA'!$B:$B=""RWS"")),"""")
  )
)"),"")</f>
      </c>
      <c r="H577" s="18" t="str">
        <f>IFERROR(__xludf.DUMMYFUNCTION("IFERROR(
  TEXTJOIN(CHAR(10),TRUE,FILTER('SUMMARY DATA'!H:H,'SUMMARY DATA'!$A:$A=$A577,'SUMMARY DATA'!$C:$C=$B577,'SUMMARY DATA'!$B:$B=""RWS"",'SUMMARY DATA'!$H:$H=$D577)),
  IF(
    OR(
      ISNUMBER(SEARCH(""CDM CASH DEPOSIT"",$C577)),
      ISNUMBER(S"&amp;"EARCH(""CASH DEPOSIT"",$C577))
    ),
    """",
    IFERROR(TEXTJOIN(CHAR(10),TRUE,FILTER('SUMMARY DATA'!H:H,'SUMMARY DATA'!$D:$D=$C577,'SUMMARY DATA'!$B:$B=""RWS"",'SUMMARY DATA'!$H:$H=$D577)),"""")
  )
)"),"")</f>
      </c>
      <c r="I577" s="18" t="str">
        <f>IFERROR(__xludf.DUMMYFUNCTION("IF(H577="""","""",
SUM(ARRAYFORMULA(VALUE(SPLIT(H577,CHAR(10)))))
)"),"")</f>
      </c>
      <c r="J577" s="17" t="str">
        <f>IFERROR(__xludf.DUMMYFUNCTION("IFERROR(
  TEXTJOIN(CHAR(10),TRUE,FILTER('SUMMARY DATA'!I:I,'SUMMARY DATA'!$A:$A=$A577,'SUMMARY DATA'!$C:$C=$B577,'SUMMARY DATA'!$B:$B=""RWS"")),
  IF(
    OR(
      ISNUMBER(SEARCH(""CDM CASH DEPOSIT"",$C577)),
      ISNUMBER(SEARCH(""CASH DEPOSIT"",$C57"&amp;"7)),
      COUNTIFS('SUMMARY DATA'!$D:$D,$C577,'SUMMARY DATA'!$B:$B,""RWS"")&lt;&gt;1
    ),
    """",
    IFERROR(TEXTJOIN(CHAR(10),TRUE,FILTER('SUMMARY DATA'!I:I,'SUMMARY DATA'!$D:$D=$C577,'SUMMARY DATA'!$B:$B=""RWS"")),"""")
  )
)"),"")</f>
      </c>
      <c r="K577" s="2"/>
      <c r="L577" s="2"/>
      <c r="M577" s="2"/>
      <c r="N577" s="2"/>
      <c r="O577" s="2"/>
      <c r="P577" s="2"/>
      <c r="Q577" s="2"/>
      <c r="R577" s="2"/>
      <c r="S577" s="2"/>
      <c r="T577" s="2"/>
      <c r="U577" s="2"/>
      <c r="V577" s="2"/>
      <c r="W577" s="2"/>
      <c r="X577" s="2"/>
      <c r="Y577" s="2"/>
      <c r="Z577" s="2"/>
      <c r="AA577" s="2"/>
      <c r="AB577" s="2"/>
    </row>
    <row r="578" spans="1:28" customHeight="true">
      <c r="A578" s="2" t="s">
        <v>953</v>
      </c>
      <c r="B578" s="15">
        <v>46047</v>
      </c>
      <c r="C578" s="2" t="s">
        <v>954</v>
      </c>
      <c r="D578" s="3">
        <v>25</v>
      </c>
      <c r="E578" s="16" t="str">
        <f>IFERROR(__xludf.DUMMYFUNCTION("IFERROR(
  TEXTJOIN(CHAR(10),TRUE,FILTER('SUMMARY DATA'!E:E,'SUMMARY DATA'!$A:$A=$A578,'SUMMARY DATA'!$C:$C=$B578,'SUMMARY DATA'!$B:$B=""RWS"")),
  IF(
    OR(
      ISNUMBER(SEARCH(""CDM CASH DEPOSIT"",$C578)),
      ISNUMBER(SEARCH(""CASH DEPOSIT"",$C57"&amp;"8)),
      COUNTIFS('SUMMARY DATA'!$D:$D,$C578,'SUMMARY DATA'!$B:$B,""RWS"")&lt;&gt;1
    ),
    """",
    IFERROR(TEXTJOIN(CHAR(10),TRUE,FILTER('SUMMARY DATA'!E:E,'SUMMARY DATA'!$D:$D=$C578,'SUMMARY DATA'!$B:$B=""RWS"")),"""")
  )
)"),"")</f>
      </c>
      <c r="F578" s="17" t="str">
        <f>IFERROR(__xludf.DUMMYFUNCTION("IFERROR(
  TEXTJOIN(CHAR(10),TRUE,FILTER('SUMMARY DATA'!F:F,'SUMMARY DATA'!$A:$A=$A578,'SUMMARY DATA'!$C:$C=$B578,'SUMMARY DATA'!$B:$B=""RWS"")),
  IF(
    OR(
      ISNUMBER(SEARCH(""CDM CASH DEPOSIT"",$C578)),
      ISNUMBER(SEARCH(""CASH DEPOSIT"",$C57"&amp;"8)),
      COUNTIFS('SUMMARY DATA'!$D:$D,$C578,'SUMMARY DATA'!$B:$B,""RWS"")&lt;&gt;1
    ),
    """",
    IFERROR(TEXTJOIN(CHAR(10),TRUE,FILTER('SUMMARY DATA'!F:F,'SUMMARY DATA'!$D:$D=$C578,'SUMMARY DATA'!$B:$B=""RWS"")),"""")
  )
)"),"")</f>
      </c>
      <c r="G578" s="17" t="str">
        <f>IFERROR(__xludf.DUMMYFUNCTION("IFERROR(
  TEXTJOIN(CHAR(10),TRUE,FILTER('SUMMARY DATA'!G:G,'SUMMARY DATA'!$A:$A=$A578,'SUMMARY DATA'!$C:$C=$B578,'SUMMARY DATA'!$B:$B=""RWS"")),
  IF(
    OR(
      ISNUMBER(SEARCH(""CDM CASH DEPOSIT"",$C578)),
      ISNUMBER(SEARCH(""CASH DEPOSIT"",$C57"&amp;"8)),
      COUNTIFS('SUMMARY DATA'!$D:$D,$C578,'SUMMARY DATA'!$B:$B,""RWS"")&lt;&gt;1
    ),
    """",
    IFERROR(TEXTJOIN(CHAR(10),TRUE,FILTER('SUMMARY DATA'!G:G,'SUMMARY DATA'!$D:$D=$C578,'SUMMARY DATA'!$B:$B=""RWS"")),"""")
  )
)"),"")</f>
      </c>
      <c r="H578" s="18" t="str">
        <f>IFERROR(__xludf.DUMMYFUNCTION("IFERROR(
  TEXTJOIN(CHAR(10),TRUE,FILTER('SUMMARY DATA'!H:H,'SUMMARY DATA'!$A:$A=$A578,'SUMMARY DATA'!$C:$C=$B578,'SUMMARY DATA'!$B:$B=""RWS"",'SUMMARY DATA'!$H:$H=$D578)),
  IF(
    OR(
      ISNUMBER(SEARCH(""CDM CASH DEPOSIT"",$C578)),
      ISNUMBER(S"&amp;"EARCH(""CASH DEPOSIT"",$C578))
    ),
    """",
    IFERROR(TEXTJOIN(CHAR(10),TRUE,FILTER('SUMMARY DATA'!H:H,'SUMMARY DATA'!$D:$D=$C578,'SUMMARY DATA'!$B:$B=""RWS"",'SUMMARY DATA'!$H:$H=$D578)),"""")
  )
)"),"")</f>
      </c>
      <c r="I578" s="18" t="str">
        <f>IFERROR(__xludf.DUMMYFUNCTION("IF(H578="""","""",
SUM(ARRAYFORMULA(VALUE(SPLIT(H578,CHAR(10)))))
)"),"")</f>
      </c>
      <c r="J578" s="17" t="str">
        <f>IFERROR(__xludf.DUMMYFUNCTION("IFERROR(
  TEXTJOIN(CHAR(10),TRUE,FILTER('SUMMARY DATA'!I:I,'SUMMARY DATA'!$A:$A=$A578,'SUMMARY DATA'!$C:$C=$B578,'SUMMARY DATA'!$B:$B=""RWS"")),
  IF(
    OR(
      ISNUMBER(SEARCH(""CDM CASH DEPOSIT"",$C578)),
      ISNUMBER(SEARCH(""CASH DEPOSIT"",$C57"&amp;"8)),
      COUNTIFS('SUMMARY DATA'!$D:$D,$C578,'SUMMARY DATA'!$B:$B,""RWS"")&lt;&gt;1
    ),
    """",
    IFERROR(TEXTJOIN(CHAR(10),TRUE,FILTER('SUMMARY DATA'!I:I,'SUMMARY DATA'!$D:$D=$C578,'SUMMARY DATA'!$B:$B=""RWS"")),"""")
  )
)"),"")</f>
      </c>
      <c r="K578" s="2"/>
      <c r="L578" s="2"/>
      <c r="M578" s="2"/>
      <c r="N578" s="2"/>
      <c r="O578" s="2"/>
      <c r="P578" s="2"/>
      <c r="Q578" s="2"/>
      <c r="R578" s="2"/>
      <c r="S578" s="2"/>
      <c r="T578" s="2"/>
      <c r="U578" s="2"/>
      <c r="V578" s="2"/>
      <c r="W578" s="2"/>
      <c r="X578" s="2"/>
      <c r="Y578" s="2"/>
      <c r="Z578" s="2"/>
      <c r="AA578" s="2"/>
      <c r="AB578" s="2"/>
    </row>
    <row r="579" spans="1:28" customHeight="true">
      <c r="A579" s="2"/>
      <c r="B579" s="15">
        <v>46047</v>
      </c>
      <c r="C579" s="2" t="s">
        <v>955</v>
      </c>
      <c r="D579" s="3">
        <v>411</v>
      </c>
      <c r="E579" s="16" t="str">
        <f>IFERROR(__xludf.DUMMYFUNCTION("IFERROR(
  TEXTJOIN(CHAR(10),TRUE,FILTER('SUMMARY DATA'!E:E,'SUMMARY DATA'!$A:$A=$A579,'SUMMARY DATA'!$C:$C=$B579,'SUMMARY DATA'!$B:$B=""RWS"")),
  IF(
    OR(
      ISNUMBER(SEARCH(""CDM CASH DEPOSIT"",$C579)),
      ISNUMBER(SEARCH(""CASH DEPOSIT"",$C57"&amp;"9)),
      COUNTIFS('SUMMARY DATA'!$D:$D,$C579,'SUMMARY DATA'!$B:$B,""RWS"")&lt;&gt;1
    ),
    """",
    IFERROR(TEXTJOIN(CHAR(10),TRUE,FILTER('SUMMARY DATA'!E:E,'SUMMARY DATA'!$D:$D=$C579,'SUMMARY DATA'!$B:$B=""RWS"")),"""")
  )
)"),"")</f>
      </c>
      <c r="F579" s="17" t="str">
        <f>IFERROR(__xludf.DUMMYFUNCTION("IFERROR(
  TEXTJOIN(CHAR(10),TRUE,FILTER('SUMMARY DATA'!F:F,'SUMMARY DATA'!$A:$A=$A579,'SUMMARY DATA'!$C:$C=$B579,'SUMMARY DATA'!$B:$B=""RWS"")),
  IF(
    OR(
      ISNUMBER(SEARCH(""CDM CASH DEPOSIT"",$C579)),
      ISNUMBER(SEARCH(""CASH DEPOSIT"",$C57"&amp;"9)),
      COUNTIFS('SUMMARY DATA'!$D:$D,$C579,'SUMMARY DATA'!$B:$B,""RWS"")&lt;&gt;1
    ),
    """",
    IFERROR(TEXTJOIN(CHAR(10),TRUE,FILTER('SUMMARY DATA'!F:F,'SUMMARY DATA'!$D:$D=$C579,'SUMMARY DATA'!$B:$B=""RWS"")),"""")
  )
)"),"")</f>
      </c>
      <c r="G579" s="17" t="str">
        <f>IFERROR(__xludf.DUMMYFUNCTION("IFERROR(
  TEXTJOIN(CHAR(10),TRUE,FILTER('SUMMARY DATA'!G:G,'SUMMARY DATA'!$A:$A=$A579,'SUMMARY DATA'!$C:$C=$B579,'SUMMARY DATA'!$B:$B=""RWS"")),
  IF(
    OR(
      ISNUMBER(SEARCH(""CDM CASH DEPOSIT"",$C579)),
      ISNUMBER(SEARCH(""CASH DEPOSIT"",$C57"&amp;"9)),
      COUNTIFS('SUMMARY DATA'!$D:$D,$C579,'SUMMARY DATA'!$B:$B,""RWS"")&lt;&gt;1
    ),
    """",
    IFERROR(TEXTJOIN(CHAR(10),TRUE,FILTER('SUMMARY DATA'!G:G,'SUMMARY DATA'!$D:$D=$C579,'SUMMARY DATA'!$B:$B=""RWS"")),"""")
  )
)"),"")</f>
      </c>
      <c r="H579" s="18" t="str">
        <f>IFERROR(__xludf.DUMMYFUNCTION("IFERROR(
  TEXTJOIN(CHAR(10),TRUE,FILTER('SUMMARY DATA'!H:H,'SUMMARY DATA'!$A:$A=$A579,'SUMMARY DATA'!$C:$C=$B579,'SUMMARY DATA'!$B:$B=""RWS"",'SUMMARY DATA'!$H:$H=$D579)),
  IF(
    OR(
      ISNUMBER(SEARCH(""CDM CASH DEPOSIT"",$C579)),
      ISNUMBER(S"&amp;"EARCH(""CASH DEPOSIT"",$C579))
    ),
    """",
    IFERROR(TEXTJOIN(CHAR(10),TRUE,FILTER('SUMMARY DATA'!H:H,'SUMMARY DATA'!$D:$D=$C579,'SUMMARY DATA'!$B:$B=""RWS"",'SUMMARY DATA'!$H:$H=$D579)),"""")
  )
)"),"")</f>
      </c>
      <c r="I579" s="18" t="str">
        <f>IFERROR(__xludf.DUMMYFUNCTION("IF(H579="""","""",
SUM(ARRAYFORMULA(VALUE(SPLIT(H579,CHAR(10)))))
)"),"")</f>
      </c>
      <c r="J579" s="17" t="str">
        <f>IFERROR(__xludf.DUMMYFUNCTION("IFERROR(
  TEXTJOIN(CHAR(10),TRUE,FILTER('SUMMARY DATA'!I:I,'SUMMARY DATA'!$A:$A=$A579,'SUMMARY DATA'!$C:$C=$B579,'SUMMARY DATA'!$B:$B=""RWS"")),
  IF(
    OR(
      ISNUMBER(SEARCH(""CDM CASH DEPOSIT"",$C579)),
      ISNUMBER(SEARCH(""CASH DEPOSIT"",$C57"&amp;"9)),
      COUNTIFS('SUMMARY DATA'!$D:$D,$C579,'SUMMARY DATA'!$B:$B,""RWS"")&lt;&gt;1
    ),
    """",
    IFERROR(TEXTJOIN(CHAR(10),TRUE,FILTER('SUMMARY DATA'!I:I,'SUMMARY DATA'!$D:$D=$C579,'SUMMARY DATA'!$B:$B=""RWS"")),"""")
  )
)"),"")</f>
      </c>
      <c r="K579" s="2"/>
      <c r="L579" s="2"/>
      <c r="M579" s="2"/>
      <c r="N579" s="2"/>
      <c r="O579" s="2"/>
      <c r="P579" s="2"/>
      <c r="Q579" s="2"/>
      <c r="R579" s="2"/>
      <c r="S579" s="2"/>
      <c r="T579" s="2"/>
      <c r="U579" s="2"/>
      <c r="V579" s="2"/>
      <c r="W579" s="2"/>
      <c r="X579" s="2"/>
      <c r="Y579" s="2"/>
      <c r="Z579" s="2"/>
      <c r="AA579" s="2"/>
      <c r="AB579" s="2"/>
    </row>
    <row r="580" spans="1:28" customHeight="true">
      <c r="A580" s="2" t="s">
        <v>956</v>
      </c>
      <c r="B580" s="15">
        <v>46047</v>
      </c>
      <c r="C580" s="2" t="s">
        <v>957</v>
      </c>
      <c r="D580" s="3">
        <v>3</v>
      </c>
      <c r="E580" s="16" t="str">
        <f>IFERROR(__xludf.DUMMYFUNCTION("IFERROR(
  TEXTJOIN(CHAR(10),TRUE,FILTER('SUMMARY DATA'!E:E,'SUMMARY DATA'!$A:$A=$A580,'SUMMARY DATA'!$C:$C=$B580,'SUMMARY DATA'!$B:$B=""RWS"")),
  IF(
    OR(
      ISNUMBER(SEARCH(""CDM CASH DEPOSIT"",$C580)),
      ISNUMBER(SEARCH(""CASH DEPOSIT"",$C58"&amp;"0)),
      COUNTIFS('SUMMARY DATA'!$D:$D,$C580,'SUMMARY DATA'!$B:$B,""RWS"")&lt;&gt;1
    ),
    """",
    IFERROR(TEXTJOIN(CHAR(10),TRUE,FILTER('SUMMARY DATA'!E:E,'SUMMARY DATA'!$D:$D=$C580,'SUMMARY DATA'!$B:$B=""RWS"")),"""")
  )
)"),"")</f>
      </c>
      <c r="F580" s="17" t="str">
        <f>IFERROR(__xludf.DUMMYFUNCTION("IFERROR(
  TEXTJOIN(CHAR(10),TRUE,FILTER('SUMMARY DATA'!F:F,'SUMMARY DATA'!$A:$A=$A580,'SUMMARY DATA'!$C:$C=$B580,'SUMMARY DATA'!$B:$B=""RWS"")),
  IF(
    OR(
      ISNUMBER(SEARCH(""CDM CASH DEPOSIT"",$C580)),
      ISNUMBER(SEARCH(""CASH DEPOSIT"",$C58"&amp;"0)),
      COUNTIFS('SUMMARY DATA'!$D:$D,$C580,'SUMMARY DATA'!$B:$B,""RWS"")&lt;&gt;1
    ),
    """",
    IFERROR(TEXTJOIN(CHAR(10),TRUE,FILTER('SUMMARY DATA'!F:F,'SUMMARY DATA'!$D:$D=$C580,'SUMMARY DATA'!$B:$B=""RWS"")),"""")
  )
)"),"")</f>
      </c>
      <c r="G580" s="17" t="str">
        <f>IFERROR(__xludf.DUMMYFUNCTION("IFERROR(
  TEXTJOIN(CHAR(10),TRUE,FILTER('SUMMARY DATA'!G:G,'SUMMARY DATA'!$A:$A=$A580,'SUMMARY DATA'!$C:$C=$B580,'SUMMARY DATA'!$B:$B=""RWS"")),
  IF(
    OR(
      ISNUMBER(SEARCH(""CDM CASH DEPOSIT"",$C580)),
      ISNUMBER(SEARCH(""CASH DEPOSIT"",$C58"&amp;"0)),
      COUNTIFS('SUMMARY DATA'!$D:$D,$C580,'SUMMARY DATA'!$B:$B,""RWS"")&lt;&gt;1
    ),
    """",
    IFERROR(TEXTJOIN(CHAR(10),TRUE,FILTER('SUMMARY DATA'!G:G,'SUMMARY DATA'!$D:$D=$C580,'SUMMARY DATA'!$B:$B=""RWS"")),"""")
  )
)"),"")</f>
      </c>
      <c r="H580" s="18" t="str">
        <f>IFERROR(__xludf.DUMMYFUNCTION("IFERROR(
  TEXTJOIN(CHAR(10),TRUE,FILTER('SUMMARY DATA'!H:H,'SUMMARY DATA'!$A:$A=$A580,'SUMMARY DATA'!$C:$C=$B580,'SUMMARY DATA'!$B:$B=""RWS"",'SUMMARY DATA'!$H:$H=$D580)),
  IF(
    OR(
      ISNUMBER(SEARCH(""CDM CASH DEPOSIT"",$C580)),
      ISNUMBER(S"&amp;"EARCH(""CASH DEPOSIT"",$C580))
    ),
    """",
    IFERROR(TEXTJOIN(CHAR(10),TRUE,FILTER('SUMMARY DATA'!H:H,'SUMMARY DATA'!$D:$D=$C580,'SUMMARY DATA'!$B:$B=""RWS"",'SUMMARY DATA'!$H:$H=$D580)),"""")
  )
)"),"")</f>
      </c>
      <c r="I580" s="18" t="str">
        <f>IFERROR(__xludf.DUMMYFUNCTION("IF(H580="""","""",
SUM(ARRAYFORMULA(VALUE(SPLIT(H580,CHAR(10)))))
)"),"")</f>
      </c>
      <c r="J580" s="17" t="str">
        <f>IFERROR(__xludf.DUMMYFUNCTION("IFERROR(
  TEXTJOIN(CHAR(10),TRUE,FILTER('SUMMARY DATA'!I:I,'SUMMARY DATA'!$A:$A=$A580,'SUMMARY DATA'!$C:$C=$B580,'SUMMARY DATA'!$B:$B=""RWS"")),
  IF(
    OR(
      ISNUMBER(SEARCH(""CDM CASH DEPOSIT"",$C580)),
      ISNUMBER(SEARCH(""CASH DEPOSIT"",$C58"&amp;"0)),
      COUNTIFS('SUMMARY DATA'!$D:$D,$C580,'SUMMARY DATA'!$B:$B,""RWS"")&lt;&gt;1
    ),
    """",
    IFERROR(TEXTJOIN(CHAR(10),TRUE,FILTER('SUMMARY DATA'!I:I,'SUMMARY DATA'!$D:$D=$C580,'SUMMARY DATA'!$B:$B=""RWS"")),"""")
  )
)"),"")</f>
      </c>
      <c r="K580" s="2"/>
      <c r="L580" s="2"/>
      <c r="M580" s="2"/>
      <c r="N580" s="2"/>
      <c r="O580" s="2"/>
      <c r="P580" s="2"/>
      <c r="Q580" s="2"/>
      <c r="R580" s="2"/>
      <c r="S580" s="2"/>
      <c r="T580" s="2"/>
      <c r="U580" s="2"/>
      <c r="V580" s="2"/>
      <c r="W580" s="2"/>
      <c r="X580" s="2"/>
      <c r="Y580" s="2"/>
      <c r="Z580" s="2"/>
      <c r="AA580" s="2"/>
      <c r="AB580" s="2"/>
    </row>
    <row r="581" spans="1:28" customHeight="true">
      <c r="A581" s="2" t="s">
        <v>958</v>
      </c>
      <c r="B581" s="15">
        <v>46047</v>
      </c>
      <c r="C581" s="2" t="s">
        <v>959</v>
      </c>
      <c r="D581" s="3">
        <v>38</v>
      </c>
      <c r="E581" s="16" t="s">
        <v>2597</v>
      </c>
      <c r="F581" s="17" t="s">
        <v>2598</v>
      </c>
      <c r="G581" s="17" t="s">
        <v>2393</v>
      </c>
      <c r="H581" s="18">
        <v>38</v>
      </c>
      <c r="I581" s="18">
        <v>38</v>
      </c>
      <c r="J581" s="17" t="s">
        <v>2394</v>
      </c>
      <c r="K581" s="2" t="s">
        <v>2395</v>
      </c>
      <c r="L581" s="2"/>
      <c r="M581" s="2"/>
      <c r="N581" s="2"/>
      <c r="O581" s="2"/>
      <c r="P581" s="2"/>
      <c r="Q581" s="2"/>
      <c r="R581" s="2"/>
      <c r="S581" s="2"/>
      <c r="T581" s="2"/>
      <c r="U581" s="2"/>
      <c r="V581" s="2"/>
      <c r="W581" s="2"/>
      <c r="X581" s="2"/>
      <c r="Y581" s="2"/>
      <c r="Z581" s="2"/>
      <c r="AA581" s="2"/>
      <c r="AB581" s="2"/>
    </row>
    <row r="582" spans="1:28" customHeight="true">
      <c r="A582" s="2"/>
      <c r="B582" s="15">
        <v>46047</v>
      </c>
      <c r="C582" s="2" t="s">
        <v>960</v>
      </c>
      <c r="D582" s="3">
        <v>74.64</v>
      </c>
      <c r="E582" s="16" t="str">
        <f>IFERROR(__xludf.DUMMYFUNCTION("IFERROR(
  TEXTJOIN(CHAR(10),TRUE,FILTER('SUMMARY DATA'!E:E,'SUMMARY DATA'!$A:$A=$A582,'SUMMARY DATA'!$C:$C=$B582,'SUMMARY DATA'!$B:$B=""RWS"")),
  IF(
    OR(
      ISNUMBER(SEARCH(""CDM CASH DEPOSIT"",$C582)),
      ISNUMBER(SEARCH(""CASH DEPOSIT"",$C58"&amp;"2)),
      COUNTIFS('SUMMARY DATA'!$D:$D,$C582,'SUMMARY DATA'!$B:$B,""RWS"")&lt;&gt;1
    ),
    """",
    IFERROR(TEXTJOIN(CHAR(10),TRUE,FILTER('SUMMARY DATA'!E:E,'SUMMARY DATA'!$D:$D=$C582,'SUMMARY DATA'!$B:$B=""RWS"")),"""")
  )
)"),"")</f>
      </c>
      <c r="F582" s="17" t="str">
        <f>IFERROR(__xludf.DUMMYFUNCTION("IFERROR(
  TEXTJOIN(CHAR(10),TRUE,FILTER('SUMMARY DATA'!F:F,'SUMMARY DATA'!$A:$A=$A582,'SUMMARY DATA'!$C:$C=$B582,'SUMMARY DATA'!$B:$B=""RWS"")),
  IF(
    OR(
      ISNUMBER(SEARCH(""CDM CASH DEPOSIT"",$C582)),
      ISNUMBER(SEARCH(""CASH DEPOSIT"",$C58"&amp;"2)),
      COUNTIFS('SUMMARY DATA'!$D:$D,$C582,'SUMMARY DATA'!$B:$B,""RWS"")&lt;&gt;1
    ),
    """",
    IFERROR(TEXTJOIN(CHAR(10),TRUE,FILTER('SUMMARY DATA'!F:F,'SUMMARY DATA'!$D:$D=$C582,'SUMMARY DATA'!$B:$B=""RWS"")),"""")
  )
)"),"")</f>
      </c>
      <c r="G582" s="17" t="str">
        <f>IFERROR(__xludf.DUMMYFUNCTION("IFERROR(
  TEXTJOIN(CHAR(10),TRUE,FILTER('SUMMARY DATA'!G:G,'SUMMARY DATA'!$A:$A=$A582,'SUMMARY DATA'!$C:$C=$B582,'SUMMARY DATA'!$B:$B=""RWS"")),
  IF(
    OR(
      ISNUMBER(SEARCH(""CDM CASH DEPOSIT"",$C582)),
      ISNUMBER(SEARCH(""CASH DEPOSIT"",$C58"&amp;"2)),
      COUNTIFS('SUMMARY DATA'!$D:$D,$C582,'SUMMARY DATA'!$B:$B,""RWS"")&lt;&gt;1
    ),
    """",
    IFERROR(TEXTJOIN(CHAR(10),TRUE,FILTER('SUMMARY DATA'!G:G,'SUMMARY DATA'!$D:$D=$C582,'SUMMARY DATA'!$B:$B=""RWS"")),"""")
  )
)"),"")</f>
      </c>
      <c r="H582" s="18" t="str">
        <f>IFERROR(__xludf.DUMMYFUNCTION("IFERROR(
  TEXTJOIN(CHAR(10),TRUE,FILTER('SUMMARY DATA'!H:H,'SUMMARY DATA'!$A:$A=$A582,'SUMMARY DATA'!$C:$C=$B582,'SUMMARY DATA'!$B:$B=""RWS"",'SUMMARY DATA'!$H:$H=$D582)),
  IF(
    OR(
      ISNUMBER(SEARCH(""CDM CASH DEPOSIT"",$C582)),
      ISNUMBER(S"&amp;"EARCH(""CASH DEPOSIT"",$C582))
    ),
    """",
    IFERROR(TEXTJOIN(CHAR(10),TRUE,FILTER('SUMMARY DATA'!H:H,'SUMMARY DATA'!$D:$D=$C582,'SUMMARY DATA'!$B:$B=""RWS"",'SUMMARY DATA'!$H:$H=$D582)),"""")
  )
)"),"")</f>
      </c>
      <c r="I582" s="18" t="str">
        <f>IFERROR(__xludf.DUMMYFUNCTION("IF(H582="""","""",
SUM(ARRAYFORMULA(VALUE(SPLIT(H582,CHAR(10)))))
)"),"")</f>
      </c>
      <c r="J582" s="17" t="str">
        <f>IFERROR(__xludf.DUMMYFUNCTION("IFERROR(
  TEXTJOIN(CHAR(10),TRUE,FILTER('SUMMARY DATA'!I:I,'SUMMARY DATA'!$A:$A=$A582,'SUMMARY DATA'!$C:$C=$B582,'SUMMARY DATA'!$B:$B=""RWS"")),
  IF(
    OR(
      ISNUMBER(SEARCH(""CDM CASH DEPOSIT"",$C582)),
      ISNUMBER(SEARCH(""CASH DEPOSIT"",$C58"&amp;"2)),
      COUNTIFS('SUMMARY DATA'!$D:$D,$C582,'SUMMARY DATA'!$B:$B,""RWS"")&lt;&gt;1
    ),
    """",
    IFERROR(TEXTJOIN(CHAR(10),TRUE,FILTER('SUMMARY DATA'!I:I,'SUMMARY DATA'!$D:$D=$C582,'SUMMARY DATA'!$B:$B=""RWS"")),"""")
  )
)"),"")</f>
      </c>
      <c r="K582" s="2"/>
      <c r="L582" s="2"/>
      <c r="M582" s="2"/>
      <c r="N582" s="2"/>
      <c r="O582" s="2"/>
      <c r="P582" s="2"/>
      <c r="Q582" s="2"/>
      <c r="R582" s="2"/>
      <c r="S582" s="2"/>
      <c r="T582" s="2"/>
      <c r="U582" s="2"/>
      <c r="V582" s="2"/>
      <c r="W582" s="2"/>
      <c r="X582" s="2"/>
      <c r="Y582" s="2"/>
      <c r="Z582" s="2"/>
      <c r="AA582" s="2"/>
      <c r="AB582" s="2"/>
    </row>
    <row r="583" spans="1:28" customHeight="true">
      <c r="A583" s="2" t="s">
        <v>961</v>
      </c>
      <c r="B583" s="15">
        <v>46047</v>
      </c>
      <c r="C583" s="2" t="s">
        <v>962</v>
      </c>
      <c r="D583" s="3">
        <v>199</v>
      </c>
      <c r="E583" s="16" t="s">
        <v>2597</v>
      </c>
      <c r="F583" s="17" t="s">
        <v>2599</v>
      </c>
      <c r="G583" s="17" t="s">
        <v>2393</v>
      </c>
      <c r="H583" s="18">
        <v>199</v>
      </c>
      <c r="I583" s="18">
        <v>199</v>
      </c>
      <c r="J583" s="17" t="s">
        <v>2394</v>
      </c>
      <c r="K583" s="2" t="s">
        <v>2395</v>
      </c>
      <c r="L583" s="2"/>
      <c r="M583" s="2"/>
      <c r="N583" s="2"/>
      <c r="O583" s="2"/>
      <c r="P583" s="2"/>
      <c r="Q583" s="2"/>
      <c r="R583" s="2"/>
      <c r="S583" s="2"/>
      <c r="T583" s="2"/>
      <c r="U583" s="2"/>
      <c r="V583" s="2"/>
      <c r="W583" s="2"/>
      <c r="X583" s="2"/>
      <c r="Y583" s="2"/>
      <c r="Z583" s="2"/>
      <c r="AA583" s="2"/>
      <c r="AB583" s="2"/>
    </row>
    <row r="584" spans="1:28" customHeight="true">
      <c r="A584" s="2" t="s">
        <v>963</v>
      </c>
      <c r="B584" s="15">
        <v>46047</v>
      </c>
      <c r="C584" s="2" t="s">
        <v>964</v>
      </c>
      <c r="D584" s="3">
        <v>18.88</v>
      </c>
      <c r="E584" s="16" t="str">
        <f>IFERROR(__xludf.DUMMYFUNCTION("IFERROR(
  TEXTJOIN(CHAR(10),TRUE,FILTER('SUMMARY DATA'!E:E,'SUMMARY DATA'!$A:$A=$A584,'SUMMARY DATA'!$C:$C=$B584,'SUMMARY DATA'!$B:$B=""RWS"")),
  IF(
    OR(
      ISNUMBER(SEARCH(""CDM CASH DEPOSIT"",$C584)),
      ISNUMBER(SEARCH(""CASH DEPOSIT"",$C58"&amp;"4)),
      COUNTIFS('SUMMARY DATA'!$D:$D,$C584,'SUMMARY DATA'!$B:$B,""RWS"")&lt;&gt;1
    ),
    """",
    IFERROR(TEXTJOIN(CHAR(10),TRUE,FILTER('SUMMARY DATA'!E:E,'SUMMARY DATA'!$D:$D=$C584,'SUMMARY DATA'!$B:$B=""RWS"")),"""")
  )
)"),"")</f>
      </c>
      <c r="F584" s="17" t="str">
        <f>IFERROR(__xludf.DUMMYFUNCTION("IFERROR(
  TEXTJOIN(CHAR(10),TRUE,FILTER('SUMMARY DATA'!F:F,'SUMMARY DATA'!$A:$A=$A584,'SUMMARY DATA'!$C:$C=$B584,'SUMMARY DATA'!$B:$B=""RWS"")),
  IF(
    OR(
      ISNUMBER(SEARCH(""CDM CASH DEPOSIT"",$C584)),
      ISNUMBER(SEARCH(""CASH DEPOSIT"",$C58"&amp;"4)),
      COUNTIFS('SUMMARY DATA'!$D:$D,$C584,'SUMMARY DATA'!$B:$B,""RWS"")&lt;&gt;1
    ),
    """",
    IFERROR(TEXTJOIN(CHAR(10),TRUE,FILTER('SUMMARY DATA'!F:F,'SUMMARY DATA'!$D:$D=$C584,'SUMMARY DATA'!$B:$B=""RWS"")),"""")
  )
)"),"")</f>
      </c>
      <c r="G584" s="17" t="str">
        <f>IFERROR(__xludf.DUMMYFUNCTION("IFERROR(
  TEXTJOIN(CHAR(10),TRUE,FILTER('SUMMARY DATA'!G:G,'SUMMARY DATA'!$A:$A=$A584,'SUMMARY DATA'!$C:$C=$B584,'SUMMARY DATA'!$B:$B=""RWS"")),
  IF(
    OR(
      ISNUMBER(SEARCH(""CDM CASH DEPOSIT"",$C584)),
      ISNUMBER(SEARCH(""CASH DEPOSIT"",$C58"&amp;"4)),
      COUNTIFS('SUMMARY DATA'!$D:$D,$C584,'SUMMARY DATA'!$B:$B,""RWS"")&lt;&gt;1
    ),
    """",
    IFERROR(TEXTJOIN(CHAR(10),TRUE,FILTER('SUMMARY DATA'!G:G,'SUMMARY DATA'!$D:$D=$C584,'SUMMARY DATA'!$B:$B=""RWS"")),"""")
  )
)"),"")</f>
      </c>
      <c r="H584" s="18" t="str">
        <f>IFERROR(__xludf.DUMMYFUNCTION("IFERROR(
  TEXTJOIN(CHAR(10),TRUE,FILTER('SUMMARY DATA'!H:H,'SUMMARY DATA'!$A:$A=$A584,'SUMMARY DATA'!$C:$C=$B584,'SUMMARY DATA'!$B:$B=""RWS"",'SUMMARY DATA'!$H:$H=$D584)),
  IF(
    OR(
      ISNUMBER(SEARCH(""CDM CASH DEPOSIT"",$C584)),
      ISNUMBER(S"&amp;"EARCH(""CASH DEPOSIT"",$C584))
    ),
    """",
    IFERROR(TEXTJOIN(CHAR(10),TRUE,FILTER('SUMMARY DATA'!H:H,'SUMMARY DATA'!$D:$D=$C584,'SUMMARY DATA'!$B:$B=""RWS"",'SUMMARY DATA'!$H:$H=$D584)),"""")
  )
)"),"")</f>
      </c>
      <c r="I584" s="18" t="str">
        <f>IFERROR(__xludf.DUMMYFUNCTION("IF(H584="""","""",
SUM(ARRAYFORMULA(VALUE(SPLIT(H584,CHAR(10)))))
)"),"")</f>
      </c>
      <c r="J584" s="17" t="str">
        <f>IFERROR(__xludf.DUMMYFUNCTION("IFERROR(
  TEXTJOIN(CHAR(10),TRUE,FILTER('SUMMARY DATA'!I:I,'SUMMARY DATA'!$A:$A=$A584,'SUMMARY DATA'!$C:$C=$B584,'SUMMARY DATA'!$B:$B=""RWS"")),
  IF(
    OR(
      ISNUMBER(SEARCH(""CDM CASH DEPOSIT"",$C584)),
      ISNUMBER(SEARCH(""CASH DEPOSIT"",$C58"&amp;"4)),
      COUNTIFS('SUMMARY DATA'!$D:$D,$C584,'SUMMARY DATA'!$B:$B,""RWS"")&lt;&gt;1
    ),
    """",
    IFERROR(TEXTJOIN(CHAR(10),TRUE,FILTER('SUMMARY DATA'!I:I,'SUMMARY DATA'!$D:$D=$C584,'SUMMARY DATA'!$B:$B=""RWS"")),"""")
  )
)"),"")</f>
      </c>
      <c r="K584" s="2"/>
      <c r="L584" s="2"/>
      <c r="M584" s="2"/>
      <c r="N584" s="2"/>
      <c r="O584" s="2"/>
      <c r="P584" s="2"/>
      <c r="Q584" s="2"/>
      <c r="R584" s="2"/>
      <c r="S584" s="2"/>
      <c r="T584" s="2"/>
      <c r="U584" s="2"/>
      <c r="V584" s="2"/>
      <c r="W584" s="2"/>
      <c r="X584" s="2"/>
      <c r="Y584" s="2"/>
      <c r="Z584" s="2"/>
      <c r="AA584" s="2"/>
      <c r="AB584" s="2"/>
    </row>
    <row r="585" spans="1:28" customHeight="true">
      <c r="A585" s="2" t="s">
        <v>965</v>
      </c>
      <c r="B585" s="15">
        <v>46047</v>
      </c>
      <c r="C585" s="2" t="s">
        <v>966</v>
      </c>
      <c r="D585" s="3">
        <v>99</v>
      </c>
      <c r="E585" s="16" t="str">
        <f>IFERROR(__xludf.DUMMYFUNCTION("IFERROR(
  TEXTJOIN(CHAR(10),TRUE,FILTER('SUMMARY DATA'!E:E,'SUMMARY DATA'!$A:$A=$A585,'SUMMARY DATA'!$C:$C=$B585,'SUMMARY DATA'!$B:$B=""RWS"")),
  IF(
    OR(
      ISNUMBER(SEARCH(""CDM CASH DEPOSIT"",$C585)),
      ISNUMBER(SEARCH(""CASH DEPOSIT"",$C58"&amp;"5)),
      COUNTIFS('SUMMARY DATA'!$D:$D,$C585,'SUMMARY DATA'!$B:$B,""RWS"")&lt;&gt;1
    ),
    """",
    IFERROR(TEXTJOIN(CHAR(10),TRUE,FILTER('SUMMARY DATA'!E:E,'SUMMARY DATA'!$D:$D=$C585,'SUMMARY DATA'!$B:$B=""RWS"")),"""")
  )
)"),"")</f>
      </c>
      <c r="F585" s="17" t="str">
        <f>IFERROR(__xludf.DUMMYFUNCTION("IFERROR(
  TEXTJOIN(CHAR(10),TRUE,FILTER('SUMMARY DATA'!F:F,'SUMMARY DATA'!$A:$A=$A585,'SUMMARY DATA'!$C:$C=$B585,'SUMMARY DATA'!$B:$B=""RWS"")),
  IF(
    OR(
      ISNUMBER(SEARCH(""CDM CASH DEPOSIT"",$C585)),
      ISNUMBER(SEARCH(""CASH DEPOSIT"",$C58"&amp;"5)),
      COUNTIFS('SUMMARY DATA'!$D:$D,$C585,'SUMMARY DATA'!$B:$B,""RWS"")&lt;&gt;1
    ),
    """",
    IFERROR(TEXTJOIN(CHAR(10),TRUE,FILTER('SUMMARY DATA'!F:F,'SUMMARY DATA'!$D:$D=$C585,'SUMMARY DATA'!$B:$B=""RWS"")),"""")
  )
)"),"")</f>
      </c>
      <c r="G585" s="17" t="str">
        <f>IFERROR(__xludf.DUMMYFUNCTION("IFERROR(
  TEXTJOIN(CHAR(10),TRUE,FILTER('SUMMARY DATA'!G:G,'SUMMARY DATA'!$A:$A=$A585,'SUMMARY DATA'!$C:$C=$B585,'SUMMARY DATA'!$B:$B=""RWS"")),
  IF(
    OR(
      ISNUMBER(SEARCH(""CDM CASH DEPOSIT"",$C585)),
      ISNUMBER(SEARCH(""CASH DEPOSIT"",$C58"&amp;"5)),
      COUNTIFS('SUMMARY DATA'!$D:$D,$C585,'SUMMARY DATA'!$B:$B,""RWS"")&lt;&gt;1
    ),
    """",
    IFERROR(TEXTJOIN(CHAR(10),TRUE,FILTER('SUMMARY DATA'!G:G,'SUMMARY DATA'!$D:$D=$C585,'SUMMARY DATA'!$B:$B=""RWS"")),"""")
  )
)"),"")</f>
      </c>
      <c r="H585" s="18" t="str">
        <f>IFERROR(__xludf.DUMMYFUNCTION("IFERROR(
  TEXTJOIN(CHAR(10),TRUE,FILTER('SUMMARY DATA'!H:H,'SUMMARY DATA'!$A:$A=$A585,'SUMMARY DATA'!$C:$C=$B585,'SUMMARY DATA'!$B:$B=""RWS"",'SUMMARY DATA'!$H:$H=$D585)),
  IF(
    OR(
      ISNUMBER(SEARCH(""CDM CASH DEPOSIT"",$C585)),
      ISNUMBER(S"&amp;"EARCH(""CASH DEPOSIT"",$C585))
    ),
    """",
    IFERROR(TEXTJOIN(CHAR(10),TRUE,FILTER('SUMMARY DATA'!H:H,'SUMMARY DATA'!$D:$D=$C585,'SUMMARY DATA'!$B:$B=""RWS"",'SUMMARY DATA'!$H:$H=$D585)),"""")
  )
)"),"")</f>
      </c>
      <c r="I585" s="18" t="str">
        <f>IFERROR(__xludf.DUMMYFUNCTION("IF(H585="""","""",
SUM(ARRAYFORMULA(VALUE(SPLIT(H585,CHAR(10)))))
)"),"")</f>
      </c>
      <c r="J585" s="17" t="str">
        <f>IFERROR(__xludf.DUMMYFUNCTION("IFERROR(
  TEXTJOIN(CHAR(10),TRUE,FILTER('SUMMARY DATA'!I:I,'SUMMARY DATA'!$A:$A=$A585,'SUMMARY DATA'!$C:$C=$B585,'SUMMARY DATA'!$B:$B=""RWS"")),
  IF(
    OR(
      ISNUMBER(SEARCH(""CDM CASH DEPOSIT"",$C585)),
      ISNUMBER(SEARCH(""CASH DEPOSIT"",$C58"&amp;"5)),
      COUNTIFS('SUMMARY DATA'!$D:$D,$C585,'SUMMARY DATA'!$B:$B,""RWS"")&lt;&gt;1
    ),
    """",
    IFERROR(TEXTJOIN(CHAR(10),TRUE,FILTER('SUMMARY DATA'!I:I,'SUMMARY DATA'!$D:$D=$C585,'SUMMARY DATA'!$B:$B=""RWS"")),"""")
  )
)"),"")</f>
      </c>
      <c r="K585" s="2"/>
      <c r="L585" s="2"/>
      <c r="M585" s="2"/>
      <c r="N585" s="2"/>
      <c r="O585" s="2"/>
      <c r="P585" s="2"/>
      <c r="Q585" s="2"/>
      <c r="R585" s="2"/>
      <c r="S585" s="2"/>
      <c r="T585" s="2"/>
      <c r="U585" s="2"/>
      <c r="V585" s="2"/>
      <c r="W585" s="2"/>
      <c r="X585" s="2"/>
      <c r="Y585" s="2"/>
      <c r="Z585" s="2"/>
      <c r="AA585" s="2"/>
      <c r="AB585" s="2"/>
    </row>
    <row r="586" spans="1:28" customHeight="true">
      <c r="A586" s="2" t="s">
        <v>967</v>
      </c>
      <c r="B586" s="15">
        <v>46047</v>
      </c>
      <c r="C586" s="2" t="s">
        <v>968</v>
      </c>
      <c r="D586" s="3">
        <v>25</v>
      </c>
      <c r="E586" s="16" t="s">
        <v>2549</v>
      </c>
      <c r="F586" s="17" t="s">
        <v>2600</v>
      </c>
      <c r="G586" s="17" t="s">
        <v>2393</v>
      </c>
      <c r="H586" s="18">
        <v>25</v>
      </c>
      <c r="I586" s="18">
        <v>25</v>
      </c>
      <c r="J586" s="17" t="s">
        <v>2394</v>
      </c>
      <c r="K586" s="2" t="s">
        <v>2395</v>
      </c>
      <c r="L586" s="2"/>
      <c r="M586" s="2"/>
      <c r="N586" s="2"/>
      <c r="O586" s="2"/>
      <c r="P586" s="2"/>
      <c r="Q586" s="2"/>
      <c r="R586" s="2"/>
      <c r="S586" s="2"/>
      <c r="T586" s="2"/>
      <c r="U586" s="2"/>
      <c r="V586" s="2"/>
      <c r="W586" s="2"/>
      <c r="X586" s="2"/>
      <c r="Y586" s="2"/>
      <c r="Z586" s="2"/>
      <c r="AA586" s="2"/>
      <c r="AB586" s="2"/>
    </row>
    <row r="587" spans="1:28" customHeight="true">
      <c r="A587" s="2"/>
      <c r="B587" s="15">
        <v>46047</v>
      </c>
      <c r="C587" s="2" t="s">
        <v>969</v>
      </c>
      <c r="D587" s="3">
        <v>38</v>
      </c>
      <c r="E587" s="16" t="str">
        <f>IFERROR(__xludf.DUMMYFUNCTION("IFERROR(
  TEXTJOIN(CHAR(10),TRUE,FILTER('SUMMARY DATA'!E:E,'SUMMARY DATA'!$A:$A=$A587,'SUMMARY DATA'!$C:$C=$B587,'SUMMARY DATA'!$B:$B=""RWS"")),
  IF(
    OR(
      ISNUMBER(SEARCH(""CDM CASH DEPOSIT"",$C587)),
      ISNUMBER(SEARCH(""CASH DEPOSIT"",$C58"&amp;"7)),
      COUNTIFS('SUMMARY DATA'!$D:$D,$C587,'SUMMARY DATA'!$B:$B,""RWS"")&lt;&gt;1
    ),
    """",
    IFERROR(TEXTJOIN(CHAR(10),TRUE,FILTER('SUMMARY DATA'!E:E,'SUMMARY DATA'!$D:$D=$C587,'SUMMARY DATA'!$B:$B=""RWS"")),"""")
  )
)"),"")</f>
      </c>
      <c r="F587" s="17" t="str">
        <f>IFERROR(__xludf.DUMMYFUNCTION("IFERROR(
  TEXTJOIN(CHAR(10),TRUE,FILTER('SUMMARY DATA'!F:F,'SUMMARY DATA'!$A:$A=$A587,'SUMMARY DATA'!$C:$C=$B587,'SUMMARY DATA'!$B:$B=""RWS"")),
  IF(
    OR(
      ISNUMBER(SEARCH(""CDM CASH DEPOSIT"",$C587)),
      ISNUMBER(SEARCH(""CASH DEPOSIT"",$C58"&amp;"7)),
      COUNTIFS('SUMMARY DATA'!$D:$D,$C587,'SUMMARY DATA'!$B:$B,""RWS"")&lt;&gt;1
    ),
    """",
    IFERROR(TEXTJOIN(CHAR(10),TRUE,FILTER('SUMMARY DATA'!F:F,'SUMMARY DATA'!$D:$D=$C587,'SUMMARY DATA'!$B:$B=""RWS"")),"""")
  )
)"),"")</f>
      </c>
      <c r="G587" s="17" t="str">
        <f>IFERROR(__xludf.DUMMYFUNCTION("IFERROR(
  TEXTJOIN(CHAR(10),TRUE,FILTER('SUMMARY DATA'!G:G,'SUMMARY DATA'!$A:$A=$A587,'SUMMARY DATA'!$C:$C=$B587,'SUMMARY DATA'!$B:$B=""RWS"")),
  IF(
    OR(
      ISNUMBER(SEARCH(""CDM CASH DEPOSIT"",$C587)),
      ISNUMBER(SEARCH(""CASH DEPOSIT"",$C58"&amp;"7)),
      COUNTIFS('SUMMARY DATA'!$D:$D,$C587,'SUMMARY DATA'!$B:$B,""RWS"")&lt;&gt;1
    ),
    """",
    IFERROR(TEXTJOIN(CHAR(10),TRUE,FILTER('SUMMARY DATA'!G:G,'SUMMARY DATA'!$D:$D=$C587,'SUMMARY DATA'!$B:$B=""RWS"")),"""")
  )
)"),"")</f>
      </c>
      <c r="H587" s="18" t="str">
        <f>IFERROR(__xludf.DUMMYFUNCTION("IFERROR(
  TEXTJOIN(CHAR(10),TRUE,FILTER('SUMMARY DATA'!H:H,'SUMMARY DATA'!$A:$A=$A587,'SUMMARY DATA'!$C:$C=$B587,'SUMMARY DATA'!$B:$B=""RWS"",'SUMMARY DATA'!$H:$H=$D587)),
  IF(
    OR(
      ISNUMBER(SEARCH(""CDM CASH DEPOSIT"",$C587)),
      ISNUMBER(S"&amp;"EARCH(""CASH DEPOSIT"",$C587))
    ),
    """",
    IFERROR(TEXTJOIN(CHAR(10),TRUE,FILTER('SUMMARY DATA'!H:H,'SUMMARY DATA'!$D:$D=$C587,'SUMMARY DATA'!$B:$B=""RWS"",'SUMMARY DATA'!$H:$H=$D587)),"""")
  )
)"),"")</f>
      </c>
      <c r="I587" s="18" t="str">
        <f>IFERROR(__xludf.DUMMYFUNCTION("IF(H587="""","""",
SUM(ARRAYFORMULA(VALUE(SPLIT(H587,CHAR(10)))))
)"),"")</f>
      </c>
      <c r="J587" s="17" t="str">
        <f>IFERROR(__xludf.DUMMYFUNCTION("IFERROR(
  TEXTJOIN(CHAR(10),TRUE,FILTER('SUMMARY DATA'!I:I,'SUMMARY DATA'!$A:$A=$A587,'SUMMARY DATA'!$C:$C=$B587,'SUMMARY DATA'!$B:$B=""RWS"")),
  IF(
    OR(
      ISNUMBER(SEARCH(""CDM CASH DEPOSIT"",$C587)),
      ISNUMBER(SEARCH(""CASH DEPOSIT"",$C58"&amp;"7)),
      COUNTIFS('SUMMARY DATA'!$D:$D,$C587,'SUMMARY DATA'!$B:$B,""RWS"")&lt;&gt;1
    ),
    """",
    IFERROR(TEXTJOIN(CHAR(10),TRUE,FILTER('SUMMARY DATA'!I:I,'SUMMARY DATA'!$D:$D=$C587,'SUMMARY DATA'!$B:$B=""RWS"")),"""")
  )
)"),"")</f>
      </c>
      <c r="K587" s="2"/>
      <c r="L587" s="2"/>
      <c r="M587" s="2"/>
      <c r="N587" s="2"/>
      <c r="O587" s="2"/>
      <c r="P587" s="2"/>
      <c r="Q587" s="2"/>
      <c r="R587" s="2"/>
      <c r="S587" s="2"/>
      <c r="T587" s="2"/>
      <c r="U587" s="2"/>
      <c r="V587" s="2"/>
      <c r="W587" s="2"/>
      <c r="X587" s="2"/>
      <c r="Y587" s="2"/>
      <c r="Z587" s="2"/>
      <c r="AA587" s="2"/>
      <c r="AB587" s="2"/>
    </row>
    <row r="588" spans="1:28" customHeight="true">
      <c r="A588" s="2" t="s">
        <v>970</v>
      </c>
      <c r="B588" s="15">
        <v>46046</v>
      </c>
      <c r="C588" s="2" t="s">
        <v>971</v>
      </c>
      <c r="D588" s="3">
        <v>139.6</v>
      </c>
      <c r="E588" s="16" t="s">
        <v>2597</v>
      </c>
      <c r="F588" s="17" t="s">
        <v>2601</v>
      </c>
      <c r="G588" s="17" t="s">
        <v>2393</v>
      </c>
      <c r="H588" s="18">
        <v>139.6</v>
      </c>
      <c r="I588" s="18">
        <v>139.6</v>
      </c>
      <c r="J588" s="17" t="s">
        <v>2394</v>
      </c>
      <c r="K588" s="2" t="s">
        <v>2395</v>
      </c>
      <c r="L588" s="2"/>
      <c r="M588" s="2"/>
      <c r="N588" s="2"/>
      <c r="O588" s="2"/>
      <c r="P588" s="2"/>
      <c r="Q588" s="2"/>
      <c r="R588" s="2"/>
      <c r="S588" s="2"/>
      <c r="T588" s="2"/>
      <c r="U588" s="2"/>
      <c r="V588" s="2"/>
      <c r="W588" s="2"/>
      <c r="X588" s="2"/>
      <c r="Y588" s="2"/>
      <c r="Z588" s="2"/>
      <c r="AA588" s="2"/>
      <c r="AB588" s="2"/>
    </row>
    <row r="589" spans="1:28" customHeight="true">
      <c r="A589" s="2"/>
      <c r="B589" s="15">
        <v>46046</v>
      </c>
      <c r="C589" s="2" t="s">
        <v>48</v>
      </c>
      <c r="D589" s="3">
        <v>150</v>
      </c>
      <c r="E589" s="16" t="str">
        <f>IFERROR(__xludf.DUMMYFUNCTION("IFERROR(
  TEXTJOIN(CHAR(10),TRUE,FILTER('SUMMARY DATA'!E:E,'SUMMARY DATA'!$A:$A=$A589,'SUMMARY DATA'!$C:$C=$B589,'SUMMARY DATA'!$B:$B=""RWS"")),
  IF(
    OR(
      ISNUMBER(SEARCH(""CDM CASH DEPOSIT"",$C589)),
      ISNUMBER(SEARCH(""CASH DEPOSIT"",$C58"&amp;"9)),
      COUNTIFS('SUMMARY DATA'!$D:$D,$C589,'SUMMARY DATA'!$B:$B,""RWS"")&lt;&gt;1
    ),
    """",
    IFERROR(TEXTJOIN(CHAR(10),TRUE,FILTER('SUMMARY DATA'!E:E,'SUMMARY DATA'!$D:$D=$C589,'SUMMARY DATA'!$B:$B=""RWS"")),"""")
  )
)"),"")</f>
      </c>
      <c r="F589" s="17" t="str">
        <f>IFERROR(__xludf.DUMMYFUNCTION("IFERROR(
  TEXTJOIN(CHAR(10),TRUE,FILTER('SUMMARY DATA'!F:F,'SUMMARY DATA'!$A:$A=$A589,'SUMMARY DATA'!$C:$C=$B589,'SUMMARY DATA'!$B:$B=""RWS"")),
  IF(
    OR(
      ISNUMBER(SEARCH(""CDM CASH DEPOSIT"",$C589)),
      ISNUMBER(SEARCH(""CASH DEPOSIT"",$C58"&amp;"9)),
      COUNTIFS('SUMMARY DATA'!$D:$D,$C589,'SUMMARY DATA'!$B:$B,""RWS"")&lt;&gt;1
    ),
    """",
    IFERROR(TEXTJOIN(CHAR(10),TRUE,FILTER('SUMMARY DATA'!F:F,'SUMMARY DATA'!$D:$D=$C589,'SUMMARY DATA'!$B:$B=""RWS"")),"""")
  )
)"),"")</f>
      </c>
      <c r="G589" s="17" t="str">
        <f>IFERROR(__xludf.DUMMYFUNCTION("IFERROR(
  TEXTJOIN(CHAR(10),TRUE,FILTER('SUMMARY DATA'!G:G,'SUMMARY DATA'!$A:$A=$A589,'SUMMARY DATA'!$C:$C=$B589,'SUMMARY DATA'!$B:$B=""RWS"")),
  IF(
    OR(
      ISNUMBER(SEARCH(""CDM CASH DEPOSIT"",$C589)),
      ISNUMBER(SEARCH(""CASH DEPOSIT"",$C58"&amp;"9)),
      COUNTIFS('SUMMARY DATA'!$D:$D,$C589,'SUMMARY DATA'!$B:$B,""RWS"")&lt;&gt;1
    ),
    """",
    IFERROR(TEXTJOIN(CHAR(10),TRUE,FILTER('SUMMARY DATA'!G:G,'SUMMARY DATA'!$D:$D=$C589,'SUMMARY DATA'!$B:$B=""RWS"")),"""")
  )
)"),"")</f>
      </c>
      <c r="H589" s="18" t="str">
        <f>IFERROR(__xludf.DUMMYFUNCTION("IFERROR(
  TEXTJOIN(CHAR(10),TRUE,FILTER('SUMMARY DATA'!H:H,'SUMMARY DATA'!$A:$A=$A589,'SUMMARY DATA'!$C:$C=$B589,'SUMMARY DATA'!$B:$B=""RWS"",'SUMMARY DATA'!$H:$H=$D589)),
  IF(
    OR(
      ISNUMBER(SEARCH(""CDM CASH DEPOSIT"",$C589)),
      ISNUMBER(S"&amp;"EARCH(""CASH DEPOSIT"",$C589))
    ),
    """",
    IFERROR(TEXTJOIN(CHAR(10),TRUE,FILTER('SUMMARY DATA'!H:H,'SUMMARY DATA'!$D:$D=$C589,'SUMMARY DATA'!$B:$B=""RWS"",'SUMMARY DATA'!$H:$H=$D589)),"""")
  )
)"),"")</f>
      </c>
      <c r="I589" s="18" t="str">
        <f>IFERROR(__xludf.DUMMYFUNCTION("IF(H589="""","""",
SUM(ARRAYFORMULA(VALUE(SPLIT(H589,CHAR(10)))))
)"),"")</f>
      </c>
      <c r="J589" s="17" t="str">
        <f>IFERROR(__xludf.DUMMYFUNCTION("IFERROR(
  TEXTJOIN(CHAR(10),TRUE,FILTER('SUMMARY DATA'!I:I,'SUMMARY DATA'!$A:$A=$A589,'SUMMARY DATA'!$C:$C=$B589,'SUMMARY DATA'!$B:$B=""RWS"")),
  IF(
    OR(
      ISNUMBER(SEARCH(""CDM CASH DEPOSIT"",$C589)),
      ISNUMBER(SEARCH(""CASH DEPOSIT"",$C58"&amp;"9)),
      COUNTIFS('SUMMARY DATA'!$D:$D,$C589,'SUMMARY DATA'!$B:$B,""RWS"")&lt;&gt;1
    ),
    """",
    IFERROR(TEXTJOIN(CHAR(10),TRUE,FILTER('SUMMARY DATA'!I:I,'SUMMARY DATA'!$D:$D=$C589,'SUMMARY DATA'!$B:$B=""RWS"")),"""")
  )
)"),"")</f>
      </c>
      <c r="K589" s="2"/>
      <c r="L589" s="2"/>
      <c r="M589" s="2"/>
      <c r="N589" s="2"/>
      <c r="O589" s="2"/>
      <c r="P589" s="2"/>
      <c r="Q589" s="2"/>
      <c r="R589" s="2"/>
      <c r="S589" s="2"/>
      <c r="T589" s="2"/>
      <c r="U589" s="2"/>
      <c r="V589" s="2"/>
      <c r="W589" s="2"/>
      <c r="X589" s="2"/>
      <c r="Y589" s="2"/>
      <c r="Z589" s="2"/>
      <c r="AA589" s="2"/>
      <c r="AB589" s="2"/>
    </row>
    <row r="590" spans="1:28" customHeight="true">
      <c r="A590" s="2" t="s">
        <v>972</v>
      </c>
      <c r="B590" s="15">
        <v>46046</v>
      </c>
      <c r="C590" s="2" t="s">
        <v>973</v>
      </c>
      <c r="D590" s="3">
        <v>12.74</v>
      </c>
      <c r="E590" s="16" t="str">
        <f>IFERROR(__xludf.DUMMYFUNCTION("IFERROR(
  TEXTJOIN(CHAR(10),TRUE,FILTER('SUMMARY DATA'!E:E,'SUMMARY DATA'!$A:$A=$A590,'SUMMARY DATA'!$C:$C=$B590,'SUMMARY DATA'!$B:$B=""RWS"")),
  IF(
    OR(
      ISNUMBER(SEARCH(""CDM CASH DEPOSIT"",$C590)),
      ISNUMBER(SEARCH(""CASH DEPOSIT"",$C59"&amp;"0)),
      COUNTIFS('SUMMARY DATA'!$D:$D,$C590,'SUMMARY DATA'!$B:$B,""RWS"")&lt;&gt;1
    ),
    """",
    IFERROR(TEXTJOIN(CHAR(10),TRUE,FILTER('SUMMARY DATA'!E:E,'SUMMARY DATA'!$D:$D=$C590,'SUMMARY DATA'!$B:$B=""RWS"")),"""")
  )
)"),"")</f>
      </c>
      <c r="F590" s="17" t="str">
        <f>IFERROR(__xludf.DUMMYFUNCTION("IFERROR(
  TEXTJOIN(CHAR(10),TRUE,FILTER('SUMMARY DATA'!F:F,'SUMMARY DATA'!$A:$A=$A590,'SUMMARY DATA'!$C:$C=$B590,'SUMMARY DATA'!$B:$B=""RWS"")),
  IF(
    OR(
      ISNUMBER(SEARCH(""CDM CASH DEPOSIT"",$C590)),
      ISNUMBER(SEARCH(""CASH DEPOSIT"",$C59"&amp;"0)),
      COUNTIFS('SUMMARY DATA'!$D:$D,$C590,'SUMMARY DATA'!$B:$B,""RWS"")&lt;&gt;1
    ),
    """",
    IFERROR(TEXTJOIN(CHAR(10),TRUE,FILTER('SUMMARY DATA'!F:F,'SUMMARY DATA'!$D:$D=$C590,'SUMMARY DATA'!$B:$B=""RWS"")),"""")
  )
)"),"")</f>
      </c>
      <c r="G590" s="17" t="str">
        <f>IFERROR(__xludf.DUMMYFUNCTION("IFERROR(
  TEXTJOIN(CHAR(10),TRUE,FILTER('SUMMARY DATA'!G:G,'SUMMARY DATA'!$A:$A=$A590,'SUMMARY DATA'!$C:$C=$B590,'SUMMARY DATA'!$B:$B=""RWS"")),
  IF(
    OR(
      ISNUMBER(SEARCH(""CDM CASH DEPOSIT"",$C590)),
      ISNUMBER(SEARCH(""CASH DEPOSIT"",$C59"&amp;"0)),
      COUNTIFS('SUMMARY DATA'!$D:$D,$C590,'SUMMARY DATA'!$B:$B,""RWS"")&lt;&gt;1
    ),
    """",
    IFERROR(TEXTJOIN(CHAR(10),TRUE,FILTER('SUMMARY DATA'!G:G,'SUMMARY DATA'!$D:$D=$C590,'SUMMARY DATA'!$B:$B=""RWS"")),"""")
  )
)"),"")</f>
      </c>
      <c r="H590" s="18" t="str">
        <f>IFERROR(__xludf.DUMMYFUNCTION("IFERROR(
  TEXTJOIN(CHAR(10),TRUE,FILTER('SUMMARY DATA'!H:H,'SUMMARY DATA'!$A:$A=$A590,'SUMMARY DATA'!$C:$C=$B590,'SUMMARY DATA'!$B:$B=""RWS"",'SUMMARY DATA'!$H:$H=$D590)),
  IF(
    OR(
      ISNUMBER(SEARCH(""CDM CASH DEPOSIT"",$C590)),
      ISNUMBER(S"&amp;"EARCH(""CASH DEPOSIT"",$C590))
    ),
    """",
    IFERROR(TEXTJOIN(CHAR(10),TRUE,FILTER('SUMMARY DATA'!H:H,'SUMMARY DATA'!$D:$D=$C590,'SUMMARY DATA'!$B:$B=""RWS"",'SUMMARY DATA'!$H:$H=$D590)),"""")
  )
)"),"")</f>
      </c>
      <c r="I590" s="18" t="str">
        <f>IFERROR(__xludf.DUMMYFUNCTION("IF(H590="""","""",
SUM(ARRAYFORMULA(VALUE(SPLIT(H590,CHAR(10)))))
)"),"")</f>
      </c>
      <c r="J590" s="17" t="str">
        <f>IFERROR(__xludf.DUMMYFUNCTION("IFERROR(
  TEXTJOIN(CHAR(10),TRUE,FILTER('SUMMARY DATA'!I:I,'SUMMARY DATA'!$A:$A=$A590,'SUMMARY DATA'!$C:$C=$B590,'SUMMARY DATA'!$B:$B=""RWS"")),
  IF(
    OR(
      ISNUMBER(SEARCH(""CDM CASH DEPOSIT"",$C590)),
      ISNUMBER(SEARCH(""CASH DEPOSIT"",$C59"&amp;"0)),
      COUNTIFS('SUMMARY DATA'!$D:$D,$C590,'SUMMARY DATA'!$B:$B,""RWS"")&lt;&gt;1
    ),
    """",
    IFERROR(TEXTJOIN(CHAR(10),TRUE,FILTER('SUMMARY DATA'!I:I,'SUMMARY DATA'!$D:$D=$C590,'SUMMARY DATA'!$B:$B=""RWS"")),"""")
  )
)"),"")</f>
      </c>
      <c r="K590" s="2"/>
      <c r="L590" s="2"/>
      <c r="M590" s="2"/>
      <c r="N590" s="2"/>
      <c r="O590" s="2"/>
      <c r="P590" s="2"/>
      <c r="Q590" s="2"/>
      <c r="R590" s="2"/>
      <c r="S590" s="2"/>
      <c r="T590" s="2"/>
      <c r="U590" s="2"/>
      <c r="V590" s="2"/>
      <c r="W590" s="2"/>
      <c r="X590" s="2"/>
      <c r="Y590" s="2"/>
      <c r="Z590" s="2"/>
      <c r="AA590" s="2"/>
      <c r="AB590" s="2"/>
    </row>
    <row r="591" spans="1:28" customHeight="true">
      <c r="A591" s="2" t="s">
        <v>974</v>
      </c>
      <c r="B591" s="15">
        <v>46046</v>
      </c>
      <c r="C591" s="2" t="s">
        <v>975</v>
      </c>
      <c r="D591" s="3">
        <v>81.53</v>
      </c>
      <c r="E591" s="16" t="s">
        <v>2492</v>
      </c>
      <c r="F591" s="17" t="s">
        <v>2602</v>
      </c>
      <c r="G591" s="17" t="s">
        <v>2393</v>
      </c>
      <c r="H591" s="18">
        <v>81.53</v>
      </c>
      <c r="I591" s="18">
        <v>81.53</v>
      </c>
      <c r="J591" s="17" t="s">
        <v>2394</v>
      </c>
      <c r="K591" s="2" t="s">
        <v>2395</v>
      </c>
      <c r="L591" s="2"/>
      <c r="M591" s="2"/>
      <c r="N591" s="2"/>
      <c r="O591" s="2"/>
      <c r="P591" s="2"/>
      <c r="Q591" s="2"/>
      <c r="R591" s="2"/>
      <c r="S591" s="2"/>
      <c r="T591" s="2"/>
      <c r="U591" s="2"/>
      <c r="V591" s="2"/>
      <c r="W591" s="2"/>
      <c r="X591" s="2"/>
      <c r="Y591" s="2"/>
      <c r="Z591" s="2"/>
      <c r="AA591" s="2"/>
      <c r="AB591" s="2"/>
    </row>
    <row r="592" spans="1:28" customHeight="true">
      <c r="A592" s="2" t="s">
        <v>976</v>
      </c>
      <c r="B592" s="15">
        <v>46046</v>
      </c>
      <c r="C592" s="2" t="s">
        <v>48</v>
      </c>
      <c r="D592" s="3">
        <v>10</v>
      </c>
      <c r="E592" s="16" t="str">
        <f>IFERROR(__xludf.DUMMYFUNCTION("IFERROR(
  TEXTJOIN(CHAR(10),TRUE,FILTER('SUMMARY DATA'!E:E,'SUMMARY DATA'!$A:$A=$A592,'SUMMARY DATA'!$C:$C=$B592,'SUMMARY DATA'!$B:$B=""RWS"")),
  IF(
    OR(
      ISNUMBER(SEARCH(""CDM CASH DEPOSIT"",$C592)),
      ISNUMBER(SEARCH(""CASH DEPOSIT"",$C59"&amp;"2)),
      COUNTIFS('SUMMARY DATA'!$D:$D,$C592,'SUMMARY DATA'!$B:$B,""RWS"")&lt;&gt;1
    ),
    """",
    IFERROR(TEXTJOIN(CHAR(10),TRUE,FILTER('SUMMARY DATA'!E:E,'SUMMARY DATA'!$D:$D=$C592,'SUMMARY DATA'!$B:$B=""RWS"")),"""")
  )
)"),"")</f>
      </c>
      <c r="F592" s="17" t="str">
        <f>IFERROR(__xludf.DUMMYFUNCTION("IFERROR(
  TEXTJOIN(CHAR(10),TRUE,FILTER('SUMMARY DATA'!F:F,'SUMMARY DATA'!$A:$A=$A592,'SUMMARY DATA'!$C:$C=$B592,'SUMMARY DATA'!$B:$B=""RWS"")),
  IF(
    OR(
      ISNUMBER(SEARCH(""CDM CASH DEPOSIT"",$C592)),
      ISNUMBER(SEARCH(""CASH DEPOSIT"",$C59"&amp;"2)),
      COUNTIFS('SUMMARY DATA'!$D:$D,$C592,'SUMMARY DATA'!$B:$B,""RWS"")&lt;&gt;1
    ),
    """",
    IFERROR(TEXTJOIN(CHAR(10),TRUE,FILTER('SUMMARY DATA'!F:F,'SUMMARY DATA'!$D:$D=$C592,'SUMMARY DATA'!$B:$B=""RWS"")),"""")
  )
)"),"")</f>
      </c>
      <c r="G592" s="17" t="str">
        <f>IFERROR(__xludf.DUMMYFUNCTION("IFERROR(
  TEXTJOIN(CHAR(10),TRUE,FILTER('SUMMARY DATA'!G:G,'SUMMARY DATA'!$A:$A=$A592,'SUMMARY DATA'!$C:$C=$B592,'SUMMARY DATA'!$B:$B=""RWS"")),
  IF(
    OR(
      ISNUMBER(SEARCH(""CDM CASH DEPOSIT"",$C592)),
      ISNUMBER(SEARCH(""CASH DEPOSIT"",$C59"&amp;"2)),
      COUNTIFS('SUMMARY DATA'!$D:$D,$C592,'SUMMARY DATA'!$B:$B,""RWS"")&lt;&gt;1
    ),
    """",
    IFERROR(TEXTJOIN(CHAR(10),TRUE,FILTER('SUMMARY DATA'!G:G,'SUMMARY DATA'!$D:$D=$C592,'SUMMARY DATA'!$B:$B=""RWS"")),"""")
  )
)"),"")</f>
      </c>
      <c r="H592" s="18" t="str">
        <f>IFERROR(__xludf.DUMMYFUNCTION("IFERROR(
  TEXTJOIN(CHAR(10),TRUE,FILTER('SUMMARY DATA'!H:H,'SUMMARY DATA'!$A:$A=$A592,'SUMMARY DATA'!$C:$C=$B592,'SUMMARY DATA'!$B:$B=""RWS"",'SUMMARY DATA'!$H:$H=$D592)),
  IF(
    OR(
      ISNUMBER(SEARCH(""CDM CASH DEPOSIT"",$C592)),
      ISNUMBER(S"&amp;"EARCH(""CASH DEPOSIT"",$C592))
    ),
    """",
    IFERROR(TEXTJOIN(CHAR(10),TRUE,FILTER('SUMMARY DATA'!H:H,'SUMMARY DATA'!$D:$D=$C592,'SUMMARY DATA'!$B:$B=""RWS"",'SUMMARY DATA'!$H:$H=$D592)),"""")
  )
)"),"")</f>
      </c>
      <c r="I592" s="18" t="str">
        <f>IFERROR(__xludf.DUMMYFUNCTION("IF(H592="""","""",
SUM(ARRAYFORMULA(VALUE(SPLIT(H592,CHAR(10)))))
)"),"")</f>
      </c>
      <c r="J592" s="17" t="str">
        <f>IFERROR(__xludf.DUMMYFUNCTION("IFERROR(
  TEXTJOIN(CHAR(10),TRUE,FILTER('SUMMARY DATA'!I:I,'SUMMARY DATA'!$A:$A=$A592,'SUMMARY DATA'!$C:$C=$B592,'SUMMARY DATA'!$B:$B=""RWS"")),
  IF(
    OR(
      ISNUMBER(SEARCH(""CDM CASH DEPOSIT"",$C592)),
      ISNUMBER(SEARCH(""CASH DEPOSIT"",$C59"&amp;"2)),
      COUNTIFS('SUMMARY DATA'!$D:$D,$C592,'SUMMARY DATA'!$B:$B,""RWS"")&lt;&gt;1
    ),
    """",
    IFERROR(TEXTJOIN(CHAR(10),TRUE,FILTER('SUMMARY DATA'!I:I,'SUMMARY DATA'!$D:$D=$C592,'SUMMARY DATA'!$B:$B=""RWS"")),"""")
  )
)"),"")</f>
      </c>
      <c r="K592" s="2"/>
      <c r="L592" s="2"/>
      <c r="M592" s="2"/>
      <c r="N592" s="2"/>
      <c r="O592" s="2"/>
      <c r="P592" s="2"/>
      <c r="Q592" s="2"/>
      <c r="R592" s="2"/>
      <c r="S592" s="2"/>
      <c r="T592" s="2"/>
      <c r="U592" s="2"/>
      <c r="V592" s="2"/>
      <c r="W592" s="2"/>
      <c r="X592" s="2"/>
      <c r="Y592" s="2"/>
      <c r="Z592" s="2"/>
      <c r="AA592" s="2"/>
      <c r="AB592" s="2"/>
    </row>
    <row r="593" spans="1:28" customHeight="true">
      <c r="A593" s="2" t="s">
        <v>976</v>
      </c>
      <c r="B593" s="15">
        <v>46046</v>
      </c>
      <c r="C593" s="2" t="s">
        <v>48</v>
      </c>
      <c r="D593" s="3">
        <v>100</v>
      </c>
      <c r="E593" s="16" t="str">
        <f>IFERROR(__xludf.DUMMYFUNCTION("IFERROR(
  TEXTJOIN(CHAR(10),TRUE,FILTER('SUMMARY DATA'!E:E,'SUMMARY DATA'!$A:$A=$A593,'SUMMARY DATA'!$C:$C=$B593,'SUMMARY DATA'!$B:$B=""RWS"")),
  IF(
    OR(
      ISNUMBER(SEARCH(""CDM CASH DEPOSIT"",$C593)),
      ISNUMBER(SEARCH(""CASH DEPOSIT"",$C59"&amp;"3)),
      COUNTIFS('SUMMARY DATA'!$D:$D,$C593,'SUMMARY DATA'!$B:$B,""RWS"")&lt;&gt;1
    ),
    """",
    IFERROR(TEXTJOIN(CHAR(10),TRUE,FILTER('SUMMARY DATA'!E:E,'SUMMARY DATA'!$D:$D=$C593,'SUMMARY DATA'!$B:$B=""RWS"")),"""")
  )
)"),"")</f>
      </c>
      <c r="F593" s="17" t="str">
        <f>IFERROR(__xludf.DUMMYFUNCTION("IFERROR(
  TEXTJOIN(CHAR(10),TRUE,FILTER('SUMMARY DATA'!F:F,'SUMMARY DATA'!$A:$A=$A593,'SUMMARY DATA'!$C:$C=$B593,'SUMMARY DATA'!$B:$B=""RWS"")),
  IF(
    OR(
      ISNUMBER(SEARCH(""CDM CASH DEPOSIT"",$C593)),
      ISNUMBER(SEARCH(""CASH DEPOSIT"",$C59"&amp;"3)),
      COUNTIFS('SUMMARY DATA'!$D:$D,$C593,'SUMMARY DATA'!$B:$B,""RWS"")&lt;&gt;1
    ),
    """",
    IFERROR(TEXTJOIN(CHAR(10),TRUE,FILTER('SUMMARY DATA'!F:F,'SUMMARY DATA'!$D:$D=$C593,'SUMMARY DATA'!$B:$B=""RWS"")),"""")
  )
)"),"")</f>
      </c>
      <c r="G593" s="17" t="str">
        <f>IFERROR(__xludf.DUMMYFUNCTION("IFERROR(
  TEXTJOIN(CHAR(10),TRUE,FILTER('SUMMARY DATA'!G:G,'SUMMARY DATA'!$A:$A=$A593,'SUMMARY DATA'!$C:$C=$B593,'SUMMARY DATA'!$B:$B=""RWS"")),
  IF(
    OR(
      ISNUMBER(SEARCH(""CDM CASH DEPOSIT"",$C593)),
      ISNUMBER(SEARCH(""CASH DEPOSIT"",$C59"&amp;"3)),
      COUNTIFS('SUMMARY DATA'!$D:$D,$C593,'SUMMARY DATA'!$B:$B,""RWS"")&lt;&gt;1
    ),
    """",
    IFERROR(TEXTJOIN(CHAR(10),TRUE,FILTER('SUMMARY DATA'!G:G,'SUMMARY DATA'!$D:$D=$C593,'SUMMARY DATA'!$B:$B=""RWS"")),"""")
  )
)"),"")</f>
      </c>
      <c r="H593" s="18" t="str">
        <f>IFERROR(__xludf.DUMMYFUNCTION("IFERROR(
  TEXTJOIN(CHAR(10),TRUE,FILTER('SUMMARY DATA'!H:H,'SUMMARY DATA'!$A:$A=$A593,'SUMMARY DATA'!$C:$C=$B593,'SUMMARY DATA'!$B:$B=""RWS"",'SUMMARY DATA'!$H:$H=$D593)),
  IF(
    OR(
      ISNUMBER(SEARCH(""CDM CASH DEPOSIT"",$C593)),
      ISNUMBER(S"&amp;"EARCH(""CASH DEPOSIT"",$C593))
    ),
    """",
    IFERROR(TEXTJOIN(CHAR(10),TRUE,FILTER('SUMMARY DATA'!H:H,'SUMMARY DATA'!$D:$D=$C593,'SUMMARY DATA'!$B:$B=""RWS"",'SUMMARY DATA'!$H:$H=$D593)),"""")
  )
)"),"")</f>
      </c>
      <c r="I593" s="18" t="str">
        <f>IFERROR(__xludf.DUMMYFUNCTION("IF(H593="""","""",
SUM(ARRAYFORMULA(VALUE(SPLIT(H593,CHAR(10)))))
)"),"")</f>
      </c>
      <c r="J593" s="17" t="str">
        <f>IFERROR(__xludf.DUMMYFUNCTION("IFERROR(
  TEXTJOIN(CHAR(10),TRUE,FILTER('SUMMARY DATA'!I:I,'SUMMARY DATA'!$A:$A=$A593,'SUMMARY DATA'!$C:$C=$B593,'SUMMARY DATA'!$B:$B=""RWS"")),
  IF(
    OR(
      ISNUMBER(SEARCH(""CDM CASH DEPOSIT"",$C593)),
      ISNUMBER(SEARCH(""CASH DEPOSIT"",$C59"&amp;"3)),
      COUNTIFS('SUMMARY DATA'!$D:$D,$C593,'SUMMARY DATA'!$B:$B,""RWS"")&lt;&gt;1
    ),
    """",
    IFERROR(TEXTJOIN(CHAR(10),TRUE,FILTER('SUMMARY DATA'!I:I,'SUMMARY DATA'!$D:$D=$C593,'SUMMARY DATA'!$B:$B=""RWS"")),"""")
  )
)"),"")</f>
      </c>
      <c r="K593" s="2"/>
      <c r="L593" s="2"/>
      <c r="M593" s="2"/>
      <c r="N593" s="2"/>
      <c r="O593" s="2"/>
      <c r="P593" s="2"/>
      <c r="Q593" s="2"/>
      <c r="R593" s="2"/>
      <c r="S593" s="2"/>
      <c r="T593" s="2"/>
      <c r="U593" s="2"/>
      <c r="V593" s="2"/>
      <c r="W593" s="2"/>
      <c r="X593" s="2"/>
      <c r="Y593" s="2"/>
      <c r="Z593" s="2"/>
      <c r="AA593" s="2"/>
      <c r="AB593" s="2"/>
    </row>
    <row r="594" spans="1:28" customHeight="true">
      <c r="A594" s="2" t="s">
        <v>977</v>
      </c>
      <c r="B594" s="15">
        <v>46046</v>
      </c>
      <c r="C594" s="2" t="s">
        <v>978</v>
      </c>
      <c r="D594" s="3">
        <v>65.76</v>
      </c>
      <c r="E594" s="16" t="s">
        <v>2512</v>
      </c>
      <c r="F594" s="17" t="s">
        <v>2603</v>
      </c>
      <c r="G594" s="17" t="s">
        <v>2393</v>
      </c>
      <c r="H594" s="18">
        <v>65.76</v>
      </c>
      <c r="I594" s="18">
        <v>65.76</v>
      </c>
      <c r="J594" s="17" t="s">
        <v>2394</v>
      </c>
      <c r="K594" s="2" t="s">
        <v>2395</v>
      </c>
      <c r="L594" s="2"/>
      <c r="M594" s="2"/>
      <c r="N594" s="2"/>
      <c r="O594" s="2"/>
      <c r="P594" s="2"/>
      <c r="Q594" s="2"/>
      <c r="R594" s="2"/>
      <c r="S594" s="2"/>
      <c r="T594" s="2"/>
      <c r="U594" s="2"/>
      <c r="V594" s="2"/>
      <c r="W594" s="2"/>
      <c r="X594" s="2"/>
      <c r="Y594" s="2"/>
      <c r="Z594" s="2"/>
      <c r="AA594" s="2"/>
      <c r="AB594" s="2"/>
    </row>
    <row r="595" spans="1:28" customHeight="true">
      <c r="A595" s="2"/>
      <c r="B595" s="15">
        <v>46046</v>
      </c>
      <c r="C595" s="2" t="s">
        <v>979</v>
      </c>
      <c r="D595" s="3">
        <v>3</v>
      </c>
      <c r="E595" s="16" t="str">
        <f>IFERROR(__xludf.DUMMYFUNCTION("IFERROR(
  TEXTJOIN(CHAR(10),TRUE,FILTER('SUMMARY DATA'!E:E,'SUMMARY DATA'!$A:$A=$A595,'SUMMARY DATA'!$C:$C=$B595,'SUMMARY DATA'!$B:$B=""RWS"")),
  IF(
    OR(
      ISNUMBER(SEARCH(""CDM CASH DEPOSIT"",$C595)),
      ISNUMBER(SEARCH(""CASH DEPOSIT"",$C59"&amp;"5)),
      COUNTIFS('SUMMARY DATA'!$D:$D,$C595,'SUMMARY DATA'!$B:$B,""RWS"")&lt;&gt;1
    ),
    """",
    IFERROR(TEXTJOIN(CHAR(10),TRUE,FILTER('SUMMARY DATA'!E:E,'SUMMARY DATA'!$D:$D=$C595,'SUMMARY DATA'!$B:$B=""RWS"")),"""")
  )
)"),"")</f>
      </c>
      <c r="F595" s="17" t="str">
        <f>IFERROR(__xludf.DUMMYFUNCTION("IFERROR(
  TEXTJOIN(CHAR(10),TRUE,FILTER('SUMMARY DATA'!F:F,'SUMMARY DATA'!$A:$A=$A595,'SUMMARY DATA'!$C:$C=$B595,'SUMMARY DATA'!$B:$B=""RWS"")),
  IF(
    OR(
      ISNUMBER(SEARCH(""CDM CASH DEPOSIT"",$C595)),
      ISNUMBER(SEARCH(""CASH DEPOSIT"",$C59"&amp;"5)),
      COUNTIFS('SUMMARY DATA'!$D:$D,$C595,'SUMMARY DATA'!$B:$B,""RWS"")&lt;&gt;1
    ),
    """",
    IFERROR(TEXTJOIN(CHAR(10),TRUE,FILTER('SUMMARY DATA'!F:F,'SUMMARY DATA'!$D:$D=$C595,'SUMMARY DATA'!$B:$B=""RWS"")),"""")
  )
)"),"")</f>
      </c>
      <c r="G595" s="17" t="str">
        <f>IFERROR(__xludf.DUMMYFUNCTION("IFERROR(
  TEXTJOIN(CHAR(10),TRUE,FILTER('SUMMARY DATA'!G:G,'SUMMARY DATA'!$A:$A=$A595,'SUMMARY DATA'!$C:$C=$B595,'SUMMARY DATA'!$B:$B=""RWS"")),
  IF(
    OR(
      ISNUMBER(SEARCH(""CDM CASH DEPOSIT"",$C595)),
      ISNUMBER(SEARCH(""CASH DEPOSIT"",$C59"&amp;"5)),
      COUNTIFS('SUMMARY DATA'!$D:$D,$C595,'SUMMARY DATA'!$B:$B,""RWS"")&lt;&gt;1
    ),
    """",
    IFERROR(TEXTJOIN(CHAR(10),TRUE,FILTER('SUMMARY DATA'!G:G,'SUMMARY DATA'!$D:$D=$C595,'SUMMARY DATA'!$B:$B=""RWS"")),"""")
  )
)"),"")</f>
      </c>
      <c r="H595" s="18" t="str">
        <f>IFERROR(__xludf.DUMMYFUNCTION("IFERROR(
  TEXTJOIN(CHAR(10),TRUE,FILTER('SUMMARY DATA'!H:H,'SUMMARY DATA'!$A:$A=$A595,'SUMMARY DATA'!$C:$C=$B595,'SUMMARY DATA'!$B:$B=""RWS"",'SUMMARY DATA'!$H:$H=$D595)),
  IF(
    OR(
      ISNUMBER(SEARCH(""CDM CASH DEPOSIT"",$C595)),
      ISNUMBER(S"&amp;"EARCH(""CASH DEPOSIT"",$C595))
    ),
    """",
    IFERROR(TEXTJOIN(CHAR(10),TRUE,FILTER('SUMMARY DATA'!H:H,'SUMMARY DATA'!$D:$D=$C595,'SUMMARY DATA'!$B:$B=""RWS"",'SUMMARY DATA'!$H:$H=$D595)),"""")
  )
)"),"")</f>
      </c>
      <c r="I595" s="18" t="str">
        <f>IFERROR(__xludf.DUMMYFUNCTION("IF(H595="""","""",
SUM(ARRAYFORMULA(VALUE(SPLIT(H595,CHAR(10)))))
)"),"")</f>
      </c>
      <c r="J595" s="17" t="str">
        <f>IFERROR(__xludf.DUMMYFUNCTION("IFERROR(
  TEXTJOIN(CHAR(10),TRUE,FILTER('SUMMARY DATA'!I:I,'SUMMARY DATA'!$A:$A=$A595,'SUMMARY DATA'!$C:$C=$B595,'SUMMARY DATA'!$B:$B=""RWS"")),
  IF(
    OR(
      ISNUMBER(SEARCH(""CDM CASH DEPOSIT"",$C595)),
      ISNUMBER(SEARCH(""CASH DEPOSIT"",$C59"&amp;"5)),
      COUNTIFS('SUMMARY DATA'!$D:$D,$C595,'SUMMARY DATA'!$B:$B,""RWS"")&lt;&gt;1
    ),
    """",
    IFERROR(TEXTJOIN(CHAR(10),TRUE,FILTER('SUMMARY DATA'!I:I,'SUMMARY DATA'!$D:$D=$C595,'SUMMARY DATA'!$B:$B=""RWS"")),"""")
  )
)"),"")</f>
      </c>
      <c r="K595" s="2"/>
      <c r="L595" s="2"/>
      <c r="M595" s="2"/>
      <c r="N595" s="2"/>
      <c r="O595" s="2"/>
      <c r="P595" s="2"/>
      <c r="Q595" s="2"/>
      <c r="R595" s="2"/>
      <c r="S595" s="2"/>
      <c r="T595" s="2"/>
      <c r="U595" s="2"/>
      <c r="V595" s="2"/>
      <c r="W595" s="2"/>
      <c r="X595" s="2"/>
      <c r="Y595" s="2"/>
      <c r="Z595" s="2"/>
      <c r="AA595" s="2"/>
      <c r="AB595" s="2"/>
    </row>
    <row r="596" spans="1:28" customHeight="true">
      <c r="A596" s="2"/>
      <c r="B596" s="15">
        <v>46046</v>
      </c>
      <c r="C596" s="2" t="s">
        <v>980</v>
      </c>
      <c r="D596" s="3">
        <v>195</v>
      </c>
      <c r="E596" s="16" t="str">
        <f>IFERROR(__xludf.DUMMYFUNCTION("IFERROR(
  TEXTJOIN(CHAR(10),TRUE,FILTER('SUMMARY DATA'!E:E,'SUMMARY DATA'!$A:$A=$A596,'SUMMARY DATA'!$C:$C=$B596,'SUMMARY DATA'!$B:$B=""RWS"")),
  IF(
    OR(
      ISNUMBER(SEARCH(""CDM CASH DEPOSIT"",$C596)),
      ISNUMBER(SEARCH(""CASH DEPOSIT"",$C59"&amp;"6)),
      COUNTIFS('SUMMARY DATA'!$D:$D,$C596,'SUMMARY DATA'!$B:$B,""RWS"")&lt;&gt;1
    ),
    """",
    IFERROR(TEXTJOIN(CHAR(10),TRUE,FILTER('SUMMARY DATA'!E:E,'SUMMARY DATA'!$D:$D=$C596,'SUMMARY DATA'!$B:$B=""RWS"")),"""")
  )
)"),"")</f>
      </c>
      <c r="F596" s="17" t="str">
        <f>IFERROR(__xludf.DUMMYFUNCTION("IFERROR(
  TEXTJOIN(CHAR(10),TRUE,FILTER('SUMMARY DATA'!F:F,'SUMMARY DATA'!$A:$A=$A596,'SUMMARY DATA'!$C:$C=$B596,'SUMMARY DATA'!$B:$B=""RWS"")),
  IF(
    OR(
      ISNUMBER(SEARCH(""CDM CASH DEPOSIT"",$C596)),
      ISNUMBER(SEARCH(""CASH DEPOSIT"",$C59"&amp;"6)),
      COUNTIFS('SUMMARY DATA'!$D:$D,$C596,'SUMMARY DATA'!$B:$B,""RWS"")&lt;&gt;1
    ),
    """",
    IFERROR(TEXTJOIN(CHAR(10),TRUE,FILTER('SUMMARY DATA'!F:F,'SUMMARY DATA'!$D:$D=$C596,'SUMMARY DATA'!$B:$B=""RWS"")),"""")
  )
)"),"")</f>
      </c>
      <c r="G596" s="17" t="str">
        <f>IFERROR(__xludf.DUMMYFUNCTION("IFERROR(
  TEXTJOIN(CHAR(10),TRUE,FILTER('SUMMARY DATA'!G:G,'SUMMARY DATA'!$A:$A=$A596,'SUMMARY DATA'!$C:$C=$B596,'SUMMARY DATA'!$B:$B=""RWS"")),
  IF(
    OR(
      ISNUMBER(SEARCH(""CDM CASH DEPOSIT"",$C596)),
      ISNUMBER(SEARCH(""CASH DEPOSIT"",$C59"&amp;"6)),
      COUNTIFS('SUMMARY DATA'!$D:$D,$C596,'SUMMARY DATA'!$B:$B,""RWS"")&lt;&gt;1
    ),
    """",
    IFERROR(TEXTJOIN(CHAR(10),TRUE,FILTER('SUMMARY DATA'!G:G,'SUMMARY DATA'!$D:$D=$C596,'SUMMARY DATA'!$B:$B=""RWS"")),"""")
  )
)"),"")</f>
      </c>
      <c r="H596" s="18" t="str">
        <f>IFERROR(__xludf.DUMMYFUNCTION("IFERROR(
  TEXTJOIN(CHAR(10),TRUE,FILTER('SUMMARY DATA'!H:H,'SUMMARY DATA'!$A:$A=$A596,'SUMMARY DATA'!$C:$C=$B596,'SUMMARY DATA'!$B:$B=""RWS"",'SUMMARY DATA'!$H:$H=$D596)),
  IF(
    OR(
      ISNUMBER(SEARCH(""CDM CASH DEPOSIT"",$C596)),
      ISNUMBER(S"&amp;"EARCH(""CASH DEPOSIT"",$C596))
    ),
    """",
    IFERROR(TEXTJOIN(CHAR(10),TRUE,FILTER('SUMMARY DATA'!H:H,'SUMMARY DATA'!$D:$D=$C596,'SUMMARY DATA'!$B:$B=""RWS"",'SUMMARY DATA'!$H:$H=$D596)),"""")
  )
)"),"")</f>
      </c>
      <c r="I596" s="18" t="str">
        <f>IFERROR(__xludf.DUMMYFUNCTION("IF(H596="""","""",
SUM(ARRAYFORMULA(VALUE(SPLIT(H596,CHAR(10)))))
)"),"")</f>
      </c>
      <c r="J596" s="17" t="str">
        <f>IFERROR(__xludf.DUMMYFUNCTION("IFERROR(
  TEXTJOIN(CHAR(10),TRUE,FILTER('SUMMARY DATA'!I:I,'SUMMARY DATA'!$A:$A=$A596,'SUMMARY DATA'!$C:$C=$B596,'SUMMARY DATA'!$B:$B=""RWS"")),
  IF(
    OR(
      ISNUMBER(SEARCH(""CDM CASH DEPOSIT"",$C596)),
      ISNUMBER(SEARCH(""CASH DEPOSIT"",$C59"&amp;"6)),
      COUNTIFS('SUMMARY DATA'!$D:$D,$C596,'SUMMARY DATA'!$B:$B,""RWS"")&lt;&gt;1
    ),
    """",
    IFERROR(TEXTJOIN(CHAR(10),TRUE,FILTER('SUMMARY DATA'!I:I,'SUMMARY DATA'!$D:$D=$C596,'SUMMARY DATA'!$B:$B=""RWS"")),"""")
  )
)"),"")</f>
      </c>
      <c r="K596" s="2"/>
      <c r="L596" s="2"/>
      <c r="M596" s="2"/>
      <c r="N596" s="2"/>
      <c r="O596" s="2"/>
      <c r="P596" s="2"/>
      <c r="Q596" s="2"/>
      <c r="R596" s="2"/>
      <c r="S596" s="2"/>
      <c r="T596" s="2"/>
      <c r="U596" s="2"/>
      <c r="V596" s="2"/>
      <c r="W596" s="2"/>
      <c r="X596" s="2"/>
      <c r="Y596" s="2"/>
      <c r="Z596" s="2"/>
      <c r="AA596" s="2"/>
      <c r="AB596" s="2"/>
    </row>
    <row r="597" spans="1:28" customHeight="true">
      <c r="A597" s="2" t="s">
        <v>981</v>
      </c>
      <c r="B597" s="15">
        <v>46046</v>
      </c>
      <c r="C597" s="2" t="s">
        <v>982</v>
      </c>
      <c r="D597" s="3">
        <v>30.96</v>
      </c>
      <c r="E597" s="16" t="s">
        <v>2597</v>
      </c>
      <c r="F597" s="17" t="s">
        <v>2604</v>
      </c>
      <c r="G597" s="17" t="s">
        <v>2393</v>
      </c>
      <c r="H597" s="18">
        <v>30.96</v>
      </c>
      <c r="I597" s="18">
        <v>30.96</v>
      </c>
      <c r="J597" s="17" t="s">
        <v>2394</v>
      </c>
      <c r="K597" s="2" t="s">
        <v>2395</v>
      </c>
      <c r="L597" s="2"/>
      <c r="M597" s="2"/>
      <c r="N597" s="2"/>
      <c r="O597" s="2"/>
      <c r="P597" s="2"/>
      <c r="Q597" s="2"/>
      <c r="R597" s="2"/>
      <c r="S597" s="2"/>
      <c r="T597" s="2"/>
      <c r="U597" s="2"/>
      <c r="V597" s="2"/>
      <c r="W597" s="2"/>
      <c r="X597" s="2"/>
      <c r="Y597" s="2"/>
      <c r="Z597" s="2"/>
      <c r="AA597" s="2"/>
      <c r="AB597" s="2"/>
    </row>
    <row r="598" spans="1:28" customHeight="true">
      <c r="A598" s="2"/>
      <c r="B598" s="15">
        <v>46045</v>
      </c>
      <c r="C598" s="2" t="s">
        <v>983</v>
      </c>
      <c r="D598" s="3">
        <v>37.92</v>
      </c>
      <c r="E598" s="16" t="str">
        <f>IFERROR(__xludf.DUMMYFUNCTION("IFERROR(
  TEXTJOIN(CHAR(10),TRUE,FILTER('SUMMARY DATA'!E:E,'SUMMARY DATA'!$A:$A=$A598,'SUMMARY DATA'!$C:$C=$B598,'SUMMARY DATA'!$B:$B=""RWS"")),
  IF(
    OR(
      ISNUMBER(SEARCH(""CDM CASH DEPOSIT"",$C598)),
      ISNUMBER(SEARCH(""CASH DEPOSIT"",$C59"&amp;"8)),
      COUNTIFS('SUMMARY DATA'!$D:$D,$C598,'SUMMARY DATA'!$B:$B,""RWS"")&lt;&gt;1
    ),
    """",
    IFERROR(TEXTJOIN(CHAR(10),TRUE,FILTER('SUMMARY DATA'!E:E,'SUMMARY DATA'!$D:$D=$C598,'SUMMARY DATA'!$B:$B=""RWS"")),"""")
  )
)"),"")</f>
      </c>
      <c r="F598" s="17" t="str">
        <f>IFERROR(__xludf.DUMMYFUNCTION("IFERROR(
  TEXTJOIN(CHAR(10),TRUE,FILTER('SUMMARY DATA'!F:F,'SUMMARY DATA'!$A:$A=$A598,'SUMMARY DATA'!$C:$C=$B598,'SUMMARY DATA'!$B:$B=""RWS"")),
  IF(
    OR(
      ISNUMBER(SEARCH(""CDM CASH DEPOSIT"",$C598)),
      ISNUMBER(SEARCH(""CASH DEPOSIT"",$C59"&amp;"8)),
      COUNTIFS('SUMMARY DATA'!$D:$D,$C598,'SUMMARY DATA'!$B:$B,""RWS"")&lt;&gt;1
    ),
    """",
    IFERROR(TEXTJOIN(CHAR(10),TRUE,FILTER('SUMMARY DATA'!F:F,'SUMMARY DATA'!$D:$D=$C598,'SUMMARY DATA'!$B:$B=""RWS"")),"""")
  )
)"),"")</f>
      </c>
      <c r="G598" s="17" t="str">
        <f>IFERROR(__xludf.DUMMYFUNCTION("IFERROR(
  TEXTJOIN(CHAR(10),TRUE,FILTER('SUMMARY DATA'!G:G,'SUMMARY DATA'!$A:$A=$A598,'SUMMARY DATA'!$C:$C=$B598,'SUMMARY DATA'!$B:$B=""RWS"")),
  IF(
    OR(
      ISNUMBER(SEARCH(""CDM CASH DEPOSIT"",$C598)),
      ISNUMBER(SEARCH(""CASH DEPOSIT"",$C59"&amp;"8)),
      COUNTIFS('SUMMARY DATA'!$D:$D,$C598,'SUMMARY DATA'!$B:$B,""RWS"")&lt;&gt;1
    ),
    """",
    IFERROR(TEXTJOIN(CHAR(10),TRUE,FILTER('SUMMARY DATA'!G:G,'SUMMARY DATA'!$D:$D=$C598,'SUMMARY DATA'!$B:$B=""RWS"")),"""")
  )
)"),"")</f>
      </c>
      <c r="H598" s="18" t="str">
        <f>IFERROR(__xludf.DUMMYFUNCTION("IFERROR(
  TEXTJOIN(CHAR(10),TRUE,FILTER('SUMMARY DATA'!H:H,'SUMMARY DATA'!$A:$A=$A598,'SUMMARY DATA'!$C:$C=$B598,'SUMMARY DATA'!$B:$B=""RWS"",'SUMMARY DATA'!$H:$H=$D598)),
  IF(
    OR(
      ISNUMBER(SEARCH(""CDM CASH DEPOSIT"",$C598)),
      ISNUMBER(S"&amp;"EARCH(""CASH DEPOSIT"",$C598))
    ),
    """",
    IFERROR(TEXTJOIN(CHAR(10),TRUE,FILTER('SUMMARY DATA'!H:H,'SUMMARY DATA'!$D:$D=$C598,'SUMMARY DATA'!$B:$B=""RWS"",'SUMMARY DATA'!$H:$H=$D598)),"""")
  )
)"),"")</f>
      </c>
      <c r="I598" s="18" t="str">
        <f>IFERROR(__xludf.DUMMYFUNCTION("IF(H598="""","""",
SUM(ARRAYFORMULA(VALUE(SPLIT(H598,CHAR(10)))))
)"),"")</f>
      </c>
      <c r="J598" s="17" t="str">
        <f>IFERROR(__xludf.DUMMYFUNCTION("IFERROR(
  TEXTJOIN(CHAR(10),TRUE,FILTER('SUMMARY DATA'!I:I,'SUMMARY DATA'!$A:$A=$A598,'SUMMARY DATA'!$C:$C=$B598,'SUMMARY DATA'!$B:$B=""RWS"")),
  IF(
    OR(
      ISNUMBER(SEARCH(""CDM CASH DEPOSIT"",$C598)),
      ISNUMBER(SEARCH(""CASH DEPOSIT"",$C59"&amp;"8)),
      COUNTIFS('SUMMARY DATA'!$D:$D,$C598,'SUMMARY DATA'!$B:$B,""RWS"")&lt;&gt;1
    ),
    """",
    IFERROR(TEXTJOIN(CHAR(10),TRUE,FILTER('SUMMARY DATA'!I:I,'SUMMARY DATA'!$D:$D=$C598,'SUMMARY DATA'!$B:$B=""RWS"")),"""")
  )
)"),"")</f>
      </c>
      <c r="K598" s="2"/>
      <c r="L598" s="2"/>
      <c r="M598" s="2"/>
      <c r="N598" s="2"/>
      <c r="O598" s="2"/>
      <c r="P598" s="2"/>
      <c r="Q598" s="2"/>
      <c r="R598" s="2"/>
      <c r="S598" s="2"/>
      <c r="T598" s="2"/>
      <c r="U598" s="2"/>
      <c r="V598" s="2"/>
      <c r="W598" s="2"/>
      <c r="X598" s="2"/>
      <c r="Y598" s="2"/>
      <c r="Z598" s="2"/>
      <c r="AA598" s="2"/>
      <c r="AB598" s="2"/>
    </row>
    <row r="599" spans="1:28" customHeight="true">
      <c r="A599" s="2" t="s">
        <v>984</v>
      </c>
      <c r="B599" s="15">
        <v>46045</v>
      </c>
      <c r="C599" s="2" t="s">
        <v>985</v>
      </c>
      <c r="D599" s="3">
        <v>59</v>
      </c>
      <c r="E599" s="16" t="s">
        <v>2439</v>
      </c>
      <c r="F599" s="17" t="s">
        <v>2605</v>
      </c>
      <c r="G599" s="17" t="s">
        <v>2393</v>
      </c>
      <c r="H599" s="18">
        <v>59</v>
      </c>
      <c r="I599" s="18">
        <v>59</v>
      </c>
      <c r="J599" s="17" t="s">
        <v>2394</v>
      </c>
      <c r="K599" s="2" t="s">
        <v>2395</v>
      </c>
      <c r="L599" s="2"/>
      <c r="M599" s="2"/>
      <c r="N599" s="2"/>
      <c r="O599" s="2"/>
      <c r="P599" s="2"/>
      <c r="Q599" s="2"/>
      <c r="R599" s="2"/>
      <c r="S599" s="2"/>
      <c r="T599" s="2"/>
      <c r="U599" s="2"/>
      <c r="V599" s="2"/>
      <c r="W599" s="2"/>
      <c r="X599" s="2"/>
      <c r="Y599" s="2"/>
      <c r="Z599" s="2"/>
      <c r="AA599" s="2"/>
      <c r="AB599" s="2"/>
    </row>
    <row r="600" spans="1:28" customHeight="true">
      <c r="A600" s="2" t="s">
        <v>986</v>
      </c>
      <c r="B600" s="15">
        <v>46045</v>
      </c>
      <c r="C600" s="2" t="s">
        <v>987</v>
      </c>
      <c r="D600" s="3">
        <v>138</v>
      </c>
      <c r="E600" s="16" t="s">
        <v>2597</v>
      </c>
      <c r="F600" s="17" t="s">
        <v>2606</v>
      </c>
      <c r="G600" s="17" t="s">
        <v>2393</v>
      </c>
      <c r="H600" s="18">
        <v>138</v>
      </c>
      <c r="I600" s="18">
        <v>138</v>
      </c>
      <c r="J600" s="17" t="s">
        <v>2394</v>
      </c>
      <c r="K600" s="2" t="s">
        <v>2395</v>
      </c>
      <c r="L600" s="2"/>
      <c r="M600" s="2"/>
      <c r="N600" s="2"/>
      <c r="O600" s="2"/>
      <c r="P600" s="2"/>
      <c r="Q600" s="2"/>
      <c r="R600" s="2"/>
      <c r="S600" s="2"/>
      <c r="T600" s="2"/>
      <c r="U600" s="2"/>
      <c r="V600" s="2"/>
      <c r="W600" s="2"/>
      <c r="X600" s="2"/>
      <c r="Y600" s="2"/>
      <c r="Z600" s="2"/>
      <c r="AA600" s="2"/>
      <c r="AB600" s="2"/>
    </row>
    <row r="601" spans="1:28" customHeight="true">
      <c r="A601" s="2" t="s">
        <v>988</v>
      </c>
      <c r="B601" s="15">
        <v>46045</v>
      </c>
      <c r="C601" s="2" t="s">
        <v>989</v>
      </c>
      <c r="D601" s="3">
        <v>25</v>
      </c>
      <c r="E601" s="16" t="str">
        <f>IFERROR(__xludf.DUMMYFUNCTION("IFERROR(
  TEXTJOIN(CHAR(10),TRUE,FILTER('SUMMARY DATA'!E:E,'SUMMARY DATA'!$A:$A=$A601,'SUMMARY DATA'!$C:$C=$B601,'SUMMARY DATA'!$B:$B=""RWS"")),
  IF(
    OR(
      ISNUMBER(SEARCH(""CDM CASH DEPOSIT"",$C601)),
      ISNUMBER(SEARCH(""CASH DEPOSIT"",$C60"&amp;"1)),
      COUNTIFS('SUMMARY DATA'!$D:$D,$C601,'SUMMARY DATA'!$B:$B,""RWS"")&lt;&gt;1
    ),
    """",
    IFERROR(TEXTJOIN(CHAR(10),TRUE,FILTER('SUMMARY DATA'!E:E,'SUMMARY DATA'!$D:$D=$C601,'SUMMARY DATA'!$B:$B=""RWS"")),"""")
  )
)"),"")</f>
      </c>
      <c r="F601" s="17" t="str">
        <f>IFERROR(__xludf.DUMMYFUNCTION("IFERROR(
  TEXTJOIN(CHAR(10),TRUE,FILTER('SUMMARY DATA'!F:F,'SUMMARY DATA'!$A:$A=$A601,'SUMMARY DATA'!$C:$C=$B601,'SUMMARY DATA'!$B:$B=""RWS"")),
  IF(
    OR(
      ISNUMBER(SEARCH(""CDM CASH DEPOSIT"",$C601)),
      ISNUMBER(SEARCH(""CASH DEPOSIT"",$C60"&amp;"1)),
      COUNTIFS('SUMMARY DATA'!$D:$D,$C601,'SUMMARY DATA'!$B:$B,""RWS"")&lt;&gt;1
    ),
    """",
    IFERROR(TEXTJOIN(CHAR(10),TRUE,FILTER('SUMMARY DATA'!F:F,'SUMMARY DATA'!$D:$D=$C601,'SUMMARY DATA'!$B:$B=""RWS"")),"""")
  )
)"),"")</f>
      </c>
      <c r="G601" s="17" t="str">
        <f>IFERROR(__xludf.DUMMYFUNCTION("IFERROR(
  TEXTJOIN(CHAR(10),TRUE,FILTER('SUMMARY DATA'!G:G,'SUMMARY DATA'!$A:$A=$A601,'SUMMARY DATA'!$C:$C=$B601,'SUMMARY DATA'!$B:$B=""RWS"")),
  IF(
    OR(
      ISNUMBER(SEARCH(""CDM CASH DEPOSIT"",$C601)),
      ISNUMBER(SEARCH(""CASH DEPOSIT"",$C60"&amp;"1)),
      COUNTIFS('SUMMARY DATA'!$D:$D,$C601,'SUMMARY DATA'!$B:$B,""RWS"")&lt;&gt;1
    ),
    """",
    IFERROR(TEXTJOIN(CHAR(10),TRUE,FILTER('SUMMARY DATA'!G:G,'SUMMARY DATA'!$D:$D=$C601,'SUMMARY DATA'!$B:$B=""RWS"")),"""")
  )
)"),"")</f>
      </c>
      <c r="H601" s="18" t="str">
        <f>IFERROR(__xludf.DUMMYFUNCTION("IFERROR(
  TEXTJOIN(CHAR(10),TRUE,FILTER('SUMMARY DATA'!H:H,'SUMMARY DATA'!$A:$A=$A601,'SUMMARY DATA'!$C:$C=$B601,'SUMMARY DATA'!$B:$B=""RWS"",'SUMMARY DATA'!$H:$H=$D601)),
  IF(
    OR(
      ISNUMBER(SEARCH(""CDM CASH DEPOSIT"",$C601)),
      ISNUMBER(S"&amp;"EARCH(""CASH DEPOSIT"",$C601))
    ),
    """",
    IFERROR(TEXTJOIN(CHAR(10),TRUE,FILTER('SUMMARY DATA'!H:H,'SUMMARY DATA'!$D:$D=$C601,'SUMMARY DATA'!$B:$B=""RWS"",'SUMMARY DATA'!$H:$H=$D601)),"""")
  )
)"),"")</f>
      </c>
      <c r="I601" s="18" t="str">
        <f>IFERROR(__xludf.DUMMYFUNCTION("IF(H601="""","""",
SUM(ARRAYFORMULA(VALUE(SPLIT(H601,CHAR(10)))))
)"),"")</f>
      </c>
      <c r="J601" s="17" t="str">
        <f>IFERROR(__xludf.DUMMYFUNCTION("IFERROR(
  TEXTJOIN(CHAR(10),TRUE,FILTER('SUMMARY DATA'!I:I,'SUMMARY DATA'!$A:$A=$A601,'SUMMARY DATA'!$C:$C=$B601,'SUMMARY DATA'!$B:$B=""RWS"")),
  IF(
    OR(
      ISNUMBER(SEARCH(""CDM CASH DEPOSIT"",$C601)),
      ISNUMBER(SEARCH(""CASH DEPOSIT"",$C60"&amp;"1)),
      COUNTIFS('SUMMARY DATA'!$D:$D,$C601,'SUMMARY DATA'!$B:$B,""RWS"")&lt;&gt;1
    ),
    """",
    IFERROR(TEXTJOIN(CHAR(10),TRUE,FILTER('SUMMARY DATA'!I:I,'SUMMARY DATA'!$D:$D=$C601,'SUMMARY DATA'!$B:$B=""RWS"")),"""")
  )
)"),"")</f>
      </c>
      <c r="K601" s="2"/>
      <c r="L601" s="2"/>
      <c r="M601" s="2"/>
      <c r="N601" s="2"/>
      <c r="O601" s="2"/>
      <c r="P601" s="2"/>
      <c r="Q601" s="2"/>
      <c r="R601" s="2"/>
      <c r="S601" s="2"/>
      <c r="T601" s="2"/>
      <c r="U601" s="2"/>
      <c r="V601" s="2"/>
      <c r="W601" s="2"/>
      <c r="X601" s="2"/>
      <c r="Y601" s="2"/>
      <c r="Z601" s="2"/>
      <c r="AA601" s="2"/>
      <c r="AB601" s="2"/>
    </row>
    <row r="602" spans="1:28" customHeight="true">
      <c r="A602" s="2" t="s">
        <v>990</v>
      </c>
      <c r="B602" s="15">
        <v>46045</v>
      </c>
      <c r="C602" s="2" t="s">
        <v>991</v>
      </c>
      <c r="D602" s="3">
        <v>111.99</v>
      </c>
      <c r="E602" s="16" t="str">
        <f>IFERROR(__xludf.DUMMYFUNCTION("IFERROR(
  TEXTJOIN(CHAR(10),TRUE,FILTER('SUMMARY DATA'!E:E,'SUMMARY DATA'!$A:$A=$A602,'SUMMARY DATA'!$C:$C=$B602,'SUMMARY DATA'!$B:$B=""RWS"")),
  IF(
    OR(
      ISNUMBER(SEARCH(""CDM CASH DEPOSIT"",$C602)),
      ISNUMBER(SEARCH(""CASH DEPOSIT"",$C60"&amp;"2)),
      COUNTIFS('SUMMARY DATA'!$D:$D,$C602,'SUMMARY DATA'!$B:$B,""RWS"")&lt;&gt;1
    ),
    """",
    IFERROR(TEXTJOIN(CHAR(10),TRUE,FILTER('SUMMARY DATA'!E:E,'SUMMARY DATA'!$D:$D=$C602,'SUMMARY DATA'!$B:$B=""RWS"")),"""")
  )
)"),"")</f>
      </c>
      <c r="F602" s="17" t="str">
        <f>IFERROR(__xludf.DUMMYFUNCTION("IFERROR(
  TEXTJOIN(CHAR(10),TRUE,FILTER('SUMMARY DATA'!F:F,'SUMMARY DATA'!$A:$A=$A602,'SUMMARY DATA'!$C:$C=$B602,'SUMMARY DATA'!$B:$B=""RWS"")),
  IF(
    OR(
      ISNUMBER(SEARCH(""CDM CASH DEPOSIT"",$C602)),
      ISNUMBER(SEARCH(""CASH DEPOSIT"",$C60"&amp;"2)),
      COUNTIFS('SUMMARY DATA'!$D:$D,$C602,'SUMMARY DATA'!$B:$B,""RWS"")&lt;&gt;1
    ),
    """",
    IFERROR(TEXTJOIN(CHAR(10),TRUE,FILTER('SUMMARY DATA'!F:F,'SUMMARY DATA'!$D:$D=$C602,'SUMMARY DATA'!$B:$B=""RWS"")),"""")
  )
)"),"")</f>
      </c>
      <c r="G602" s="17" t="str">
        <f>IFERROR(__xludf.DUMMYFUNCTION("IFERROR(
  TEXTJOIN(CHAR(10),TRUE,FILTER('SUMMARY DATA'!G:G,'SUMMARY DATA'!$A:$A=$A602,'SUMMARY DATA'!$C:$C=$B602,'SUMMARY DATA'!$B:$B=""RWS"")),
  IF(
    OR(
      ISNUMBER(SEARCH(""CDM CASH DEPOSIT"",$C602)),
      ISNUMBER(SEARCH(""CASH DEPOSIT"",$C60"&amp;"2)),
      COUNTIFS('SUMMARY DATA'!$D:$D,$C602,'SUMMARY DATA'!$B:$B,""RWS"")&lt;&gt;1
    ),
    """",
    IFERROR(TEXTJOIN(CHAR(10),TRUE,FILTER('SUMMARY DATA'!G:G,'SUMMARY DATA'!$D:$D=$C602,'SUMMARY DATA'!$B:$B=""RWS"")),"""")
  )
)"),"")</f>
      </c>
      <c r="H602" s="18" t="str">
        <f>IFERROR(__xludf.DUMMYFUNCTION("IFERROR(
  TEXTJOIN(CHAR(10),TRUE,FILTER('SUMMARY DATA'!H:H,'SUMMARY DATA'!$A:$A=$A602,'SUMMARY DATA'!$C:$C=$B602,'SUMMARY DATA'!$B:$B=""RWS"",'SUMMARY DATA'!$H:$H=$D602)),
  IF(
    OR(
      ISNUMBER(SEARCH(""CDM CASH DEPOSIT"",$C602)),
      ISNUMBER(S"&amp;"EARCH(""CASH DEPOSIT"",$C602))
    ),
    """",
    IFERROR(TEXTJOIN(CHAR(10),TRUE,FILTER('SUMMARY DATA'!H:H,'SUMMARY DATA'!$D:$D=$C602,'SUMMARY DATA'!$B:$B=""RWS"",'SUMMARY DATA'!$H:$H=$D602)),"""")
  )
)"),"")</f>
      </c>
      <c r="I602" s="18" t="str">
        <f>IFERROR(__xludf.DUMMYFUNCTION("IF(H602="""","""",
SUM(ARRAYFORMULA(VALUE(SPLIT(H602,CHAR(10)))))
)"),"")</f>
      </c>
      <c r="J602" s="17" t="str">
        <f>IFERROR(__xludf.DUMMYFUNCTION("IFERROR(
  TEXTJOIN(CHAR(10),TRUE,FILTER('SUMMARY DATA'!I:I,'SUMMARY DATA'!$A:$A=$A602,'SUMMARY DATA'!$C:$C=$B602,'SUMMARY DATA'!$B:$B=""RWS"")),
  IF(
    OR(
      ISNUMBER(SEARCH(""CDM CASH DEPOSIT"",$C602)),
      ISNUMBER(SEARCH(""CASH DEPOSIT"",$C60"&amp;"2)),
      COUNTIFS('SUMMARY DATA'!$D:$D,$C602,'SUMMARY DATA'!$B:$B,""RWS"")&lt;&gt;1
    ),
    """",
    IFERROR(TEXTJOIN(CHAR(10),TRUE,FILTER('SUMMARY DATA'!I:I,'SUMMARY DATA'!$D:$D=$C602,'SUMMARY DATA'!$B:$B=""RWS"")),"""")
  )
)"),"")</f>
      </c>
      <c r="K602" s="2"/>
      <c r="L602" s="2"/>
      <c r="M602" s="2"/>
      <c r="N602" s="2"/>
      <c r="O602" s="2"/>
      <c r="P602" s="2"/>
      <c r="Q602" s="2"/>
      <c r="R602" s="2"/>
      <c r="S602" s="2"/>
      <c r="T602" s="2"/>
      <c r="U602" s="2"/>
      <c r="V602" s="2"/>
      <c r="W602" s="2"/>
      <c r="X602" s="2"/>
      <c r="Y602" s="2"/>
      <c r="Z602" s="2"/>
      <c r="AA602" s="2"/>
      <c r="AB602" s="2"/>
    </row>
    <row r="603" spans="1:28" customHeight="true">
      <c r="A603" s="2" t="s">
        <v>992</v>
      </c>
      <c r="B603" s="15">
        <v>46045</v>
      </c>
      <c r="C603" s="2" t="s">
        <v>100</v>
      </c>
      <c r="D603" s="3">
        <v>276</v>
      </c>
      <c r="E603" s="16" t="s">
        <v>2607</v>
      </c>
      <c r="F603" s="17" t="s">
        <v>2608</v>
      </c>
      <c r="G603" s="17" t="s">
        <v>2393</v>
      </c>
      <c r="H603" s="18">
        <v>276</v>
      </c>
      <c r="I603" s="18">
        <v>276</v>
      </c>
      <c r="J603" s="17" t="s">
        <v>2394</v>
      </c>
      <c r="K603" s="2" t="s">
        <v>2395</v>
      </c>
      <c r="L603" s="2"/>
      <c r="M603" s="2"/>
      <c r="N603" s="2"/>
      <c r="O603" s="2"/>
      <c r="P603" s="2"/>
      <c r="Q603" s="2"/>
      <c r="R603" s="2"/>
      <c r="S603" s="2"/>
      <c r="T603" s="2"/>
      <c r="U603" s="2"/>
      <c r="V603" s="2"/>
      <c r="W603" s="2"/>
      <c r="X603" s="2"/>
      <c r="Y603" s="2"/>
      <c r="Z603" s="2"/>
      <c r="AA603" s="2"/>
      <c r="AB603" s="2"/>
    </row>
    <row r="604" spans="1:28" customHeight="true">
      <c r="A604" s="2" t="s">
        <v>993</v>
      </c>
      <c r="B604" s="15">
        <v>46045</v>
      </c>
      <c r="C604" s="2" t="s">
        <v>994</v>
      </c>
      <c r="D604" s="3">
        <v>1248.59</v>
      </c>
      <c r="E604" s="16" t="s">
        <v>2597</v>
      </c>
      <c r="F604" s="17" t="s">
        <v>2609</v>
      </c>
      <c r="G604" s="17" t="s">
        <v>2393</v>
      </c>
      <c r="H604" s="18">
        <v>1248.59</v>
      </c>
      <c r="I604" s="18">
        <v>1248.59</v>
      </c>
      <c r="J604" s="17" t="s">
        <v>2394</v>
      </c>
      <c r="K604" s="2" t="s">
        <v>2395</v>
      </c>
      <c r="L604" s="2"/>
      <c r="M604" s="2"/>
      <c r="N604" s="2"/>
      <c r="O604" s="2"/>
      <c r="P604" s="2"/>
      <c r="Q604" s="2"/>
      <c r="R604" s="2"/>
      <c r="S604" s="2"/>
      <c r="T604" s="2"/>
      <c r="U604" s="2"/>
      <c r="V604" s="2"/>
      <c r="W604" s="2"/>
      <c r="X604" s="2"/>
      <c r="Y604" s="2"/>
      <c r="Z604" s="2"/>
      <c r="AA604" s="2"/>
      <c r="AB604" s="2"/>
    </row>
    <row r="605" spans="1:28" customHeight="true">
      <c r="A605" s="2" t="s">
        <v>995</v>
      </c>
      <c r="B605" s="15">
        <v>46045</v>
      </c>
      <c r="C605" s="2" t="s">
        <v>996</v>
      </c>
      <c r="D605" s="3">
        <v>36.99</v>
      </c>
      <c r="E605" s="16" t="s">
        <v>2610</v>
      </c>
      <c r="F605" s="17" t="s">
        <v>2611</v>
      </c>
      <c r="G605" s="17" t="s">
        <v>2393</v>
      </c>
      <c r="H605" s="18">
        <v>36.99</v>
      </c>
      <c r="I605" s="18">
        <v>36.99</v>
      </c>
      <c r="J605" s="17" t="s">
        <v>2394</v>
      </c>
      <c r="K605" s="2" t="s">
        <v>2395</v>
      </c>
      <c r="L605" s="2"/>
      <c r="M605" s="2"/>
      <c r="N605" s="2"/>
      <c r="O605" s="2"/>
      <c r="P605" s="2"/>
      <c r="Q605" s="2"/>
      <c r="R605" s="2"/>
      <c r="S605" s="2"/>
      <c r="T605" s="2"/>
      <c r="U605" s="2"/>
      <c r="V605" s="2"/>
      <c r="W605" s="2"/>
      <c r="X605" s="2"/>
      <c r="Y605" s="2"/>
      <c r="Z605" s="2"/>
      <c r="AA605" s="2"/>
      <c r="AB605" s="2"/>
    </row>
    <row r="606" spans="1:28" customHeight="true">
      <c r="A606" s="2"/>
      <c r="B606" s="15">
        <v>46045</v>
      </c>
      <c r="C606" s="2" t="s">
        <v>997</v>
      </c>
      <c r="D606" s="3">
        <v>50</v>
      </c>
      <c r="E606" s="16" t="str">
        <f>IFERROR(__xludf.DUMMYFUNCTION("IFERROR(
  TEXTJOIN(CHAR(10),TRUE,FILTER('SUMMARY DATA'!E:E,'SUMMARY DATA'!$A:$A=$A606,'SUMMARY DATA'!$C:$C=$B606,'SUMMARY DATA'!$B:$B=""RWS"")),
  IF(
    OR(
      ISNUMBER(SEARCH(""CDM CASH DEPOSIT"",$C606)),
      ISNUMBER(SEARCH(""CASH DEPOSIT"",$C60"&amp;"6)),
      COUNTIFS('SUMMARY DATA'!$D:$D,$C606,'SUMMARY DATA'!$B:$B,""RWS"")&lt;&gt;1
    ),
    """",
    IFERROR(TEXTJOIN(CHAR(10),TRUE,FILTER('SUMMARY DATA'!E:E,'SUMMARY DATA'!$D:$D=$C606,'SUMMARY DATA'!$B:$B=""RWS"")),"""")
  )
)"),"")</f>
      </c>
      <c r="F606" s="17" t="str">
        <f>IFERROR(__xludf.DUMMYFUNCTION("IFERROR(
  TEXTJOIN(CHAR(10),TRUE,FILTER('SUMMARY DATA'!F:F,'SUMMARY DATA'!$A:$A=$A606,'SUMMARY DATA'!$C:$C=$B606,'SUMMARY DATA'!$B:$B=""RWS"")),
  IF(
    OR(
      ISNUMBER(SEARCH(""CDM CASH DEPOSIT"",$C606)),
      ISNUMBER(SEARCH(""CASH DEPOSIT"",$C60"&amp;"6)),
      COUNTIFS('SUMMARY DATA'!$D:$D,$C606,'SUMMARY DATA'!$B:$B,""RWS"")&lt;&gt;1
    ),
    """",
    IFERROR(TEXTJOIN(CHAR(10),TRUE,FILTER('SUMMARY DATA'!F:F,'SUMMARY DATA'!$D:$D=$C606,'SUMMARY DATA'!$B:$B=""RWS"")),"""")
  )
)"),"")</f>
      </c>
      <c r="G606" s="17" t="str">
        <f>IFERROR(__xludf.DUMMYFUNCTION("IFERROR(
  TEXTJOIN(CHAR(10),TRUE,FILTER('SUMMARY DATA'!G:G,'SUMMARY DATA'!$A:$A=$A606,'SUMMARY DATA'!$C:$C=$B606,'SUMMARY DATA'!$B:$B=""RWS"")),
  IF(
    OR(
      ISNUMBER(SEARCH(""CDM CASH DEPOSIT"",$C606)),
      ISNUMBER(SEARCH(""CASH DEPOSIT"",$C60"&amp;"6)),
      COUNTIFS('SUMMARY DATA'!$D:$D,$C606,'SUMMARY DATA'!$B:$B,""RWS"")&lt;&gt;1
    ),
    """",
    IFERROR(TEXTJOIN(CHAR(10),TRUE,FILTER('SUMMARY DATA'!G:G,'SUMMARY DATA'!$D:$D=$C606,'SUMMARY DATA'!$B:$B=""RWS"")),"""")
  )
)"),"")</f>
      </c>
      <c r="H606" s="18" t="str">
        <f>IFERROR(__xludf.DUMMYFUNCTION("IFERROR(
  TEXTJOIN(CHAR(10),TRUE,FILTER('SUMMARY DATA'!H:H,'SUMMARY DATA'!$A:$A=$A606,'SUMMARY DATA'!$C:$C=$B606,'SUMMARY DATA'!$B:$B=""RWS"",'SUMMARY DATA'!$H:$H=$D606)),
  IF(
    OR(
      ISNUMBER(SEARCH(""CDM CASH DEPOSIT"",$C606)),
      ISNUMBER(S"&amp;"EARCH(""CASH DEPOSIT"",$C606))
    ),
    """",
    IFERROR(TEXTJOIN(CHAR(10),TRUE,FILTER('SUMMARY DATA'!H:H,'SUMMARY DATA'!$D:$D=$C606,'SUMMARY DATA'!$B:$B=""RWS"",'SUMMARY DATA'!$H:$H=$D606)),"""")
  )
)"),"")</f>
      </c>
      <c r="I606" s="18" t="str">
        <f>IFERROR(__xludf.DUMMYFUNCTION("IF(H606="""","""",
SUM(ARRAYFORMULA(VALUE(SPLIT(H606,CHAR(10)))))
)"),"")</f>
      </c>
      <c r="J606" s="17" t="str">
        <f>IFERROR(__xludf.DUMMYFUNCTION("IFERROR(
  TEXTJOIN(CHAR(10),TRUE,FILTER('SUMMARY DATA'!I:I,'SUMMARY DATA'!$A:$A=$A606,'SUMMARY DATA'!$C:$C=$B606,'SUMMARY DATA'!$B:$B=""RWS"")),
  IF(
    OR(
      ISNUMBER(SEARCH(""CDM CASH DEPOSIT"",$C606)),
      ISNUMBER(SEARCH(""CASH DEPOSIT"",$C60"&amp;"6)),
      COUNTIFS('SUMMARY DATA'!$D:$D,$C606,'SUMMARY DATA'!$B:$B,""RWS"")&lt;&gt;1
    ),
    """",
    IFERROR(TEXTJOIN(CHAR(10),TRUE,FILTER('SUMMARY DATA'!I:I,'SUMMARY DATA'!$D:$D=$C606,'SUMMARY DATA'!$B:$B=""RWS"")),"""")
  )
)"),"")</f>
      </c>
      <c r="K606" s="2"/>
      <c r="L606" s="2"/>
      <c r="M606" s="2"/>
      <c r="N606" s="2"/>
      <c r="O606" s="2"/>
      <c r="P606" s="2"/>
      <c r="Q606" s="2"/>
      <c r="R606" s="2"/>
      <c r="S606" s="2"/>
      <c r="T606" s="2"/>
      <c r="U606" s="2"/>
      <c r="V606" s="2"/>
      <c r="W606" s="2"/>
      <c r="X606" s="2"/>
      <c r="Y606" s="2"/>
      <c r="Z606" s="2"/>
      <c r="AA606" s="2"/>
      <c r="AB606" s="2"/>
    </row>
    <row r="607" spans="1:28" customHeight="true">
      <c r="A607" s="2"/>
      <c r="B607" s="15">
        <v>46045</v>
      </c>
      <c r="C607" s="2" t="s">
        <v>998</v>
      </c>
      <c r="D607" s="3">
        <v>134.88</v>
      </c>
      <c r="E607" s="16" t="str">
        <f>IFERROR(__xludf.DUMMYFUNCTION("IFERROR(
  TEXTJOIN(CHAR(10),TRUE,FILTER('SUMMARY DATA'!E:E,'SUMMARY DATA'!$A:$A=$A607,'SUMMARY DATA'!$C:$C=$B607,'SUMMARY DATA'!$B:$B=""RWS"")),
  IF(
    OR(
      ISNUMBER(SEARCH(""CDM CASH DEPOSIT"",$C607)),
      ISNUMBER(SEARCH(""CASH DEPOSIT"",$C60"&amp;"7)),
      COUNTIFS('SUMMARY DATA'!$D:$D,$C607,'SUMMARY DATA'!$B:$B,""RWS"")&lt;&gt;1
    ),
    """",
    IFERROR(TEXTJOIN(CHAR(10),TRUE,FILTER('SUMMARY DATA'!E:E,'SUMMARY DATA'!$D:$D=$C607,'SUMMARY DATA'!$B:$B=""RWS"")),"""")
  )
)"),"")</f>
      </c>
      <c r="F607" s="17" t="str">
        <f>IFERROR(__xludf.DUMMYFUNCTION("IFERROR(
  TEXTJOIN(CHAR(10),TRUE,FILTER('SUMMARY DATA'!F:F,'SUMMARY DATA'!$A:$A=$A607,'SUMMARY DATA'!$C:$C=$B607,'SUMMARY DATA'!$B:$B=""RWS"")),
  IF(
    OR(
      ISNUMBER(SEARCH(""CDM CASH DEPOSIT"",$C607)),
      ISNUMBER(SEARCH(""CASH DEPOSIT"",$C60"&amp;"7)),
      COUNTIFS('SUMMARY DATA'!$D:$D,$C607,'SUMMARY DATA'!$B:$B,""RWS"")&lt;&gt;1
    ),
    """",
    IFERROR(TEXTJOIN(CHAR(10),TRUE,FILTER('SUMMARY DATA'!F:F,'SUMMARY DATA'!$D:$D=$C607,'SUMMARY DATA'!$B:$B=""RWS"")),"""")
  )
)"),"")</f>
      </c>
      <c r="G607" s="17" t="str">
        <f>IFERROR(__xludf.DUMMYFUNCTION("IFERROR(
  TEXTJOIN(CHAR(10),TRUE,FILTER('SUMMARY DATA'!G:G,'SUMMARY DATA'!$A:$A=$A607,'SUMMARY DATA'!$C:$C=$B607,'SUMMARY DATA'!$B:$B=""RWS"")),
  IF(
    OR(
      ISNUMBER(SEARCH(""CDM CASH DEPOSIT"",$C607)),
      ISNUMBER(SEARCH(""CASH DEPOSIT"",$C60"&amp;"7)),
      COUNTIFS('SUMMARY DATA'!$D:$D,$C607,'SUMMARY DATA'!$B:$B,""RWS"")&lt;&gt;1
    ),
    """",
    IFERROR(TEXTJOIN(CHAR(10),TRUE,FILTER('SUMMARY DATA'!G:G,'SUMMARY DATA'!$D:$D=$C607,'SUMMARY DATA'!$B:$B=""RWS"")),"""")
  )
)"),"")</f>
      </c>
      <c r="H607" s="18" t="str">
        <f>IFERROR(__xludf.DUMMYFUNCTION("IFERROR(
  TEXTJOIN(CHAR(10),TRUE,FILTER('SUMMARY DATA'!H:H,'SUMMARY DATA'!$A:$A=$A607,'SUMMARY DATA'!$C:$C=$B607,'SUMMARY DATA'!$B:$B=""RWS"",'SUMMARY DATA'!$H:$H=$D607)),
  IF(
    OR(
      ISNUMBER(SEARCH(""CDM CASH DEPOSIT"",$C607)),
      ISNUMBER(S"&amp;"EARCH(""CASH DEPOSIT"",$C607))
    ),
    """",
    IFERROR(TEXTJOIN(CHAR(10),TRUE,FILTER('SUMMARY DATA'!H:H,'SUMMARY DATA'!$D:$D=$C607,'SUMMARY DATA'!$B:$B=""RWS"",'SUMMARY DATA'!$H:$H=$D607)),"""")
  )
)"),"")</f>
      </c>
      <c r="I607" s="18" t="str">
        <f>IFERROR(__xludf.DUMMYFUNCTION("IF(H607="""","""",
SUM(ARRAYFORMULA(VALUE(SPLIT(H607,CHAR(10)))))
)"),"")</f>
      </c>
      <c r="J607" s="17" t="str">
        <f>IFERROR(__xludf.DUMMYFUNCTION("IFERROR(
  TEXTJOIN(CHAR(10),TRUE,FILTER('SUMMARY DATA'!I:I,'SUMMARY DATA'!$A:$A=$A607,'SUMMARY DATA'!$C:$C=$B607,'SUMMARY DATA'!$B:$B=""RWS"")),
  IF(
    OR(
      ISNUMBER(SEARCH(""CDM CASH DEPOSIT"",$C607)),
      ISNUMBER(SEARCH(""CASH DEPOSIT"",$C60"&amp;"7)),
      COUNTIFS('SUMMARY DATA'!$D:$D,$C607,'SUMMARY DATA'!$B:$B,""RWS"")&lt;&gt;1
    ),
    """",
    IFERROR(TEXTJOIN(CHAR(10),TRUE,FILTER('SUMMARY DATA'!I:I,'SUMMARY DATA'!$D:$D=$C607,'SUMMARY DATA'!$B:$B=""RWS"")),"""")
  )
)"),"")</f>
      </c>
      <c r="K607" s="2"/>
      <c r="L607" s="2"/>
      <c r="M607" s="2"/>
      <c r="N607" s="2"/>
      <c r="O607" s="2"/>
      <c r="P607" s="2"/>
      <c r="Q607" s="2"/>
      <c r="R607" s="2"/>
      <c r="S607" s="2"/>
      <c r="T607" s="2"/>
      <c r="U607" s="2"/>
      <c r="V607" s="2"/>
      <c r="W607" s="2"/>
      <c r="X607" s="2"/>
      <c r="Y607" s="2"/>
      <c r="Z607" s="2"/>
      <c r="AA607" s="2"/>
      <c r="AB607" s="2"/>
    </row>
    <row r="608" spans="1:28" customHeight="true">
      <c r="A608" s="2"/>
      <c r="B608" s="15">
        <v>46045</v>
      </c>
      <c r="C608" s="2" t="s">
        <v>999</v>
      </c>
      <c r="D608" s="3">
        <v>435.8</v>
      </c>
      <c r="E608" s="16" t="str">
        <f>IFERROR(__xludf.DUMMYFUNCTION("IFERROR(
  TEXTJOIN(CHAR(10),TRUE,FILTER('SUMMARY DATA'!E:E,'SUMMARY DATA'!$A:$A=$A608,'SUMMARY DATA'!$C:$C=$B608,'SUMMARY DATA'!$B:$B=""RWS"")),
  IF(
    OR(
      ISNUMBER(SEARCH(""CDM CASH DEPOSIT"",$C608)),
      ISNUMBER(SEARCH(""CASH DEPOSIT"",$C60"&amp;"8)),
      COUNTIFS('SUMMARY DATA'!$D:$D,$C608,'SUMMARY DATA'!$B:$B,""RWS"")&lt;&gt;1
    ),
    """",
    IFERROR(TEXTJOIN(CHAR(10),TRUE,FILTER('SUMMARY DATA'!E:E,'SUMMARY DATA'!$D:$D=$C608,'SUMMARY DATA'!$B:$B=""RWS"")),"""")
  )
)"),"")</f>
      </c>
      <c r="F608" s="17" t="str">
        <f>IFERROR(__xludf.DUMMYFUNCTION("IFERROR(
  TEXTJOIN(CHAR(10),TRUE,FILTER('SUMMARY DATA'!F:F,'SUMMARY DATA'!$A:$A=$A608,'SUMMARY DATA'!$C:$C=$B608,'SUMMARY DATA'!$B:$B=""RWS"")),
  IF(
    OR(
      ISNUMBER(SEARCH(""CDM CASH DEPOSIT"",$C608)),
      ISNUMBER(SEARCH(""CASH DEPOSIT"",$C60"&amp;"8)),
      COUNTIFS('SUMMARY DATA'!$D:$D,$C608,'SUMMARY DATA'!$B:$B,""RWS"")&lt;&gt;1
    ),
    """",
    IFERROR(TEXTJOIN(CHAR(10),TRUE,FILTER('SUMMARY DATA'!F:F,'SUMMARY DATA'!$D:$D=$C608,'SUMMARY DATA'!$B:$B=""RWS"")),"""")
  )
)"),"")</f>
      </c>
      <c r="G608" s="17" t="str">
        <f>IFERROR(__xludf.DUMMYFUNCTION("IFERROR(
  TEXTJOIN(CHAR(10),TRUE,FILTER('SUMMARY DATA'!G:G,'SUMMARY DATA'!$A:$A=$A608,'SUMMARY DATA'!$C:$C=$B608,'SUMMARY DATA'!$B:$B=""RWS"")),
  IF(
    OR(
      ISNUMBER(SEARCH(""CDM CASH DEPOSIT"",$C608)),
      ISNUMBER(SEARCH(""CASH DEPOSIT"",$C60"&amp;"8)),
      COUNTIFS('SUMMARY DATA'!$D:$D,$C608,'SUMMARY DATA'!$B:$B,""RWS"")&lt;&gt;1
    ),
    """",
    IFERROR(TEXTJOIN(CHAR(10),TRUE,FILTER('SUMMARY DATA'!G:G,'SUMMARY DATA'!$D:$D=$C608,'SUMMARY DATA'!$B:$B=""RWS"")),"""")
  )
)"),"")</f>
      </c>
      <c r="H608" s="18" t="str">
        <f>IFERROR(__xludf.DUMMYFUNCTION("IFERROR(
  TEXTJOIN(CHAR(10),TRUE,FILTER('SUMMARY DATA'!H:H,'SUMMARY DATA'!$A:$A=$A608,'SUMMARY DATA'!$C:$C=$B608,'SUMMARY DATA'!$B:$B=""RWS"",'SUMMARY DATA'!$H:$H=$D608)),
  IF(
    OR(
      ISNUMBER(SEARCH(""CDM CASH DEPOSIT"",$C608)),
      ISNUMBER(S"&amp;"EARCH(""CASH DEPOSIT"",$C608))
    ),
    """",
    IFERROR(TEXTJOIN(CHAR(10),TRUE,FILTER('SUMMARY DATA'!H:H,'SUMMARY DATA'!$D:$D=$C608,'SUMMARY DATA'!$B:$B=""RWS"",'SUMMARY DATA'!$H:$H=$D608)),"""")
  )
)"),"")</f>
      </c>
      <c r="I608" s="18" t="str">
        <f>IFERROR(__xludf.DUMMYFUNCTION("IF(H608="""","""",
SUM(ARRAYFORMULA(VALUE(SPLIT(H608,CHAR(10)))))
)"),"")</f>
      </c>
      <c r="J608" s="17" t="str">
        <f>IFERROR(__xludf.DUMMYFUNCTION("IFERROR(
  TEXTJOIN(CHAR(10),TRUE,FILTER('SUMMARY DATA'!I:I,'SUMMARY DATA'!$A:$A=$A608,'SUMMARY DATA'!$C:$C=$B608,'SUMMARY DATA'!$B:$B=""RWS"")),
  IF(
    OR(
      ISNUMBER(SEARCH(""CDM CASH DEPOSIT"",$C608)),
      ISNUMBER(SEARCH(""CASH DEPOSIT"",$C60"&amp;"8)),
      COUNTIFS('SUMMARY DATA'!$D:$D,$C608,'SUMMARY DATA'!$B:$B,""RWS"")&lt;&gt;1
    ),
    """",
    IFERROR(TEXTJOIN(CHAR(10),TRUE,FILTER('SUMMARY DATA'!I:I,'SUMMARY DATA'!$D:$D=$C608,'SUMMARY DATA'!$B:$B=""RWS"")),"""")
  )
)"),"")</f>
      </c>
      <c r="K608" s="2"/>
      <c r="L608" s="2"/>
      <c r="M608" s="2"/>
      <c r="N608" s="2"/>
      <c r="O608" s="2"/>
      <c r="P608" s="2"/>
      <c r="Q608" s="2"/>
      <c r="R608" s="2"/>
      <c r="S608" s="2"/>
      <c r="T608" s="2"/>
      <c r="U608" s="2"/>
      <c r="V608" s="2"/>
      <c r="W608" s="2"/>
      <c r="X608" s="2"/>
      <c r="Y608" s="2"/>
      <c r="Z608" s="2"/>
      <c r="AA608" s="2"/>
      <c r="AB608" s="2"/>
    </row>
    <row r="609" spans="1:28" customHeight="true">
      <c r="A609" s="2"/>
      <c r="B609" s="15">
        <v>46045</v>
      </c>
      <c r="C609" s="2" t="s">
        <v>1000</v>
      </c>
      <c r="D609" s="3">
        <v>303</v>
      </c>
      <c r="E609" s="16" t="str">
        <f>IFERROR(__xludf.DUMMYFUNCTION("IFERROR(
  TEXTJOIN(CHAR(10),TRUE,FILTER('SUMMARY DATA'!E:E,'SUMMARY DATA'!$A:$A=$A609,'SUMMARY DATA'!$C:$C=$B609,'SUMMARY DATA'!$B:$B=""RWS"")),
  IF(
    OR(
      ISNUMBER(SEARCH(""CDM CASH DEPOSIT"",$C609)),
      ISNUMBER(SEARCH(""CASH DEPOSIT"",$C60"&amp;"9)),
      COUNTIFS('SUMMARY DATA'!$D:$D,$C609,'SUMMARY DATA'!$B:$B,""RWS"")&lt;&gt;1
    ),
    """",
    IFERROR(TEXTJOIN(CHAR(10),TRUE,FILTER('SUMMARY DATA'!E:E,'SUMMARY DATA'!$D:$D=$C609,'SUMMARY DATA'!$B:$B=""RWS"")),"""")
  )
)"),"")</f>
      </c>
      <c r="F609" s="17" t="str">
        <f>IFERROR(__xludf.DUMMYFUNCTION("IFERROR(
  TEXTJOIN(CHAR(10),TRUE,FILTER('SUMMARY DATA'!F:F,'SUMMARY DATA'!$A:$A=$A609,'SUMMARY DATA'!$C:$C=$B609,'SUMMARY DATA'!$B:$B=""RWS"")),
  IF(
    OR(
      ISNUMBER(SEARCH(""CDM CASH DEPOSIT"",$C609)),
      ISNUMBER(SEARCH(""CASH DEPOSIT"",$C60"&amp;"9)),
      COUNTIFS('SUMMARY DATA'!$D:$D,$C609,'SUMMARY DATA'!$B:$B,""RWS"")&lt;&gt;1
    ),
    """",
    IFERROR(TEXTJOIN(CHAR(10),TRUE,FILTER('SUMMARY DATA'!F:F,'SUMMARY DATA'!$D:$D=$C609,'SUMMARY DATA'!$B:$B=""RWS"")),"""")
  )
)"),"")</f>
      </c>
      <c r="G609" s="17" t="str">
        <f>IFERROR(__xludf.DUMMYFUNCTION("IFERROR(
  TEXTJOIN(CHAR(10),TRUE,FILTER('SUMMARY DATA'!G:G,'SUMMARY DATA'!$A:$A=$A609,'SUMMARY DATA'!$C:$C=$B609,'SUMMARY DATA'!$B:$B=""RWS"")),
  IF(
    OR(
      ISNUMBER(SEARCH(""CDM CASH DEPOSIT"",$C609)),
      ISNUMBER(SEARCH(""CASH DEPOSIT"",$C60"&amp;"9)),
      COUNTIFS('SUMMARY DATA'!$D:$D,$C609,'SUMMARY DATA'!$B:$B,""RWS"")&lt;&gt;1
    ),
    """",
    IFERROR(TEXTJOIN(CHAR(10),TRUE,FILTER('SUMMARY DATA'!G:G,'SUMMARY DATA'!$D:$D=$C609,'SUMMARY DATA'!$B:$B=""RWS"")),"""")
  )
)"),"")</f>
      </c>
      <c r="H609" s="18" t="str">
        <f>IFERROR(__xludf.DUMMYFUNCTION("IFERROR(
  TEXTJOIN(CHAR(10),TRUE,FILTER('SUMMARY DATA'!H:H,'SUMMARY DATA'!$A:$A=$A609,'SUMMARY DATA'!$C:$C=$B609,'SUMMARY DATA'!$B:$B=""RWS"",'SUMMARY DATA'!$H:$H=$D609)),
  IF(
    OR(
      ISNUMBER(SEARCH(""CDM CASH DEPOSIT"",$C609)),
      ISNUMBER(S"&amp;"EARCH(""CASH DEPOSIT"",$C609))
    ),
    """",
    IFERROR(TEXTJOIN(CHAR(10),TRUE,FILTER('SUMMARY DATA'!H:H,'SUMMARY DATA'!$D:$D=$C609,'SUMMARY DATA'!$B:$B=""RWS"",'SUMMARY DATA'!$H:$H=$D609)),"""")
  )
)"),"")</f>
      </c>
      <c r="I609" s="18" t="str">
        <f>IFERROR(__xludf.DUMMYFUNCTION("IF(H609="""","""",
SUM(ARRAYFORMULA(VALUE(SPLIT(H609,CHAR(10)))))
)"),"")</f>
      </c>
      <c r="J609" s="17" t="str">
        <f>IFERROR(__xludf.DUMMYFUNCTION("IFERROR(
  TEXTJOIN(CHAR(10),TRUE,FILTER('SUMMARY DATA'!I:I,'SUMMARY DATA'!$A:$A=$A609,'SUMMARY DATA'!$C:$C=$B609,'SUMMARY DATA'!$B:$B=""RWS"")),
  IF(
    OR(
      ISNUMBER(SEARCH(""CDM CASH DEPOSIT"",$C609)),
      ISNUMBER(SEARCH(""CASH DEPOSIT"",$C60"&amp;"9)),
      COUNTIFS('SUMMARY DATA'!$D:$D,$C609,'SUMMARY DATA'!$B:$B,""RWS"")&lt;&gt;1
    ),
    """",
    IFERROR(TEXTJOIN(CHAR(10),TRUE,FILTER('SUMMARY DATA'!I:I,'SUMMARY DATA'!$D:$D=$C609,'SUMMARY DATA'!$B:$B=""RWS"")),"""")
  )
)"),"")</f>
      </c>
      <c r="K609" s="2"/>
      <c r="L609" s="2"/>
      <c r="M609" s="2"/>
      <c r="N609" s="2"/>
      <c r="O609" s="2"/>
      <c r="P609" s="2"/>
      <c r="Q609" s="2"/>
      <c r="R609" s="2"/>
      <c r="S609" s="2"/>
      <c r="T609" s="2"/>
      <c r="U609" s="2"/>
      <c r="V609" s="2"/>
      <c r="W609" s="2"/>
      <c r="X609" s="2"/>
      <c r="Y609" s="2"/>
      <c r="Z609" s="2"/>
      <c r="AA609" s="2"/>
      <c r="AB609" s="2"/>
    </row>
    <row r="610" spans="1:28" customHeight="true">
      <c r="A610" s="2"/>
      <c r="B610" s="15">
        <v>46045</v>
      </c>
      <c r="C610" s="2" t="s">
        <v>1001</v>
      </c>
      <c r="D610" s="3">
        <v>10</v>
      </c>
      <c r="E610" s="16" t="str">
        <f>IFERROR(__xludf.DUMMYFUNCTION("IFERROR(
  TEXTJOIN(CHAR(10),TRUE,FILTER('SUMMARY DATA'!E:E,'SUMMARY DATA'!$A:$A=$A610,'SUMMARY DATA'!$C:$C=$B610,'SUMMARY DATA'!$B:$B=""RWS"")),
  IF(
    OR(
      ISNUMBER(SEARCH(""CDM CASH DEPOSIT"",$C610)),
      ISNUMBER(SEARCH(""CASH DEPOSIT"",$C61"&amp;"0)),
      COUNTIFS('SUMMARY DATA'!$D:$D,$C610,'SUMMARY DATA'!$B:$B,""RWS"")&lt;&gt;1
    ),
    """",
    IFERROR(TEXTJOIN(CHAR(10),TRUE,FILTER('SUMMARY DATA'!E:E,'SUMMARY DATA'!$D:$D=$C610,'SUMMARY DATA'!$B:$B=""RWS"")),"""")
  )
)"),"")</f>
      </c>
      <c r="F610" s="17" t="str">
        <f>IFERROR(__xludf.DUMMYFUNCTION("IFERROR(
  TEXTJOIN(CHAR(10),TRUE,FILTER('SUMMARY DATA'!F:F,'SUMMARY DATA'!$A:$A=$A610,'SUMMARY DATA'!$C:$C=$B610,'SUMMARY DATA'!$B:$B=""RWS"")),
  IF(
    OR(
      ISNUMBER(SEARCH(""CDM CASH DEPOSIT"",$C610)),
      ISNUMBER(SEARCH(""CASH DEPOSIT"",$C61"&amp;"0)),
      COUNTIFS('SUMMARY DATA'!$D:$D,$C610,'SUMMARY DATA'!$B:$B,""RWS"")&lt;&gt;1
    ),
    """",
    IFERROR(TEXTJOIN(CHAR(10),TRUE,FILTER('SUMMARY DATA'!F:F,'SUMMARY DATA'!$D:$D=$C610,'SUMMARY DATA'!$B:$B=""RWS"")),"""")
  )
)"),"")</f>
      </c>
      <c r="G610" s="17" t="str">
        <f>IFERROR(__xludf.DUMMYFUNCTION("IFERROR(
  TEXTJOIN(CHAR(10),TRUE,FILTER('SUMMARY DATA'!G:G,'SUMMARY DATA'!$A:$A=$A610,'SUMMARY DATA'!$C:$C=$B610,'SUMMARY DATA'!$B:$B=""RWS"")),
  IF(
    OR(
      ISNUMBER(SEARCH(""CDM CASH DEPOSIT"",$C610)),
      ISNUMBER(SEARCH(""CASH DEPOSIT"",$C61"&amp;"0)),
      COUNTIFS('SUMMARY DATA'!$D:$D,$C610,'SUMMARY DATA'!$B:$B,""RWS"")&lt;&gt;1
    ),
    """",
    IFERROR(TEXTJOIN(CHAR(10),TRUE,FILTER('SUMMARY DATA'!G:G,'SUMMARY DATA'!$D:$D=$C610,'SUMMARY DATA'!$B:$B=""RWS"")),"""")
  )
)"),"")</f>
      </c>
      <c r="H610" s="18" t="str">
        <f>IFERROR(__xludf.DUMMYFUNCTION("IFERROR(
  TEXTJOIN(CHAR(10),TRUE,FILTER('SUMMARY DATA'!H:H,'SUMMARY DATA'!$A:$A=$A610,'SUMMARY DATA'!$C:$C=$B610,'SUMMARY DATA'!$B:$B=""RWS"",'SUMMARY DATA'!$H:$H=$D610)),
  IF(
    OR(
      ISNUMBER(SEARCH(""CDM CASH DEPOSIT"",$C610)),
      ISNUMBER(S"&amp;"EARCH(""CASH DEPOSIT"",$C610))
    ),
    """",
    IFERROR(TEXTJOIN(CHAR(10),TRUE,FILTER('SUMMARY DATA'!H:H,'SUMMARY DATA'!$D:$D=$C610,'SUMMARY DATA'!$B:$B=""RWS"",'SUMMARY DATA'!$H:$H=$D610)),"""")
  )
)"),"")</f>
      </c>
      <c r="I610" s="18" t="str">
        <f>IFERROR(__xludf.DUMMYFUNCTION("IF(H610="""","""",
SUM(ARRAYFORMULA(VALUE(SPLIT(H610,CHAR(10)))))
)"),"")</f>
      </c>
      <c r="J610" s="17" t="str">
        <f>IFERROR(__xludf.DUMMYFUNCTION("IFERROR(
  TEXTJOIN(CHAR(10),TRUE,FILTER('SUMMARY DATA'!I:I,'SUMMARY DATA'!$A:$A=$A610,'SUMMARY DATA'!$C:$C=$B610,'SUMMARY DATA'!$B:$B=""RWS"")),
  IF(
    OR(
      ISNUMBER(SEARCH(""CDM CASH DEPOSIT"",$C610)),
      ISNUMBER(SEARCH(""CASH DEPOSIT"",$C61"&amp;"0)),
      COUNTIFS('SUMMARY DATA'!$D:$D,$C610,'SUMMARY DATA'!$B:$B,""RWS"")&lt;&gt;1
    ),
    """",
    IFERROR(TEXTJOIN(CHAR(10),TRUE,FILTER('SUMMARY DATA'!I:I,'SUMMARY DATA'!$D:$D=$C610,'SUMMARY DATA'!$B:$B=""RWS"")),"""")
  )
)"),"")</f>
      </c>
      <c r="K610" s="2"/>
      <c r="L610" s="2"/>
      <c r="M610" s="2"/>
      <c r="N610" s="2"/>
      <c r="O610" s="2"/>
      <c r="P610" s="2"/>
      <c r="Q610" s="2"/>
      <c r="R610" s="2"/>
      <c r="S610" s="2"/>
      <c r="T610" s="2"/>
      <c r="U610" s="2"/>
      <c r="V610" s="2"/>
      <c r="W610" s="2"/>
      <c r="X610" s="2"/>
      <c r="Y610" s="2"/>
      <c r="Z610" s="2"/>
      <c r="AA610" s="2"/>
      <c r="AB610" s="2"/>
    </row>
    <row r="611" spans="1:28" customHeight="true">
      <c r="A611" s="2"/>
      <c r="B611" s="15">
        <v>46045</v>
      </c>
      <c r="C611" s="2" t="s">
        <v>1002</v>
      </c>
      <c r="D611" s="3">
        <v>888</v>
      </c>
      <c r="E611" s="16" t="str">
        <f>IFERROR(__xludf.DUMMYFUNCTION("IFERROR(
  TEXTJOIN(CHAR(10),TRUE,FILTER('SUMMARY DATA'!E:E,'SUMMARY DATA'!$A:$A=$A611,'SUMMARY DATA'!$C:$C=$B611,'SUMMARY DATA'!$B:$B=""RWS"")),
  IF(
    OR(
      ISNUMBER(SEARCH(""CDM CASH DEPOSIT"",$C611)),
      ISNUMBER(SEARCH(""CASH DEPOSIT"",$C61"&amp;"1)),
      COUNTIFS('SUMMARY DATA'!$D:$D,$C611,'SUMMARY DATA'!$B:$B,""RWS"")&lt;&gt;1
    ),
    """",
    IFERROR(TEXTJOIN(CHAR(10),TRUE,FILTER('SUMMARY DATA'!E:E,'SUMMARY DATA'!$D:$D=$C611,'SUMMARY DATA'!$B:$B=""RWS"")),"""")
  )
)"),"")</f>
      </c>
      <c r="F611" s="17" t="str">
        <f>IFERROR(__xludf.DUMMYFUNCTION("IFERROR(
  TEXTJOIN(CHAR(10),TRUE,FILTER('SUMMARY DATA'!F:F,'SUMMARY DATA'!$A:$A=$A611,'SUMMARY DATA'!$C:$C=$B611,'SUMMARY DATA'!$B:$B=""RWS"")),
  IF(
    OR(
      ISNUMBER(SEARCH(""CDM CASH DEPOSIT"",$C611)),
      ISNUMBER(SEARCH(""CASH DEPOSIT"",$C61"&amp;"1)),
      COUNTIFS('SUMMARY DATA'!$D:$D,$C611,'SUMMARY DATA'!$B:$B,""RWS"")&lt;&gt;1
    ),
    """",
    IFERROR(TEXTJOIN(CHAR(10),TRUE,FILTER('SUMMARY DATA'!F:F,'SUMMARY DATA'!$D:$D=$C611,'SUMMARY DATA'!$B:$B=""RWS"")),"""")
  )
)"),"")</f>
      </c>
      <c r="G611" s="17" t="str">
        <f>IFERROR(__xludf.DUMMYFUNCTION("IFERROR(
  TEXTJOIN(CHAR(10),TRUE,FILTER('SUMMARY DATA'!G:G,'SUMMARY DATA'!$A:$A=$A611,'SUMMARY DATA'!$C:$C=$B611,'SUMMARY DATA'!$B:$B=""RWS"")),
  IF(
    OR(
      ISNUMBER(SEARCH(""CDM CASH DEPOSIT"",$C611)),
      ISNUMBER(SEARCH(""CASH DEPOSIT"",$C61"&amp;"1)),
      COUNTIFS('SUMMARY DATA'!$D:$D,$C611,'SUMMARY DATA'!$B:$B,""RWS"")&lt;&gt;1
    ),
    """",
    IFERROR(TEXTJOIN(CHAR(10),TRUE,FILTER('SUMMARY DATA'!G:G,'SUMMARY DATA'!$D:$D=$C611,'SUMMARY DATA'!$B:$B=""RWS"")),"""")
  )
)"),"")</f>
      </c>
      <c r="H611" s="18" t="str">
        <f>IFERROR(__xludf.DUMMYFUNCTION("IFERROR(
  TEXTJOIN(CHAR(10),TRUE,FILTER('SUMMARY DATA'!H:H,'SUMMARY DATA'!$A:$A=$A611,'SUMMARY DATA'!$C:$C=$B611,'SUMMARY DATA'!$B:$B=""RWS"",'SUMMARY DATA'!$H:$H=$D611)),
  IF(
    OR(
      ISNUMBER(SEARCH(""CDM CASH DEPOSIT"",$C611)),
      ISNUMBER(S"&amp;"EARCH(""CASH DEPOSIT"",$C611))
    ),
    """",
    IFERROR(TEXTJOIN(CHAR(10),TRUE,FILTER('SUMMARY DATA'!H:H,'SUMMARY DATA'!$D:$D=$C611,'SUMMARY DATA'!$B:$B=""RWS"",'SUMMARY DATA'!$H:$H=$D611)),"""")
  )
)"),"")</f>
      </c>
      <c r="I611" s="18" t="str">
        <f>IFERROR(__xludf.DUMMYFUNCTION("IF(H611="""","""",
SUM(ARRAYFORMULA(VALUE(SPLIT(H611,CHAR(10)))))
)"),"")</f>
      </c>
      <c r="J611" s="17" t="str">
        <f>IFERROR(__xludf.DUMMYFUNCTION("IFERROR(
  TEXTJOIN(CHAR(10),TRUE,FILTER('SUMMARY DATA'!I:I,'SUMMARY DATA'!$A:$A=$A611,'SUMMARY DATA'!$C:$C=$B611,'SUMMARY DATA'!$B:$B=""RWS"")),
  IF(
    OR(
      ISNUMBER(SEARCH(""CDM CASH DEPOSIT"",$C611)),
      ISNUMBER(SEARCH(""CASH DEPOSIT"",$C61"&amp;"1)),
      COUNTIFS('SUMMARY DATA'!$D:$D,$C611,'SUMMARY DATA'!$B:$B,""RWS"")&lt;&gt;1
    ),
    """",
    IFERROR(TEXTJOIN(CHAR(10),TRUE,FILTER('SUMMARY DATA'!I:I,'SUMMARY DATA'!$D:$D=$C611,'SUMMARY DATA'!$B:$B=""RWS"")),"""")
  )
)"),"")</f>
      </c>
      <c r="K611" s="2"/>
      <c r="L611" s="2"/>
      <c r="M611" s="2"/>
      <c r="N611" s="2"/>
      <c r="O611" s="2"/>
      <c r="P611" s="2"/>
      <c r="Q611" s="2"/>
      <c r="R611" s="2"/>
      <c r="S611" s="2"/>
      <c r="T611" s="2"/>
      <c r="U611" s="2"/>
      <c r="V611" s="2"/>
      <c r="W611" s="2"/>
      <c r="X611" s="2"/>
      <c r="Y611" s="2"/>
      <c r="Z611" s="2"/>
      <c r="AA611" s="2"/>
      <c r="AB611" s="2"/>
    </row>
    <row r="612" spans="1:28" customHeight="true">
      <c r="A612" s="2" t="s">
        <v>1003</v>
      </c>
      <c r="B612" s="15">
        <v>46045</v>
      </c>
      <c r="C612" s="2" t="s">
        <v>1004</v>
      </c>
      <c r="D612" s="3">
        <v>49</v>
      </c>
      <c r="E612" s="16" t="s">
        <v>2597</v>
      </c>
      <c r="F612" s="17" t="s">
        <v>2612</v>
      </c>
      <c r="G612" s="17" t="s">
        <v>2393</v>
      </c>
      <c r="H612" s="18">
        <v>49</v>
      </c>
      <c r="I612" s="18">
        <v>49</v>
      </c>
      <c r="J612" s="17" t="s">
        <v>2394</v>
      </c>
      <c r="K612" s="2" t="s">
        <v>2395</v>
      </c>
      <c r="L612" s="2"/>
      <c r="M612" s="2"/>
      <c r="N612" s="2"/>
      <c r="O612" s="2"/>
      <c r="P612" s="2"/>
      <c r="Q612" s="2"/>
      <c r="R612" s="2"/>
      <c r="S612" s="2"/>
      <c r="T612" s="2"/>
      <c r="U612" s="2"/>
      <c r="V612" s="2"/>
      <c r="W612" s="2"/>
      <c r="X612" s="2"/>
      <c r="Y612" s="2"/>
      <c r="Z612" s="2"/>
      <c r="AA612" s="2"/>
      <c r="AB612" s="2"/>
    </row>
    <row r="613" spans="1:28" customHeight="true">
      <c r="A613" s="2"/>
      <c r="B613" s="15">
        <v>46044</v>
      </c>
      <c r="C613" s="2" t="s">
        <v>1005</v>
      </c>
      <c r="D613" s="3">
        <v>2228.08</v>
      </c>
      <c r="E613" s="16" t="str">
        <f>IFERROR(__xludf.DUMMYFUNCTION("IFERROR(
  TEXTJOIN(CHAR(10),TRUE,FILTER('SUMMARY DATA'!E:E,'SUMMARY DATA'!$A:$A=$A613,'SUMMARY DATA'!$C:$C=$B613,'SUMMARY DATA'!$B:$B=""RWS"")),
  IF(
    OR(
      ISNUMBER(SEARCH(""CDM CASH DEPOSIT"",$C613)),
      ISNUMBER(SEARCH(""CASH DEPOSIT"",$C61"&amp;"3)),
      COUNTIFS('SUMMARY DATA'!$D:$D,$C613,'SUMMARY DATA'!$B:$B,""RWS"")&lt;&gt;1
    ),
    """",
    IFERROR(TEXTJOIN(CHAR(10),TRUE,FILTER('SUMMARY DATA'!E:E,'SUMMARY DATA'!$D:$D=$C613,'SUMMARY DATA'!$B:$B=""RWS"")),"""")
  )
)"),"")</f>
      </c>
      <c r="F613" s="17" t="str">
        <f>IFERROR(__xludf.DUMMYFUNCTION("IFERROR(
  TEXTJOIN(CHAR(10),TRUE,FILTER('SUMMARY DATA'!F:F,'SUMMARY DATA'!$A:$A=$A613,'SUMMARY DATA'!$C:$C=$B613,'SUMMARY DATA'!$B:$B=""RWS"")),
  IF(
    OR(
      ISNUMBER(SEARCH(""CDM CASH DEPOSIT"",$C613)),
      ISNUMBER(SEARCH(""CASH DEPOSIT"",$C61"&amp;"3)),
      COUNTIFS('SUMMARY DATA'!$D:$D,$C613,'SUMMARY DATA'!$B:$B,""RWS"")&lt;&gt;1
    ),
    """",
    IFERROR(TEXTJOIN(CHAR(10),TRUE,FILTER('SUMMARY DATA'!F:F,'SUMMARY DATA'!$D:$D=$C613,'SUMMARY DATA'!$B:$B=""RWS"")),"""")
  )
)"),"")</f>
      </c>
      <c r="G613" s="17" t="str">
        <f>IFERROR(__xludf.DUMMYFUNCTION("IFERROR(
  TEXTJOIN(CHAR(10),TRUE,FILTER('SUMMARY DATA'!G:G,'SUMMARY DATA'!$A:$A=$A613,'SUMMARY DATA'!$C:$C=$B613,'SUMMARY DATA'!$B:$B=""RWS"")),
  IF(
    OR(
      ISNUMBER(SEARCH(""CDM CASH DEPOSIT"",$C613)),
      ISNUMBER(SEARCH(""CASH DEPOSIT"",$C61"&amp;"3)),
      COUNTIFS('SUMMARY DATA'!$D:$D,$C613,'SUMMARY DATA'!$B:$B,""RWS"")&lt;&gt;1
    ),
    """",
    IFERROR(TEXTJOIN(CHAR(10),TRUE,FILTER('SUMMARY DATA'!G:G,'SUMMARY DATA'!$D:$D=$C613,'SUMMARY DATA'!$B:$B=""RWS"")),"""")
  )
)"),"")</f>
      </c>
      <c r="H613" s="18" t="str">
        <f>IFERROR(__xludf.DUMMYFUNCTION("IFERROR(
  TEXTJOIN(CHAR(10),TRUE,FILTER('SUMMARY DATA'!H:H,'SUMMARY DATA'!$A:$A=$A613,'SUMMARY DATA'!$C:$C=$B613,'SUMMARY DATA'!$B:$B=""RWS"",'SUMMARY DATA'!$H:$H=$D613)),
  IF(
    OR(
      ISNUMBER(SEARCH(""CDM CASH DEPOSIT"",$C613)),
      ISNUMBER(S"&amp;"EARCH(""CASH DEPOSIT"",$C613))
    ),
    """",
    IFERROR(TEXTJOIN(CHAR(10),TRUE,FILTER('SUMMARY DATA'!H:H,'SUMMARY DATA'!$D:$D=$C613,'SUMMARY DATA'!$B:$B=""RWS"",'SUMMARY DATA'!$H:$H=$D613)),"""")
  )
)"),"")</f>
      </c>
      <c r="I613" s="18" t="str">
        <f>IFERROR(__xludf.DUMMYFUNCTION("IF(H613="""","""",
SUM(ARRAYFORMULA(VALUE(SPLIT(H613,CHAR(10)))))
)"),"")</f>
      </c>
      <c r="J613" s="17" t="str">
        <f>IFERROR(__xludf.DUMMYFUNCTION("IFERROR(
  TEXTJOIN(CHAR(10),TRUE,FILTER('SUMMARY DATA'!I:I,'SUMMARY DATA'!$A:$A=$A613,'SUMMARY DATA'!$C:$C=$B613,'SUMMARY DATA'!$B:$B=""RWS"")),
  IF(
    OR(
      ISNUMBER(SEARCH(""CDM CASH DEPOSIT"",$C613)),
      ISNUMBER(SEARCH(""CASH DEPOSIT"",$C61"&amp;"3)),
      COUNTIFS('SUMMARY DATA'!$D:$D,$C613,'SUMMARY DATA'!$B:$B,""RWS"")&lt;&gt;1
    ),
    """",
    IFERROR(TEXTJOIN(CHAR(10),TRUE,FILTER('SUMMARY DATA'!I:I,'SUMMARY DATA'!$D:$D=$C613,'SUMMARY DATA'!$B:$B=""RWS"")),"""")
  )
)"),"")</f>
      </c>
      <c r="K613" s="2"/>
      <c r="L613" s="2"/>
      <c r="M613" s="2"/>
      <c r="N613" s="2"/>
      <c r="O613" s="2"/>
      <c r="P613" s="2"/>
      <c r="Q613" s="2"/>
      <c r="R613" s="2"/>
      <c r="S613" s="2"/>
      <c r="T613" s="2"/>
      <c r="U613" s="2"/>
      <c r="V613" s="2"/>
      <c r="W613" s="2"/>
      <c r="X613" s="2"/>
      <c r="Y613" s="2"/>
      <c r="Z613" s="2"/>
      <c r="AA613" s="2"/>
      <c r="AB613" s="2"/>
    </row>
    <row r="614" spans="1:28" customHeight="true">
      <c r="A614" s="2"/>
      <c r="B614" s="15">
        <v>46044</v>
      </c>
      <c r="C614" s="2" t="s">
        <v>1006</v>
      </c>
      <c r="D614" s="3">
        <v>15</v>
      </c>
      <c r="E614" s="16" t="str">
        <f>IFERROR(__xludf.DUMMYFUNCTION("IFERROR(
  TEXTJOIN(CHAR(10),TRUE,FILTER('SUMMARY DATA'!E:E,'SUMMARY DATA'!$A:$A=$A614,'SUMMARY DATA'!$C:$C=$B614,'SUMMARY DATA'!$B:$B=""RWS"")),
  IF(
    OR(
      ISNUMBER(SEARCH(""CDM CASH DEPOSIT"",$C614)),
      ISNUMBER(SEARCH(""CASH DEPOSIT"",$C61"&amp;"4)),
      COUNTIFS('SUMMARY DATA'!$D:$D,$C614,'SUMMARY DATA'!$B:$B,""RWS"")&lt;&gt;1
    ),
    """",
    IFERROR(TEXTJOIN(CHAR(10),TRUE,FILTER('SUMMARY DATA'!E:E,'SUMMARY DATA'!$D:$D=$C614,'SUMMARY DATA'!$B:$B=""RWS"")),"""")
  )
)"),"")</f>
      </c>
      <c r="F614" s="17" t="str">
        <f>IFERROR(__xludf.DUMMYFUNCTION("IFERROR(
  TEXTJOIN(CHAR(10),TRUE,FILTER('SUMMARY DATA'!F:F,'SUMMARY DATA'!$A:$A=$A614,'SUMMARY DATA'!$C:$C=$B614,'SUMMARY DATA'!$B:$B=""RWS"")),
  IF(
    OR(
      ISNUMBER(SEARCH(""CDM CASH DEPOSIT"",$C614)),
      ISNUMBER(SEARCH(""CASH DEPOSIT"",$C61"&amp;"4)),
      COUNTIFS('SUMMARY DATA'!$D:$D,$C614,'SUMMARY DATA'!$B:$B,""RWS"")&lt;&gt;1
    ),
    """",
    IFERROR(TEXTJOIN(CHAR(10),TRUE,FILTER('SUMMARY DATA'!F:F,'SUMMARY DATA'!$D:$D=$C614,'SUMMARY DATA'!$B:$B=""RWS"")),"""")
  )
)"),"")</f>
      </c>
      <c r="G614" s="17" t="str">
        <f>IFERROR(__xludf.DUMMYFUNCTION("IFERROR(
  TEXTJOIN(CHAR(10),TRUE,FILTER('SUMMARY DATA'!G:G,'SUMMARY DATA'!$A:$A=$A614,'SUMMARY DATA'!$C:$C=$B614,'SUMMARY DATA'!$B:$B=""RWS"")),
  IF(
    OR(
      ISNUMBER(SEARCH(""CDM CASH DEPOSIT"",$C614)),
      ISNUMBER(SEARCH(""CASH DEPOSIT"",$C61"&amp;"4)),
      COUNTIFS('SUMMARY DATA'!$D:$D,$C614,'SUMMARY DATA'!$B:$B,""RWS"")&lt;&gt;1
    ),
    """",
    IFERROR(TEXTJOIN(CHAR(10),TRUE,FILTER('SUMMARY DATA'!G:G,'SUMMARY DATA'!$D:$D=$C614,'SUMMARY DATA'!$B:$B=""RWS"")),"""")
  )
)"),"")</f>
      </c>
      <c r="H614" s="18" t="str">
        <f>IFERROR(__xludf.DUMMYFUNCTION("IFERROR(
  TEXTJOIN(CHAR(10),TRUE,FILTER('SUMMARY DATA'!H:H,'SUMMARY DATA'!$A:$A=$A614,'SUMMARY DATA'!$C:$C=$B614,'SUMMARY DATA'!$B:$B=""RWS"",'SUMMARY DATA'!$H:$H=$D614)),
  IF(
    OR(
      ISNUMBER(SEARCH(""CDM CASH DEPOSIT"",$C614)),
      ISNUMBER(S"&amp;"EARCH(""CASH DEPOSIT"",$C614))
    ),
    """",
    IFERROR(TEXTJOIN(CHAR(10),TRUE,FILTER('SUMMARY DATA'!H:H,'SUMMARY DATA'!$D:$D=$C614,'SUMMARY DATA'!$B:$B=""RWS"",'SUMMARY DATA'!$H:$H=$D614)),"""")
  )
)"),"")</f>
      </c>
      <c r="I614" s="18" t="str">
        <f>IFERROR(__xludf.DUMMYFUNCTION("IF(H614="""","""",
SUM(ARRAYFORMULA(VALUE(SPLIT(H614,CHAR(10)))))
)"),"")</f>
      </c>
      <c r="J614" s="17" t="str">
        <f>IFERROR(__xludf.DUMMYFUNCTION("IFERROR(
  TEXTJOIN(CHAR(10),TRUE,FILTER('SUMMARY DATA'!I:I,'SUMMARY DATA'!$A:$A=$A614,'SUMMARY DATA'!$C:$C=$B614,'SUMMARY DATA'!$B:$B=""RWS"")),
  IF(
    OR(
      ISNUMBER(SEARCH(""CDM CASH DEPOSIT"",$C614)),
      ISNUMBER(SEARCH(""CASH DEPOSIT"",$C61"&amp;"4)),
      COUNTIFS('SUMMARY DATA'!$D:$D,$C614,'SUMMARY DATA'!$B:$B,""RWS"")&lt;&gt;1
    ),
    """",
    IFERROR(TEXTJOIN(CHAR(10),TRUE,FILTER('SUMMARY DATA'!I:I,'SUMMARY DATA'!$D:$D=$C614,'SUMMARY DATA'!$B:$B=""RWS"")),"""")
  )
)"),"")</f>
      </c>
      <c r="K614" s="2"/>
      <c r="L614" s="2"/>
      <c r="M614" s="2"/>
      <c r="N614" s="2"/>
      <c r="O614" s="2"/>
      <c r="P614" s="2"/>
      <c r="Q614" s="2"/>
      <c r="R614" s="2"/>
      <c r="S614" s="2"/>
      <c r="T614" s="2"/>
      <c r="U614" s="2"/>
      <c r="V614" s="2"/>
      <c r="W614" s="2"/>
      <c r="X614" s="2"/>
      <c r="Y614" s="2"/>
      <c r="Z614" s="2"/>
      <c r="AA614" s="2"/>
      <c r="AB614" s="2"/>
    </row>
    <row r="615" spans="1:28" customHeight="true">
      <c r="A615" s="2" t="s">
        <v>1007</v>
      </c>
      <c r="B615" s="15">
        <v>46044</v>
      </c>
      <c r="C615" s="2" t="s">
        <v>1008</v>
      </c>
      <c r="D615" s="3">
        <v>19</v>
      </c>
      <c r="E615" s="16" t="str">
        <f>IFERROR(__xludf.DUMMYFUNCTION("IFERROR(
  TEXTJOIN(CHAR(10),TRUE,FILTER('SUMMARY DATA'!E:E,'SUMMARY DATA'!$A:$A=$A615,'SUMMARY DATA'!$C:$C=$B615,'SUMMARY DATA'!$B:$B=""RWS"")),
  IF(
    OR(
      ISNUMBER(SEARCH(""CDM CASH DEPOSIT"",$C615)),
      ISNUMBER(SEARCH(""CASH DEPOSIT"",$C61"&amp;"5)),
      COUNTIFS('SUMMARY DATA'!$D:$D,$C615,'SUMMARY DATA'!$B:$B,""RWS"")&lt;&gt;1
    ),
    """",
    IFERROR(TEXTJOIN(CHAR(10),TRUE,FILTER('SUMMARY DATA'!E:E,'SUMMARY DATA'!$D:$D=$C615,'SUMMARY DATA'!$B:$B=""RWS"")),"""")
  )
)"),"")</f>
      </c>
      <c r="F615" s="17" t="str">
        <f>IFERROR(__xludf.DUMMYFUNCTION("IFERROR(
  TEXTJOIN(CHAR(10),TRUE,FILTER('SUMMARY DATA'!F:F,'SUMMARY DATA'!$A:$A=$A615,'SUMMARY DATA'!$C:$C=$B615,'SUMMARY DATA'!$B:$B=""RWS"")),
  IF(
    OR(
      ISNUMBER(SEARCH(""CDM CASH DEPOSIT"",$C615)),
      ISNUMBER(SEARCH(""CASH DEPOSIT"",$C61"&amp;"5)),
      COUNTIFS('SUMMARY DATA'!$D:$D,$C615,'SUMMARY DATA'!$B:$B,""RWS"")&lt;&gt;1
    ),
    """",
    IFERROR(TEXTJOIN(CHAR(10),TRUE,FILTER('SUMMARY DATA'!F:F,'SUMMARY DATA'!$D:$D=$C615,'SUMMARY DATA'!$B:$B=""RWS"")),"""")
  )
)"),"")</f>
      </c>
      <c r="G615" s="17" t="str">
        <f>IFERROR(__xludf.DUMMYFUNCTION("IFERROR(
  TEXTJOIN(CHAR(10),TRUE,FILTER('SUMMARY DATA'!G:G,'SUMMARY DATA'!$A:$A=$A615,'SUMMARY DATA'!$C:$C=$B615,'SUMMARY DATA'!$B:$B=""RWS"")),
  IF(
    OR(
      ISNUMBER(SEARCH(""CDM CASH DEPOSIT"",$C615)),
      ISNUMBER(SEARCH(""CASH DEPOSIT"",$C61"&amp;"5)),
      COUNTIFS('SUMMARY DATA'!$D:$D,$C615,'SUMMARY DATA'!$B:$B,""RWS"")&lt;&gt;1
    ),
    """",
    IFERROR(TEXTJOIN(CHAR(10),TRUE,FILTER('SUMMARY DATA'!G:G,'SUMMARY DATA'!$D:$D=$C615,'SUMMARY DATA'!$B:$B=""RWS"")),"""")
  )
)"),"")</f>
      </c>
      <c r="H615" s="18" t="str">
        <f>IFERROR(__xludf.DUMMYFUNCTION("IFERROR(
  TEXTJOIN(CHAR(10),TRUE,FILTER('SUMMARY DATA'!H:H,'SUMMARY DATA'!$A:$A=$A615,'SUMMARY DATA'!$C:$C=$B615,'SUMMARY DATA'!$B:$B=""RWS"",'SUMMARY DATA'!$H:$H=$D615)),
  IF(
    OR(
      ISNUMBER(SEARCH(""CDM CASH DEPOSIT"",$C615)),
      ISNUMBER(S"&amp;"EARCH(""CASH DEPOSIT"",$C615))
    ),
    """",
    IFERROR(TEXTJOIN(CHAR(10),TRUE,FILTER('SUMMARY DATA'!H:H,'SUMMARY DATA'!$D:$D=$C615,'SUMMARY DATA'!$B:$B=""RWS"",'SUMMARY DATA'!$H:$H=$D615)),"""")
  )
)"),"")</f>
      </c>
      <c r="I615" s="18" t="str">
        <f>IFERROR(__xludf.DUMMYFUNCTION("IF(H615="""","""",
SUM(ARRAYFORMULA(VALUE(SPLIT(H615,CHAR(10)))))
)"),"")</f>
      </c>
      <c r="J615" s="17" t="str">
        <f>IFERROR(__xludf.DUMMYFUNCTION("IFERROR(
  TEXTJOIN(CHAR(10),TRUE,FILTER('SUMMARY DATA'!I:I,'SUMMARY DATA'!$A:$A=$A615,'SUMMARY DATA'!$C:$C=$B615,'SUMMARY DATA'!$B:$B=""RWS"")),
  IF(
    OR(
      ISNUMBER(SEARCH(""CDM CASH DEPOSIT"",$C615)),
      ISNUMBER(SEARCH(""CASH DEPOSIT"",$C61"&amp;"5)),
      COUNTIFS('SUMMARY DATA'!$D:$D,$C615,'SUMMARY DATA'!$B:$B,""RWS"")&lt;&gt;1
    ),
    """",
    IFERROR(TEXTJOIN(CHAR(10),TRUE,FILTER('SUMMARY DATA'!I:I,'SUMMARY DATA'!$D:$D=$C615,'SUMMARY DATA'!$B:$B=""RWS"")),"""")
  )
)"),"")</f>
      </c>
      <c r="K615" s="2"/>
      <c r="L615" s="2"/>
      <c r="M615" s="2"/>
      <c r="N615" s="2"/>
      <c r="O615" s="2"/>
      <c r="P615" s="2"/>
      <c r="Q615" s="2"/>
      <c r="R615" s="2"/>
      <c r="S615" s="2"/>
      <c r="T615" s="2"/>
      <c r="U615" s="2"/>
      <c r="V615" s="2"/>
      <c r="W615" s="2"/>
      <c r="X615" s="2"/>
      <c r="Y615" s="2"/>
      <c r="Z615" s="2"/>
      <c r="AA615" s="2"/>
      <c r="AB615" s="2"/>
    </row>
    <row r="616" spans="1:28" customHeight="true">
      <c r="A616" s="2"/>
      <c r="B616" s="15">
        <v>46044</v>
      </c>
      <c r="C616" s="2" t="s">
        <v>1009</v>
      </c>
      <c r="D616" s="3">
        <v>155.02</v>
      </c>
      <c r="E616" s="16" t="str">
        <f>IFERROR(__xludf.DUMMYFUNCTION("IFERROR(
  TEXTJOIN(CHAR(10),TRUE,FILTER('SUMMARY DATA'!E:E,'SUMMARY DATA'!$A:$A=$A616,'SUMMARY DATA'!$C:$C=$B616,'SUMMARY DATA'!$B:$B=""RWS"")),
  IF(
    OR(
      ISNUMBER(SEARCH(""CDM CASH DEPOSIT"",$C616)),
      ISNUMBER(SEARCH(""CASH DEPOSIT"",$C61"&amp;"6)),
      COUNTIFS('SUMMARY DATA'!$D:$D,$C616,'SUMMARY DATA'!$B:$B,""RWS"")&lt;&gt;1
    ),
    """",
    IFERROR(TEXTJOIN(CHAR(10),TRUE,FILTER('SUMMARY DATA'!E:E,'SUMMARY DATA'!$D:$D=$C616,'SUMMARY DATA'!$B:$B=""RWS"")),"""")
  )
)"),"")</f>
      </c>
      <c r="F616" s="17" t="str">
        <f>IFERROR(__xludf.DUMMYFUNCTION("IFERROR(
  TEXTJOIN(CHAR(10),TRUE,FILTER('SUMMARY DATA'!F:F,'SUMMARY DATA'!$A:$A=$A616,'SUMMARY DATA'!$C:$C=$B616,'SUMMARY DATA'!$B:$B=""RWS"")),
  IF(
    OR(
      ISNUMBER(SEARCH(""CDM CASH DEPOSIT"",$C616)),
      ISNUMBER(SEARCH(""CASH DEPOSIT"",$C61"&amp;"6)),
      COUNTIFS('SUMMARY DATA'!$D:$D,$C616,'SUMMARY DATA'!$B:$B,""RWS"")&lt;&gt;1
    ),
    """",
    IFERROR(TEXTJOIN(CHAR(10),TRUE,FILTER('SUMMARY DATA'!F:F,'SUMMARY DATA'!$D:$D=$C616,'SUMMARY DATA'!$B:$B=""RWS"")),"""")
  )
)"),"")</f>
      </c>
      <c r="G616" s="17" t="str">
        <f>IFERROR(__xludf.DUMMYFUNCTION("IFERROR(
  TEXTJOIN(CHAR(10),TRUE,FILTER('SUMMARY DATA'!G:G,'SUMMARY DATA'!$A:$A=$A616,'SUMMARY DATA'!$C:$C=$B616,'SUMMARY DATA'!$B:$B=""RWS"")),
  IF(
    OR(
      ISNUMBER(SEARCH(""CDM CASH DEPOSIT"",$C616)),
      ISNUMBER(SEARCH(""CASH DEPOSIT"",$C61"&amp;"6)),
      COUNTIFS('SUMMARY DATA'!$D:$D,$C616,'SUMMARY DATA'!$B:$B,""RWS"")&lt;&gt;1
    ),
    """",
    IFERROR(TEXTJOIN(CHAR(10),TRUE,FILTER('SUMMARY DATA'!G:G,'SUMMARY DATA'!$D:$D=$C616,'SUMMARY DATA'!$B:$B=""RWS"")),"""")
  )
)"),"")</f>
      </c>
      <c r="H616" s="18" t="str">
        <f>IFERROR(__xludf.DUMMYFUNCTION("IFERROR(
  TEXTJOIN(CHAR(10),TRUE,FILTER('SUMMARY DATA'!H:H,'SUMMARY DATA'!$A:$A=$A616,'SUMMARY DATA'!$C:$C=$B616,'SUMMARY DATA'!$B:$B=""RWS"",'SUMMARY DATA'!$H:$H=$D616)),
  IF(
    OR(
      ISNUMBER(SEARCH(""CDM CASH DEPOSIT"",$C616)),
      ISNUMBER(S"&amp;"EARCH(""CASH DEPOSIT"",$C616))
    ),
    """",
    IFERROR(TEXTJOIN(CHAR(10),TRUE,FILTER('SUMMARY DATA'!H:H,'SUMMARY DATA'!$D:$D=$C616,'SUMMARY DATA'!$B:$B=""RWS"",'SUMMARY DATA'!$H:$H=$D616)),"""")
  )
)"),"")</f>
      </c>
      <c r="I616" s="18" t="str">
        <f>IFERROR(__xludf.DUMMYFUNCTION("IF(H616="""","""",
SUM(ARRAYFORMULA(VALUE(SPLIT(H616,CHAR(10)))))
)"),"")</f>
      </c>
      <c r="J616" s="17" t="str">
        <f>IFERROR(__xludf.DUMMYFUNCTION("IFERROR(
  TEXTJOIN(CHAR(10),TRUE,FILTER('SUMMARY DATA'!I:I,'SUMMARY DATA'!$A:$A=$A616,'SUMMARY DATA'!$C:$C=$B616,'SUMMARY DATA'!$B:$B=""RWS"")),
  IF(
    OR(
      ISNUMBER(SEARCH(""CDM CASH DEPOSIT"",$C616)),
      ISNUMBER(SEARCH(""CASH DEPOSIT"",$C61"&amp;"6)),
      COUNTIFS('SUMMARY DATA'!$D:$D,$C616,'SUMMARY DATA'!$B:$B,""RWS"")&lt;&gt;1
    ),
    """",
    IFERROR(TEXTJOIN(CHAR(10),TRUE,FILTER('SUMMARY DATA'!I:I,'SUMMARY DATA'!$D:$D=$C616,'SUMMARY DATA'!$B:$B=""RWS"")),"""")
  )
)"),"")</f>
      </c>
      <c r="K616" s="2"/>
      <c r="L616" s="2"/>
      <c r="M616" s="2"/>
      <c r="N616" s="2"/>
      <c r="O616" s="2"/>
      <c r="P616" s="2"/>
      <c r="Q616" s="2"/>
      <c r="R616" s="2"/>
      <c r="S616" s="2"/>
      <c r="T616" s="2"/>
      <c r="U616" s="2"/>
      <c r="V616" s="2"/>
      <c r="W616" s="2"/>
      <c r="X616" s="2"/>
      <c r="Y616" s="2"/>
      <c r="Z616" s="2"/>
      <c r="AA616" s="2"/>
      <c r="AB616" s="2"/>
    </row>
    <row r="617" spans="1:28" customHeight="true">
      <c r="A617" s="2"/>
      <c r="B617" s="15">
        <v>46044</v>
      </c>
      <c r="C617" s="2" t="s">
        <v>1010</v>
      </c>
      <c r="D617" s="3">
        <v>8</v>
      </c>
      <c r="E617" s="16" t="str">
        <f>IFERROR(__xludf.DUMMYFUNCTION("IFERROR(
  TEXTJOIN(CHAR(10),TRUE,FILTER('SUMMARY DATA'!E:E,'SUMMARY DATA'!$A:$A=$A617,'SUMMARY DATA'!$C:$C=$B617,'SUMMARY DATA'!$B:$B=""RWS"")),
  IF(
    OR(
      ISNUMBER(SEARCH(""CDM CASH DEPOSIT"",$C617)),
      ISNUMBER(SEARCH(""CASH DEPOSIT"",$C61"&amp;"7)),
      COUNTIFS('SUMMARY DATA'!$D:$D,$C617,'SUMMARY DATA'!$B:$B,""RWS"")&lt;&gt;1
    ),
    """",
    IFERROR(TEXTJOIN(CHAR(10),TRUE,FILTER('SUMMARY DATA'!E:E,'SUMMARY DATA'!$D:$D=$C617,'SUMMARY DATA'!$B:$B=""RWS"")),"""")
  )
)"),"")</f>
      </c>
      <c r="F617" s="17" t="str">
        <f>IFERROR(__xludf.DUMMYFUNCTION("IFERROR(
  TEXTJOIN(CHAR(10),TRUE,FILTER('SUMMARY DATA'!F:F,'SUMMARY DATA'!$A:$A=$A617,'SUMMARY DATA'!$C:$C=$B617,'SUMMARY DATA'!$B:$B=""RWS"")),
  IF(
    OR(
      ISNUMBER(SEARCH(""CDM CASH DEPOSIT"",$C617)),
      ISNUMBER(SEARCH(""CASH DEPOSIT"",$C61"&amp;"7)),
      COUNTIFS('SUMMARY DATA'!$D:$D,$C617,'SUMMARY DATA'!$B:$B,""RWS"")&lt;&gt;1
    ),
    """",
    IFERROR(TEXTJOIN(CHAR(10),TRUE,FILTER('SUMMARY DATA'!F:F,'SUMMARY DATA'!$D:$D=$C617,'SUMMARY DATA'!$B:$B=""RWS"")),"""")
  )
)"),"")</f>
      </c>
      <c r="G617" s="17" t="str">
        <f>IFERROR(__xludf.DUMMYFUNCTION("IFERROR(
  TEXTJOIN(CHAR(10),TRUE,FILTER('SUMMARY DATA'!G:G,'SUMMARY DATA'!$A:$A=$A617,'SUMMARY DATA'!$C:$C=$B617,'SUMMARY DATA'!$B:$B=""RWS"")),
  IF(
    OR(
      ISNUMBER(SEARCH(""CDM CASH DEPOSIT"",$C617)),
      ISNUMBER(SEARCH(""CASH DEPOSIT"",$C61"&amp;"7)),
      COUNTIFS('SUMMARY DATA'!$D:$D,$C617,'SUMMARY DATA'!$B:$B,""RWS"")&lt;&gt;1
    ),
    """",
    IFERROR(TEXTJOIN(CHAR(10),TRUE,FILTER('SUMMARY DATA'!G:G,'SUMMARY DATA'!$D:$D=$C617,'SUMMARY DATA'!$B:$B=""RWS"")),"""")
  )
)"),"")</f>
      </c>
      <c r="H617" s="18" t="str">
        <f>IFERROR(__xludf.DUMMYFUNCTION("IFERROR(
  TEXTJOIN(CHAR(10),TRUE,FILTER('SUMMARY DATA'!H:H,'SUMMARY DATA'!$A:$A=$A617,'SUMMARY DATA'!$C:$C=$B617,'SUMMARY DATA'!$B:$B=""RWS"",'SUMMARY DATA'!$H:$H=$D617)),
  IF(
    OR(
      ISNUMBER(SEARCH(""CDM CASH DEPOSIT"",$C617)),
      ISNUMBER(S"&amp;"EARCH(""CASH DEPOSIT"",$C617))
    ),
    """",
    IFERROR(TEXTJOIN(CHAR(10),TRUE,FILTER('SUMMARY DATA'!H:H,'SUMMARY DATA'!$D:$D=$C617,'SUMMARY DATA'!$B:$B=""RWS"",'SUMMARY DATA'!$H:$H=$D617)),"""")
  )
)"),"")</f>
      </c>
      <c r="I617" s="18" t="str">
        <f>IFERROR(__xludf.DUMMYFUNCTION("IF(H617="""","""",
SUM(ARRAYFORMULA(VALUE(SPLIT(H617,CHAR(10)))))
)"),"")</f>
      </c>
      <c r="J617" s="17" t="str">
        <f>IFERROR(__xludf.DUMMYFUNCTION("IFERROR(
  TEXTJOIN(CHAR(10),TRUE,FILTER('SUMMARY DATA'!I:I,'SUMMARY DATA'!$A:$A=$A617,'SUMMARY DATA'!$C:$C=$B617,'SUMMARY DATA'!$B:$B=""RWS"")),
  IF(
    OR(
      ISNUMBER(SEARCH(""CDM CASH DEPOSIT"",$C617)),
      ISNUMBER(SEARCH(""CASH DEPOSIT"",$C61"&amp;"7)),
      COUNTIFS('SUMMARY DATA'!$D:$D,$C617,'SUMMARY DATA'!$B:$B,""RWS"")&lt;&gt;1
    ),
    """",
    IFERROR(TEXTJOIN(CHAR(10),TRUE,FILTER('SUMMARY DATA'!I:I,'SUMMARY DATA'!$D:$D=$C617,'SUMMARY DATA'!$B:$B=""RWS"")),"""")
  )
)"),"")</f>
      </c>
      <c r="K617" s="2"/>
      <c r="L617" s="2"/>
      <c r="M617" s="2"/>
      <c r="N617" s="2"/>
      <c r="O617" s="2"/>
      <c r="P617" s="2"/>
      <c r="Q617" s="2"/>
      <c r="R617" s="2"/>
      <c r="S617" s="2"/>
      <c r="T617" s="2"/>
      <c r="U617" s="2"/>
      <c r="V617" s="2"/>
      <c r="W617" s="2"/>
      <c r="X617" s="2"/>
      <c r="Y617" s="2"/>
      <c r="Z617" s="2"/>
      <c r="AA617" s="2"/>
      <c r="AB617" s="2"/>
    </row>
    <row r="618" spans="1:28" customHeight="true">
      <c r="A618" s="2" t="s">
        <v>1011</v>
      </c>
      <c r="B618" s="15">
        <v>46044</v>
      </c>
      <c r="C618" s="2" t="s">
        <v>1012</v>
      </c>
      <c r="D618" s="3">
        <v>29.7</v>
      </c>
      <c r="E618" s="16" t="s">
        <v>2613</v>
      </c>
      <c r="F618" s="17" t="s">
        <v>2614</v>
      </c>
      <c r="G618" s="17" t="s">
        <v>2393</v>
      </c>
      <c r="H618" s="18">
        <v>29.7</v>
      </c>
      <c r="I618" s="18">
        <v>29.7</v>
      </c>
      <c r="J618" s="17" t="s">
        <v>2394</v>
      </c>
      <c r="K618" s="2" t="s">
        <v>2395</v>
      </c>
      <c r="L618" s="2"/>
      <c r="M618" s="2"/>
      <c r="N618" s="2"/>
      <c r="O618" s="2"/>
      <c r="P618" s="2"/>
      <c r="Q618" s="2"/>
      <c r="R618" s="2"/>
      <c r="S618" s="2"/>
      <c r="T618" s="2"/>
      <c r="U618" s="2"/>
      <c r="V618" s="2"/>
      <c r="W618" s="2"/>
      <c r="X618" s="2"/>
      <c r="Y618" s="2"/>
      <c r="Z618" s="2"/>
      <c r="AA618" s="2"/>
      <c r="AB618" s="2"/>
    </row>
    <row r="619" spans="1:28" customHeight="true">
      <c r="A619" s="2" t="s">
        <v>1013</v>
      </c>
      <c r="B619" s="15">
        <v>46044</v>
      </c>
      <c r="C619" s="2" t="s">
        <v>1014</v>
      </c>
      <c r="D619" s="3">
        <v>0.74</v>
      </c>
      <c r="E619" s="16" t="str">
        <f>IFERROR(__xludf.DUMMYFUNCTION("IFERROR(
  TEXTJOIN(CHAR(10),TRUE,FILTER('SUMMARY DATA'!E:E,'SUMMARY DATA'!$A:$A=$A619,'SUMMARY DATA'!$C:$C=$B619,'SUMMARY DATA'!$B:$B=""RWS"")),
  IF(
    OR(
      ISNUMBER(SEARCH(""CDM CASH DEPOSIT"",$C619)),
      ISNUMBER(SEARCH(""CASH DEPOSIT"",$C61"&amp;"9)),
      COUNTIFS('SUMMARY DATA'!$D:$D,$C619,'SUMMARY DATA'!$B:$B,""RWS"")&lt;&gt;1
    ),
    """",
    IFERROR(TEXTJOIN(CHAR(10),TRUE,FILTER('SUMMARY DATA'!E:E,'SUMMARY DATA'!$D:$D=$C619,'SUMMARY DATA'!$B:$B=""RWS"")),"""")
  )
)"),"")</f>
      </c>
      <c r="F619" s="17" t="str">
        <f>IFERROR(__xludf.DUMMYFUNCTION("IFERROR(
  TEXTJOIN(CHAR(10),TRUE,FILTER('SUMMARY DATA'!F:F,'SUMMARY DATA'!$A:$A=$A619,'SUMMARY DATA'!$C:$C=$B619,'SUMMARY DATA'!$B:$B=""RWS"")),
  IF(
    OR(
      ISNUMBER(SEARCH(""CDM CASH DEPOSIT"",$C619)),
      ISNUMBER(SEARCH(""CASH DEPOSIT"",$C61"&amp;"9)),
      COUNTIFS('SUMMARY DATA'!$D:$D,$C619,'SUMMARY DATA'!$B:$B,""RWS"")&lt;&gt;1
    ),
    """",
    IFERROR(TEXTJOIN(CHAR(10),TRUE,FILTER('SUMMARY DATA'!F:F,'SUMMARY DATA'!$D:$D=$C619,'SUMMARY DATA'!$B:$B=""RWS"")),"""")
  )
)"),"")</f>
      </c>
      <c r="G619" s="17" t="str">
        <f>IFERROR(__xludf.DUMMYFUNCTION("IFERROR(
  TEXTJOIN(CHAR(10),TRUE,FILTER('SUMMARY DATA'!G:G,'SUMMARY DATA'!$A:$A=$A619,'SUMMARY DATA'!$C:$C=$B619,'SUMMARY DATA'!$B:$B=""RWS"")),
  IF(
    OR(
      ISNUMBER(SEARCH(""CDM CASH DEPOSIT"",$C619)),
      ISNUMBER(SEARCH(""CASH DEPOSIT"",$C61"&amp;"9)),
      COUNTIFS('SUMMARY DATA'!$D:$D,$C619,'SUMMARY DATA'!$B:$B,""RWS"")&lt;&gt;1
    ),
    """",
    IFERROR(TEXTJOIN(CHAR(10),TRUE,FILTER('SUMMARY DATA'!G:G,'SUMMARY DATA'!$D:$D=$C619,'SUMMARY DATA'!$B:$B=""RWS"")),"""")
  )
)"),"")</f>
      </c>
      <c r="H619" s="18" t="str">
        <f>IFERROR(__xludf.DUMMYFUNCTION("IFERROR(
  TEXTJOIN(CHAR(10),TRUE,FILTER('SUMMARY DATA'!H:H,'SUMMARY DATA'!$A:$A=$A619,'SUMMARY DATA'!$C:$C=$B619,'SUMMARY DATA'!$B:$B=""RWS"",'SUMMARY DATA'!$H:$H=$D619)),
  IF(
    OR(
      ISNUMBER(SEARCH(""CDM CASH DEPOSIT"",$C619)),
      ISNUMBER(S"&amp;"EARCH(""CASH DEPOSIT"",$C619))
    ),
    """",
    IFERROR(TEXTJOIN(CHAR(10),TRUE,FILTER('SUMMARY DATA'!H:H,'SUMMARY DATA'!$D:$D=$C619,'SUMMARY DATA'!$B:$B=""RWS"",'SUMMARY DATA'!$H:$H=$D619)),"""")
  )
)"),"")</f>
      </c>
      <c r="I619" s="18" t="str">
        <f>IFERROR(__xludf.DUMMYFUNCTION("IF(H619="""","""",
SUM(ARRAYFORMULA(VALUE(SPLIT(H619,CHAR(10)))))
)"),"")</f>
      </c>
      <c r="J619" s="17" t="str">
        <f>IFERROR(__xludf.DUMMYFUNCTION("IFERROR(
  TEXTJOIN(CHAR(10),TRUE,FILTER('SUMMARY DATA'!I:I,'SUMMARY DATA'!$A:$A=$A619,'SUMMARY DATA'!$C:$C=$B619,'SUMMARY DATA'!$B:$B=""RWS"")),
  IF(
    OR(
      ISNUMBER(SEARCH(""CDM CASH DEPOSIT"",$C619)),
      ISNUMBER(SEARCH(""CASH DEPOSIT"",$C61"&amp;"9)),
      COUNTIFS('SUMMARY DATA'!$D:$D,$C619,'SUMMARY DATA'!$B:$B,""RWS"")&lt;&gt;1
    ),
    """",
    IFERROR(TEXTJOIN(CHAR(10),TRUE,FILTER('SUMMARY DATA'!I:I,'SUMMARY DATA'!$D:$D=$C619,'SUMMARY DATA'!$B:$B=""RWS"")),"""")
  )
)"),"")</f>
      </c>
      <c r="K619" s="2"/>
      <c r="L619" s="2"/>
      <c r="M619" s="2"/>
      <c r="N619" s="2"/>
      <c r="O619" s="2"/>
      <c r="P619" s="2"/>
      <c r="Q619" s="2"/>
      <c r="R619" s="2"/>
      <c r="S619" s="2"/>
      <c r="T619" s="2"/>
      <c r="U619" s="2"/>
      <c r="V619" s="2"/>
      <c r="W619" s="2"/>
      <c r="X619" s="2"/>
      <c r="Y619" s="2"/>
      <c r="Z619" s="2"/>
      <c r="AA619" s="2"/>
      <c r="AB619" s="2"/>
    </row>
    <row r="620" spans="1:28" customHeight="true">
      <c r="A620" s="2" t="s">
        <v>1015</v>
      </c>
      <c r="B620" s="15">
        <v>46044</v>
      </c>
      <c r="C620" s="2" t="s">
        <v>1016</v>
      </c>
      <c r="D620" s="3">
        <v>38</v>
      </c>
      <c r="E620" s="16" t="s">
        <v>2597</v>
      </c>
      <c r="F620" s="17" t="s">
        <v>2615</v>
      </c>
      <c r="G620" s="17" t="s">
        <v>2393</v>
      </c>
      <c r="H620" s="18">
        <v>38</v>
      </c>
      <c r="I620" s="18">
        <v>38</v>
      </c>
      <c r="J620" s="17" t="s">
        <v>2394</v>
      </c>
      <c r="K620" s="2" t="s">
        <v>2395</v>
      </c>
      <c r="L620" s="2"/>
      <c r="M620" s="2"/>
      <c r="N620" s="2"/>
      <c r="O620" s="2"/>
      <c r="P620" s="2"/>
      <c r="Q620" s="2"/>
      <c r="R620" s="2"/>
      <c r="S620" s="2"/>
      <c r="T620" s="2"/>
      <c r="U620" s="2"/>
      <c r="V620" s="2"/>
      <c r="W620" s="2"/>
      <c r="X620" s="2"/>
      <c r="Y620" s="2"/>
      <c r="Z620" s="2"/>
      <c r="AA620" s="2"/>
      <c r="AB620" s="2"/>
    </row>
    <row r="621" spans="1:28" customHeight="true">
      <c r="A621" s="2" t="s">
        <v>1017</v>
      </c>
      <c r="B621" s="15">
        <v>46043</v>
      </c>
      <c r="C621" s="2" t="s">
        <v>1018</v>
      </c>
      <c r="D621" s="3">
        <v>10</v>
      </c>
      <c r="E621" s="16" t="str">
        <f>IFERROR(__xludf.DUMMYFUNCTION("IFERROR(
  TEXTJOIN(CHAR(10),TRUE,FILTER('SUMMARY DATA'!E:E,'SUMMARY DATA'!$A:$A=$A621,'SUMMARY DATA'!$C:$C=$B621,'SUMMARY DATA'!$B:$B=""RWS"")),
  IF(
    OR(
      ISNUMBER(SEARCH(""CDM CASH DEPOSIT"",$C621)),
      ISNUMBER(SEARCH(""CASH DEPOSIT"",$C62"&amp;"1)),
      COUNTIFS('SUMMARY DATA'!$D:$D,$C621,'SUMMARY DATA'!$B:$B,""RWS"")&lt;&gt;1
    ),
    """",
    IFERROR(TEXTJOIN(CHAR(10),TRUE,FILTER('SUMMARY DATA'!E:E,'SUMMARY DATA'!$D:$D=$C621,'SUMMARY DATA'!$B:$B=""RWS"")),"""")
  )
)"),"")</f>
      </c>
      <c r="F621" s="17" t="str">
        <f>IFERROR(__xludf.DUMMYFUNCTION("IFERROR(
  TEXTJOIN(CHAR(10),TRUE,FILTER('SUMMARY DATA'!F:F,'SUMMARY DATA'!$A:$A=$A621,'SUMMARY DATA'!$C:$C=$B621,'SUMMARY DATA'!$B:$B=""RWS"")),
  IF(
    OR(
      ISNUMBER(SEARCH(""CDM CASH DEPOSIT"",$C621)),
      ISNUMBER(SEARCH(""CASH DEPOSIT"",$C62"&amp;"1)),
      COUNTIFS('SUMMARY DATA'!$D:$D,$C621,'SUMMARY DATA'!$B:$B,""RWS"")&lt;&gt;1
    ),
    """",
    IFERROR(TEXTJOIN(CHAR(10),TRUE,FILTER('SUMMARY DATA'!F:F,'SUMMARY DATA'!$D:$D=$C621,'SUMMARY DATA'!$B:$B=""RWS"")),"""")
  )
)"),"")</f>
      </c>
      <c r="G621" s="17" t="str">
        <f>IFERROR(__xludf.DUMMYFUNCTION("IFERROR(
  TEXTJOIN(CHAR(10),TRUE,FILTER('SUMMARY DATA'!G:G,'SUMMARY DATA'!$A:$A=$A621,'SUMMARY DATA'!$C:$C=$B621,'SUMMARY DATA'!$B:$B=""RWS"")),
  IF(
    OR(
      ISNUMBER(SEARCH(""CDM CASH DEPOSIT"",$C621)),
      ISNUMBER(SEARCH(""CASH DEPOSIT"",$C62"&amp;"1)),
      COUNTIFS('SUMMARY DATA'!$D:$D,$C621,'SUMMARY DATA'!$B:$B,""RWS"")&lt;&gt;1
    ),
    """",
    IFERROR(TEXTJOIN(CHAR(10),TRUE,FILTER('SUMMARY DATA'!G:G,'SUMMARY DATA'!$D:$D=$C621,'SUMMARY DATA'!$B:$B=""RWS"")),"""")
  )
)"),"")</f>
      </c>
      <c r="H621" s="18" t="str">
        <f>IFERROR(__xludf.DUMMYFUNCTION("IFERROR(
  TEXTJOIN(CHAR(10),TRUE,FILTER('SUMMARY DATA'!H:H,'SUMMARY DATA'!$A:$A=$A621,'SUMMARY DATA'!$C:$C=$B621,'SUMMARY DATA'!$B:$B=""RWS"",'SUMMARY DATA'!$H:$H=$D621)),
  IF(
    OR(
      ISNUMBER(SEARCH(""CDM CASH DEPOSIT"",$C621)),
      ISNUMBER(S"&amp;"EARCH(""CASH DEPOSIT"",$C621))
    ),
    """",
    IFERROR(TEXTJOIN(CHAR(10),TRUE,FILTER('SUMMARY DATA'!H:H,'SUMMARY DATA'!$D:$D=$C621,'SUMMARY DATA'!$B:$B=""RWS"",'SUMMARY DATA'!$H:$H=$D621)),"""")
  )
)"),"")</f>
      </c>
      <c r="I621" s="18" t="str">
        <f>IFERROR(__xludf.DUMMYFUNCTION("IF(H621="""","""",
SUM(ARRAYFORMULA(VALUE(SPLIT(H621,CHAR(10)))))
)"),"")</f>
      </c>
      <c r="J621" s="17" t="str">
        <f>IFERROR(__xludf.DUMMYFUNCTION("IFERROR(
  TEXTJOIN(CHAR(10),TRUE,FILTER('SUMMARY DATA'!I:I,'SUMMARY DATA'!$A:$A=$A621,'SUMMARY DATA'!$C:$C=$B621,'SUMMARY DATA'!$B:$B=""RWS"")),
  IF(
    OR(
      ISNUMBER(SEARCH(""CDM CASH DEPOSIT"",$C621)),
      ISNUMBER(SEARCH(""CASH DEPOSIT"",$C62"&amp;"1)),
      COUNTIFS('SUMMARY DATA'!$D:$D,$C621,'SUMMARY DATA'!$B:$B,""RWS"")&lt;&gt;1
    ),
    """",
    IFERROR(TEXTJOIN(CHAR(10),TRUE,FILTER('SUMMARY DATA'!I:I,'SUMMARY DATA'!$D:$D=$C621,'SUMMARY DATA'!$B:$B=""RWS"")),"""")
  )
)"),"")</f>
      </c>
      <c r="K621" s="2"/>
      <c r="L621" s="2"/>
      <c r="M621" s="2"/>
      <c r="N621" s="2"/>
      <c r="O621" s="2"/>
      <c r="P621" s="2"/>
      <c r="Q621" s="2"/>
      <c r="R621" s="2"/>
      <c r="S621" s="2"/>
      <c r="T621" s="2"/>
      <c r="U621" s="2"/>
      <c r="V621" s="2"/>
      <c r="W621" s="2"/>
      <c r="X621" s="2"/>
      <c r="Y621" s="2"/>
      <c r="Z621" s="2"/>
      <c r="AA621" s="2"/>
      <c r="AB621" s="2"/>
    </row>
    <row r="622" spans="1:28" customHeight="true">
      <c r="A622" s="2" t="s">
        <v>1019</v>
      </c>
      <c r="B622" s="15">
        <v>46043</v>
      </c>
      <c r="C622" s="2" t="s">
        <v>1020</v>
      </c>
      <c r="D622" s="3">
        <v>922</v>
      </c>
      <c r="E622" s="16" t="s">
        <v>2616</v>
      </c>
      <c r="F622" s="17" t="s">
        <v>2617</v>
      </c>
      <c r="G622" s="17" t="s">
        <v>2393</v>
      </c>
      <c r="H622" s="18">
        <v>922</v>
      </c>
      <c r="I622" s="18">
        <v>922</v>
      </c>
      <c r="J622" s="17" t="s">
        <v>2394</v>
      </c>
      <c r="K622" s="2" t="s">
        <v>2395</v>
      </c>
      <c r="L622" s="2"/>
      <c r="M622" s="2"/>
      <c r="N622" s="2"/>
      <c r="O622" s="2"/>
      <c r="P622" s="2"/>
      <c r="Q622" s="2"/>
      <c r="R622" s="2"/>
      <c r="S622" s="2"/>
      <c r="T622" s="2"/>
      <c r="U622" s="2"/>
      <c r="V622" s="2"/>
      <c r="W622" s="2"/>
      <c r="X622" s="2"/>
      <c r="Y622" s="2"/>
      <c r="Z622" s="2"/>
      <c r="AA622" s="2"/>
      <c r="AB622" s="2"/>
    </row>
    <row r="623" spans="1:28" customHeight="true">
      <c r="A623" s="2" t="s">
        <v>1021</v>
      </c>
      <c r="B623" s="15">
        <v>46043</v>
      </c>
      <c r="C623" s="2" t="s">
        <v>1022</v>
      </c>
      <c r="D623" s="3">
        <v>129.6</v>
      </c>
      <c r="E623" s="16" t="s">
        <v>2607</v>
      </c>
      <c r="F623" s="17" t="s">
        <v>2618</v>
      </c>
      <c r="G623" s="17" t="s">
        <v>2393</v>
      </c>
      <c r="H623" s="18">
        <v>129.6</v>
      </c>
      <c r="I623" s="18">
        <v>129.6</v>
      </c>
      <c r="J623" s="17" t="s">
        <v>2394</v>
      </c>
      <c r="K623" s="2" t="s">
        <v>2395</v>
      </c>
      <c r="L623" s="2"/>
      <c r="M623" s="2"/>
      <c r="N623" s="2"/>
      <c r="O623" s="2"/>
      <c r="P623" s="2"/>
      <c r="Q623" s="2"/>
      <c r="R623" s="2"/>
      <c r="S623" s="2"/>
      <c r="T623" s="2"/>
      <c r="U623" s="2"/>
      <c r="V623" s="2"/>
      <c r="W623" s="2"/>
      <c r="X623" s="2"/>
      <c r="Y623" s="2"/>
      <c r="Z623" s="2"/>
      <c r="AA623" s="2"/>
      <c r="AB623" s="2"/>
    </row>
    <row r="624" spans="1:28" customHeight="true">
      <c r="A624" s="2" t="s">
        <v>1023</v>
      </c>
      <c r="B624" s="15">
        <v>46043</v>
      </c>
      <c r="C624" s="2" t="s">
        <v>1024</v>
      </c>
      <c r="D624" s="3">
        <v>83.88</v>
      </c>
      <c r="E624" s="16" t="str">
        <f>IFERROR(__xludf.DUMMYFUNCTION("IFERROR(
  TEXTJOIN(CHAR(10),TRUE,FILTER('SUMMARY DATA'!E:E,'SUMMARY DATA'!$A:$A=$A624,'SUMMARY DATA'!$C:$C=$B624,'SUMMARY DATA'!$B:$B=""RWS"")),
  IF(
    OR(
      ISNUMBER(SEARCH(""CDM CASH DEPOSIT"",$C624)),
      ISNUMBER(SEARCH(""CASH DEPOSIT"",$C62"&amp;"4)),
      COUNTIFS('SUMMARY DATA'!$D:$D,$C624,'SUMMARY DATA'!$B:$B,""RWS"")&lt;&gt;1
    ),
    """",
    IFERROR(TEXTJOIN(CHAR(10),TRUE,FILTER('SUMMARY DATA'!E:E,'SUMMARY DATA'!$D:$D=$C624,'SUMMARY DATA'!$B:$B=""RWS"")),"""")
  )
)"),"")</f>
      </c>
      <c r="F624" s="17" t="str">
        <f>IFERROR(__xludf.DUMMYFUNCTION("IFERROR(
  TEXTJOIN(CHAR(10),TRUE,FILTER('SUMMARY DATA'!F:F,'SUMMARY DATA'!$A:$A=$A624,'SUMMARY DATA'!$C:$C=$B624,'SUMMARY DATA'!$B:$B=""RWS"")),
  IF(
    OR(
      ISNUMBER(SEARCH(""CDM CASH DEPOSIT"",$C624)),
      ISNUMBER(SEARCH(""CASH DEPOSIT"",$C62"&amp;"4)),
      COUNTIFS('SUMMARY DATA'!$D:$D,$C624,'SUMMARY DATA'!$B:$B,""RWS"")&lt;&gt;1
    ),
    """",
    IFERROR(TEXTJOIN(CHAR(10),TRUE,FILTER('SUMMARY DATA'!F:F,'SUMMARY DATA'!$D:$D=$C624,'SUMMARY DATA'!$B:$B=""RWS"")),"""")
  )
)"),"")</f>
      </c>
      <c r="G624" s="17" t="str">
        <f>IFERROR(__xludf.DUMMYFUNCTION("IFERROR(
  TEXTJOIN(CHAR(10),TRUE,FILTER('SUMMARY DATA'!G:G,'SUMMARY DATA'!$A:$A=$A624,'SUMMARY DATA'!$C:$C=$B624,'SUMMARY DATA'!$B:$B=""RWS"")),
  IF(
    OR(
      ISNUMBER(SEARCH(""CDM CASH DEPOSIT"",$C624)),
      ISNUMBER(SEARCH(""CASH DEPOSIT"",$C62"&amp;"4)),
      COUNTIFS('SUMMARY DATA'!$D:$D,$C624,'SUMMARY DATA'!$B:$B,""RWS"")&lt;&gt;1
    ),
    """",
    IFERROR(TEXTJOIN(CHAR(10),TRUE,FILTER('SUMMARY DATA'!G:G,'SUMMARY DATA'!$D:$D=$C624,'SUMMARY DATA'!$B:$B=""RWS"")),"""")
  )
)"),"")</f>
      </c>
      <c r="H624" s="18" t="str">
        <f>IFERROR(__xludf.DUMMYFUNCTION("IFERROR(
  TEXTJOIN(CHAR(10),TRUE,FILTER('SUMMARY DATA'!H:H,'SUMMARY DATA'!$A:$A=$A624,'SUMMARY DATA'!$C:$C=$B624,'SUMMARY DATA'!$B:$B=""RWS"",'SUMMARY DATA'!$H:$H=$D624)),
  IF(
    OR(
      ISNUMBER(SEARCH(""CDM CASH DEPOSIT"",$C624)),
      ISNUMBER(S"&amp;"EARCH(""CASH DEPOSIT"",$C624))
    ),
    """",
    IFERROR(TEXTJOIN(CHAR(10),TRUE,FILTER('SUMMARY DATA'!H:H,'SUMMARY DATA'!$D:$D=$C624,'SUMMARY DATA'!$B:$B=""RWS"",'SUMMARY DATA'!$H:$H=$D624)),"""")
  )
)"),"")</f>
      </c>
      <c r="I624" s="18" t="str">
        <f>IFERROR(__xludf.DUMMYFUNCTION("IF(H624="""","""",
SUM(ARRAYFORMULA(VALUE(SPLIT(H624,CHAR(10)))))
)"),"")</f>
      </c>
      <c r="J624" s="17" t="str">
        <f>IFERROR(__xludf.DUMMYFUNCTION("IFERROR(
  TEXTJOIN(CHAR(10),TRUE,FILTER('SUMMARY DATA'!I:I,'SUMMARY DATA'!$A:$A=$A624,'SUMMARY DATA'!$C:$C=$B624,'SUMMARY DATA'!$B:$B=""RWS"")),
  IF(
    OR(
      ISNUMBER(SEARCH(""CDM CASH DEPOSIT"",$C624)),
      ISNUMBER(SEARCH(""CASH DEPOSIT"",$C62"&amp;"4)),
      COUNTIFS('SUMMARY DATA'!$D:$D,$C624,'SUMMARY DATA'!$B:$B,""RWS"")&lt;&gt;1
    ),
    """",
    IFERROR(TEXTJOIN(CHAR(10),TRUE,FILTER('SUMMARY DATA'!I:I,'SUMMARY DATA'!$D:$D=$C624,'SUMMARY DATA'!$B:$B=""RWS"")),"""")
  )
)"),"")</f>
      </c>
      <c r="K624" s="2"/>
      <c r="L624" s="2"/>
      <c r="M624" s="2"/>
      <c r="N624" s="2"/>
      <c r="O624" s="2"/>
      <c r="P624" s="2"/>
      <c r="Q624" s="2"/>
      <c r="R624" s="2"/>
      <c r="S624" s="2"/>
      <c r="T624" s="2"/>
      <c r="U624" s="2"/>
      <c r="V624" s="2"/>
      <c r="W624" s="2"/>
      <c r="X624" s="2"/>
      <c r="Y624" s="2"/>
      <c r="Z624" s="2"/>
      <c r="AA624" s="2"/>
      <c r="AB624" s="2"/>
    </row>
    <row r="625" spans="1:28" customHeight="true">
      <c r="A625" s="2" t="s">
        <v>1025</v>
      </c>
      <c r="B625" s="15">
        <v>46043</v>
      </c>
      <c r="C625" s="2" t="s">
        <v>1026</v>
      </c>
      <c r="D625" s="3">
        <v>18</v>
      </c>
      <c r="E625" s="16" t="s">
        <v>2597</v>
      </c>
      <c r="F625" s="17" t="s">
        <v>2619</v>
      </c>
      <c r="G625" s="17" t="s">
        <v>2393</v>
      </c>
      <c r="H625" s="18">
        <v>18</v>
      </c>
      <c r="I625" s="18">
        <v>18</v>
      </c>
      <c r="J625" s="17" t="s">
        <v>2394</v>
      </c>
      <c r="K625" s="2" t="s">
        <v>2395</v>
      </c>
      <c r="L625" s="2"/>
      <c r="M625" s="2"/>
      <c r="N625" s="2"/>
      <c r="O625" s="2"/>
      <c r="P625" s="2"/>
      <c r="Q625" s="2"/>
      <c r="R625" s="2"/>
      <c r="S625" s="2"/>
      <c r="T625" s="2"/>
      <c r="U625" s="2"/>
      <c r="V625" s="2"/>
      <c r="W625" s="2"/>
      <c r="X625" s="2"/>
      <c r="Y625" s="2"/>
      <c r="Z625" s="2"/>
      <c r="AA625" s="2"/>
      <c r="AB625" s="2"/>
    </row>
    <row r="626" spans="1:28" customHeight="true">
      <c r="A626" s="2"/>
      <c r="B626" s="15">
        <v>46043</v>
      </c>
      <c r="C626" s="2" t="s">
        <v>1027</v>
      </c>
      <c r="D626" s="3">
        <v>15.6</v>
      </c>
      <c r="E626" s="16" t="str">
        <f>IFERROR(__xludf.DUMMYFUNCTION("IFERROR(
  TEXTJOIN(CHAR(10),TRUE,FILTER('SUMMARY DATA'!E:E,'SUMMARY DATA'!$A:$A=$A626,'SUMMARY DATA'!$C:$C=$B626,'SUMMARY DATA'!$B:$B=""RWS"")),
  IF(
    OR(
      ISNUMBER(SEARCH(""CDM CASH DEPOSIT"",$C626)),
      ISNUMBER(SEARCH(""CASH DEPOSIT"",$C62"&amp;"6)),
      COUNTIFS('SUMMARY DATA'!$D:$D,$C626,'SUMMARY DATA'!$B:$B,""RWS"")&lt;&gt;1
    ),
    """",
    IFERROR(TEXTJOIN(CHAR(10),TRUE,FILTER('SUMMARY DATA'!E:E,'SUMMARY DATA'!$D:$D=$C626,'SUMMARY DATA'!$B:$B=""RWS"")),"""")
  )
)"),"")</f>
      </c>
      <c r="F626" s="17" t="str">
        <f>IFERROR(__xludf.DUMMYFUNCTION("IFERROR(
  TEXTJOIN(CHAR(10),TRUE,FILTER('SUMMARY DATA'!F:F,'SUMMARY DATA'!$A:$A=$A626,'SUMMARY DATA'!$C:$C=$B626,'SUMMARY DATA'!$B:$B=""RWS"")),
  IF(
    OR(
      ISNUMBER(SEARCH(""CDM CASH DEPOSIT"",$C626)),
      ISNUMBER(SEARCH(""CASH DEPOSIT"",$C62"&amp;"6)),
      COUNTIFS('SUMMARY DATA'!$D:$D,$C626,'SUMMARY DATA'!$B:$B,""RWS"")&lt;&gt;1
    ),
    """",
    IFERROR(TEXTJOIN(CHAR(10),TRUE,FILTER('SUMMARY DATA'!F:F,'SUMMARY DATA'!$D:$D=$C626,'SUMMARY DATA'!$B:$B=""RWS"")),"""")
  )
)"),"")</f>
      </c>
      <c r="G626" s="17" t="str">
        <f>IFERROR(__xludf.DUMMYFUNCTION("IFERROR(
  TEXTJOIN(CHAR(10),TRUE,FILTER('SUMMARY DATA'!G:G,'SUMMARY DATA'!$A:$A=$A626,'SUMMARY DATA'!$C:$C=$B626,'SUMMARY DATA'!$B:$B=""RWS"")),
  IF(
    OR(
      ISNUMBER(SEARCH(""CDM CASH DEPOSIT"",$C626)),
      ISNUMBER(SEARCH(""CASH DEPOSIT"",$C62"&amp;"6)),
      COUNTIFS('SUMMARY DATA'!$D:$D,$C626,'SUMMARY DATA'!$B:$B,""RWS"")&lt;&gt;1
    ),
    """",
    IFERROR(TEXTJOIN(CHAR(10),TRUE,FILTER('SUMMARY DATA'!G:G,'SUMMARY DATA'!$D:$D=$C626,'SUMMARY DATA'!$B:$B=""RWS"")),"""")
  )
)"),"")</f>
      </c>
      <c r="H626" s="18" t="str">
        <f>IFERROR(__xludf.DUMMYFUNCTION("IFERROR(
  TEXTJOIN(CHAR(10),TRUE,FILTER('SUMMARY DATA'!H:H,'SUMMARY DATA'!$A:$A=$A626,'SUMMARY DATA'!$C:$C=$B626,'SUMMARY DATA'!$B:$B=""RWS"",'SUMMARY DATA'!$H:$H=$D626)),
  IF(
    OR(
      ISNUMBER(SEARCH(""CDM CASH DEPOSIT"",$C626)),
      ISNUMBER(S"&amp;"EARCH(""CASH DEPOSIT"",$C626))
    ),
    """",
    IFERROR(TEXTJOIN(CHAR(10),TRUE,FILTER('SUMMARY DATA'!H:H,'SUMMARY DATA'!$D:$D=$C626,'SUMMARY DATA'!$B:$B=""RWS"",'SUMMARY DATA'!$H:$H=$D626)),"""")
  )
)"),"")</f>
      </c>
      <c r="I626" s="18" t="str">
        <f>IFERROR(__xludf.DUMMYFUNCTION("IF(H626="""","""",
SUM(ARRAYFORMULA(VALUE(SPLIT(H626,CHAR(10)))))
)"),"")</f>
      </c>
      <c r="J626" s="17" t="str">
        <f>IFERROR(__xludf.DUMMYFUNCTION("IFERROR(
  TEXTJOIN(CHAR(10),TRUE,FILTER('SUMMARY DATA'!I:I,'SUMMARY DATA'!$A:$A=$A626,'SUMMARY DATA'!$C:$C=$B626,'SUMMARY DATA'!$B:$B=""RWS"")),
  IF(
    OR(
      ISNUMBER(SEARCH(""CDM CASH DEPOSIT"",$C626)),
      ISNUMBER(SEARCH(""CASH DEPOSIT"",$C62"&amp;"6)),
      COUNTIFS('SUMMARY DATA'!$D:$D,$C626,'SUMMARY DATA'!$B:$B,""RWS"")&lt;&gt;1
    ),
    """",
    IFERROR(TEXTJOIN(CHAR(10),TRUE,FILTER('SUMMARY DATA'!I:I,'SUMMARY DATA'!$D:$D=$C626,'SUMMARY DATA'!$B:$B=""RWS"")),"""")
  )
)"),"")</f>
      </c>
      <c r="K626" s="2"/>
      <c r="L626" s="2"/>
      <c r="M626" s="2"/>
      <c r="N626" s="2"/>
      <c r="O626" s="2"/>
      <c r="P626" s="2"/>
      <c r="Q626" s="2"/>
      <c r="R626" s="2"/>
      <c r="S626" s="2"/>
      <c r="T626" s="2"/>
      <c r="U626" s="2"/>
      <c r="V626" s="2"/>
      <c r="W626" s="2"/>
      <c r="X626" s="2"/>
      <c r="Y626" s="2"/>
      <c r="Z626" s="2"/>
      <c r="AA626" s="2"/>
      <c r="AB626" s="2"/>
    </row>
    <row r="627" spans="1:28" customHeight="true">
      <c r="A627" s="2" t="s">
        <v>1003</v>
      </c>
      <c r="B627" s="15">
        <v>46043</v>
      </c>
      <c r="C627" s="2" t="s">
        <v>1004</v>
      </c>
      <c r="D627" s="3">
        <v>88</v>
      </c>
      <c r="E627" s="16" t="s">
        <v>2597</v>
      </c>
      <c r="F627" s="17" t="s">
        <v>2620</v>
      </c>
      <c r="G627" s="17" t="s">
        <v>2393</v>
      </c>
      <c r="H627" s="18">
        <v>88</v>
      </c>
      <c r="I627" s="18">
        <v>88</v>
      </c>
      <c r="J627" s="17" t="s">
        <v>2394</v>
      </c>
      <c r="K627" s="2" t="s">
        <v>2395</v>
      </c>
      <c r="L627" s="2"/>
      <c r="M627" s="2"/>
      <c r="N627" s="2"/>
      <c r="O627" s="2"/>
      <c r="P627" s="2"/>
      <c r="Q627" s="2"/>
      <c r="R627" s="2"/>
      <c r="S627" s="2"/>
      <c r="T627" s="2"/>
      <c r="U627" s="2"/>
      <c r="V627" s="2"/>
      <c r="W627" s="2"/>
      <c r="X627" s="2"/>
      <c r="Y627" s="2"/>
      <c r="Z627" s="2"/>
      <c r="AA627" s="2"/>
      <c r="AB627" s="2"/>
    </row>
    <row r="628" spans="1:28" customHeight="true">
      <c r="A628" s="2"/>
      <c r="B628" s="15">
        <v>46042</v>
      </c>
      <c r="C628" s="2" t="s">
        <v>1028</v>
      </c>
      <c r="D628" s="3">
        <v>85</v>
      </c>
      <c r="E628" s="16" t="str">
        <f>IFERROR(__xludf.DUMMYFUNCTION("IFERROR(
  TEXTJOIN(CHAR(10),TRUE,FILTER('SUMMARY DATA'!E:E,'SUMMARY DATA'!$A:$A=$A628,'SUMMARY DATA'!$C:$C=$B628,'SUMMARY DATA'!$B:$B=""RWS"")),
  IF(
    OR(
      ISNUMBER(SEARCH(""CDM CASH DEPOSIT"",$C628)),
      ISNUMBER(SEARCH(""CASH DEPOSIT"",$C62"&amp;"8)),
      COUNTIFS('SUMMARY DATA'!$D:$D,$C628,'SUMMARY DATA'!$B:$B,""RWS"")&lt;&gt;1
    ),
    """",
    IFERROR(TEXTJOIN(CHAR(10),TRUE,FILTER('SUMMARY DATA'!E:E,'SUMMARY DATA'!$D:$D=$C628,'SUMMARY DATA'!$B:$B=""RWS"")),"""")
  )
)"),"")</f>
      </c>
      <c r="F628" s="17" t="str">
        <f>IFERROR(__xludf.DUMMYFUNCTION("IFERROR(
  TEXTJOIN(CHAR(10),TRUE,FILTER('SUMMARY DATA'!F:F,'SUMMARY DATA'!$A:$A=$A628,'SUMMARY DATA'!$C:$C=$B628,'SUMMARY DATA'!$B:$B=""RWS"")),
  IF(
    OR(
      ISNUMBER(SEARCH(""CDM CASH DEPOSIT"",$C628)),
      ISNUMBER(SEARCH(""CASH DEPOSIT"",$C62"&amp;"8)),
      COUNTIFS('SUMMARY DATA'!$D:$D,$C628,'SUMMARY DATA'!$B:$B,""RWS"")&lt;&gt;1
    ),
    """",
    IFERROR(TEXTJOIN(CHAR(10),TRUE,FILTER('SUMMARY DATA'!F:F,'SUMMARY DATA'!$D:$D=$C628,'SUMMARY DATA'!$B:$B=""RWS"")),"""")
  )
)"),"")</f>
      </c>
      <c r="G628" s="17" t="str">
        <f>IFERROR(__xludf.DUMMYFUNCTION("IFERROR(
  TEXTJOIN(CHAR(10),TRUE,FILTER('SUMMARY DATA'!G:G,'SUMMARY DATA'!$A:$A=$A628,'SUMMARY DATA'!$C:$C=$B628,'SUMMARY DATA'!$B:$B=""RWS"")),
  IF(
    OR(
      ISNUMBER(SEARCH(""CDM CASH DEPOSIT"",$C628)),
      ISNUMBER(SEARCH(""CASH DEPOSIT"",$C62"&amp;"8)),
      COUNTIFS('SUMMARY DATA'!$D:$D,$C628,'SUMMARY DATA'!$B:$B,""RWS"")&lt;&gt;1
    ),
    """",
    IFERROR(TEXTJOIN(CHAR(10),TRUE,FILTER('SUMMARY DATA'!G:G,'SUMMARY DATA'!$D:$D=$C628,'SUMMARY DATA'!$B:$B=""RWS"")),"""")
  )
)"),"")</f>
      </c>
      <c r="H628" s="18" t="str">
        <f>IFERROR(__xludf.DUMMYFUNCTION("IFERROR(
  TEXTJOIN(CHAR(10),TRUE,FILTER('SUMMARY DATA'!H:H,'SUMMARY DATA'!$A:$A=$A628,'SUMMARY DATA'!$C:$C=$B628,'SUMMARY DATA'!$B:$B=""RWS"",'SUMMARY DATA'!$H:$H=$D628)),
  IF(
    OR(
      ISNUMBER(SEARCH(""CDM CASH DEPOSIT"",$C628)),
      ISNUMBER(S"&amp;"EARCH(""CASH DEPOSIT"",$C628))
    ),
    """",
    IFERROR(TEXTJOIN(CHAR(10),TRUE,FILTER('SUMMARY DATA'!H:H,'SUMMARY DATA'!$D:$D=$C628,'SUMMARY DATA'!$B:$B=""RWS"",'SUMMARY DATA'!$H:$H=$D628)),"""")
  )
)"),"")</f>
      </c>
      <c r="I628" s="18" t="str">
        <f>IFERROR(__xludf.DUMMYFUNCTION("IF(H628="""","""",
SUM(ARRAYFORMULA(VALUE(SPLIT(H628,CHAR(10)))))
)"),"")</f>
      </c>
      <c r="J628" s="17" t="str">
        <f>IFERROR(__xludf.DUMMYFUNCTION("IFERROR(
  TEXTJOIN(CHAR(10),TRUE,FILTER('SUMMARY DATA'!I:I,'SUMMARY DATA'!$A:$A=$A628,'SUMMARY DATA'!$C:$C=$B628,'SUMMARY DATA'!$B:$B=""RWS"")),
  IF(
    OR(
      ISNUMBER(SEARCH(""CDM CASH DEPOSIT"",$C628)),
      ISNUMBER(SEARCH(""CASH DEPOSIT"",$C62"&amp;"8)),
      COUNTIFS('SUMMARY DATA'!$D:$D,$C628,'SUMMARY DATA'!$B:$B,""RWS"")&lt;&gt;1
    ),
    """",
    IFERROR(TEXTJOIN(CHAR(10),TRUE,FILTER('SUMMARY DATA'!I:I,'SUMMARY DATA'!$D:$D=$C628,'SUMMARY DATA'!$B:$B=""RWS"")),"""")
  )
)"),"")</f>
      </c>
      <c r="K628" s="2"/>
      <c r="L628" s="2"/>
      <c r="M628" s="2"/>
      <c r="N628" s="2"/>
      <c r="O628" s="2"/>
      <c r="P628" s="2"/>
      <c r="Q628" s="2"/>
      <c r="R628" s="2"/>
      <c r="S628" s="2"/>
      <c r="T628" s="2"/>
      <c r="U628" s="2"/>
      <c r="V628" s="2"/>
      <c r="W628" s="2"/>
      <c r="X628" s="2"/>
      <c r="Y628" s="2"/>
      <c r="Z628" s="2"/>
      <c r="AA628" s="2"/>
      <c r="AB628" s="2"/>
    </row>
    <row r="629" spans="1:28" customHeight="true">
      <c r="A629" s="2" t="s">
        <v>1029</v>
      </c>
      <c r="B629" s="15">
        <v>46042</v>
      </c>
      <c r="C629" s="2" t="s">
        <v>1030</v>
      </c>
      <c r="D629" s="3">
        <v>999</v>
      </c>
      <c r="E629" s="16" t="str">
        <f>IFERROR(__xludf.DUMMYFUNCTION("IFERROR(
  TEXTJOIN(CHAR(10),TRUE,FILTER('SUMMARY DATA'!E:E,'SUMMARY DATA'!$A:$A=$A629,'SUMMARY DATA'!$C:$C=$B629,'SUMMARY DATA'!$B:$B=""RWS"")),
  IF(
    OR(
      ISNUMBER(SEARCH(""CDM CASH DEPOSIT"",$C629)),
      ISNUMBER(SEARCH(""CASH DEPOSIT"",$C62"&amp;"9)),
      COUNTIFS('SUMMARY DATA'!$D:$D,$C629,'SUMMARY DATA'!$B:$B,""RWS"")&lt;&gt;1
    ),
    """",
    IFERROR(TEXTJOIN(CHAR(10),TRUE,FILTER('SUMMARY DATA'!E:E,'SUMMARY DATA'!$D:$D=$C629,'SUMMARY DATA'!$B:$B=""RWS"")),"""")
  )
)"),"")</f>
      </c>
      <c r="F629" s="17" t="str">
        <f>IFERROR(__xludf.DUMMYFUNCTION("IFERROR(
  TEXTJOIN(CHAR(10),TRUE,FILTER('SUMMARY DATA'!F:F,'SUMMARY DATA'!$A:$A=$A629,'SUMMARY DATA'!$C:$C=$B629,'SUMMARY DATA'!$B:$B=""RWS"")),
  IF(
    OR(
      ISNUMBER(SEARCH(""CDM CASH DEPOSIT"",$C629)),
      ISNUMBER(SEARCH(""CASH DEPOSIT"",$C62"&amp;"9)),
      COUNTIFS('SUMMARY DATA'!$D:$D,$C629,'SUMMARY DATA'!$B:$B,""RWS"")&lt;&gt;1
    ),
    """",
    IFERROR(TEXTJOIN(CHAR(10),TRUE,FILTER('SUMMARY DATA'!F:F,'SUMMARY DATA'!$D:$D=$C629,'SUMMARY DATA'!$B:$B=""RWS"")),"""")
  )
)"),"")</f>
      </c>
      <c r="G629" s="17" t="str">
        <f>IFERROR(__xludf.DUMMYFUNCTION("IFERROR(
  TEXTJOIN(CHAR(10),TRUE,FILTER('SUMMARY DATA'!G:G,'SUMMARY DATA'!$A:$A=$A629,'SUMMARY DATA'!$C:$C=$B629,'SUMMARY DATA'!$B:$B=""RWS"")),
  IF(
    OR(
      ISNUMBER(SEARCH(""CDM CASH DEPOSIT"",$C629)),
      ISNUMBER(SEARCH(""CASH DEPOSIT"",$C62"&amp;"9)),
      COUNTIFS('SUMMARY DATA'!$D:$D,$C629,'SUMMARY DATA'!$B:$B,""RWS"")&lt;&gt;1
    ),
    """",
    IFERROR(TEXTJOIN(CHAR(10),TRUE,FILTER('SUMMARY DATA'!G:G,'SUMMARY DATA'!$D:$D=$C629,'SUMMARY DATA'!$B:$B=""RWS"")),"""")
  )
)"),"")</f>
      </c>
      <c r="H629" s="18" t="str">
        <f>IFERROR(__xludf.DUMMYFUNCTION("IFERROR(
  TEXTJOIN(CHAR(10),TRUE,FILTER('SUMMARY DATA'!H:H,'SUMMARY DATA'!$A:$A=$A629,'SUMMARY DATA'!$C:$C=$B629,'SUMMARY DATA'!$B:$B=""RWS"",'SUMMARY DATA'!$H:$H=$D629)),
  IF(
    OR(
      ISNUMBER(SEARCH(""CDM CASH DEPOSIT"",$C629)),
      ISNUMBER(S"&amp;"EARCH(""CASH DEPOSIT"",$C629))
    ),
    """",
    IFERROR(TEXTJOIN(CHAR(10),TRUE,FILTER('SUMMARY DATA'!H:H,'SUMMARY DATA'!$D:$D=$C629,'SUMMARY DATA'!$B:$B=""RWS"",'SUMMARY DATA'!$H:$H=$D629)),"""")
  )
)"),"")</f>
      </c>
      <c r="I629" s="18" t="str">
        <f>IFERROR(__xludf.DUMMYFUNCTION("IF(H629="""","""",
SUM(ARRAYFORMULA(VALUE(SPLIT(H629,CHAR(10)))))
)"),"")</f>
      </c>
      <c r="J629" s="17" t="str">
        <f>IFERROR(__xludf.DUMMYFUNCTION("IFERROR(
  TEXTJOIN(CHAR(10),TRUE,FILTER('SUMMARY DATA'!I:I,'SUMMARY DATA'!$A:$A=$A629,'SUMMARY DATA'!$C:$C=$B629,'SUMMARY DATA'!$B:$B=""RWS"")),
  IF(
    OR(
      ISNUMBER(SEARCH(""CDM CASH DEPOSIT"",$C629)),
      ISNUMBER(SEARCH(""CASH DEPOSIT"",$C62"&amp;"9)),
      COUNTIFS('SUMMARY DATA'!$D:$D,$C629,'SUMMARY DATA'!$B:$B,""RWS"")&lt;&gt;1
    ),
    """",
    IFERROR(TEXTJOIN(CHAR(10),TRUE,FILTER('SUMMARY DATA'!I:I,'SUMMARY DATA'!$D:$D=$C629,'SUMMARY DATA'!$B:$B=""RWS"")),"""")
  )
)"),"")</f>
      </c>
      <c r="K629" s="2"/>
      <c r="L629" s="2"/>
      <c r="M629" s="2"/>
      <c r="N629" s="2"/>
      <c r="O629" s="2"/>
      <c r="P629" s="2"/>
      <c r="Q629" s="2"/>
      <c r="R629" s="2"/>
      <c r="S629" s="2"/>
      <c r="T629" s="2"/>
      <c r="U629" s="2"/>
      <c r="V629" s="2"/>
      <c r="W629" s="2"/>
      <c r="X629" s="2"/>
      <c r="Y629" s="2"/>
      <c r="Z629" s="2"/>
      <c r="AA629" s="2"/>
      <c r="AB629" s="2"/>
    </row>
    <row r="630" spans="1:28" customHeight="true">
      <c r="A630" s="2" t="s">
        <v>936</v>
      </c>
      <c r="B630" s="15">
        <v>46042</v>
      </c>
      <c r="C630" s="2" t="s">
        <v>937</v>
      </c>
      <c r="D630" s="3">
        <v>45.12</v>
      </c>
      <c r="E630" s="16" t="str">
        <f>IFERROR(__xludf.DUMMYFUNCTION("IFERROR(
  TEXTJOIN(CHAR(10),TRUE,FILTER('SUMMARY DATA'!E:E,'SUMMARY DATA'!$A:$A=$A630,'SUMMARY DATA'!$C:$C=$B630,'SUMMARY DATA'!$B:$B=""RWS"")),
  IF(
    OR(
      ISNUMBER(SEARCH(""CDM CASH DEPOSIT"",$C630)),
      ISNUMBER(SEARCH(""CASH DEPOSIT"",$C63"&amp;"0)),
      COUNTIFS('SUMMARY DATA'!$D:$D,$C630,'SUMMARY DATA'!$B:$B,""RWS"")&lt;&gt;1
    ),
    """",
    IFERROR(TEXTJOIN(CHAR(10),TRUE,FILTER('SUMMARY DATA'!E:E,'SUMMARY DATA'!$D:$D=$C630,'SUMMARY DATA'!$B:$B=""RWS"")),"""")
  )
)"),"")</f>
      </c>
      <c r="F630" s="17" t="str">
        <f>IFERROR(__xludf.DUMMYFUNCTION("IFERROR(
  TEXTJOIN(CHAR(10),TRUE,FILTER('SUMMARY DATA'!F:F,'SUMMARY DATA'!$A:$A=$A630,'SUMMARY DATA'!$C:$C=$B630,'SUMMARY DATA'!$B:$B=""RWS"")),
  IF(
    OR(
      ISNUMBER(SEARCH(""CDM CASH DEPOSIT"",$C630)),
      ISNUMBER(SEARCH(""CASH DEPOSIT"",$C63"&amp;"0)),
      COUNTIFS('SUMMARY DATA'!$D:$D,$C630,'SUMMARY DATA'!$B:$B,""RWS"")&lt;&gt;1
    ),
    """",
    IFERROR(TEXTJOIN(CHAR(10),TRUE,FILTER('SUMMARY DATA'!F:F,'SUMMARY DATA'!$D:$D=$C630,'SUMMARY DATA'!$B:$B=""RWS"")),"""")
  )
)"),"")</f>
      </c>
      <c r="G630" s="17" t="str">
        <f>IFERROR(__xludf.DUMMYFUNCTION("IFERROR(
  TEXTJOIN(CHAR(10),TRUE,FILTER('SUMMARY DATA'!G:G,'SUMMARY DATA'!$A:$A=$A630,'SUMMARY DATA'!$C:$C=$B630,'SUMMARY DATA'!$B:$B=""RWS"")),
  IF(
    OR(
      ISNUMBER(SEARCH(""CDM CASH DEPOSIT"",$C630)),
      ISNUMBER(SEARCH(""CASH DEPOSIT"",$C63"&amp;"0)),
      COUNTIFS('SUMMARY DATA'!$D:$D,$C630,'SUMMARY DATA'!$B:$B,""RWS"")&lt;&gt;1
    ),
    """",
    IFERROR(TEXTJOIN(CHAR(10),TRUE,FILTER('SUMMARY DATA'!G:G,'SUMMARY DATA'!$D:$D=$C630,'SUMMARY DATA'!$B:$B=""RWS"")),"""")
  )
)"),"")</f>
      </c>
      <c r="H630" s="18" t="str">
        <f>IFERROR(__xludf.DUMMYFUNCTION("IFERROR(
  TEXTJOIN(CHAR(10),TRUE,FILTER('SUMMARY DATA'!H:H,'SUMMARY DATA'!$A:$A=$A630,'SUMMARY DATA'!$C:$C=$B630,'SUMMARY DATA'!$B:$B=""RWS"",'SUMMARY DATA'!$H:$H=$D630)),
  IF(
    OR(
      ISNUMBER(SEARCH(""CDM CASH DEPOSIT"",$C630)),
      ISNUMBER(S"&amp;"EARCH(""CASH DEPOSIT"",$C630))
    ),
    """",
    IFERROR(TEXTJOIN(CHAR(10),TRUE,FILTER('SUMMARY DATA'!H:H,'SUMMARY DATA'!$D:$D=$C630,'SUMMARY DATA'!$B:$B=""RWS"",'SUMMARY DATA'!$H:$H=$D630)),"""")
  )
)"),"")</f>
      </c>
      <c r="I630" s="18" t="str">
        <f>IFERROR(__xludf.DUMMYFUNCTION("IF(H630="""","""",
SUM(ARRAYFORMULA(VALUE(SPLIT(H630,CHAR(10)))))
)"),"")</f>
      </c>
      <c r="J630" s="17" t="str">
        <f>IFERROR(__xludf.DUMMYFUNCTION("IFERROR(
  TEXTJOIN(CHAR(10),TRUE,FILTER('SUMMARY DATA'!I:I,'SUMMARY DATA'!$A:$A=$A630,'SUMMARY DATA'!$C:$C=$B630,'SUMMARY DATA'!$B:$B=""RWS"")),
  IF(
    OR(
      ISNUMBER(SEARCH(""CDM CASH DEPOSIT"",$C630)),
      ISNUMBER(SEARCH(""CASH DEPOSIT"",$C63"&amp;"0)),
      COUNTIFS('SUMMARY DATA'!$D:$D,$C630,'SUMMARY DATA'!$B:$B,""RWS"")&lt;&gt;1
    ),
    """",
    IFERROR(TEXTJOIN(CHAR(10),TRUE,FILTER('SUMMARY DATA'!I:I,'SUMMARY DATA'!$D:$D=$C630,'SUMMARY DATA'!$B:$B=""RWS"")),"""")
  )
)"),"")</f>
      </c>
      <c r="K630" s="2"/>
      <c r="L630" s="2"/>
      <c r="M630" s="2"/>
      <c r="N630" s="2"/>
      <c r="O630" s="2"/>
      <c r="P630" s="2"/>
      <c r="Q630" s="2"/>
      <c r="R630" s="2"/>
      <c r="S630" s="2"/>
      <c r="T630" s="2"/>
      <c r="U630" s="2"/>
      <c r="V630" s="2"/>
      <c r="W630" s="2"/>
      <c r="X630" s="2"/>
      <c r="Y630" s="2"/>
      <c r="Z630" s="2"/>
      <c r="AA630" s="2"/>
      <c r="AB630" s="2"/>
    </row>
    <row r="631" spans="1:28" customHeight="true">
      <c r="A631" s="2" t="s">
        <v>1031</v>
      </c>
      <c r="B631" s="15">
        <v>46042</v>
      </c>
      <c r="C631" s="2" t="s">
        <v>1032</v>
      </c>
      <c r="D631" s="3">
        <v>164.94</v>
      </c>
      <c r="E631" s="16" t="s">
        <v>2512</v>
      </c>
      <c r="F631" s="17" t="s">
        <v>2621</v>
      </c>
      <c r="G631" s="17" t="s">
        <v>2393</v>
      </c>
      <c r="H631" s="18">
        <v>164.94</v>
      </c>
      <c r="I631" s="18">
        <v>164.94</v>
      </c>
      <c r="J631" s="17" t="s">
        <v>2394</v>
      </c>
      <c r="K631" s="2" t="s">
        <v>2395</v>
      </c>
      <c r="L631" s="2"/>
      <c r="M631" s="2"/>
      <c r="N631" s="2"/>
      <c r="O631" s="2"/>
      <c r="P631" s="2"/>
      <c r="Q631" s="2"/>
      <c r="R631" s="2"/>
      <c r="S631" s="2"/>
      <c r="T631" s="2"/>
      <c r="U631" s="2"/>
      <c r="V631" s="2"/>
      <c r="W631" s="2"/>
      <c r="X631" s="2"/>
      <c r="Y631" s="2"/>
      <c r="Z631" s="2"/>
      <c r="AA631" s="2"/>
      <c r="AB631" s="2"/>
    </row>
    <row r="632" spans="1:28" customHeight="true">
      <c r="A632" s="2" t="s">
        <v>1033</v>
      </c>
      <c r="B632" s="15">
        <v>46042</v>
      </c>
      <c r="C632" s="2" t="s">
        <v>1034</v>
      </c>
      <c r="D632" s="3">
        <v>53.94</v>
      </c>
      <c r="E632" s="16" t="str">
        <f>IFERROR(__xludf.DUMMYFUNCTION("IFERROR(
  TEXTJOIN(CHAR(10),TRUE,FILTER('SUMMARY DATA'!E:E,'SUMMARY DATA'!$A:$A=$A632,'SUMMARY DATA'!$C:$C=$B632,'SUMMARY DATA'!$B:$B=""RWS"")),
  IF(
    OR(
      ISNUMBER(SEARCH(""CDM CASH DEPOSIT"",$C632)),
      ISNUMBER(SEARCH(""CASH DEPOSIT"",$C63"&amp;"2)),
      COUNTIFS('SUMMARY DATA'!$D:$D,$C632,'SUMMARY DATA'!$B:$B,""RWS"")&lt;&gt;1
    ),
    """",
    IFERROR(TEXTJOIN(CHAR(10),TRUE,FILTER('SUMMARY DATA'!E:E,'SUMMARY DATA'!$D:$D=$C632,'SUMMARY DATA'!$B:$B=""RWS"")),"""")
  )
)"),"")</f>
      </c>
      <c r="F632" s="17" t="str">
        <f>IFERROR(__xludf.DUMMYFUNCTION("IFERROR(
  TEXTJOIN(CHAR(10),TRUE,FILTER('SUMMARY DATA'!F:F,'SUMMARY DATA'!$A:$A=$A632,'SUMMARY DATA'!$C:$C=$B632,'SUMMARY DATA'!$B:$B=""RWS"")),
  IF(
    OR(
      ISNUMBER(SEARCH(""CDM CASH DEPOSIT"",$C632)),
      ISNUMBER(SEARCH(""CASH DEPOSIT"",$C63"&amp;"2)),
      COUNTIFS('SUMMARY DATA'!$D:$D,$C632,'SUMMARY DATA'!$B:$B,""RWS"")&lt;&gt;1
    ),
    """",
    IFERROR(TEXTJOIN(CHAR(10),TRUE,FILTER('SUMMARY DATA'!F:F,'SUMMARY DATA'!$D:$D=$C632,'SUMMARY DATA'!$B:$B=""RWS"")),"""")
  )
)"),"")</f>
      </c>
      <c r="G632" s="17" t="str">
        <f>IFERROR(__xludf.DUMMYFUNCTION("IFERROR(
  TEXTJOIN(CHAR(10),TRUE,FILTER('SUMMARY DATA'!G:G,'SUMMARY DATA'!$A:$A=$A632,'SUMMARY DATA'!$C:$C=$B632,'SUMMARY DATA'!$B:$B=""RWS"")),
  IF(
    OR(
      ISNUMBER(SEARCH(""CDM CASH DEPOSIT"",$C632)),
      ISNUMBER(SEARCH(""CASH DEPOSIT"",$C63"&amp;"2)),
      COUNTIFS('SUMMARY DATA'!$D:$D,$C632,'SUMMARY DATA'!$B:$B,""RWS"")&lt;&gt;1
    ),
    """",
    IFERROR(TEXTJOIN(CHAR(10),TRUE,FILTER('SUMMARY DATA'!G:G,'SUMMARY DATA'!$D:$D=$C632,'SUMMARY DATA'!$B:$B=""RWS"")),"""")
  )
)"),"")</f>
      </c>
      <c r="H632" s="18" t="str">
        <f>IFERROR(__xludf.DUMMYFUNCTION("IFERROR(
  TEXTJOIN(CHAR(10),TRUE,FILTER('SUMMARY DATA'!H:H,'SUMMARY DATA'!$A:$A=$A632,'SUMMARY DATA'!$C:$C=$B632,'SUMMARY DATA'!$B:$B=""RWS"",'SUMMARY DATA'!$H:$H=$D632)),
  IF(
    OR(
      ISNUMBER(SEARCH(""CDM CASH DEPOSIT"",$C632)),
      ISNUMBER(S"&amp;"EARCH(""CASH DEPOSIT"",$C632))
    ),
    """",
    IFERROR(TEXTJOIN(CHAR(10),TRUE,FILTER('SUMMARY DATA'!H:H,'SUMMARY DATA'!$D:$D=$C632,'SUMMARY DATA'!$B:$B=""RWS"",'SUMMARY DATA'!$H:$H=$D632)),"""")
  )
)"),"")</f>
      </c>
      <c r="I632" s="18" t="str">
        <f>IFERROR(__xludf.DUMMYFUNCTION("IF(H632="""","""",
SUM(ARRAYFORMULA(VALUE(SPLIT(H632,CHAR(10)))))
)"),"")</f>
      </c>
      <c r="J632" s="17" t="str">
        <f>IFERROR(__xludf.DUMMYFUNCTION("IFERROR(
  TEXTJOIN(CHAR(10),TRUE,FILTER('SUMMARY DATA'!I:I,'SUMMARY DATA'!$A:$A=$A632,'SUMMARY DATA'!$C:$C=$B632,'SUMMARY DATA'!$B:$B=""RWS"")),
  IF(
    OR(
      ISNUMBER(SEARCH(""CDM CASH DEPOSIT"",$C632)),
      ISNUMBER(SEARCH(""CASH DEPOSIT"",$C63"&amp;"2)),
      COUNTIFS('SUMMARY DATA'!$D:$D,$C632,'SUMMARY DATA'!$B:$B,""RWS"")&lt;&gt;1
    ),
    """",
    IFERROR(TEXTJOIN(CHAR(10),TRUE,FILTER('SUMMARY DATA'!I:I,'SUMMARY DATA'!$D:$D=$C632,'SUMMARY DATA'!$B:$B=""RWS"")),"""")
  )
)"),"")</f>
      </c>
      <c r="K632" s="2"/>
      <c r="L632" s="2"/>
      <c r="M632" s="2"/>
      <c r="N632" s="2"/>
      <c r="O632" s="2"/>
      <c r="P632" s="2"/>
      <c r="Q632" s="2"/>
      <c r="R632" s="2"/>
      <c r="S632" s="2"/>
      <c r="T632" s="2"/>
      <c r="U632" s="2"/>
      <c r="V632" s="2"/>
      <c r="W632" s="2"/>
      <c r="X632" s="2"/>
      <c r="Y632" s="2"/>
      <c r="Z632" s="2"/>
      <c r="AA632" s="2"/>
      <c r="AB632" s="2"/>
    </row>
    <row r="633" spans="1:28" customHeight="true">
      <c r="A633" s="2"/>
      <c r="B633" s="15">
        <v>46042</v>
      </c>
      <c r="C633" s="2" t="s">
        <v>1035</v>
      </c>
      <c r="D633" s="3">
        <v>162.49</v>
      </c>
      <c r="E633" s="16" t="str">
        <f>IFERROR(__xludf.DUMMYFUNCTION("IFERROR(
  TEXTJOIN(CHAR(10),TRUE,FILTER('SUMMARY DATA'!E:E,'SUMMARY DATA'!$A:$A=$A633,'SUMMARY DATA'!$C:$C=$B633,'SUMMARY DATA'!$B:$B=""RWS"")),
  IF(
    OR(
      ISNUMBER(SEARCH(""CDM CASH DEPOSIT"",$C633)),
      ISNUMBER(SEARCH(""CASH DEPOSIT"",$C63"&amp;"3)),
      COUNTIFS('SUMMARY DATA'!$D:$D,$C633,'SUMMARY DATA'!$B:$B,""RWS"")&lt;&gt;1
    ),
    """",
    IFERROR(TEXTJOIN(CHAR(10),TRUE,FILTER('SUMMARY DATA'!E:E,'SUMMARY DATA'!$D:$D=$C633,'SUMMARY DATA'!$B:$B=""RWS"")),"""")
  )
)"),"")</f>
      </c>
      <c r="F633" s="17" t="str">
        <f>IFERROR(__xludf.DUMMYFUNCTION("IFERROR(
  TEXTJOIN(CHAR(10),TRUE,FILTER('SUMMARY DATA'!F:F,'SUMMARY DATA'!$A:$A=$A633,'SUMMARY DATA'!$C:$C=$B633,'SUMMARY DATA'!$B:$B=""RWS"")),
  IF(
    OR(
      ISNUMBER(SEARCH(""CDM CASH DEPOSIT"",$C633)),
      ISNUMBER(SEARCH(""CASH DEPOSIT"",$C63"&amp;"3)),
      COUNTIFS('SUMMARY DATA'!$D:$D,$C633,'SUMMARY DATA'!$B:$B,""RWS"")&lt;&gt;1
    ),
    """",
    IFERROR(TEXTJOIN(CHAR(10),TRUE,FILTER('SUMMARY DATA'!F:F,'SUMMARY DATA'!$D:$D=$C633,'SUMMARY DATA'!$B:$B=""RWS"")),"""")
  )
)"),"")</f>
      </c>
      <c r="G633" s="17" t="str">
        <f>IFERROR(__xludf.DUMMYFUNCTION("IFERROR(
  TEXTJOIN(CHAR(10),TRUE,FILTER('SUMMARY DATA'!G:G,'SUMMARY DATA'!$A:$A=$A633,'SUMMARY DATA'!$C:$C=$B633,'SUMMARY DATA'!$B:$B=""RWS"")),
  IF(
    OR(
      ISNUMBER(SEARCH(""CDM CASH DEPOSIT"",$C633)),
      ISNUMBER(SEARCH(""CASH DEPOSIT"",$C63"&amp;"3)),
      COUNTIFS('SUMMARY DATA'!$D:$D,$C633,'SUMMARY DATA'!$B:$B,""RWS"")&lt;&gt;1
    ),
    """",
    IFERROR(TEXTJOIN(CHAR(10),TRUE,FILTER('SUMMARY DATA'!G:G,'SUMMARY DATA'!$D:$D=$C633,'SUMMARY DATA'!$B:$B=""RWS"")),"""")
  )
)"),"")</f>
      </c>
      <c r="H633" s="18" t="str">
        <f>IFERROR(__xludf.DUMMYFUNCTION("IFERROR(
  TEXTJOIN(CHAR(10),TRUE,FILTER('SUMMARY DATA'!H:H,'SUMMARY DATA'!$A:$A=$A633,'SUMMARY DATA'!$C:$C=$B633,'SUMMARY DATA'!$B:$B=""RWS"",'SUMMARY DATA'!$H:$H=$D633)),
  IF(
    OR(
      ISNUMBER(SEARCH(""CDM CASH DEPOSIT"",$C633)),
      ISNUMBER(S"&amp;"EARCH(""CASH DEPOSIT"",$C633))
    ),
    """",
    IFERROR(TEXTJOIN(CHAR(10),TRUE,FILTER('SUMMARY DATA'!H:H,'SUMMARY DATA'!$D:$D=$C633,'SUMMARY DATA'!$B:$B=""RWS"",'SUMMARY DATA'!$H:$H=$D633)),"""")
  )
)"),"")</f>
      </c>
      <c r="I633" s="18" t="str">
        <f>IFERROR(__xludf.DUMMYFUNCTION("IF(H633="""","""",
SUM(ARRAYFORMULA(VALUE(SPLIT(H633,CHAR(10)))))
)"),"")</f>
      </c>
      <c r="J633" s="17" t="str">
        <f>IFERROR(__xludf.DUMMYFUNCTION("IFERROR(
  TEXTJOIN(CHAR(10),TRUE,FILTER('SUMMARY DATA'!I:I,'SUMMARY DATA'!$A:$A=$A633,'SUMMARY DATA'!$C:$C=$B633,'SUMMARY DATA'!$B:$B=""RWS"")),
  IF(
    OR(
      ISNUMBER(SEARCH(""CDM CASH DEPOSIT"",$C633)),
      ISNUMBER(SEARCH(""CASH DEPOSIT"",$C63"&amp;"3)),
      COUNTIFS('SUMMARY DATA'!$D:$D,$C633,'SUMMARY DATA'!$B:$B,""RWS"")&lt;&gt;1
    ),
    """",
    IFERROR(TEXTJOIN(CHAR(10),TRUE,FILTER('SUMMARY DATA'!I:I,'SUMMARY DATA'!$D:$D=$C633,'SUMMARY DATA'!$B:$B=""RWS"")),"""")
  )
)"),"")</f>
      </c>
      <c r="K633" s="2"/>
      <c r="L633" s="2"/>
      <c r="M633" s="2"/>
      <c r="N633" s="2"/>
      <c r="O633" s="2"/>
      <c r="P633" s="2"/>
      <c r="Q633" s="2"/>
      <c r="R633" s="2"/>
      <c r="S633" s="2"/>
      <c r="T633" s="2"/>
      <c r="U633" s="2"/>
      <c r="V633" s="2"/>
      <c r="W633" s="2"/>
      <c r="X633" s="2"/>
      <c r="Y633" s="2"/>
      <c r="Z633" s="2"/>
      <c r="AA633" s="2"/>
      <c r="AB633" s="2"/>
    </row>
    <row r="634" spans="1:28" customHeight="true">
      <c r="A634" s="2" t="s">
        <v>1036</v>
      </c>
      <c r="B634" s="15">
        <v>46042</v>
      </c>
      <c r="C634" s="2" t="s">
        <v>1037</v>
      </c>
      <c r="D634" s="3">
        <v>69.98</v>
      </c>
      <c r="E634" s="16" t="s">
        <v>2597</v>
      </c>
      <c r="F634" s="17" t="s">
        <v>2622</v>
      </c>
      <c r="G634" s="17" t="s">
        <v>2393</v>
      </c>
      <c r="H634" s="18">
        <v>69.98</v>
      </c>
      <c r="I634" s="18">
        <v>69.98</v>
      </c>
      <c r="J634" s="17" t="s">
        <v>2394</v>
      </c>
      <c r="K634" s="2" t="s">
        <v>2395</v>
      </c>
      <c r="L634" s="2"/>
      <c r="M634" s="2"/>
      <c r="N634" s="2"/>
      <c r="O634" s="2"/>
      <c r="P634" s="2"/>
      <c r="Q634" s="2"/>
      <c r="R634" s="2"/>
      <c r="S634" s="2"/>
      <c r="T634" s="2"/>
      <c r="U634" s="2"/>
      <c r="V634" s="2"/>
      <c r="W634" s="2"/>
      <c r="X634" s="2"/>
      <c r="Y634" s="2"/>
      <c r="Z634" s="2"/>
      <c r="AA634" s="2"/>
      <c r="AB634" s="2"/>
    </row>
    <row r="635" spans="1:28" customHeight="true">
      <c r="A635" s="2"/>
      <c r="B635" s="15">
        <v>46042</v>
      </c>
      <c r="C635" s="2" t="s">
        <v>1038</v>
      </c>
      <c r="D635" s="3">
        <v>203.78</v>
      </c>
      <c r="E635" s="16" t="str">
        <f>IFERROR(__xludf.DUMMYFUNCTION("IFERROR(
  TEXTJOIN(CHAR(10),TRUE,FILTER('SUMMARY DATA'!E:E,'SUMMARY DATA'!$A:$A=$A635,'SUMMARY DATA'!$C:$C=$B635,'SUMMARY DATA'!$B:$B=""RWS"")),
  IF(
    OR(
      ISNUMBER(SEARCH(""CDM CASH DEPOSIT"",$C635)),
      ISNUMBER(SEARCH(""CASH DEPOSIT"",$C63"&amp;"5)),
      COUNTIFS('SUMMARY DATA'!$D:$D,$C635,'SUMMARY DATA'!$B:$B,""RWS"")&lt;&gt;1
    ),
    """",
    IFERROR(TEXTJOIN(CHAR(10),TRUE,FILTER('SUMMARY DATA'!E:E,'SUMMARY DATA'!$D:$D=$C635,'SUMMARY DATA'!$B:$B=""RWS"")),"""")
  )
)"),"")</f>
      </c>
      <c r="F635" s="17" t="str">
        <f>IFERROR(__xludf.DUMMYFUNCTION("IFERROR(
  TEXTJOIN(CHAR(10),TRUE,FILTER('SUMMARY DATA'!F:F,'SUMMARY DATA'!$A:$A=$A635,'SUMMARY DATA'!$C:$C=$B635,'SUMMARY DATA'!$B:$B=""RWS"")),
  IF(
    OR(
      ISNUMBER(SEARCH(""CDM CASH DEPOSIT"",$C635)),
      ISNUMBER(SEARCH(""CASH DEPOSIT"",$C63"&amp;"5)),
      COUNTIFS('SUMMARY DATA'!$D:$D,$C635,'SUMMARY DATA'!$B:$B,""RWS"")&lt;&gt;1
    ),
    """",
    IFERROR(TEXTJOIN(CHAR(10),TRUE,FILTER('SUMMARY DATA'!F:F,'SUMMARY DATA'!$D:$D=$C635,'SUMMARY DATA'!$B:$B=""RWS"")),"""")
  )
)"),"")</f>
      </c>
      <c r="G635" s="17" t="str">
        <f>IFERROR(__xludf.DUMMYFUNCTION("IFERROR(
  TEXTJOIN(CHAR(10),TRUE,FILTER('SUMMARY DATA'!G:G,'SUMMARY DATA'!$A:$A=$A635,'SUMMARY DATA'!$C:$C=$B635,'SUMMARY DATA'!$B:$B=""RWS"")),
  IF(
    OR(
      ISNUMBER(SEARCH(""CDM CASH DEPOSIT"",$C635)),
      ISNUMBER(SEARCH(""CASH DEPOSIT"",$C63"&amp;"5)),
      COUNTIFS('SUMMARY DATA'!$D:$D,$C635,'SUMMARY DATA'!$B:$B,""RWS"")&lt;&gt;1
    ),
    """",
    IFERROR(TEXTJOIN(CHAR(10),TRUE,FILTER('SUMMARY DATA'!G:G,'SUMMARY DATA'!$D:$D=$C635,'SUMMARY DATA'!$B:$B=""RWS"")),"""")
  )
)"),"")</f>
      </c>
      <c r="H635" s="18" t="str">
        <f>IFERROR(__xludf.DUMMYFUNCTION("IFERROR(
  TEXTJOIN(CHAR(10),TRUE,FILTER('SUMMARY DATA'!H:H,'SUMMARY DATA'!$A:$A=$A635,'SUMMARY DATA'!$C:$C=$B635,'SUMMARY DATA'!$B:$B=""RWS"",'SUMMARY DATA'!$H:$H=$D635)),
  IF(
    OR(
      ISNUMBER(SEARCH(""CDM CASH DEPOSIT"",$C635)),
      ISNUMBER(S"&amp;"EARCH(""CASH DEPOSIT"",$C635))
    ),
    """",
    IFERROR(TEXTJOIN(CHAR(10),TRUE,FILTER('SUMMARY DATA'!H:H,'SUMMARY DATA'!$D:$D=$C635,'SUMMARY DATA'!$B:$B=""RWS"",'SUMMARY DATA'!$H:$H=$D635)),"""")
  )
)"),"")</f>
      </c>
      <c r="I635" s="18" t="str">
        <f>IFERROR(__xludf.DUMMYFUNCTION("IF(H635="""","""",
SUM(ARRAYFORMULA(VALUE(SPLIT(H635,CHAR(10)))))
)"),"")</f>
      </c>
      <c r="J635" s="17" t="str">
        <f>IFERROR(__xludf.DUMMYFUNCTION("IFERROR(
  TEXTJOIN(CHAR(10),TRUE,FILTER('SUMMARY DATA'!I:I,'SUMMARY DATA'!$A:$A=$A635,'SUMMARY DATA'!$C:$C=$B635,'SUMMARY DATA'!$B:$B=""RWS"")),
  IF(
    OR(
      ISNUMBER(SEARCH(""CDM CASH DEPOSIT"",$C635)),
      ISNUMBER(SEARCH(""CASH DEPOSIT"",$C63"&amp;"5)),
      COUNTIFS('SUMMARY DATA'!$D:$D,$C635,'SUMMARY DATA'!$B:$B,""RWS"")&lt;&gt;1
    ),
    """",
    IFERROR(TEXTJOIN(CHAR(10),TRUE,FILTER('SUMMARY DATA'!I:I,'SUMMARY DATA'!$D:$D=$C635,'SUMMARY DATA'!$B:$B=""RWS"")),"""")
  )
)"),"")</f>
      </c>
      <c r="K635" s="2"/>
      <c r="L635" s="2"/>
      <c r="M635" s="2"/>
      <c r="N635" s="2"/>
      <c r="O635" s="2"/>
      <c r="P635" s="2"/>
      <c r="Q635" s="2"/>
      <c r="R635" s="2"/>
      <c r="S635" s="2"/>
      <c r="T635" s="2"/>
      <c r="U635" s="2"/>
      <c r="V635" s="2"/>
      <c r="W635" s="2"/>
      <c r="X635" s="2"/>
      <c r="Y635" s="2"/>
      <c r="Z635" s="2"/>
      <c r="AA635" s="2"/>
      <c r="AB635" s="2"/>
    </row>
    <row r="636" spans="1:28" customHeight="true">
      <c r="A636" s="2" t="s">
        <v>1039</v>
      </c>
      <c r="B636" s="15">
        <v>46041</v>
      </c>
      <c r="C636" s="2" t="s">
        <v>1040</v>
      </c>
      <c r="D636" s="3">
        <v>4</v>
      </c>
      <c r="E636" s="16" t="s">
        <v>2549</v>
      </c>
      <c r="F636" s="17" t="s">
        <v>2623</v>
      </c>
      <c r="G636" s="17" t="s">
        <v>2393</v>
      </c>
      <c r="H636" s="18">
        <v>4</v>
      </c>
      <c r="I636" s="18">
        <v>4</v>
      </c>
      <c r="J636" s="17" t="s">
        <v>2394</v>
      </c>
      <c r="K636" s="2" t="s">
        <v>2395</v>
      </c>
      <c r="L636" s="2"/>
      <c r="M636" s="2"/>
      <c r="N636" s="2"/>
      <c r="O636" s="2"/>
      <c r="P636" s="2"/>
      <c r="Q636" s="2"/>
      <c r="R636" s="2"/>
      <c r="S636" s="2"/>
      <c r="T636" s="2"/>
      <c r="U636" s="2"/>
      <c r="V636" s="2"/>
      <c r="W636" s="2"/>
      <c r="X636" s="2"/>
      <c r="Y636" s="2"/>
      <c r="Z636" s="2"/>
      <c r="AA636" s="2"/>
      <c r="AB636" s="2"/>
    </row>
    <row r="637" spans="1:28" customHeight="true">
      <c r="A637" s="2"/>
      <c r="B637" s="15">
        <v>46041</v>
      </c>
      <c r="C637" s="2" t="s">
        <v>1041</v>
      </c>
      <c r="D637" s="3">
        <v>427.74</v>
      </c>
      <c r="E637" s="16" t="str">
        <f>IFERROR(__xludf.DUMMYFUNCTION("IFERROR(
  TEXTJOIN(CHAR(10),TRUE,FILTER('SUMMARY DATA'!E:E,'SUMMARY DATA'!$A:$A=$A637,'SUMMARY DATA'!$C:$C=$B637,'SUMMARY DATA'!$B:$B=""RWS"")),
  IF(
    OR(
      ISNUMBER(SEARCH(""CDM CASH DEPOSIT"",$C637)),
      ISNUMBER(SEARCH(""CASH DEPOSIT"",$C63"&amp;"7)),
      COUNTIFS('SUMMARY DATA'!$D:$D,$C637,'SUMMARY DATA'!$B:$B,""RWS"")&lt;&gt;1
    ),
    """",
    IFERROR(TEXTJOIN(CHAR(10),TRUE,FILTER('SUMMARY DATA'!E:E,'SUMMARY DATA'!$D:$D=$C637,'SUMMARY DATA'!$B:$B=""RWS"")),"""")
  )
)"),"")</f>
      </c>
      <c r="F637" s="17" t="str">
        <f>IFERROR(__xludf.DUMMYFUNCTION("IFERROR(
  TEXTJOIN(CHAR(10),TRUE,FILTER('SUMMARY DATA'!F:F,'SUMMARY DATA'!$A:$A=$A637,'SUMMARY DATA'!$C:$C=$B637,'SUMMARY DATA'!$B:$B=""RWS"")),
  IF(
    OR(
      ISNUMBER(SEARCH(""CDM CASH DEPOSIT"",$C637)),
      ISNUMBER(SEARCH(""CASH DEPOSIT"",$C63"&amp;"7)),
      COUNTIFS('SUMMARY DATA'!$D:$D,$C637,'SUMMARY DATA'!$B:$B,""RWS"")&lt;&gt;1
    ),
    """",
    IFERROR(TEXTJOIN(CHAR(10),TRUE,FILTER('SUMMARY DATA'!F:F,'SUMMARY DATA'!$D:$D=$C637,'SUMMARY DATA'!$B:$B=""RWS"")),"""")
  )
)"),"")</f>
      </c>
      <c r="G637" s="17" t="str">
        <f>IFERROR(__xludf.DUMMYFUNCTION("IFERROR(
  TEXTJOIN(CHAR(10),TRUE,FILTER('SUMMARY DATA'!G:G,'SUMMARY DATA'!$A:$A=$A637,'SUMMARY DATA'!$C:$C=$B637,'SUMMARY DATA'!$B:$B=""RWS"")),
  IF(
    OR(
      ISNUMBER(SEARCH(""CDM CASH DEPOSIT"",$C637)),
      ISNUMBER(SEARCH(""CASH DEPOSIT"",$C63"&amp;"7)),
      COUNTIFS('SUMMARY DATA'!$D:$D,$C637,'SUMMARY DATA'!$B:$B,""RWS"")&lt;&gt;1
    ),
    """",
    IFERROR(TEXTJOIN(CHAR(10),TRUE,FILTER('SUMMARY DATA'!G:G,'SUMMARY DATA'!$D:$D=$C637,'SUMMARY DATA'!$B:$B=""RWS"")),"""")
  )
)"),"")</f>
      </c>
      <c r="H637" s="18" t="str">
        <f>IFERROR(__xludf.DUMMYFUNCTION("IFERROR(
  TEXTJOIN(CHAR(10),TRUE,FILTER('SUMMARY DATA'!H:H,'SUMMARY DATA'!$A:$A=$A637,'SUMMARY DATA'!$C:$C=$B637,'SUMMARY DATA'!$B:$B=""RWS"",'SUMMARY DATA'!$H:$H=$D637)),
  IF(
    OR(
      ISNUMBER(SEARCH(""CDM CASH DEPOSIT"",$C637)),
      ISNUMBER(S"&amp;"EARCH(""CASH DEPOSIT"",$C637))
    ),
    """",
    IFERROR(TEXTJOIN(CHAR(10),TRUE,FILTER('SUMMARY DATA'!H:H,'SUMMARY DATA'!$D:$D=$C637,'SUMMARY DATA'!$B:$B=""RWS"",'SUMMARY DATA'!$H:$H=$D637)),"""")
  )
)"),"")</f>
      </c>
      <c r="I637" s="18" t="str">
        <f>IFERROR(__xludf.DUMMYFUNCTION("IF(H637="""","""",
SUM(ARRAYFORMULA(VALUE(SPLIT(H637,CHAR(10)))))
)"),"")</f>
      </c>
      <c r="J637" s="17" t="str">
        <f>IFERROR(__xludf.DUMMYFUNCTION("IFERROR(
  TEXTJOIN(CHAR(10),TRUE,FILTER('SUMMARY DATA'!I:I,'SUMMARY DATA'!$A:$A=$A637,'SUMMARY DATA'!$C:$C=$B637,'SUMMARY DATA'!$B:$B=""RWS"")),
  IF(
    OR(
      ISNUMBER(SEARCH(""CDM CASH DEPOSIT"",$C637)),
      ISNUMBER(SEARCH(""CASH DEPOSIT"",$C63"&amp;"7)),
      COUNTIFS('SUMMARY DATA'!$D:$D,$C637,'SUMMARY DATA'!$B:$B,""RWS"")&lt;&gt;1
    ),
    """",
    IFERROR(TEXTJOIN(CHAR(10),TRUE,FILTER('SUMMARY DATA'!I:I,'SUMMARY DATA'!$D:$D=$C637,'SUMMARY DATA'!$B:$B=""RWS"")),"""")
  )
)"),"")</f>
      </c>
      <c r="K637" s="2"/>
      <c r="L637" s="2"/>
      <c r="M637" s="2"/>
      <c r="N637" s="2"/>
      <c r="O637" s="2"/>
      <c r="P637" s="2"/>
      <c r="Q637" s="2"/>
      <c r="R637" s="2"/>
      <c r="S637" s="2"/>
      <c r="T637" s="2"/>
      <c r="U637" s="2"/>
      <c r="V637" s="2"/>
      <c r="W637" s="2"/>
      <c r="X637" s="2"/>
      <c r="Y637" s="2"/>
      <c r="Z637" s="2"/>
      <c r="AA637" s="2"/>
      <c r="AB637" s="2"/>
    </row>
    <row r="638" spans="1:28" customHeight="true">
      <c r="A638" s="2"/>
      <c r="B638" s="15">
        <v>46041</v>
      </c>
      <c r="C638" s="2" t="s">
        <v>1042</v>
      </c>
      <c r="D638" s="3">
        <v>19</v>
      </c>
      <c r="E638" s="16" t="str">
        <f>IFERROR(__xludf.DUMMYFUNCTION("IFERROR(
  TEXTJOIN(CHAR(10),TRUE,FILTER('SUMMARY DATA'!E:E,'SUMMARY DATA'!$A:$A=$A638,'SUMMARY DATA'!$C:$C=$B638,'SUMMARY DATA'!$B:$B=""RWS"")),
  IF(
    OR(
      ISNUMBER(SEARCH(""CDM CASH DEPOSIT"",$C638)),
      ISNUMBER(SEARCH(""CASH DEPOSIT"",$C63"&amp;"8)),
      COUNTIFS('SUMMARY DATA'!$D:$D,$C638,'SUMMARY DATA'!$B:$B,""RWS"")&lt;&gt;1
    ),
    """",
    IFERROR(TEXTJOIN(CHAR(10),TRUE,FILTER('SUMMARY DATA'!E:E,'SUMMARY DATA'!$D:$D=$C638,'SUMMARY DATA'!$B:$B=""RWS"")),"""")
  )
)"),"")</f>
      </c>
      <c r="F638" s="17" t="str">
        <f>IFERROR(__xludf.DUMMYFUNCTION("IFERROR(
  TEXTJOIN(CHAR(10),TRUE,FILTER('SUMMARY DATA'!F:F,'SUMMARY DATA'!$A:$A=$A638,'SUMMARY DATA'!$C:$C=$B638,'SUMMARY DATA'!$B:$B=""RWS"")),
  IF(
    OR(
      ISNUMBER(SEARCH(""CDM CASH DEPOSIT"",$C638)),
      ISNUMBER(SEARCH(""CASH DEPOSIT"",$C63"&amp;"8)),
      COUNTIFS('SUMMARY DATA'!$D:$D,$C638,'SUMMARY DATA'!$B:$B,""RWS"")&lt;&gt;1
    ),
    """",
    IFERROR(TEXTJOIN(CHAR(10),TRUE,FILTER('SUMMARY DATA'!F:F,'SUMMARY DATA'!$D:$D=$C638,'SUMMARY DATA'!$B:$B=""RWS"")),"""")
  )
)"),"")</f>
      </c>
      <c r="G638" s="17" t="str">
        <f>IFERROR(__xludf.DUMMYFUNCTION("IFERROR(
  TEXTJOIN(CHAR(10),TRUE,FILTER('SUMMARY DATA'!G:G,'SUMMARY DATA'!$A:$A=$A638,'SUMMARY DATA'!$C:$C=$B638,'SUMMARY DATA'!$B:$B=""RWS"")),
  IF(
    OR(
      ISNUMBER(SEARCH(""CDM CASH DEPOSIT"",$C638)),
      ISNUMBER(SEARCH(""CASH DEPOSIT"",$C63"&amp;"8)),
      COUNTIFS('SUMMARY DATA'!$D:$D,$C638,'SUMMARY DATA'!$B:$B,""RWS"")&lt;&gt;1
    ),
    """",
    IFERROR(TEXTJOIN(CHAR(10),TRUE,FILTER('SUMMARY DATA'!G:G,'SUMMARY DATA'!$D:$D=$C638,'SUMMARY DATA'!$B:$B=""RWS"")),"""")
  )
)"),"")</f>
      </c>
      <c r="H638" s="18" t="str">
        <f>IFERROR(__xludf.DUMMYFUNCTION("IFERROR(
  TEXTJOIN(CHAR(10),TRUE,FILTER('SUMMARY DATA'!H:H,'SUMMARY DATA'!$A:$A=$A638,'SUMMARY DATA'!$C:$C=$B638,'SUMMARY DATA'!$B:$B=""RWS"",'SUMMARY DATA'!$H:$H=$D638)),
  IF(
    OR(
      ISNUMBER(SEARCH(""CDM CASH DEPOSIT"",$C638)),
      ISNUMBER(S"&amp;"EARCH(""CASH DEPOSIT"",$C638))
    ),
    """",
    IFERROR(TEXTJOIN(CHAR(10),TRUE,FILTER('SUMMARY DATA'!H:H,'SUMMARY DATA'!$D:$D=$C638,'SUMMARY DATA'!$B:$B=""RWS"",'SUMMARY DATA'!$H:$H=$D638)),"""")
  )
)"),"")</f>
      </c>
      <c r="I638" s="18" t="str">
        <f>IFERROR(__xludf.DUMMYFUNCTION("IF(H638="""","""",
SUM(ARRAYFORMULA(VALUE(SPLIT(H638,CHAR(10)))))
)"),"")</f>
      </c>
      <c r="J638" s="17" t="str">
        <f>IFERROR(__xludf.DUMMYFUNCTION("IFERROR(
  TEXTJOIN(CHAR(10),TRUE,FILTER('SUMMARY DATA'!I:I,'SUMMARY DATA'!$A:$A=$A638,'SUMMARY DATA'!$C:$C=$B638,'SUMMARY DATA'!$B:$B=""RWS"")),
  IF(
    OR(
      ISNUMBER(SEARCH(""CDM CASH DEPOSIT"",$C638)),
      ISNUMBER(SEARCH(""CASH DEPOSIT"",$C63"&amp;"8)),
      COUNTIFS('SUMMARY DATA'!$D:$D,$C638,'SUMMARY DATA'!$B:$B,""RWS"")&lt;&gt;1
    ),
    """",
    IFERROR(TEXTJOIN(CHAR(10),TRUE,FILTER('SUMMARY DATA'!I:I,'SUMMARY DATA'!$D:$D=$C638,'SUMMARY DATA'!$B:$B=""RWS"")),"""")
  )
)"),"")</f>
      </c>
      <c r="K638" s="2"/>
      <c r="L638" s="2"/>
      <c r="M638" s="2"/>
      <c r="N638" s="2"/>
      <c r="O638" s="2"/>
      <c r="P638" s="2"/>
      <c r="Q638" s="2"/>
      <c r="R638" s="2"/>
      <c r="S638" s="2"/>
      <c r="T638" s="2"/>
      <c r="U638" s="2"/>
      <c r="V638" s="2"/>
      <c r="W638" s="2"/>
      <c r="X638" s="2"/>
      <c r="Y638" s="2"/>
      <c r="Z638" s="2"/>
      <c r="AA638" s="2"/>
      <c r="AB638" s="2"/>
    </row>
    <row r="639" spans="1:28" customHeight="true">
      <c r="A639" s="2"/>
      <c r="B639" s="15">
        <v>46041</v>
      </c>
      <c r="C639" s="2" t="s">
        <v>1043</v>
      </c>
      <c r="D639" s="3">
        <v>3.88</v>
      </c>
      <c r="E639" s="16" t="str">
        <f>IFERROR(__xludf.DUMMYFUNCTION("IFERROR(
  TEXTJOIN(CHAR(10),TRUE,FILTER('SUMMARY DATA'!E:E,'SUMMARY DATA'!$A:$A=$A639,'SUMMARY DATA'!$C:$C=$B639,'SUMMARY DATA'!$B:$B=""RWS"")),
  IF(
    OR(
      ISNUMBER(SEARCH(""CDM CASH DEPOSIT"",$C639)),
      ISNUMBER(SEARCH(""CASH DEPOSIT"",$C63"&amp;"9)),
      COUNTIFS('SUMMARY DATA'!$D:$D,$C639,'SUMMARY DATA'!$B:$B,""RWS"")&lt;&gt;1
    ),
    """",
    IFERROR(TEXTJOIN(CHAR(10),TRUE,FILTER('SUMMARY DATA'!E:E,'SUMMARY DATA'!$D:$D=$C639,'SUMMARY DATA'!$B:$B=""RWS"")),"""")
  )
)"),"")</f>
      </c>
      <c r="F639" s="17" t="str">
        <f>IFERROR(__xludf.DUMMYFUNCTION("IFERROR(
  TEXTJOIN(CHAR(10),TRUE,FILTER('SUMMARY DATA'!F:F,'SUMMARY DATA'!$A:$A=$A639,'SUMMARY DATA'!$C:$C=$B639,'SUMMARY DATA'!$B:$B=""RWS"")),
  IF(
    OR(
      ISNUMBER(SEARCH(""CDM CASH DEPOSIT"",$C639)),
      ISNUMBER(SEARCH(""CASH DEPOSIT"",$C63"&amp;"9)),
      COUNTIFS('SUMMARY DATA'!$D:$D,$C639,'SUMMARY DATA'!$B:$B,""RWS"")&lt;&gt;1
    ),
    """",
    IFERROR(TEXTJOIN(CHAR(10),TRUE,FILTER('SUMMARY DATA'!F:F,'SUMMARY DATA'!$D:$D=$C639,'SUMMARY DATA'!$B:$B=""RWS"")),"""")
  )
)"),"")</f>
      </c>
      <c r="G639" s="17" t="str">
        <f>IFERROR(__xludf.DUMMYFUNCTION("IFERROR(
  TEXTJOIN(CHAR(10),TRUE,FILTER('SUMMARY DATA'!G:G,'SUMMARY DATA'!$A:$A=$A639,'SUMMARY DATA'!$C:$C=$B639,'SUMMARY DATA'!$B:$B=""RWS"")),
  IF(
    OR(
      ISNUMBER(SEARCH(""CDM CASH DEPOSIT"",$C639)),
      ISNUMBER(SEARCH(""CASH DEPOSIT"",$C63"&amp;"9)),
      COUNTIFS('SUMMARY DATA'!$D:$D,$C639,'SUMMARY DATA'!$B:$B,""RWS"")&lt;&gt;1
    ),
    """",
    IFERROR(TEXTJOIN(CHAR(10),TRUE,FILTER('SUMMARY DATA'!G:G,'SUMMARY DATA'!$D:$D=$C639,'SUMMARY DATA'!$B:$B=""RWS"")),"""")
  )
)"),"")</f>
      </c>
      <c r="H639" s="18" t="str">
        <f>IFERROR(__xludf.DUMMYFUNCTION("IFERROR(
  TEXTJOIN(CHAR(10),TRUE,FILTER('SUMMARY DATA'!H:H,'SUMMARY DATA'!$A:$A=$A639,'SUMMARY DATA'!$C:$C=$B639,'SUMMARY DATA'!$B:$B=""RWS"",'SUMMARY DATA'!$H:$H=$D639)),
  IF(
    OR(
      ISNUMBER(SEARCH(""CDM CASH DEPOSIT"",$C639)),
      ISNUMBER(S"&amp;"EARCH(""CASH DEPOSIT"",$C639))
    ),
    """",
    IFERROR(TEXTJOIN(CHAR(10),TRUE,FILTER('SUMMARY DATA'!H:H,'SUMMARY DATA'!$D:$D=$C639,'SUMMARY DATA'!$B:$B=""RWS"",'SUMMARY DATA'!$H:$H=$D639)),"""")
  )
)"),"")</f>
      </c>
      <c r="I639" s="18" t="str">
        <f>IFERROR(__xludf.DUMMYFUNCTION("IF(H639="""","""",
SUM(ARRAYFORMULA(VALUE(SPLIT(H639,CHAR(10)))))
)"),"")</f>
      </c>
      <c r="J639" s="17" t="str">
        <f>IFERROR(__xludf.DUMMYFUNCTION("IFERROR(
  TEXTJOIN(CHAR(10),TRUE,FILTER('SUMMARY DATA'!I:I,'SUMMARY DATA'!$A:$A=$A639,'SUMMARY DATA'!$C:$C=$B639,'SUMMARY DATA'!$B:$B=""RWS"")),
  IF(
    OR(
      ISNUMBER(SEARCH(""CDM CASH DEPOSIT"",$C639)),
      ISNUMBER(SEARCH(""CASH DEPOSIT"",$C63"&amp;"9)),
      COUNTIFS('SUMMARY DATA'!$D:$D,$C639,'SUMMARY DATA'!$B:$B,""RWS"")&lt;&gt;1
    ),
    """",
    IFERROR(TEXTJOIN(CHAR(10),TRUE,FILTER('SUMMARY DATA'!I:I,'SUMMARY DATA'!$D:$D=$C639,'SUMMARY DATA'!$B:$B=""RWS"")),"""")
  )
)"),"")</f>
      </c>
      <c r="K639" s="2"/>
      <c r="L639" s="2"/>
      <c r="M639" s="2"/>
      <c r="N639" s="2"/>
      <c r="O639" s="2"/>
      <c r="P639" s="2"/>
      <c r="Q639" s="2"/>
      <c r="R639" s="2"/>
      <c r="S639" s="2"/>
      <c r="T639" s="2"/>
      <c r="U639" s="2"/>
      <c r="V639" s="2"/>
      <c r="W639" s="2"/>
      <c r="X639" s="2"/>
      <c r="Y639" s="2"/>
      <c r="Z639" s="2"/>
      <c r="AA639" s="2"/>
      <c r="AB639" s="2"/>
    </row>
    <row r="640" spans="1:28" customHeight="true">
      <c r="A640" s="2" t="s">
        <v>1044</v>
      </c>
      <c r="B640" s="15">
        <v>46041</v>
      </c>
      <c r="C640" s="2" t="s">
        <v>97</v>
      </c>
      <c r="D640" s="3">
        <v>60</v>
      </c>
      <c r="E640" s="16" t="str">
        <f>IFERROR(__xludf.DUMMYFUNCTION("IFERROR(
  TEXTJOIN(CHAR(10),TRUE,FILTER('SUMMARY DATA'!E:E,'SUMMARY DATA'!$A:$A=$A640,'SUMMARY DATA'!$C:$C=$B640,'SUMMARY DATA'!$B:$B=""RWS"")),
  IF(
    OR(
      ISNUMBER(SEARCH(""CDM CASH DEPOSIT"",$C640)),
      ISNUMBER(SEARCH(""CASH DEPOSIT"",$C64"&amp;"0)),
      COUNTIFS('SUMMARY DATA'!$D:$D,$C640,'SUMMARY DATA'!$B:$B,""RWS"")&lt;&gt;1
    ),
    """",
    IFERROR(TEXTJOIN(CHAR(10),TRUE,FILTER('SUMMARY DATA'!E:E,'SUMMARY DATA'!$D:$D=$C640,'SUMMARY DATA'!$B:$B=""RWS"")),"""")
  )
)"),"")</f>
      </c>
      <c r="F640" s="17" t="str">
        <f>IFERROR(__xludf.DUMMYFUNCTION("IFERROR(
  TEXTJOIN(CHAR(10),TRUE,FILTER('SUMMARY DATA'!F:F,'SUMMARY DATA'!$A:$A=$A640,'SUMMARY DATA'!$C:$C=$B640,'SUMMARY DATA'!$B:$B=""RWS"")),
  IF(
    OR(
      ISNUMBER(SEARCH(""CDM CASH DEPOSIT"",$C640)),
      ISNUMBER(SEARCH(""CASH DEPOSIT"",$C64"&amp;"0)),
      COUNTIFS('SUMMARY DATA'!$D:$D,$C640,'SUMMARY DATA'!$B:$B,""RWS"")&lt;&gt;1
    ),
    """",
    IFERROR(TEXTJOIN(CHAR(10),TRUE,FILTER('SUMMARY DATA'!F:F,'SUMMARY DATA'!$D:$D=$C640,'SUMMARY DATA'!$B:$B=""RWS"")),"""")
  )
)"),"")</f>
      </c>
      <c r="G640" s="17" t="str">
        <f>IFERROR(__xludf.DUMMYFUNCTION("IFERROR(
  TEXTJOIN(CHAR(10),TRUE,FILTER('SUMMARY DATA'!G:G,'SUMMARY DATA'!$A:$A=$A640,'SUMMARY DATA'!$C:$C=$B640,'SUMMARY DATA'!$B:$B=""RWS"")),
  IF(
    OR(
      ISNUMBER(SEARCH(""CDM CASH DEPOSIT"",$C640)),
      ISNUMBER(SEARCH(""CASH DEPOSIT"",$C64"&amp;"0)),
      COUNTIFS('SUMMARY DATA'!$D:$D,$C640,'SUMMARY DATA'!$B:$B,""RWS"")&lt;&gt;1
    ),
    """",
    IFERROR(TEXTJOIN(CHAR(10),TRUE,FILTER('SUMMARY DATA'!G:G,'SUMMARY DATA'!$D:$D=$C640,'SUMMARY DATA'!$B:$B=""RWS"")),"""")
  )
)"),"")</f>
      </c>
      <c r="H640" s="18" t="str">
        <f>IFERROR(__xludf.DUMMYFUNCTION("IFERROR(
  TEXTJOIN(CHAR(10),TRUE,FILTER('SUMMARY DATA'!H:H,'SUMMARY DATA'!$A:$A=$A640,'SUMMARY DATA'!$C:$C=$B640,'SUMMARY DATA'!$B:$B=""RWS"",'SUMMARY DATA'!$H:$H=$D640)),
  IF(
    OR(
      ISNUMBER(SEARCH(""CDM CASH DEPOSIT"",$C640)),
      ISNUMBER(S"&amp;"EARCH(""CASH DEPOSIT"",$C640))
    ),
    """",
    IFERROR(TEXTJOIN(CHAR(10),TRUE,FILTER('SUMMARY DATA'!H:H,'SUMMARY DATA'!$D:$D=$C640,'SUMMARY DATA'!$B:$B=""RWS"",'SUMMARY DATA'!$H:$H=$D640)),"""")
  )
)"),"")</f>
      </c>
      <c r="I640" s="18" t="str">
        <f>IFERROR(__xludf.DUMMYFUNCTION("IF(H640="""","""",
SUM(ARRAYFORMULA(VALUE(SPLIT(H640,CHAR(10)))))
)"),"")</f>
      </c>
      <c r="J640" s="17" t="str">
        <f>IFERROR(__xludf.DUMMYFUNCTION("IFERROR(
  TEXTJOIN(CHAR(10),TRUE,FILTER('SUMMARY DATA'!I:I,'SUMMARY DATA'!$A:$A=$A640,'SUMMARY DATA'!$C:$C=$B640,'SUMMARY DATA'!$B:$B=""RWS"")),
  IF(
    OR(
      ISNUMBER(SEARCH(""CDM CASH DEPOSIT"",$C640)),
      ISNUMBER(SEARCH(""CASH DEPOSIT"",$C64"&amp;"0)),
      COUNTIFS('SUMMARY DATA'!$D:$D,$C640,'SUMMARY DATA'!$B:$B,""RWS"")&lt;&gt;1
    ),
    """",
    IFERROR(TEXTJOIN(CHAR(10),TRUE,FILTER('SUMMARY DATA'!I:I,'SUMMARY DATA'!$D:$D=$C640,'SUMMARY DATA'!$B:$B=""RWS"")),"""")
  )
)"),"")</f>
      </c>
      <c r="K640" s="2"/>
      <c r="L640" s="2"/>
      <c r="M640" s="2"/>
      <c r="N640" s="2"/>
      <c r="O640" s="2"/>
      <c r="P640" s="2"/>
      <c r="Q640" s="2"/>
      <c r="R640" s="2"/>
      <c r="S640" s="2"/>
      <c r="T640" s="2"/>
      <c r="U640" s="2"/>
      <c r="V640" s="2"/>
      <c r="W640" s="2"/>
      <c r="X640" s="2"/>
      <c r="Y640" s="2"/>
      <c r="Z640" s="2"/>
      <c r="AA640" s="2"/>
      <c r="AB640" s="2"/>
    </row>
    <row r="641" spans="1:28" customHeight="true">
      <c r="A641" s="2" t="s">
        <v>1045</v>
      </c>
      <c r="B641" s="15">
        <v>46041</v>
      </c>
      <c r="C641" s="2" t="s">
        <v>1046</v>
      </c>
      <c r="D641" s="3">
        <v>10</v>
      </c>
      <c r="E641" s="16" t="str">
        <f>IFERROR(__xludf.DUMMYFUNCTION("IFERROR(
  TEXTJOIN(CHAR(10),TRUE,FILTER('SUMMARY DATA'!E:E,'SUMMARY DATA'!$A:$A=$A641,'SUMMARY DATA'!$C:$C=$B641,'SUMMARY DATA'!$B:$B=""RWS"")),
  IF(
    OR(
      ISNUMBER(SEARCH(""CDM CASH DEPOSIT"",$C641)),
      ISNUMBER(SEARCH(""CASH DEPOSIT"",$C64"&amp;"1)),
      COUNTIFS('SUMMARY DATA'!$D:$D,$C641,'SUMMARY DATA'!$B:$B,""RWS"")&lt;&gt;1
    ),
    """",
    IFERROR(TEXTJOIN(CHAR(10),TRUE,FILTER('SUMMARY DATA'!E:E,'SUMMARY DATA'!$D:$D=$C641,'SUMMARY DATA'!$B:$B=""RWS"")),"""")
  )
)"),"")</f>
      </c>
      <c r="F641" s="17" t="str">
        <f>IFERROR(__xludf.DUMMYFUNCTION("IFERROR(
  TEXTJOIN(CHAR(10),TRUE,FILTER('SUMMARY DATA'!F:F,'SUMMARY DATA'!$A:$A=$A641,'SUMMARY DATA'!$C:$C=$B641,'SUMMARY DATA'!$B:$B=""RWS"")),
  IF(
    OR(
      ISNUMBER(SEARCH(""CDM CASH DEPOSIT"",$C641)),
      ISNUMBER(SEARCH(""CASH DEPOSIT"",$C64"&amp;"1)),
      COUNTIFS('SUMMARY DATA'!$D:$D,$C641,'SUMMARY DATA'!$B:$B,""RWS"")&lt;&gt;1
    ),
    """",
    IFERROR(TEXTJOIN(CHAR(10),TRUE,FILTER('SUMMARY DATA'!F:F,'SUMMARY DATA'!$D:$D=$C641,'SUMMARY DATA'!$B:$B=""RWS"")),"""")
  )
)"),"")</f>
      </c>
      <c r="G641" s="17" t="str">
        <f>IFERROR(__xludf.DUMMYFUNCTION("IFERROR(
  TEXTJOIN(CHAR(10),TRUE,FILTER('SUMMARY DATA'!G:G,'SUMMARY DATA'!$A:$A=$A641,'SUMMARY DATA'!$C:$C=$B641,'SUMMARY DATA'!$B:$B=""RWS"")),
  IF(
    OR(
      ISNUMBER(SEARCH(""CDM CASH DEPOSIT"",$C641)),
      ISNUMBER(SEARCH(""CASH DEPOSIT"",$C64"&amp;"1)),
      COUNTIFS('SUMMARY DATA'!$D:$D,$C641,'SUMMARY DATA'!$B:$B,""RWS"")&lt;&gt;1
    ),
    """",
    IFERROR(TEXTJOIN(CHAR(10),TRUE,FILTER('SUMMARY DATA'!G:G,'SUMMARY DATA'!$D:$D=$C641,'SUMMARY DATA'!$B:$B=""RWS"")),"""")
  )
)"),"")</f>
      </c>
      <c r="H641" s="18" t="str">
        <f>IFERROR(__xludf.DUMMYFUNCTION("IFERROR(
  TEXTJOIN(CHAR(10),TRUE,FILTER('SUMMARY DATA'!H:H,'SUMMARY DATA'!$A:$A=$A641,'SUMMARY DATA'!$C:$C=$B641,'SUMMARY DATA'!$B:$B=""RWS"",'SUMMARY DATA'!$H:$H=$D641)),
  IF(
    OR(
      ISNUMBER(SEARCH(""CDM CASH DEPOSIT"",$C641)),
      ISNUMBER(S"&amp;"EARCH(""CASH DEPOSIT"",$C641))
    ),
    """",
    IFERROR(TEXTJOIN(CHAR(10),TRUE,FILTER('SUMMARY DATA'!H:H,'SUMMARY DATA'!$D:$D=$C641,'SUMMARY DATA'!$B:$B=""RWS"",'SUMMARY DATA'!$H:$H=$D641)),"""")
  )
)"),"")</f>
      </c>
      <c r="I641" s="18" t="str">
        <f>IFERROR(__xludf.DUMMYFUNCTION("IF(H641="""","""",
SUM(ARRAYFORMULA(VALUE(SPLIT(H641,CHAR(10)))))
)"),"")</f>
      </c>
      <c r="J641" s="17" t="str">
        <f>IFERROR(__xludf.DUMMYFUNCTION("IFERROR(
  TEXTJOIN(CHAR(10),TRUE,FILTER('SUMMARY DATA'!I:I,'SUMMARY DATA'!$A:$A=$A641,'SUMMARY DATA'!$C:$C=$B641,'SUMMARY DATA'!$B:$B=""RWS"")),
  IF(
    OR(
      ISNUMBER(SEARCH(""CDM CASH DEPOSIT"",$C641)),
      ISNUMBER(SEARCH(""CASH DEPOSIT"",$C64"&amp;"1)),
      COUNTIFS('SUMMARY DATA'!$D:$D,$C641,'SUMMARY DATA'!$B:$B,""RWS"")&lt;&gt;1
    ),
    """",
    IFERROR(TEXTJOIN(CHAR(10),TRUE,FILTER('SUMMARY DATA'!I:I,'SUMMARY DATA'!$D:$D=$C641,'SUMMARY DATA'!$B:$B=""RWS"")),"""")
  )
)"),"")</f>
      </c>
      <c r="K641" s="2"/>
      <c r="L641" s="2"/>
      <c r="M641" s="2"/>
      <c r="N641" s="2"/>
      <c r="O641" s="2"/>
      <c r="P641" s="2"/>
      <c r="Q641" s="2"/>
      <c r="R641" s="2"/>
      <c r="S641" s="2"/>
      <c r="T641" s="2"/>
      <c r="U641" s="2"/>
      <c r="V641" s="2"/>
      <c r="W641" s="2"/>
      <c r="X641" s="2"/>
      <c r="Y641" s="2"/>
      <c r="Z641" s="2"/>
      <c r="AA641" s="2"/>
      <c r="AB641" s="2"/>
    </row>
    <row r="642" spans="1:28" customHeight="true">
      <c r="A642" s="2" t="s">
        <v>1047</v>
      </c>
      <c r="B642" s="15">
        <v>46041</v>
      </c>
      <c r="C642" s="2" t="s">
        <v>1048</v>
      </c>
      <c r="D642" s="3">
        <v>160.83</v>
      </c>
      <c r="E642" s="16" t="str">
        <f>IFERROR(__xludf.DUMMYFUNCTION("IFERROR(
  TEXTJOIN(CHAR(10),TRUE,FILTER('SUMMARY DATA'!E:E,'SUMMARY DATA'!$A:$A=$A642,'SUMMARY DATA'!$C:$C=$B642,'SUMMARY DATA'!$B:$B=""RWS"")),
  IF(
    OR(
      ISNUMBER(SEARCH(""CDM CASH DEPOSIT"",$C642)),
      ISNUMBER(SEARCH(""CASH DEPOSIT"",$C64"&amp;"2)),
      COUNTIFS('SUMMARY DATA'!$D:$D,$C642,'SUMMARY DATA'!$B:$B,""RWS"")&lt;&gt;1
    ),
    """",
    IFERROR(TEXTJOIN(CHAR(10),TRUE,FILTER('SUMMARY DATA'!E:E,'SUMMARY DATA'!$D:$D=$C642,'SUMMARY DATA'!$B:$B=""RWS"")),"""")
  )
)"),"")</f>
      </c>
      <c r="F642" s="17" t="str">
        <f>IFERROR(__xludf.DUMMYFUNCTION("IFERROR(
  TEXTJOIN(CHAR(10),TRUE,FILTER('SUMMARY DATA'!F:F,'SUMMARY DATA'!$A:$A=$A642,'SUMMARY DATA'!$C:$C=$B642,'SUMMARY DATA'!$B:$B=""RWS"")),
  IF(
    OR(
      ISNUMBER(SEARCH(""CDM CASH DEPOSIT"",$C642)),
      ISNUMBER(SEARCH(""CASH DEPOSIT"",$C64"&amp;"2)),
      COUNTIFS('SUMMARY DATA'!$D:$D,$C642,'SUMMARY DATA'!$B:$B,""RWS"")&lt;&gt;1
    ),
    """",
    IFERROR(TEXTJOIN(CHAR(10),TRUE,FILTER('SUMMARY DATA'!F:F,'SUMMARY DATA'!$D:$D=$C642,'SUMMARY DATA'!$B:$B=""RWS"")),"""")
  )
)"),"")</f>
      </c>
      <c r="G642" s="17" t="str">
        <f>IFERROR(__xludf.DUMMYFUNCTION("IFERROR(
  TEXTJOIN(CHAR(10),TRUE,FILTER('SUMMARY DATA'!G:G,'SUMMARY DATA'!$A:$A=$A642,'SUMMARY DATA'!$C:$C=$B642,'SUMMARY DATA'!$B:$B=""RWS"")),
  IF(
    OR(
      ISNUMBER(SEARCH(""CDM CASH DEPOSIT"",$C642)),
      ISNUMBER(SEARCH(""CASH DEPOSIT"",$C64"&amp;"2)),
      COUNTIFS('SUMMARY DATA'!$D:$D,$C642,'SUMMARY DATA'!$B:$B,""RWS"")&lt;&gt;1
    ),
    """",
    IFERROR(TEXTJOIN(CHAR(10),TRUE,FILTER('SUMMARY DATA'!G:G,'SUMMARY DATA'!$D:$D=$C642,'SUMMARY DATA'!$B:$B=""RWS"")),"""")
  )
)"),"")</f>
      </c>
      <c r="H642" s="18" t="str">
        <f>IFERROR(__xludf.DUMMYFUNCTION("IFERROR(
  TEXTJOIN(CHAR(10),TRUE,FILTER('SUMMARY DATA'!H:H,'SUMMARY DATA'!$A:$A=$A642,'SUMMARY DATA'!$C:$C=$B642,'SUMMARY DATA'!$B:$B=""RWS"",'SUMMARY DATA'!$H:$H=$D642)),
  IF(
    OR(
      ISNUMBER(SEARCH(""CDM CASH DEPOSIT"",$C642)),
      ISNUMBER(S"&amp;"EARCH(""CASH DEPOSIT"",$C642))
    ),
    """",
    IFERROR(TEXTJOIN(CHAR(10),TRUE,FILTER('SUMMARY DATA'!H:H,'SUMMARY DATA'!$D:$D=$C642,'SUMMARY DATA'!$B:$B=""RWS"",'SUMMARY DATA'!$H:$H=$D642)),"""")
  )
)"),"")</f>
      </c>
      <c r="I642" s="18" t="str">
        <f>IFERROR(__xludf.DUMMYFUNCTION("IF(H642="""","""",
SUM(ARRAYFORMULA(VALUE(SPLIT(H642,CHAR(10)))))
)"),"")</f>
      </c>
      <c r="J642" s="17" t="str">
        <f>IFERROR(__xludf.DUMMYFUNCTION("IFERROR(
  TEXTJOIN(CHAR(10),TRUE,FILTER('SUMMARY DATA'!I:I,'SUMMARY DATA'!$A:$A=$A642,'SUMMARY DATA'!$C:$C=$B642,'SUMMARY DATA'!$B:$B=""RWS"")),
  IF(
    OR(
      ISNUMBER(SEARCH(""CDM CASH DEPOSIT"",$C642)),
      ISNUMBER(SEARCH(""CASH DEPOSIT"",$C64"&amp;"2)),
      COUNTIFS('SUMMARY DATA'!$D:$D,$C642,'SUMMARY DATA'!$B:$B,""RWS"")&lt;&gt;1
    ),
    """",
    IFERROR(TEXTJOIN(CHAR(10),TRUE,FILTER('SUMMARY DATA'!I:I,'SUMMARY DATA'!$D:$D=$C642,'SUMMARY DATA'!$B:$B=""RWS"")),"""")
  )
)"),"")</f>
      </c>
      <c r="K642" s="2"/>
      <c r="L642" s="2"/>
      <c r="M642" s="2"/>
      <c r="N642" s="2"/>
      <c r="O642" s="2"/>
      <c r="P642" s="2"/>
      <c r="Q642" s="2"/>
      <c r="R642" s="2"/>
      <c r="S642" s="2"/>
      <c r="T642" s="2"/>
      <c r="U642" s="2"/>
      <c r="V642" s="2"/>
      <c r="W642" s="2"/>
      <c r="X642" s="2"/>
      <c r="Y642" s="2"/>
      <c r="Z642" s="2"/>
      <c r="AA642" s="2"/>
      <c r="AB642" s="2"/>
    </row>
    <row r="643" spans="1:28" customHeight="true">
      <c r="A643" s="2" t="s">
        <v>1049</v>
      </c>
      <c r="B643" s="15">
        <v>46041</v>
      </c>
      <c r="C643" s="2" t="s">
        <v>1050</v>
      </c>
      <c r="D643" s="3">
        <v>115.4</v>
      </c>
      <c r="E643" s="16" t="str">
        <f>IFERROR(__xludf.DUMMYFUNCTION("IFERROR(
  TEXTJOIN(CHAR(10),TRUE,FILTER('SUMMARY DATA'!E:E,'SUMMARY DATA'!$A:$A=$A643,'SUMMARY DATA'!$C:$C=$B643,'SUMMARY DATA'!$B:$B=""RWS"")),
  IF(
    OR(
      ISNUMBER(SEARCH(""CDM CASH DEPOSIT"",$C643)),
      ISNUMBER(SEARCH(""CASH DEPOSIT"",$C64"&amp;"3)),
      COUNTIFS('SUMMARY DATA'!$D:$D,$C643,'SUMMARY DATA'!$B:$B,""RWS"")&lt;&gt;1
    ),
    """",
    IFERROR(TEXTJOIN(CHAR(10),TRUE,FILTER('SUMMARY DATA'!E:E,'SUMMARY DATA'!$D:$D=$C643,'SUMMARY DATA'!$B:$B=""RWS"")),"""")
  )
)"),"")</f>
      </c>
      <c r="F643" s="17" t="str">
        <f>IFERROR(__xludf.DUMMYFUNCTION("IFERROR(
  TEXTJOIN(CHAR(10),TRUE,FILTER('SUMMARY DATA'!F:F,'SUMMARY DATA'!$A:$A=$A643,'SUMMARY DATA'!$C:$C=$B643,'SUMMARY DATA'!$B:$B=""RWS"")),
  IF(
    OR(
      ISNUMBER(SEARCH(""CDM CASH DEPOSIT"",$C643)),
      ISNUMBER(SEARCH(""CASH DEPOSIT"",$C64"&amp;"3)),
      COUNTIFS('SUMMARY DATA'!$D:$D,$C643,'SUMMARY DATA'!$B:$B,""RWS"")&lt;&gt;1
    ),
    """",
    IFERROR(TEXTJOIN(CHAR(10),TRUE,FILTER('SUMMARY DATA'!F:F,'SUMMARY DATA'!$D:$D=$C643,'SUMMARY DATA'!$B:$B=""RWS"")),"""")
  )
)"),"")</f>
      </c>
      <c r="G643" s="17" t="str">
        <f>IFERROR(__xludf.DUMMYFUNCTION("IFERROR(
  TEXTJOIN(CHAR(10),TRUE,FILTER('SUMMARY DATA'!G:G,'SUMMARY DATA'!$A:$A=$A643,'SUMMARY DATA'!$C:$C=$B643,'SUMMARY DATA'!$B:$B=""RWS"")),
  IF(
    OR(
      ISNUMBER(SEARCH(""CDM CASH DEPOSIT"",$C643)),
      ISNUMBER(SEARCH(""CASH DEPOSIT"",$C64"&amp;"3)),
      COUNTIFS('SUMMARY DATA'!$D:$D,$C643,'SUMMARY DATA'!$B:$B,""RWS"")&lt;&gt;1
    ),
    """",
    IFERROR(TEXTJOIN(CHAR(10),TRUE,FILTER('SUMMARY DATA'!G:G,'SUMMARY DATA'!$D:$D=$C643,'SUMMARY DATA'!$B:$B=""RWS"")),"""")
  )
)"),"")</f>
      </c>
      <c r="H643" s="18" t="str">
        <f>IFERROR(__xludf.DUMMYFUNCTION("IFERROR(
  TEXTJOIN(CHAR(10),TRUE,FILTER('SUMMARY DATA'!H:H,'SUMMARY DATA'!$A:$A=$A643,'SUMMARY DATA'!$C:$C=$B643,'SUMMARY DATA'!$B:$B=""RWS"",'SUMMARY DATA'!$H:$H=$D643)),
  IF(
    OR(
      ISNUMBER(SEARCH(""CDM CASH DEPOSIT"",$C643)),
      ISNUMBER(S"&amp;"EARCH(""CASH DEPOSIT"",$C643))
    ),
    """",
    IFERROR(TEXTJOIN(CHAR(10),TRUE,FILTER('SUMMARY DATA'!H:H,'SUMMARY DATA'!$D:$D=$C643,'SUMMARY DATA'!$B:$B=""RWS"",'SUMMARY DATA'!$H:$H=$D643)),"""")
  )
)"),"")</f>
      </c>
      <c r="I643" s="18" t="str">
        <f>IFERROR(__xludf.DUMMYFUNCTION("IF(H643="""","""",
SUM(ARRAYFORMULA(VALUE(SPLIT(H643,CHAR(10)))))
)"),"")</f>
      </c>
      <c r="J643" s="17" t="str">
        <f>IFERROR(__xludf.DUMMYFUNCTION("IFERROR(
  TEXTJOIN(CHAR(10),TRUE,FILTER('SUMMARY DATA'!I:I,'SUMMARY DATA'!$A:$A=$A643,'SUMMARY DATA'!$C:$C=$B643,'SUMMARY DATA'!$B:$B=""RWS"")),
  IF(
    OR(
      ISNUMBER(SEARCH(""CDM CASH DEPOSIT"",$C643)),
      ISNUMBER(SEARCH(""CASH DEPOSIT"",$C64"&amp;"3)),
      COUNTIFS('SUMMARY DATA'!$D:$D,$C643,'SUMMARY DATA'!$B:$B,""RWS"")&lt;&gt;1
    ),
    """",
    IFERROR(TEXTJOIN(CHAR(10),TRUE,FILTER('SUMMARY DATA'!I:I,'SUMMARY DATA'!$D:$D=$C643,'SUMMARY DATA'!$B:$B=""RWS"")),"""")
  )
)"),"")</f>
      </c>
      <c r="K643" s="2"/>
      <c r="L643" s="2"/>
      <c r="M643" s="2"/>
      <c r="N643" s="2"/>
      <c r="O643" s="2"/>
      <c r="P643" s="2"/>
      <c r="Q643" s="2"/>
      <c r="R643" s="2"/>
      <c r="S643" s="2"/>
      <c r="T643" s="2"/>
      <c r="U643" s="2"/>
      <c r="V643" s="2"/>
      <c r="W643" s="2"/>
      <c r="X643" s="2"/>
      <c r="Y643" s="2"/>
      <c r="Z643" s="2"/>
      <c r="AA643" s="2"/>
      <c r="AB643" s="2"/>
    </row>
    <row r="644" spans="1:28" customHeight="true">
      <c r="A644" s="2"/>
      <c r="B644" s="15">
        <v>46041</v>
      </c>
      <c r="C644" s="2" t="s">
        <v>1051</v>
      </c>
      <c r="D644" s="3">
        <v>186</v>
      </c>
      <c r="E644" s="16" t="str">
        <f>IFERROR(__xludf.DUMMYFUNCTION("IFERROR(
  TEXTJOIN(CHAR(10),TRUE,FILTER('SUMMARY DATA'!E:E,'SUMMARY DATA'!$A:$A=$A644,'SUMMARY DATA'!$C:$C=$B644,'SUMMARY DATA'!$B:$B=""RWS"")),
  IF(
    OR(
      ISNUMBER(SEARCH(""CDM CASH DEPOSIT"",$C644)),
      ISNUMBER(SEARCH(""CASH DEPOSIT"",$C64"&amp;"4)),
      COUNTIFS('SUMMARY DATA'!$D:$D,$C644,'SUMMARY DATA'!$B:$B,""RWS"")&lt;&gt;1
    ),
    """",
    IFERROR(TEXTJOIN(CHAR(10),TRUE,FILTER('SUMMARY DATA'!E:E,'SUMMARY DATA'!$D:$D=$C644,'SUMMARY DATA'!$B:$B=""RWS"")),"""")
  )
)"),"")</f>
      </c>
      <c r="F644" s="17" t="str">
        <f>IFERROR(__xludf.DUMMYFUNCTION("IFERROR(
  TEXTJOIN(CHAR(10),TRUE,FILTER('SUMMARY DATA'!F:F,'SUMMARY DATA'!$A:$A=$A644,'SUMMARY DATA'!$C:$C=$B644,'SUMMARY DATA'!$B:$B=""RWS"")),
  IF(
    OR(
      ISNUMBER(SEARCH(""CDM CASH DEPOSIT"",$C644)),
      ISNUMBER(SEARCH(""CASH DEPOSIT"",$C64"&amp;"4)),
      COUNTIFS('SUMMARY DATA'!$D:$D,$C644,'SUMMARY DATA'!$B:$B,""RWS"")&lt;&gt;1
    ),
    """",
    IFERROR(TEXTJOIN(CHAR(10),TRUE,FILTER('SUMMARY DATA'!F:F,'SUMMARY DATA'!$D:$D=$C644,'SUMMARY DATA'!$B:$B=""RWS"")),"""")
  )
)"),"")</f>
      </c>
      <c r="G644" s="17" t="str">
        <f>IFERROR(__xludf.DUMMYFUNCTION("IFERROR(
  TEXTJOIN(CHAR(10),TRUE,FILTER('SUMMARY DATA'!G:G,'SUMMARY DATA'!$A:$A=$A644,'SUMMARY DATA'!$C:$C=$B644,'SUMMARY DATA'!$B:$B=""RWS"")),
  IF(
    OR(
      ISNUMBER(SEARCH(""CDM CASH DEPOSIT"",$C644)),
      ISNUMBER(SEARCH(""CASH DEPOSIT"",$C64"&amp;"4)),
      COUNTIFS('SUMMARY DATA'!$D:$D,$C644,'SUMMARY DATA'!$B:$B,""RWS"")&lt;&gt;1
    ),
    """",
    IFERROR(TEXTJOIN(CHAR(10),TRUE,FILTER('SUMMARY DATA'!G:G,'SUMMARY DATA'!$D:$D=$C644,'SUMMARY DATA'!$B:$B=""RWS"")),"""")
  )
)"),"")</f>
      </c>
      <c r="H644" s="18" t="str">
        <f>IFERROR(__xludf.DUMMYFUNCTION("IFERROR(
  TEXTJOIN(CHAR(10),TRUE,FILTER('SUMMARY DATA'!H:H,'SUMMARY DATA'!$A:$A=$A644,'SUMMARY DATA'!$C:$C=$B644,'SUMMARY DATA'!$B:$B=""RWS"",'SUMMARY DATA'!$H:$H=$D644)),
  IF(
    OR(
      ISNUMBER(SEARCH(""CDM CASH DEPOSIT"",$C644)),
      ISNUMBER(S"&amp;"EARCH(""CASH DEPOSIT"",$C644))
    ),
    """",
    IFERROR(TEXTJOIN(CHAR(10),TRUE,FILTER('SUMMARY DATA'!H:H,'SUMMARY DATA'!$D:$D=$C644,'SUMMARY DATA'!$B:$B=""RWS"",'SUMMARY DATA'!$H:$H=$D644)),"""")
  )
)"),"")</f>
      </c>
      <c r="I644" s="18" t="str">
        <f>IFERROR(__xludf.DUMMYFUNCTION("IF(H644="""","""",
SUM(ARRAYFORMULA(VALUE(SPLIT(H644,CHAR(10)))))
)"),"")</f>
      </c>
      <c r="J644" s="17" t="str">
        <f>IFERROR(__xludf.DUMMYFUNCTION("IFERROR(
  TEXTJOIN(CHAR(10),TRUE,FILTER('SUMMARY DATA'!I:I,'SUMMARY DATA'!$A:$A=$A644,'SUMMARY DATA'!$C:$C=$B644,'SUMMARY DATA'!$B:$B=""RWS"")),
  IF(
    OR(
      ISNUMBER(SEARCH(""CDM CASH DEPOSIT"",$C644)),
      ISNUMBER(SEARCH(""CASH DEPOSIT"",$C64"&amp;"4)),
      COUNTIFS('SUMMARY DATA'!$D:$D,$C644,'SUMMARY DATA'!$B:$B,""RWS"")&lt;&gt;1
    ),
    """",
    IFERROR(TEXTJOIN(CHAR(10),TRUE,FILTER('SUMMARY DATA'!I:I,'SUMMARY DATA'!$D:$D=$C644,'SUMMARY DATA'!$B:$B=""RWS"")),"""")
  )
)"),"")</f>
      </c>
      <c r="K644" s="2"/>
      <c r="L644" s="2"/>
      <c r="M644" s="2"/>
      <c r="N644" s="2"/>
      <c r="O644" s="2"/>
      <c r="P644" s="2"/>
      <c r="Q644" s="2"/>
      <c r="R644" s="2"/>
      <c r="S644" s="2"/>
      <c r="T644" s="2"/>
      <c r="U644" s="2"/>
      <c r="V644" s="2"/>
      <c r="W644" s="2"/>
      <c r="X644" s="2"/>
      <c r="Y644" s="2"/>
      <c r="Z644" s="2"/>
      <c r="AA644" s="2"/>
      <c r="AB644" s="2"/>
    </row>
    <row r="645" spans="1:28" customHeight="true">
      <c r="A645" s="2"/>
      <c r="B645" s="15">
        <v>46041</v>
      </c>
      <c r="C645" s="2" t="s">
        <v>1052</v>
      </c>
      <c r="D645" s="3">
        <v>15.87</v>
      </c>
      <c r="E645" s="16" t="str">
        <f>IFERROR(__xludf.DUMMYFUNCTION("IFERROR(
  TEXTJOIN(CHAR(10),TRUE,FILTER('SUMMARY DATA'!E:E,'SUMMARY DATA'!$A:$A=$A645,'SUMMARY DATA'!$C:$C=$B645,'SUMMARY DATA'!$B:$B=""RWS"")),
  IF(
    OR(
      ISNUMBER(SEARCH(""CDM CASH DEPOSIT"",$C645)),
      ISNUMBER(SEARCH(""CASH DEPOSIT"",$C64"&amp;"5)),
      COUNTIFS('SUMMARY DATA'!$D:$D,$C645,'SUMMARY DATA'!$B:$B,""RWS"")&lt;&gt;1
    ),
    """",
    IFERROR(TEXTJOIN(CHAR(10),TRUE,FILTER('SUMMARY DATA'!E:E,'SUMMARY DATA'!$D:$D=$C645,'SUMMARY DATA'!$B:$B=""RWS"")),"""")
  )
)"),"")</f>
      </c>
      <c r="F645" s="17" t="str">
        <f>IFERROR(__xludf.DUMMYFUNCTION("IFERROR(
  TEXTJOIN(CHAR(10),TRUE,FILTER('SUMMARY DATA'!F:F,'SUMMARY DATA'!$A:$A=$A645,'SUMMARY DATA'!$C:$C=$B645,'SUMMARY DATA'!$B:$B=""RWS"")),
  IF(
    OR(
      ISNUMBER(SEARCH(""CDM CASH DEPOSIT"",$C645)),
      ISNUMBER(SEARCH(""CASH DEPOSIT"",$C64"&amp;"5)),
      COUNTIFS('SUMMARY DATA'!$D:$D,$C645,'SUMMARY DATA'!$B:$B,""RWS"")&lt;&gt;1
    ),
    """",
    IFERROR(TEXTJOIN(CHAR(10),TRUE,FILTER('SUMMARY DATA'!F:F,'SUMMARY DATA'!$D:$D=$C645,'SUMMARY DATA'!$B:$B=""RWS"")),"""")
  )
)"),"")</f>
      </c>
      <c r="G645" s="17" t="str">
        <f>IFERROR(__xludf.DUMMYFUNCTION("IFERROR(
  TEXTJOIN(CHAR(10),TRUE,FILTER('SUMMARY DATA'!G:G,'SUMMARY DATA'!$A:$A=$A645,'SUMMARY DATA'!$C:$C=$B645,'SUMMARY DATA'!$B:$B=""RWS"")),
  IF(
    OR(
      ISNUMBER(SEARCH(""CDM CASH DEPOSIT"",$C645)),
      ISNUMBER(SEARCH(""CASH DEPOSIT"",$C64"&amp;"5)),
      COUNTIFS('SUMMARY DATA'!$D:$D,$C645,'SUMMARY DATA'!$B:$B,""RWS"")&lt;&gt;1
    ),
    """",
    IFERROR(TEXTJOIN(CHAR(10),TRUE,FILTER('SUMMARY DATA'!G:G,'SUMMARY DATA'!$D:$D=$C645,'SUMMARY DATA'!$B:$B=""RWS"")),"""")
  )
)"),"")</f>
      </c>
      <c r="H645" s="18" t="str">
        <f>IFERROR(__xludf.DUMMYFUNCTION("IFERROR(
  TEXTJOIN(CHAR(10),TRUE,FILTER('SUMMARY DATA'!H:H,'SUMMARY DATA'!$A:$A=$A645,'SUMMARY DATA'!$C:$C=$B645,'SUMMARY DATA'!$B:$B=""RWS"",'SUMMARY DATA'!$H:$H=$D645)),
  IF(
    OR(
      ISNUMBER(SEARCH(""CDM CASH DEPOSIT"",$C645)),
      ISNUMBER(S"&amp;"EARCH(""CASH DEPOSIT"",$C645))
    ),
    """",
    IFERROR(TEXTJOIN(CHAR(10),TRUE,FILTER('SUMMARY DATA'!H:H,'SUMMARY DATA'!$D:$D=$C645,'SUMMARY DATA'!$B:$B=""RWS"",'SUMMARY DATA'!$H:$H=$D645)),"""")
  )
)"),"")</f>
      </c>
      <c r="I645" s="18" t="str">
        <f>IFERROR(__xludf.DUMMYFUNCTION("IF(H645="""","""",
SUM(ARRAYFORMULA(VALUE(SPLIT(H645,CHAR(10)))))
)"),"")</f>
      </c>
      <c r="J645" s="17" t="str">
        <f>IFERROR(__xludf.DUMMYFUNCTION("IFERROR(
  TEXTJOIN(CHAR(10),TRUE,FILTER('SUMMARY DATA'!I:I,'SUMMARY DATA'!$A:$A=$A645,'SUMMARY DATA'!$C:$C=$B645,'SUMMARY DATA'!$B:$B=""RWS"")),
  IF(
    OR(
      ISNUMBER(SEARCH(""CDM CASH DEPOSIT"",$C645)),
      ISNUMBER(SEARCH(""CASH DEPOSIT"",$C64"&amp;"5)),
      COUNTIFS('SUMMARY DATA'!$D:$D,$C645,'SUMMARY DATA'!$B:$B,""RWS"")&lt;&gt;1
    ),
    """",
    IFERROR(TEXTJOIN(CHAR(10),TRUE,FILTER('SUMMARY DATA'!I:I,'SUMMARY DATA'!$D:$D=$C645,'SUMMARY DATA'!$B:$B=""RWS"")),"""")
  )
)"),"")</f>
      </c>
      <c r="K645" s="2"/>
      <c r="L645" s="2"/>
      <c r="M645" s="2"/>
      <c r="N645" s="2"/>
      <c r="O645" s="2"/>
      <c r="P645" s="2"/>
      <c r="Q645" s="2"/>
      <c r="R645" s="2"/>
      <c r="S645" s="2"/>
      <c r="T645" s="2"/>
      <c r="U645" s="2"/>
      <c r="V645" s="2"/>
      <c r="W645" s="2"/>
      <c r="X645" s="2"/>
      <c r="Y645" s="2"/>
      <c r="Z645" s="2"/>
      <c r="AA645" s="2"/>
      <c r="AB645" s="2"/>
    </row>
    <row r="646" spans="1:28" customHeight="true">
      <c r="A646" s="2"/>
      <c r="B646" s="15">
        <v>46041</v>
      </c>
      <c r="C646" s="2" t="s">
        <v>1053</v>
      </c>
      <c r="D646" s="3">
        <v>87.94</v>
      </c>
      <c r="E646" s="16" t="str">
        <f>IFERROR(__xludf.DUMMYFUNCTION("IFERROR(
  TEXTJOIN(CHAR(10),TRUE,FILTER('SUMMARY DATA'!E:E,'SUMMARY DATA'!$A:$A=$A646,'SUMMARY DATA'!$C:$C=$B646,'SUMMARY DATA'!$B:$B=""RWS"")),
  IF(
    OR(
      ISNUMBER(SEARCH(""CDM CASH DEPOSIT"",$C646)),
      ISNUMBER(SEARCH(""CASH DEPOSIT"",$C64"&amp;"6)),
      COUNTIFS('SUMMARY DATA'!$D:$D,$C646,'SUMMARY DATA'!$B:$B,""RWS"")&lt;&gt;1
    ),
    """",
    IFERROR(TEXTJOIN(CHAR(10),TRUE,FILTER('SUMMARY DATA'!E:E,'SUMMARY DATA'!$D:$D=$C646,'SUMMARY DATA'!$B:$B=""RWS"")),"""")
  )
)"),"")</f>
      </c>
      <c r="F646" s="17" t="str">
        <f>IFERROR(__xludf.DUMMYFUNCTION("IFERROR(
  TEXTJOIN(CHAR(10),TRUE,FILTER('SUMMARY DATA'!F:F,'SUMMARY DATA'!$A:$A=$A646,'SUMMARY DATA'!$C:$C=$B646,'SUMMARY DATA'!$B:$B=""RWS"")),
  IF(
    OR(
      ISNUMBER(SEARCH(""CDM CASH DEPOSIT"",$C646)),
      ISNUMBER(SEARCH(""CASH DEPOSIT"",$C64"&amp;"6)),
      COUNTIFS('SUMMARY DATA'!$D:$D,$C646,'SUMMARY DATA'!$B:$B,""RWS"")&lt;&gt;1
    ),
    """",
    IFERROR(TEXTJOIN(CHAR(10),TRUE,FILTER('SUMMARY DATA'!F:F,'SUMMARY DATA'!$D:$D=$C646,'SUMMARY DATA'!$B:$B=""RWS"")),"""")
  )
)"),"")</f>
      </c>
      <c r="G646" s="17" t="str">
        <f>IFERROR(__xludf.DUMMYFUNCTION("IFERROR(
  TEXTJOIN(CHAR(10),TRUE,FILTER('SUMMARY DATA'!G:G,'SUMMARY DATA'!$A:$A=$A646,'SUMMARY DATA'!$C:$C=$B646,'SUMMARY DATA'!$B:$B=""RWS"")),
  IF(
    OR(
      ISNUMBER(SEARCH(""CDM CASH DEPOSIT"",$C646)),
      ISNUMBER(SEARCH(""CASH DEPOSIT"",$C64"&amp;"6)),
      COUNTIFS('SUMMARY DATA'!$D:$D,$C646,'SUMMARY DATA'!$B:$B,""RWS"")&lt;&gt;1
    ),
    """",
    IFERROR(TEXTJOIN(CHAR(10),TRUE,FILTER('SUMMARY DATA'!G:G,'SUMMARY DATA'!$D:$D=$C646,'SUMMARY DATA'!$B:$B=""RWS"")),"""")
  )
)"),"")</f>
      </c>
      <c r="H646" s="18" t="str">
        <f>IFERROR(__xludf.DUMMYFUNCTION("IFERROR(
  TEXTJOIN(CHAR(10),TRUE,FILTER('SUMMARY DATA'!H:H,'SUMMARY DATA'!$A:$A=$A646,'SUMMARY DATA'!$C:$C=$B646,'SUMMARY DATA'!$B:$B=""RWS"",'SUMMARY DATA'!$H:$H=$D646)),
  IF(
    OR(
      ISNUMBER(SEARCH(""CDM CASH DEPOSIT"",$C646)),
      ISNUMBER(S"&amp;"EARCH(""CASH DEPOSIT"",$C646))
    ),
    """",
    IFERROR(TEXTJOIN(CHAR(10),TRUE,FILTER('SUMMARY DATA'!H:H,'SUMMARY DATA'!$D:$D=$C646,'SUMMARY DATA'!$B:$B=""RWS"",'SUMMARY DATA'!$H:$H=$D646)),"""")
  )
)"),"")</f>
      </c>
      <c r="I646" s="18" t="str">
        <f>IFERROR(__xludf.DUMMYFUNCTION("IF(H646="""","""",
SUM(ARRAYFORMULA(VALUE(SPLIT(H646,CHAR(10)))))
)"),"")</f>
      </c>
      <c r="J646" s="17" t="str">
        <f>IFERROR(__xludf.DUMMYFUNCTION("IFERROR(
  TEXTJOIN(CHAR(10),TRUE,FILTER('SUMMARY DATA'!I:I,'SUMMARY DATA'!$A:$A=$A646,'SUMMARY DATA'!$C:$C=$B646,'SUMMARY DATA'!$B:$B=""RWS"")),
  IF(
    OR(
      ISNUMBER(SEARCH(""CDM CASH DEPOSIT"",$C646)),
      ISNUMBER(SEARCH(""CASH DEPOSIT"",$C64"&amp;"6)),
      COUNTIFS('SUMMARY DATA'!$D:$D,$C646,'SUMMARY DATA'!$B:$B,""RWS"")&lt;&gt;1
    ),
    """",
    IFERROR(TEXTJOIN(CHAR(10),TRUE,FILTER('SUMMARY DATA'!I:I,'SUMMARY DATA'!$D:$D=$C646,'SUMMARY DATA'!$B:$B=""RWS"")),"""")
  )
)"),"")</f>
      </c>
      <c r="K646" s="2"/>
      <c r="L646" s="2"/>
      <c r="M646" s="2"/>
      <c r="N646" s="2"/>
      <c r="O646" s="2"/>
      <c r="P646" s="2"/>
      <c r="Q646" s="2"/>
      <c r="R646" s="2"/>
      <c r="S646" s="2"/>
      <c r="T646" s="2"/>
      <c r="U646" s="2"/>
      <c r="V646" s="2"/>
      <c r="W646" s="2"/>
      <c r="X646" s="2"/>
      <c r="Y646" s="2"/>
      <c r="Z646" s="2"/>
      <c r="AA646" s="2"/>
      <c r="AB646" s="2"/>
    </row>
    <row r="647" spans="1:28" customHeight="true">
      <c r="A647" s="2"/>
      <c r="B647" s="15">
        <v>46041</v>
      </c>
      <c r="C647" s="2" t="s">
        <v>1054</v>
      </c>
      <c r="D647" s="3">
        <v>397</v>
      </c>
      <c r="E647" s="16" t="str">
        <f>IFERROR(__xludf.DUMMYFUNCTION("IFERROR(
  TEXTJOIN(CHAR(10),TRUE,FILTER('SUMMARY DATA'!E:E,'SUMMARY DATA'!$A:$A=$A647,'SUMMARY DATA'!$C:$C=$B647,'SUMMARY DATA'!$B:$B=""RWS"")),
  IF(
    OR(
      ISNUMBER(SEARCH(""CDM CASH DEPOSIT"",$C647)),
      ISNUMBER(SEARCH(""CASH DEPOSIT"",$C64"&amp;"7)),
      COUNTIFS('SUMMARY DATA'!$D:$D,$C647,'SUMMARY DATA'!$B:$B,""RWS"")&lt;&gt;1
    ),
    """",
    IFERROR(TEXTJOIN(CHAR(10),TRUE,FILTER('SUMMARY DATA'!E:E,'SUMMARY DATA'!$D:$D=$C647,'SUMMARY DATA'!$B:$B=""RWS"")),"""")
  )
)"),"")</f>
      </c>
      <c r="F647" s="17" t="str">
        <f>IFERROR(__xludf.DUMMYFUNCTION("IFERROR(
  TEXTJOIN(CHAR(10),TRUE,FILTER('SUMMARY DATA'!F:F,'SUMMARY DATA'!$A:$A=$A647,'SUMMARY DATA'!$C:$C=$B647,'SUMMARY DATA'!$B:$B=""RWS"")),
  IF(
    OR(
      ISNUMBER(SEARCH(""CDM CASH DEPOSIT"",$C647)),
      ISNUMBER(SEARCH(""CASH DEPOSIT"",$C64"&amp;"7)),
      COUNTIFS('SUMMARY DATA'!$D:$D,$C647,'SUMMARY DATA'!$B:$B,""RWS"")&lt;&gt;1
    ),
    """",
    IFERROR(TEXTJOIN(CHAR(10),TRUE,FILTER('SUMMARY DATA'!F:F,'SUMMARY DATA'!$D:$D=$C647,'SUMMARY DATA'!$B:$B=""RWS"")),"""")
  )
)"),"")</f>
      </c>
      <c r="G647" s="17" t="str">
        <f>IFERROR(__xludf.DUMMYFUNCTION("IFERROR(
  TEXTJOIN(CHAR(10),TRUE,FILTER('SUMMARY DATA'!G:G,'SUMMARY DATA'!$A:$A=$A647,'SUMMARY DATA'!$C:$C=$B647,'SUMMARY DATA'!$B:$B=""RWS"")),
  IF(
    OR(
      ISNUMBER(SEARCH(""CDM CASH DEPOSIT"",$C647)),
      ISNUMBER(SEARCH(""CASH DEPOSIT"",$C64"&amp;"7)),
      COUNTIFS('SUMMARY DATA'!$D:$D,$C647,'SUMMARY DATA'!$B:$B,""RWS"")&lt;&gt;1
    ),
    """",
    IFERROR(TEXTJOIN(CHAR(10),TRUE,FILTER('SUMMARY DATA'!G:G,'SUMMARY DATA'!$D:$D=$C647,'SUMMARY DATA'!$B:$B=""RWS"")),"""")
  )
)"),"")</f>
      </c>
      <c r="H647" s="18" t="str">
        <f>IFERROR(__xludf.DUMMYFUNCTION("IFERROR(
  TEXTJOIN(CHAR(10),TRUE,FILTER('SUMMARY DATA'!H:H,'SUMMARY DATA'!$A:$A=$A647,'SUMMARY DATA'!$C:$C=$B647,'SUMMARY DATA'!$B:$B=""RWS"",'SUMMARY DATA'!$H:$H=$D647)),
  IF(
    OR(
      ISNUMBER(SEARCH(""CDM CASH DEPOSIT"",$C647)),
      ISNUMBER(S"&amp;"EARCH(""CASH DEPOSIT"",$C647))
    ),
    """",
    IFERROR(TEXTJOIN(CHAR(10),TRUE,FILTER('SUMMARY DATA'!H:H,'SUMMARY DATA'!$D:$D=$C647,'SUMMARY DATA'!$B:$B=""RWS"",'SUMMARY DATA'!$H:$H=$D647)),"""")
  )
)"),"")</f>
      </c>
      <c r="I647" s="18" t="str">
        <f>IFERROR(__xludf.DUMMYFUNCTION("IF(H647="""","""",
SUM(ARRAYFORMULA(VALUE(SPLIT(H647,CHAR(10)))))
)"),"")</f>
      </c>
      <c r="J647" s="17" t="str">
        <f>IFERROR(__xludf.DUMMYFUNCTION("IFERROR(
  TEXTJOIN(CHAR(10),TRUE,FILTER('SUMMARY DATA'!I:I,'SUMMARY DATA'!$A:$A=$A647,'SUMMARY DATA'!$C:$C=$B647,'SUMMARY DATA'!$B:$B=""RWS"")),
  IF(
    OR(
      ISNUMBER(SEARCH(""CDM CASH DEPOSIT"",$C647)),
      ISNUMBER(SEARCH(""CASH DEPOSIT"",$C64"&amp;"7)),
      COUNTIFS('SUMMARY DATA'!$D:$D,$C647,'SUMMARY DATA'!$B:$B,""RWS"")&lt;&gt;1
    ),
    """",
    IFERROR(TEXTJOIN(CHAR(10),TRUE,FILTER('SUMMARY DATA'!I:I,'SUMMARY DATA'!$D:$D=$C647,'SUMMARY DATA'!$B:$B=""RWS"")),"""")
  )
)"),"")</f>
      </c>
      <c r="K647" s="2"/>
      <c r="L647" s="2"/>
      <c r="M647" s="2"/>
      <c r="N647" s="2"/>
      <c r="O647" s="2"/>
      <c r="P647" s="2"/>
      <c r="Q647" s="2"/>
      <c r="R647" s="2"/>
      <c r="S647" s="2"/>
      <c r="T647" s="2"/>
      <c r="U647" s="2"/>
      <c r="V647" s="2"/>
      <c r="W647" s="2"/>
      <c r="X647" s="2"/>
      <c r="Y647" s="2"/>
      <c r="Z647" s="2"/>
      <c r="AA647" s="2"/>
      <c r="AB647" s="2"/>
    </row>
    <row r="648" spans="1:28" customHeight="true">
      <c r="A648" s="2" t="s">
        <v>1049</v>
      </c>
      <c r="B648" s="15">
        <v>46041</v>
      </c>
      <c r="C648" s="2" t="s">
        <v>1050</v>
      </c>
      <c r="D648" s="3">
        <v>140</v>
      </c>
      <c r="E648" s="16" t="str">
        <f>IFERROR(__xludf.DUMMYFUNCTION("IFERROR(
  TEXTJOIN(CHAR(10),TRUE,FILTER('SUMMARY DATA'!E:E,'SUMMARY DATA'!$A:$A=$A648,'SUMMARY DATA'!$C:$C=$B648,'SUMMARY DATA'!$B:$B=""RWS"")),
  IF(
    OR(
      ISNUMBER(SEARCH(""CDM CASH DEPOSIT"",$C648)),
      ISNUMBER(SEARCH(""CASH DEPOSIT"",$C64"&amp;"8)),
      COUNTIFS('SUMMARY DATA'!$D:$D,$C648,'SUMMARY DATA'!$B:$B,""RWS"")&lt;&gt;1
    ),
    """",
    IFERROR(TEXTJOIN(CHAR(10),TRUE,FILTER('SUMMARY DATA'!E:E,'SUMMARY DATA'!$D:$D=$C648,'SUMMARY DATA'!$B:$B=""RWS"")),"""")
  )
)"),"")</f>
      </c>
      <c r="F648" s="17" t="str">
        <f>IFERROR(__xludf.DUMMYFUNCTION("IFERROR(
  TEXTJOIN(CHAR(10),TRUE,FILTER('SUMMARY DATA'!F:F,'SUMMARY DATA'!$A:$A=$A648,'SUMMARY DATA'!$C:$C=$B648,'SUMMARY DATA'!$B:$B=""RWS"")),
  IF(
    OR(
      ISNUMBER(SEARCH(""CDM CASH DEPOSIT"",$C648)),
      ISNUMBER(SEARCH(""CASH DEPOSIT"",$C64"&amp;"8)),
      COUNTIFS('SUMMARY DATA'!$D:$D,$C648,'SUMMARY DATA'!$B:$B,""RWS"")&lt;&gt;1
    ),
    """",
    IFERROR(TEXTJOIN(CHAR(10),TRUE,FILTER('SUMMARY DATA'!F:F,'SUMMARY DATA'!$D:$D=$C648,'SUMMARY DATA'!$B:$B=""RWS"")),"""")
  )
)"),"")</f>
      </c>
      <c r="G648" s="17" t="str">
        <f>IFERROR(__xludf.DUMMYFUNCTION("IFERROR(
  TEXTJOIN(CHAR(10),TRUE,FILTER('SUMMARY DATA'!G:G,'SUMMARY DATA'!$A:$A=$A648,'SUMMARY DATA'!$C:$C=$B648,'SUMMARY DATA'!$B:$B=""RWS"")),
  IF(
    OR(
      ISNUMBER(SEARCH(""CDM CASH DEPOSIT"",$C648)),
      ISNUMBER(SEARCH(""CASH DEPOSIT"",$C64"&amp;"8)),
      COUNTIFS('SUMMARY DATA'!$D:$D,$C648,'SUMMARY DATA'!$B:$B,""RWS"")&lt;&gt;1
    ),
    """",
    IFERROR(TEXTJOIN(CHAR(10),TRUE,FILTER('SUMMARY DATA'!G:G,'SUMMARY DATA'!$D:$D=$C648,'SUMMARY DATA'!$B:$B=""RWS"")),"""")
  )
)"),"")</f>
      </c>
      <c r="H648" s="18" t="str">
        <f>IFERROR(__xludf.DUMMYFUNCTION("IFERROR(
  TEXTJOIN(CHAR(10),TRUE,FILTER('SUMMARY DATA'!H:H,'SUMMARY DATA'!$A:$A=$A648,'SUMMARY DATA'!$C:$C=$B648,'SUMMARY DATA'!$B:$B=""RWS"",'SUMMARY DATA'!$H:$H=$D648)),
  IF(
    OR(
      ISNUMBER(SEARCH(""CDM CASH DEPOSIT"",$C648)),
      ISNUMBER(S"&amp;"EARCH(""CASH DEPOSIT"",$C648))
    ),
    """",
    IFERROR(TEXTJOIN(CHAR(10),TRUE,FILTER('SUMMARY DATA'!H:H,'SUMMARY DATA'!$D:$D=$C648,'SUMMARY DATA'!$B:$B=""RWS"",'SUMMARY DATA'!$H:$H=$D648)),"""")
  )
)"),"")</f>
      </c>
      <c r="I648" s="18" t="str">
        <f>IFERROR(__xludf.DUMMYFUNCTION("IF(H648="""","""",
SUM(ARRAYFORMULA(VALUE(SPLIT(H648,CHAR(10)))))
)"),"")</f>
      </c>
      <c r="J648" s="17" t="str">
        <f>IFERROR(__xludf.DUMMYFUNCTION("IFERROR(
  TEXTJOIN(CHAR(10),TRUE,FILTER('SUMMARY DATA'!I:I,'SUMMARY DATA'!$A:$A=$A648,'SUMMARY DATA'!$C:$C=$B648,'SUMMARY DATA'!$B:$B=""RWS"")),
  IF(
    OR(
      ISNUMBER(SEARCH(""CDM CASH DEPOSIT"",$C648)),
      ISNUMBER(SEARCH(""CASH DEPOSIT"",$C64"&amp;"8)),
      COUNTIFS('SUMMARY DATA'!$D:$D,$C648,'SUMMARY DATA'!$B:$B,""RWS"")&lt;&gt;1
    ),
    """",
    IFERROR(TEXTJOIN(CHAR(10),TRUE,FILTER('SUMMARY DATA'!I:I,'SUMMARY DATA'!$D:$D=$C648,'SUMMARY DATA'!$B:$B=""RWS"")),"""")
  )
)"),"")</f>
      </c>
      <c r="K648" s="2"/>
      <c r="L648" s="2"/>
      <c r="M648" s="2"/>
      <c r="N648" s="2"/>
      <c r="O648" s="2"/>
      <c r="P648" s="2"/>
      <c r="Q648" s="2"/>
      <c r="R648" s="2"/>
      <c r="S648" s="2"/>
      <c r="T648" s="2"/>
      <c r="U648" s="2"/>
      <c r="V648" s="2"/>
      <c r="W648" s="2"/>
      <c r="X648" s="2"/>
      <c r="Y648" s="2"/>
      <c r="Z648" s="2"/>
      <c r="AA648" s="2"/>
      <c r="AB648" s="2"/>
    </row>
    <row r="649" spans="1:28" customHeight="true">
      <c r="A649" s="2" t="s">
        <v>1055</v>
      </c>
      <c r="B649" s="15">
        <v>46041</v>
      </c>
      <c r="C649" s="2" t="s">
        <v>1056</v>
      </c>
      <c r="D649" s="3">
        <v>416.4</v>
      </c>
      <c r="E649" s="16" t="s">
        <v>2624</v>
      </c>
      <c r="F649" s="17" t="s">
        <v>2625</v>
      </c>
      <c r="G649" s="17" t="s">
        <v>2393</v>
      </c>
      <c r="H649" s="18">
        <v>416.4</v>
      </c>
      <c r="I649" s="18">
        <v>416.4</v>
      </c>
      <c r="J649" s="17" t="s">
        <v>2394</v>
      </c>
      <c r="K649" s="2" t="s">
        <v>2395</v>
      </c>
      <c r="L649" s="2"/>
      <c r="M649" s="2"/>
      <c r="N649" s="2"/>
      <c r="O649" s="2"/>
      <c r="P649" s="2"/>
      <c r="Q649" s="2"/>
      <c r="R649" s="2"/>
      <c r="S649" s="2"/>
      <c r="T649" s="2"/>
      <c r="U649" s="2"/>
      <c r="V649" s="2"/>
      <c r="W649" s="2"/>
      <c r="X649" s="2"/>
      <c r="Y649" s="2"/>
      <c r="Z649" s="2"/>
      <c r="AA649" s="2"/>
      <c r="AB649" s="2"/>
    </row>
    <row r="650" spans="1:28" customHeight="true">
      <c r="A650" s="2" t="s">
        <v>1057</v>
      </c>
      <c r="B650" s="15">
        <v>46041</v>
      </c>
      <c r="C650" s="2" t="s">
        <v>1058</v>
      </c>
      <c r="D650" s="3">
        <v>299</v>
      </c>
      <c r="E650" s="16" t="str">
        <f>IFERROR(__xludf.DUMMYFUNCTION("IFERROR(
  TEXTJOIN(CHAR(10),TRUE,FILTER('SUMMARY DATA'!E:E,'SUMMARY DATA'!$A:$A=$A650,'SUMMARY DATA'!$C:$C=$B650,'SUMMARY DATA'!$B:$B=""RWS"")),
  IF(
    OR(
      ISNUMBER(SEARCH(""CDM CASH DEPOSIT"",$C650)),
      ISNUMBER(SEARCH(""CASH DEPOSIT"",$C65"&amp;"0)),
      COUNTIFS('SUMMARY DATA'!$D:$D,$C650,'SUMMARY DATA'!$B:$B,""RWS"")&lt;&gt;1
    ),
    """",
    IFERROR(TEXTJOIN(CHAR(10),TRUE,FILTER('SUMMARY DATA'!E:E,'SUMMARY DATA'!$D:$D=$C650,'SUMMARY DATA'!$B:$B=""RWS"")),"""")
  )
)"),"")</f>
      </c>
      <c r="F650" s="17" t="str">
        <f>IFERROR(__xludf.DUMMYFUNCTION("IFERROR(
  TEXTJOIN(CHAR(10),TRUE,FILTER('SUMMARY DATA'!F:F,'SUMMARY DATA'!$A:$A=$A650,'SUMMARY DATA'!$C:$C=$B650,'SUMMARY DATA'!$B:$B=""RWS"")),
  IF(
    OR(
      ISNUMBER(SEARCH(""CDM CASH DEPOSIT"",$C650)),
      ISNUMBER(SEARCH(""CASH DEPOSIT"",$C65"&amp;"0)),
      COUNTIFS('SUMMARY DATA'!$D:$D,$C650,'SUMMARY DATA'!$B:$B,""RWS"")&lt;&gt;1
    ),
    """",
    IFERROR(TEXTJOIN(CHAR(10),TRUE,FILTER('SUMMARY DATA'!F:F,'SUMMARY DATA'!$D:$D=$C650,'SUMMARY DATA'!$B:$B=""RWS"")),"""")
  )
)"),"")</f>
      </c>
      <c r="G650" s="17" t="str">
        <f>IFERROR(__xludf.DUMMYFUNCTION("IFERROR(
  TEXTJOIN(CHAR(10),TRUE,FILTER('SUMMARY DATA'!G:G,'SUMMARY DATA'!$A:$A=$A650,'SUMMARY DATA'!$C:$C=$B650,'SUMMARY DATA'!$B:$B=""RWS"")),
  IF(
    OR(
      ISNUMBER(SEARCH(""CDM CASH DEPOSIT"",$C650)),
      ISNUMBER(SEARCH(""CASH DEPOSIT"",$C65"&amp;"0)),
      COUNTIFS('SUMMARY DATA'!$D:$D,$C650,'SUMMARY DATA'!$B:$B,""RWS"")&lt;&gt;1
    ),
    """",
    IFERROR(TEXTJOIN(CHAR(10),TRUE,FILTER('SUMMARY DATA'!G:G,'SUMMARY DATA'!$D:$D=$C650,'SUMMARY DATA'!$B:$B=""RWS"")),"""")
  )
)"),"")</f>
      </c>
      <c r="H650" s="18" t="str">
        <f>IFERROR(__xludf.DUMMYFUNCTION("IFERROR(
  TEXTJOIN(CHAR(10),TRUE,FILTER('SUMMARY DATA'!H:H,'SUMMARY DATA'!$A:$A=$A650,'SUMMARY DATA'!$C:$C=$B650,'SUMMARY DATA'!$B:$B=""RWS"",'SUMMARY DATA'!$H:$H=$D650)),
  IF(
    OR(
      ISNUMBER(SEARCH(""CDM CASH DEPOSIT"",$C650)),
      ISNUMBER(S"&amp;"EARCH(""CASH DEPOSIT"",$C650))
    ),
    """",
    IFERROR(TEXTJOIN(CHAR(10),TRUE,FILTER('SUMMARY DATA'!H:H,'SUMMARY DATA'!$D:$D=$C650,'SUMMARY DATA'!$B:$B=""RWS"",'SUMMARY DATA'!$H:$H=$D650)),"""")
  )
)"),"")</f>
      </c>
      <c r="I650" s="18" t="str">
        <f>IFERROR(__xludf.DUMMYFUNCTION("IF(H650="""","""",
SUM(ARRAYFORMULA(VALUE(SPLIT(H650,CHAR(10)))))
)"),"")</f>
      </c>
      <c r="J650" s="17" t="str">
        <f>IFERROR(__xludf.DUMMYFUNCTION("IFERROR(
  TEXTJOIN(CHAR(10),TRUE,FILTER('SUMMARY DATA'!I:I,'SUMMARY DATA'!$A:$A=$A650,'SUMMARY DATA'!$C:$C=$B650,'SUMMARY DATA'!$B:$B=""RWS"")),
  IF(
    OR(
      ISNUMBER(SEARCH(""CDM CASH DEPOSIT"",$C650)),
      ISNUMBER(SEARCH(""CASH DEPOSIT"",$C65"&amp;"0)),
      COUNTIFS('SUMMARY DATA'!$D:$D,$C650,'SUMMARY DATA'!$B:$B,""RWS"")&lt;&gt;1
    ),
    """",
    IFERROR(TEXTJOIN(CHAR(10),TRUE,FILTER('SUMMARY DATA'!I:I,'SUMMARY DATA'!$D:$D=$C650,'SUMMARY DATA'!$B:$B=""RWS"")),"""")
  )
)"),"")</f>
      </c>
      <c r="K650" s="2"/>
      <c r="L650" s="2"/>
      <c r="M650" s="2"/>
      <c r="N650" s="2"/>
      <c r="O650" s="2"/>
      <c r="P650" s="2"/>
      <c r="Q650" s="2"/>
      <c r="R650" s="2"/>
      <c r="S650" s="2"/>
      <c r="T650" s="2"/>
      <c r="U650" s="2"/>
      <c r="V650" s="2"/>
      <c r="W650" s="2"/>
      <c r="X650" s="2"/>
      <c r="Y650" s="2"/>
      <c r="Z650" s="2"/>
      <c r="AA650" s="2"/>
      <c r="AB650" s="2"/>
    </row>
    <row r="651" spans="1:28" customHeight="true">
      <c r="A651" s="2"/>
      <c r="B651" s="15">
        <v>46041</v>
      </c>
      <c r="C651" s="2" t="s">
        <v>1059</v>
      </c>
      <c r="D651" s="3">
        <v>137.52</v>
      </c>
      <c r="E651" s="16" t="str">
        <f>IFERROR(__xludf.DUMMYFUNCTION("IFERROR(
  TEXTJOIN(CHAR(10),TRUE,FILTER('SUMMARY DATA'!E:E,'SUMMARY DATA'!$A:$A=$A651,'SUMMARY DATA'!$C:$C=$B651,'SUMMARY DATA'!$B:$B=""RWS"")),
  IF(
    OR(
      ISNUMBER(SEARCH(""CDM CASH DEPOSIT"",$C651)),
      ISNUMBER(SEARCH(""CASH DEPOSIT"",$C65"&amp;"1)),
      COUNTIFS('SUMMARY DATA'!$D:$D,$C651,'SUMMARY DATA'!$B:$B,""RWS"")&lt;&gt;1
    ),
    """",
    IFERROR(TEXTJOIN(CHAR(10),TRUE,FILTER('SUMMARY DATA'!E:E,'SUMMARY DATA'!$D:$D=$C651,'SUMMARY DATA'!$B:$B=""RWS"")),"""")
  )
)"),"")</f>
      </c>
      <c r="F651" s="17" t="str">
        <f>IFERROR(__xludf.DUMMYFUNCTION("IFERROR(
  TEXTJOIN(CHAR(10),TRUE,FILTER('SUMMARY DATA'!F:F,'SUMMARY DATA'!$A:$A=$A651,'SUMMARY DATA'!$C:$C=$B651,'SUMMARY DATA'!$B:$B=""RWS"")),
  IF(
    OR(
      ISNUMBER(SEARCH(""CDM CASH DEPOSIT"",$C651)),
      ISNUMBER(SEARCH(""CASH DEPOSIT"",$C65"&amp;"1)),
      COUNTIFS('SUMMARY DATA'!$D:$D,$C651,'SUMMARY DATA'!$B:$B,""RWS"")&lt;&gt;1
    ),
    """",
    IFERROR(TEXTJOIN(CHAR(10),TRUE,FILTER('SUMMARY DATA'!F:F,'SUMMARY DATA'!$D:$D=$C651,'SUMMARY DATA'!$B:$B=""RWS"")),"""")
  )
)"),"")</f>
      </c>
      <c r="G651" s="17" t="str">
        <f>IFERROR(__xludf.DUMMYFUNCTION("IFERROR(
  TEXTJOIN(CHAR(10),TRUE,FILTER('SUMMARY DATA'!G:G,'SUMMARY DATA'!$A:$A=$A651,'SUMMARY DATA'!$C:$C=$B651,'SUMMARY DATA'!$B:$B=""RWS"")),
  IF(
    OR(
      ISNUMBER(SEARCH(""CDM CASH DEPOSIT"",$C651)),
      ISNUMBER(SEARCH(""CASH DEPOSIT"",$C65"&amp;"1)),
      COUNTIFS('SUMMARY DATA'!$D:$D,$C651,'SUMMARY DATA'!$B:$B,""RWS"")&lt;&gt;1
    ),
    """",
    IFERROR(TEXTJOIN(CHAR(10),TRUE,FILTER('SUMMARY DATA'!G:G,'SUMMARY DATA'!$D:$D=$C651,'SUMMARY DATA'!$B:$B=""RWS"")),"""")
  )
)"),"")</f>
      </c>
      <c r="H651" s="18" t="str">
        <f>IFERROR(__xludf.DUMMYFUNCTION("IFERROR(
  TEXTJOIN(CHAR(10),TRUE,FILTER('SUMMARY DATA'!H:H,'SUMMARY DATA'!$A:$A=$A651,'SUMMARY DATA'!$C:$C=$B651,'SUMMARY DATA'!$B:$B=""RWS"",'SUMMARY DATA'!$H:$H=$D651)),
  IF(
    OR(
      ISNUMBER(SEARCH(""CDM CASH DEPOSIT"",$C651)),
      ISNUMBER(S"&amp;"EARCH(""CASH DEPOSIT"",$C651))
    ),
    """",
    IFERROR(TEXTJOIN(CHAR(10),TRUE,FILTER('SUMMARY DATA'!H:H,'SUMMARY DATA'!$D:$D=$C651,'SUMMARY DATA'!$B:$B=""RWS"",'SUMMARY DATA'!$H:$H=$D651)),"""")
  )
)"),"")</f>
      </c>
      <c r="I651" s="18" t="str">
        <f>IFERROR(__xludf.DUMMYFUNCTION("IF(H651="""","""",
SUM(ARRAYFORMULA(VALUE(SPLIT(H651,CHAR(10)))))
)"),"")</f>
      </c>
      <c r="J651" s="17" t="str">
        <f>IFERROR(__xludf.DUMMYFUNCTION("IFERROR(
  TEXTJOIN(CHAR(10),TRUE,FILTER('SUMMARY DATA'!I:I,'SUMMARY DATA'!$A:$A=$A651,'SUMMARY DATA'!$C:$C=$B651,'SUMMARY DATA'!$B:$B=""RWS"")),
  IF(
    OR(
      ISNUMBER(SEARCH(""CDM CASH DEPOSIT"",$C651)),
      ISNUMBER(SEARCH(""CASH DEPOSIT"",$C65"&amp;"1)),
      COUNTIFS('SUMMARY DATA'!$D:$D,$C651,'SUMMARY DATA'!$B:$B,""RWS"")&lt;&gt;1
    ),
    """",
    IFERROR(TEXTJOIN(CHAR(10),TRUE,FILTER('SUMMARY DATA'!I:I,'SUMMARY DATA'!$D:$D=$C651,'SUMMARY DATA'!$B:$B=""RWS"")),"""")
  )
)"),"")</f>
      </c>
      <c r="K651" s="2"/>
      <c r="L651" s="2"/>
      <c r="M651" s="2"/>
      <c r="N651" s="2"/>
      <c r="O651" s="2"/>
      <c r="P651" s="2"/>
      <c r="Q651" s="2"/>
      <c r="R651" s="2"/>
      <c r="S651" s="2"/>
      <c r="T651" s="2"/>
      <c r="U651" s="2"/>
      <c r="V651" s="2"/>
      <c r="W651" s="2"/>
      <c r="X651" s="2"/>
      <c r="Y651" s="2"/>
      <c r="Z651" s="2"/>
      <c r="AA651" s="2"/>
      <c r="AB651" s="2"/>
    </row>
    <row r="652" spans="1:28" customHeight="true">
      <c r="A652" s="2"/>
      <c r="B652" s="15">
        <v>46040</v>
      </c>
      <c r="C652" s="2" t="s">
        <v>1060</v>
      </c>
      <c r="D652" s="3">
        <v>444.91</v>
      </c>
      <c r="E652" s="16" t="str">
        <f>IFERROR(__xludf.DUMMYFUNCTION("IFERROR(
  TEXTJOIN(CHAR(10),TRUE,FILTER('SUMMARY DATA'!E:E,'SUMMARY DATA'!$A:$A=$A652,'SUMMARY DATA'!$C:$C=$B652,'SUMMARY DATA'!$B:$B=""RWS"")),
  IF(
    OR(
      ISNUMBER(SEARCH(""CDM CASH DEPOSIT"",$C652)),
      ISNUMBER(SEARCH(""CASH DEPOSIT"",$C65"&amp;"2)),
      COUNTIFS('SUMMARY DATA'!$D:$D,$C652,'SUMMARY DATA'!$B:$B,""RWS"")&lt;&gt;1
    ),
    """",
    IFERROR(TEXTJOIN(CHAR(10),TRUE,FILTER('SUMMARY DATA'!E:E,'SUMMARY DATA'!$D:$D=$C652,'SUMMARY DATA'!$B:$B=""RWS"")),"""")
  )
)"),"")</f>
      </c>
      <c r="F652" s="17" t="str">
        <f>IFERROR(__xludf.DUMMYFUNCTION("IFERROR(
  TEXTJOIN(CHAR(10),TRUE,FILTER('SUMMARY DATA'!F:F,'SUMMARY DATA'!$A:$A=$A652,'SUMMARY DATA'!$C:$C=$B652,'SUMMARY DATA'!$B:$B=""RWS"")),
  IF(
    OR(
      ISNUMBER(SEARCH(""CDM CASH DEPOSIT"",$C652)),
      ISNUMBER(SEARCH(""CASH DEPOSIT"",$C65"&amp;"2)),
      COUNTIFS('SUMMARY DATA'!$D:$D,$C652,'SUMMARY DATA'!$B:$B,""RWS"")&lt;&gt;1
    ),
    """",
    IFERROR(TEXTJOIN(CHAR(10),TRUE,FILTER('SUMMARY DATA'!F:F,'SUMMARY DATA'!$D:$D=$C652,'SUMMARY DATA'!$B:$B=""RWS"")),"""")
  )
)"),"")</f>
      </c>
      <c r="G652" s="17" t="str">
        <f>IFERROR(__xludf.DUMMYFUNCTION("IFERROR(
  TEXTJOIN(CHAR(10),TRUE,FILTER('SUMMARY DATA'!G:G,'SUMMARY DATA'!$A:$A=$A652,'SUMMARY DATA'!$C:$C=$B652,'SUMMARY DATA'!$B:$B=""RWS"")),
  IF(
    OR(
      ISNUMBER(SEARCH(""CDM CASH DEPOSIT"",$C652)),
      ISNUMBER(SEARCH(""CASH DEPOSIT"",$C65"&amp;"2)),
      COUNTIFS('SUMMARY DATA'!$D:$D,$C652,'SUMMARY DATA'!$B:$B,""RWS"")&lt;&gt;1
    ),
    """",
    IFERROR(TEXTJOIN(CHAR(10),TRUE,FILTER('SUMMARY DATA'!G:G,'SUMMARY DATA'!$D:$D=$C652,'SUMMARY DATA'!$B:$B=""RWS"")),"""")
  )
)"),"")</f>
      </c>
      <c r="H652" s="18" t="str">
        <f>IFERROR(__xludf.DUMMYFUNCTION("IFERROR(
  TEXTJOIN(CHAR(10),TRUE,FILTER('SUMMARY DATA'!H:H,'SUMMARY DATA'!$A:$A=$A652,'SUMMARY DATA'!$C:$C=$B652,'SUMMARY DATA'!$B:$B=""RWS"",'SUMMARY DATA'!$H:$H=$D652)),
  IF(
    OR(
      ISNUMBER(SEARCH(""CDM CASH DEPOSIT"",$C652)),
      ISNUMBER(S"&amp;"EARCH(""CASH DEPOSIT"",$C652))
    ),
    """",
    IFERROR(TEXTJOIN(CHAR(10),TRUE,FILTER('SUMMARY DATA'!H:H,'SUMMARY DATA'!$D:$D=$C652,'SUMMARY DATA'!$B:$B=""RWS"",'SUMMARY DATA'!$H:$H=$D652)),"""")
  )
)"),"")</f>
      </c>
      <c r="I652" s="18" t="str">
        <f>IFERROR(__xludf.DUMMYFUNCTION("IF(H652="""","""",
SUM(ARRAYFORMULA(VALUE(SPLIT(H652,CHAR(10)))))
)"),"")</f>
      </c>
      <c r="J652" s="17" t="str">
        <f>IFERROR(__xludf.DUMMYFUNCTION("IFERROR(
  TEXTJOIN(CHAR(10),TRUE,FILTER('SUMMARY DATA'!I:I,'SUMMARY DATA'!$A:$A=$A652,'SUMMARY DATA'!$C:$C=$B652,'SUMMARY DATA'!$B:$B=""RWS"")),
  IF(
    OR(
      ISNUMBER(SEARCH(""CDM CASH DEPOSIT"",$C652)),
      ISNUMBER(SEARCH(""CASH DEPOSIT"",$C65"&amp;"2)),
      COUNTIFS('SUMMARY DATA'!$D:$D,$C652,'SUMMARY DATA'!$B:$B,""RWS"")&lt;&gt;1
    ),
    """",
    IFERROR(TEXTJOIN(CHAR(10),TRUE,FILTER('SUMMARY DATA'!I:I,'SUMMARY DATA'!$D:$D=$C652,'SUMMARY DATA'!$B:$B=""RWS"")),"""")
  )
)"),"")</f>
      </c>
      <c r="K652" s="2"/>
      <c r="L652" s="2"/>
      <c r="M652" s="2"/>
      <c r="N652" s="2"/>
      <c r="O652" s="2"/>
      <c r="P652" s="2"/>
      <c r="Q652" s="2"/>
      <c r="R652" s="2"/>
      <c r="S652" s="2"/>
      <c r="T652" s="2"/>
      <c r="U652" s="2"/>
      <c r="V652" s="2"/>
      <c r="W652" s="2"/>
      <c r="X652" s="2"/>
      <c r="Y652" s="2"/>
      <c r="Z652" s="2"/>
      <c r="AA652" s="2"/>
      <c r="AB652" s="2"/>
    </row>
    <row r="653" spans="1:28" customHeight="true">
      <c r="A653" s="2" t="s">
        <v>1061</v>
      </c>
      <c r="B653" s="15">
        <v>46040</v>
      </c>
      <c r="C653" s="2" t="s">
        <v>1062</v>
      </c>
      <c r="D653" s="3">
        <v>97.63</v>
      </c>
      <c r="E653" s="16" t="s">
        <v>2597</v>
      </c>
      <c r="F653" s="17" t="s">
        <v>2626</v>
      </c>
      <c r="G653" s="17" t="s">
        <v>2393</v>
      </c>
      <c r="H653" s="18">
        <v>97.63</v>
      </c>
      <c r="I653" s="18">
        <v>97.63</v>
      </c>
      <c r="J653" s="17" t="s">
        <v>2394</v>
      </c>
      <c r="K653" s="2" t="s">
        <v>2395</v>
      </c>
      <c r="L653" s="2"/>
      <c r="M653" s="2"/>
      <c r="N653" s="2"/>
      <c r="O653" s="2"/>
      <c r="P653" s="2"/>
      <c r="Q653" s="2"/>
      <c r="R653" s="2"/>
      <c r="S653" s="2"/>
      <c r="T653" s="2"/>
      <c r="U653" s="2"/>
      <c r="V653" s="2"/>
      <c r="W653" s="2"/>
      <c r="X653" s="2"/>
      <c r="Y653" s="2"/>
      <c r="Z653" s="2"/>
      <c r="AA653" s="2"/>
      <c r="AB653" s="2"/>
    </row>
    <row r="654" spans="1:28" customHeight="true">
      <c r="A654" s="2"/>
      <c r="B654" s="15">
        <v>46040</v>
      </c>
      <c r="C654" s="2" t="s">
        <v>1063</v>
      </c>
      <c r="D654" s="3">
        <v>583.76</v>
      </c>
      <c r="E654" s="16" t="str">
        <f>IFERROR(__xludf.DUMMYFUNCTION("IFERROR(
  TEXTJOIN(CHAR(10),TRUE,FILTER('SUMMARY DATA'!E:E,'SUMMARY DATA'!$A:$A=$A654,'SUMMARY DATA'!$C:$C=$B654,'SUMMARY DATA'!$B:$B=""RWS"")),
  IF(
    OR(
      ISNUMBER(SEARCH(""CDM CASH DEPOSIT"",$C654)),
      ISNUMBER(SEARCH(""CASH DEPOSIT"",$C65"&amp;"4)),
      COUNTIFS('SUMMARY DATA'!$D:$D,$C654,'SUMMARY DATA'!$B:$B,""RWS"")&lt;&gt;1
    ),
    """",
    IFERROR(TEXTJOIN(CHAR(10),TRUE,FILTER('SUMMARY DATA'!E:E,'SUMMARY DATA'!$D:$D=$C654,'SUMMARY DATA'!$B:$B=""RWS"")),"""")
  )
)"),"")</f>
      </c>
      <c r="F654" s="17" t="str">
        <f>IFERROR(__xludf.DUMMYFUNCTION("IFERROR(
  TEXTJOIN(CHAR(10),TRUE,FILTER('SUMMARY DATA'!F:F,'SUMMARY DATA'!$A:$A=$A654,'SUMMARY DATA'!$C:$C=$B654,'SUMMARY DATA'!$B:$B=""RWS"")),
  IF(
    OR(
      ISNUMBER(SEARCH(""CDM CASH DEPOSIT"",$C654)),
      ISNUMBER(SEARCH(""CASH DEPOSIT"",$C65"&amp;"4)),
      COUNTIFS('SUMMARY DATA'!$D:$D,$C654,'SUMMARY DATA'!$B:$B,""RWS"")&lt;&gt;1
    ),
    """",
    IFERROR(TEXTJOIN(CHAR(10),TRUE,FILTER('SUMMARY DATA'!F:F,'SUMMARY DATA'!$D:$D=$C654,'SUMMARY DATA'!$B:$B=""RWS"")),"""")
  )
)"),"")</f>
      </c>
      <c r="G654" s="17" t="str">
        <f>IFERROR(__xludf.DUMMYFUNCTION("IFERROR(
  TEXTJOIN(CHAR(10),TRUE,FILTER('SUMMARY DATA'!G:G,'SUMMARY DATA'!$A:$A=$A654,'SUMMARY DATA'!$C:$C=$B654,'SUMMARY DATA'!$B:$B=""RWS"")),
  IF(
    OR(
      ISNUMBER(SEARCH(""CDM CASH DEPOSIT"",$C654)),
      ISNUMBER(SEARCH(""CASH DEPOSIT"",$C65"&amp;"4)),
      COUNTIFS('SUMMARY DATA'!$D:$D,$C654,'SUMMARY DATA'!$B:$B,""RWS"")&lt;&gt;1
    ),
    """",
    IFERROR(TEXTJOIN(CHAR(10),TRUE,FILTER('SUMMARY DATA'!G:G,'SUMMARY DATA'!$D:$D=$C654,'SUMMARY DATA'!$B:$B=""RWS"")),"""")
  )
)"),"")</f>
      </c>
      <c r="H654" s="18" t="str">
        <f>IFERROR(__xludf.DUMMYFUNCTION("IFERROR(
  TEXTJOIN(CHAR(10),TRUE,FILTER('SUMMARY DATA'!H:H,'SUMMARY DATA'!$A:$A=$A654,'SUMMARY DATA'!$C:$C=$B654,'SUMMARY DATA'!$B:$B=""RWS"",'SUMMARY DATA'!$H:$H=$D654)),
  IF(
    OR(
      ISNUMBER(SEARCH(""CDM CASH DEPOSIT"",$C654)),
      ISNUMBER(S"&amp;"EARCH(""CASH DEPOSIT"",$C654))
    ),
    """",
    IFERROR(TEXTJOIN(CHAR(10),TRUE,FILTER('SUMMARY DATA'!H:H,'SUMMARY DATA'!$D:$D=$C654,'SUMMARY DATA'!$B:$B=""RWS"",'SUMMARY DATA'!$H:$H=$D654)),"""")
  )
)"),"")</f>
      </c>
      <c r="I654" s="18" t="str">
        <f>IFERROR(__xludf.DUMMYFUNCTION("IF(H654="""","""",
SUM(ARRAYFORMULA(VALUE(SPLIT(H654,CHAR(10)))))
)"),"")</f>
      </c>
      <c r="J654" s="17" t="str">
        <f>IFERROR(__xludf.DUMMYFUNCTION("IFERROR(
  TEXTJOIN(CHAR(10),TRUE,FILTER('SUMMARY DATA'!I:I,'SUMMARY DATA'!$A:$A=$A654,'SUMMARY DATA'!$C:$C=$B654,'SUMMARY DATA'!$B:$B=""RWS"")),
  IF(
    OR(
      ISNUMBER(SEARCH(""CDM CASH DEPOSIT"",$C654)),
      ISNUMBER(SEARCH(""CASH DEPOSIT"",$C65"&amp;"4)),
      COUNTIFS('SUMMARY DATA'!$D:$D,$C654,'SUMMARY DATA'!$B:$B,""RWS"")&lt;&gt;1
    ),
    """",
    IFERROR(TEXTJOIN(CHAR(10),TRUE,FILTER('SUMMARY DATA'!I:I,'SUMMARY DATA'!$D:$D=$C654,'SUMMARY DATA'!$B:$B=""RWS"")),"""")
  )
)"),"")</f>
      </c>
      <c r="K654" s="2"/>
      <c r="L654" s="2"/>
      <c r="M654" s="2"/>
      <c r="N654" s="2"/>
      <c r="O654" s="2"/>
      <c r="P654" s="2"/>
      <c r="Q654" s="2"/>
      <c r="R654" s="2"/>
      <c r="S654" s="2"/>
      <c r="T654" s="2"/>
      <c r="U654" s="2"/>
      <c r="V654" s="2"/>
      <c r="W654" s="2"/>
      <c r="X654" s="2"/>
      <c r="Y654" s="2"/>
      <c r="Z654" s="2"/>
      <c r="AA654" s="2"/>
      <c r="AB654" s="2"/>
    </row>
    <row r="655" spans="1:28" customHeight="true">
      <c r="A655" s="2"/>
      <c r="B655" s="15">
        <v>46040</v>
      </c>
      <c r="C655" s="2" t="s">
        <v>1064</v>
      </c>
      <c r="D655" s="3">
        <v>79.74</v>
      </c>
      <c r="E655" s="16" t="str">
        <f>IFERROR(__xludf.DUMMYFUNCTION("IFERROR(
  TEXTJOIN(CHAR(10),TRUE,FILTER('SUMMARY DATA'!E:E,'SUMMARY DATA'!$A:$A=$A655,'SUMMARY DATA'!$C:$C=$B655,'SUMMARY DATA'!$B:$B=""RWS"")),
  IF(
    OR(
      ISNUMBER(SEARCH(""CDM CASH DEPOSIT"",$C655)),
      ISNUMBER(SEARCH(""CASH DEPOSIT"",$C65"&amp;"5)),
      COUNTIFS('SUMMARY DATA'!$D:$D,$C655,'SUMMARY DATA'!$B:$B,""RWS"")&lt;&gt;1
    ),
    """",
    IFERROR(TEXTJOIN(CHAR(10),TRUE,FILTER('SUMMARY DATA'!E:E,'SUMMARY DATA'!$D:$D=$C655,'SUMMARY DATA'!$B:$B=""RWS"")),"""")
  )
)"),"")</f>
      </c>
      <c r="F655" s="17" t="str">
        <f>IFERROR(__xludf.DUMMYFUNCTION("IFERROR(
  TEXTJOIN(CHAR(10),TRUE,FILTER('SUMMARY DATA'!F:F,'SUMMARY DATA'!$A:$A=$A655,'SUMMARY DATA'!$C:$C=$B655,'SUMMARY DATA'!$B:$B=""RWS"")),
  IF(
    OR(
      ISNUMBER(SEARCH(""CDM CASH DEPOSIT"",$C655)),
      ISNUMBER(SEARCH(""CASH DEPOSIT"",$C65"&amp;"5)),
      COUNTIFS('SUMMARY DATA'!$D:$D,$C655,'SUMMARY DATA'!$B:$B,""RWS"")&lt;&gt;1
    ),
    """",
    IFERROR(TEXTJOIN(CHAR(10),TRUE,FILTER('SUMMARY DATA'!F:F,'SUMMARY DATA'!$D:$D=$C655,'SUMMARY DATA'!$B:$B=""RWS"")),"""")
  )
)"),"")</f>
      </c>
      <c r="G655" s="17" t="str">
        <f>IFERROR(__xludf.DUMMYFUNCTION("IFERROR(
  TEXTJOIN(CHAR(10),TRUE,FILTER('SUMMARY DATA'!G:G,'SUMMARY DATA'!$A:$A=$A655,'SUMMARY DATA'!$C:$C=$B655,'SUMMARY DATA'!$B:$B=""RWS"")),
  IF(
    OR(
      ISNUMBER(SEARCH(""CDM CASH DEPOSIT"",$C655)),
      ISNUMBER(SEARCH(""CASH DEPOSIT"",$C65"&amp;"5)),
      COUNTIFS('SUMMARY DATA'!$D:$D,$C655,'SUMMARY DATA'!$B:$B,""RWS"")&lt;&gt;1
    ),
    """",
    IFERROR(TEXTJOIN(CHAR(10),TRUE,FILTER('SUMMARY DATA'!G:G,'SUMMARY DATA'!$D:$D=$C655,'SUMMARY DATA'!$B:$B=""RWS"")),"""")
  )
)"),"")</f>
      </c>
      <c r="H655" s="18" t="str">
        <f>IFERROR(__xludf.DUMMYFUNCTION("IFERROR(
  TEXTJOIN(CHAR(10),TRUE,FILTER('SUMMARY DATA'!H:H,'SUMMARY DATA'!$A:$A=$A655,'SUMMARY DATA'!$C:$C=$B655,'SUMMARY DATA'!$B:$B=""RWS"",'SUMMARY DATA'!$H:$H=$D655)),
  IF(
    OR(
      ISNUMBER(SEARCH(""CDM CASH DEPOSIT"",$C655)),
      ISNUMBER(S"&amp;"EARCH(""CASH DEPOSIT"",$C655))
    ),
    """",
    IFERROR(TEXTJOIN(CHAR(10),TRUE,FILTER('SUMMARY DATA'!H:H,'SUMMARY DATA'!$D:$D=$C655,'SUMMARY DATA'!$B:$B=""RWS"",'SUMMARY DATA'!$H:$H=$D655)),"""")
  )
)"),"")</f>
      </c>
      <c r="I655" s="18" t="str">
        <f>IFERROR(__xludf.DUMMYFUNCTION("IF(H655="""","""",
SUM(ARRAYFORMULA(VALUE(SPLIT(H655,CHAR(10)))))
)"),"")</f>
      </c>
      <c r="J655" s="17" t="str">
        <f>IFERROR(__xludf.DUMMYFUNCTION("IFERROR(
  TEXTJOIN(CHAR(10),TRUE,FILTER('SUMMARY DATA'!I:I,'SUMMARY DATA'!$A:$A=$A655,'SUMMARY DATA'!$C:$C=$B655,'SUMMARY DATA'!$B:$B=""RWS"")),
  IF(
    OR(
      ISNUMBER(SEARCH(""CDM CASH DEPOSIT"",$C655)),
      ISNUMBER(SEARCH(""CASH DEPOSIT"",$C65"&amp;"5)),
      COUNTIFS('SUMMARY DATA'!$D:$D,$C655,'SUMMARY DATA'!$B:$B,""RWS"")&lt;&gt;1
    ),
    """",
    IFERROR(TEXTJOIN(CHAR(10),TRUE,FILTER('SUMMARY DATA'!I:I,'SUMMARY DATA'!$D:$D=$C655,'SUMMARY DATA'!$B:$B=""RWS"")),"""")
  )
)"),"")</f>
      </c>
      <c r="K655" s="2"/>
      <c r="L655" s="2"/>
      <c r="M655" s="2"/>
      <c r="N655" s="2"/>
      <c r="O655" s="2"/>
      <c r="P655" s="2"/>
      <c r="Q655" s="2"/>
      <c r="R655" s="2"/>
      <c r="S655" s="2"/>
      <c r="T655" s="2"/>
      <c r="U655" s="2"/>
      <c r="V655" s="2"/>
      <c r="W655" s="2"/>
      <c r="X655" s="2"/>
      <c r="Y655" s="2"/>
      <c r="Z655" s="2"/>
      <c r="AA655" s="2"/>
      <c r="AB655" s="2"/>
    </row>
    <row r="656" spans="1:28" customHeight="true">
      <c r="A656" s="2" t="s">
        <v>545</v>
      </c>
      <c r="B656" s="15">
        <v>46040</v>
      </c>
      <c r="C656" s="2" t="s">
        <v>546</v>
      </c>
      <c r="D656" s="3">
        <v>300.18</v>
      </c>
      <c r="E656" s="16" t="str">
        <f>IFERROR(__xludf.DUMMYFUNCTION("IFERROR(
  TEXTJOIN(CHAR(10),TRUE,FILTER('SUMMARY DATA'!E:E,'SUMMARY DATA'!$A:$A=$A656,'SUMMARY DATA'!$C:$C=$B656,'SUMMARY DATA'!$B:$B=""RWS"")),
  IF(
    OR(
      ISNUMBER(SEARCH(""CDM CASH DEPOSIT"",$C656)),
      ISNUMBER(SEARCH(""CASH DEPOSIT"",$C65"&amp;"6)),
      COUNTIFS('SUMMARY DATA'!$D:$D,$C656,'SUMMARY DATA'!$B:$B,""RWS"")&lt;&gt;1
    ),
    """",
    IFERROR(TEXTJOIN(CHAR(10),TRUE,FILTER('SUMMARY DATA'!E:E,'SUMMARY DATA'!$D:$D=$C656,'SUMMARY DATA'!$B:$B=""RWS"")),"""")
  )
)"),"")</f>
      </c>
      <c r="F656" s="17" t="str">
        <f>IFERROR(__xludf.DUMMYFUNCTION("IFERROR(
  TEXTJOIN(CHAR(10),TRUE,FILTER('SUMMARY DATA'!F:F,'SUMMARY DATA'!$A:$A=$A656,'SUMMARY DATA'!$C:$C=$B656,'SUMMARY DATA'!$B:$B=""RWS"")),
  IF(
    OR(
      ISNUMBER(SEARCH(""CDM CASH DEPOSIT"",$C656)),
      ISNUMBER(SEARCH(""CASH DEPOSIT"",$C65"&amp;"6)),
      COUNTIFS('SUMMARY DATA'!$D:$D,$C656,'SUMMARY DATA'!$B:$B,""RWS"")&lt;&gt;1
    ),
    """",
    IFERROR(TEXTJOIN(CHAR(10),TRUE,FILTER('SUMMARY DATA'!F:F,'SUMMARY DATA'!$D:$D=$C656,'SUMMARY DATA'!$B:$B=""RWS"")),"""")
  )
)"),"")</f>
      </c>
      <c r="G656" s="17" t="str">
        <f>IFERROR(__xludf.DUMMYFUNCTION("IFERROR(
  TEXTJOIN(CHAR(10),TRUE,FILTER('SUMMARY DATA'!G:G,'SUMMARY DATA'!$A:$A=$A656,'SUMMARY DATA'!$C:$C=$B656,'SUMMARY DATA'!$B:$B=""RWS"")),
  IF(
    OR(
      ISNUMBER(SEARCH(""CDM CASH DEPOSIT"",$C656)),
      ISNUMBER(SEARCH(""CASH DEPOSIT"",$C65"&amp;"6)),
      COUNTIFS('SUMMARY DATA'!$D:$D,$C656,'SUMMARY DATA'!$B:$B,""RWS"")&lt;&gt;1
    ),
    """",
    IFERROR(TEXTJOIN(CHAR(10),TRUE,FILTER('SUMMARY DATA'!G:G,'SUMMARY DATA'!$D:$D=$C656,'SUMMARY DATA'!$B:$B=""RWS"")),"""")
  )
)"),"")</f>
      </c>
      <c r="H656" s="18" t="str">
        <f>IFERROR(__xludf.DUMMYFUNCTION("IFERROR(
  TEXTJOIN(CHAR(10),TRUE,FILTER('SUMMARY DATA'!H:H,'SUMMARY DATA'!$A:$A=$A656,'SUMMARY DATA'!$C:$C=$B656,'SUMMARY DATA'!$B:$B=""RWS"",'SUMMARY DATA'!$H:$H=$D656)),
  IF(
    OR(
      ISNUMBER(SEARCH(""CDM CASH DEPOSIT"",$C656)),
      ISNUMBER(S"&amp;"EARCH(""CASH DEPOSIT"",$C656))
    ),
    """",
    IFERROR(TEXTJOIN(CHAR(10),TRUE,FILTER('SUMMARY DATA'!H:H,'SUMMARY DATA'!$D:$D=$C656,'SUMMARY DATA'!$B:$B=""RWS"",'SUMMARY DATA'!$H:$H=$D656)),"""")
  )
)"),"")</f>
      </c>
      <c r="I656" s="18" t="str">
        <f>IFERROR(__xludf.DUMMYFUNCTION("IF(H656="""","""",
SUM(ARRAYFORMULA(VALUE(SPLIT(H656,CHAR(10)))))
)"),"")</f>
      </c>
      <c r="J656" s="17" t="str">
        <f>IFERROR(__xludf.DUMMYFUNCTION("IFERROR(
  TEXTJOIN(CHAR(10),TRUE,FILTER('SUMMARY DATA'!I:I,'SUMMARY DATA'!$A:$A=$A656,'SUMMARY DATA'!$C:$C=$B656,'SUMMARY DATA'!$B:$B=""RWS"")),
  IF(
    OR(
      ISNUMBER(SEARCH(""CDM CASH DEPOSIT"",$C656)),
      ISNUMBER(SEARCH(""CASH DEPOSIT"",$C65"&amp;"6)),
      COUNTIFS('SUMMARY DATA'!$D:$D,$C656,'SUMMARY DATA'!$B:$B,""RWS"")&lt;&gt;1
    ),
    """",
    IFERROR(TEXTJOIN(CHAR(10),TRUE,FILTER('SUMMARY DATA'!I:I,'SUMMARY DATA'!$D:$D=$C656,'SUMMARY DATA'!$B:$B=""RWS"")),"""")
  )
)"),"")</f>
      </c>
      <c r="K656" s="2"/>
      <c r="L656" s="2"/>
      <c r="M656" s="2"/>
      <c r="N656" s="2"/>
      <c r="O656" s="2"/>
      <c r="P656" s="2"/>
      <c r="Q656" s="2"/>
      <c r="R656" s="2"/>
      <c r="S656" s="2"/>
      <c r="T656" s="2"/>
      <c r="U656" s="2"/>
      <c r="V656" s="2"/>
      <c r="W656" s="2"/>
      <c r="X656" s="2"/>
      <c r="Y656" s="2"/>
      <c r="Z656" s="2"/>
      <c r="AA656" s="2"/>
      <c r="AB656" s="2"/>
    </row>
    <row r="657" spans="1:28" customHeight="true">
      <c r="A657" s="2"/>
      <c r="B657" s="15">
        <v>46040</v>
      </c>
      <c r="C657" s="2" t="s">
        <v>1065</v>
      </c>
      <c r="D657" s="3">
        <v>457.01</v>
      </c>
      <c r="E657" s="16" t="str">
        <f>IFERROR(__xludf.DUMMYFUNCTION("IFERROR(
  TEXTJOIN(CHAR(10),TRUE,FILTER('SUMMARY DATA'!E:E,'SUMMARY DATA'!$A:$A=$A657,'SUMMARY DATA'!$C:$C=$B657,'SUMMARY DATA'!$B:$B=""RWS"")),
  IF(
    OR(
      ISNUMBER(SEARCH(""CDM CASH DEPOSIT"",$C657)),
      ISNUMBER(SEARCH(""CASH DEPOSIT"",$C65"&amp;"7)),
      COUNTIFS('SUMMARY DATA'!$D:$D,$C657,'SUMMARY DATA'!$B:$B,""RWS"")&lt;&gt;1
    ),
    """",
    IFERROR(TEXTJOIN(CHAR(10),TRUE,FILTER('SUMMARY DATA'!E:E,'SUMMARY DATA'!$D:$D=$C657,'SUMMARY DATA'!$B:$B=""RWS"")),"""")
  )
)"),"")</f>
      </c>
      <c r="F657" s="17" t="str">
        <f>IFERROR(__xludf.DUMMYFUNCTION("IFERROR(
  TEXTJOIN(CHAR(10),TRUE,FILTER('SUMMARY DATA'!F:F,'SUMMARY DATA'!$A:$A=$A657,'SUMMARY DATA'!$C:$C=$B657,'SUMMARY DATA'!$B:$B=""RWS"")),
  IF(
    OR(
      ISNUMBER(SEARCH(""CDM CASH DEPOSIT"",$C657)),
      ISNUMBER(SEARCH(""CASH DEPOSIT"",$C65"&amp;"7)),
      COUNTIFS('SUMMARY DATA'!$D:$D,$C657,'SUMMARY DATA'!$B:$B,""RWS"")&lt;&gt;1
    ),
    """",
    IFERROR(TEXTJOIN(CHAR(10),TRUE,FILTER('SUMMARY DATA'!F:F,'SUMMARY DATA'!$D:$D=$C657,'SUMMARY DATA'!$B:$B=""RWS"")),"""")
  )
)"),"")</f>
      </c>
      <c r="G657" s="17" t="str">
        <f>IFERROR(__xludf.DUMMYFUNCTION("IFERROR(
  TEXTJOIN(CHAR(10),TRUE,FILTER('SUMMARY DATA'!G:G,'SUMMARY DATA'!$A:$A=$A657,'SUMMARY DATA'!$C:$C=$B657,'SUMMARY DATA'!$B:$B=""RWS"")),
  IF(
    OR(
      ISNUMBER(SEARCH(""CDM CASH DEPOSIT"",$C657)),
      ISNUMBER(SEARCH(""CASH DEPOSIT"",$C65"&amp;"7)),
      COUNTIFS('SUMMARY DATA'!$D:$D,$C657,'SUMMARY DATA'!$B:$B,""RWS"")&lt;&gt;1
    ),
    """",
    IFERROR(TEXTJOIN(CHAR(10),TRUE,FILTER('SUMMARY DATA'!G:G,'SUMMARY DATA'!$D:$D=$C657,'SUMMARY DATA'!$B:$B=""RWS"")),"""")
  )
)"),"")</f>
      </c>
      <c r="H657" s="18" t="str">
        <f>IFERROR(__xludf.DUMMYFUNCTION("IFERROR(
  TEXTJOIN(CHAR(10),TRUE,FILTER('SUMMARY DATA'!H:H,'SUMMARY DATA'!$A:$A=$A657,'SUMMARY DATA'!$C:$C=$B657,'SUMMARY DATA'!$B:$B=""RWS"",'SUMMARY DATA'!$H:$H=$D657)),
  IF(
    OR(
      ISNUMBER(SEARCH(""CDM CASH DEPOSIT"",$C657)),
      ISNUMBER(S"&amp;"EARCH(""CASH DEPOSIT"",$C657))
    ),
    """",
    IFERROR(TEXTJOIN(CHAR(10),TRUE,FILTER('SUMMARY DATA'!H:H,'SUMMARY DATA'!$D:$D=$C657,'SUMMARY DATA'!$B:$B=""RWS"",'SUMMARY DATA'!$H:$H=$D657)),"""")
  )
)"),"")</f>
      </c>
      <c r="I657" s="18" t="str">
        <f>IFERROR(__xludf.DUMMYFUNCTION("IF(H657="""","""",
SUM(ARRAYFORMULA(VALUE(SPLIT(H657,CHAR(10)))))
)"),"")</f>
      </c>
      <c r="J657" s="17" t="str">
        <f>IFERROR(__xludf.DUMMYFUNCTION("IFERROR(
  TEXTJOIN(CHAR(10),TRUE,FILTER('SUMMARY DATA'!I:I,'SUMMARY DATA'!$A:$A=$A657,'SUMMARY DATA'!$C:$C=$B657,'SUMMARY DATA'!$B:$B=""RWS"")),
  IF(
    OR(
      ISNUMBER(SEARCH(""CDM CASH DEPOSIT"",$C657)),
      ISNUMBER(SEARCH(""CASH DEPOSIT"",$C65"&amp;"7)),
      COUNTIFS('SUMMARY DATA'!$D:$D,$C657,'SUMMARY DATA'!$B:$B,""RWS"")&lt;&gt;1
    ),
    """",
    IFERROR(TEXTJOIN(CHAR(10),TRUE,FILTER('SUMMARY DATA'!I:I,'SUMMARY DATA'!$D:$D=$C657,'SUMMARY DATA'!$B:$B=""RWS"")),"""")
  )
)"),"")</f>
      </c>
      <c r="K657" s="2"/>
      <c r="L657" s="2"/>
      <c r="M657" s="2"/>
      <c r="N657" s="2"/>
      <c r="O657" s="2"/>
      <c r="P657" s="2"/>
      <c r="Q657" s="2"/>
      <c r="R657" s="2"/>
      <c r="S657" s="2"/>
      <c r="T657" s="2"/>
      <c r="U657" s="2"/>
      <c r="V657" s="2"/>
      <c r="W657" s="2"/>
      <c r="X657" s="2"/>
      <c r="Y657" s="2"/>
      <c r="Z657" s="2"/>
      <c r="AA657" s="2"/>
      <c r="AB657" s="2"/>
    </row>
    <row r="658" spans="1:28" customHeight="true">
      <c r="A658" s="2"/>
      <c r="B658" s="15">
        <v>46040</v>
      </c>
      <c r="C658" s="2" t="s">
        <v>1066</v>
      </c>
      <c r="D658" s="3">
        <v>26</v>
      </c>
      <c r="E658" s="16" t="str">
        <f>IFERROR(__xludf.DUMMYFUNCTION("IFERROR(
  TEXTJOIN(CHAR(10),TRUE,FILTER('SUMMARY DATA'!E:E,'SUMMARY DATA'!$A:$A=$A658,'SUMMARY DATA'!$C:$C=$B658,'SUMMARY DATA'!$B:$B=""RWS"")),
  IF(
    OR(
      ISNUMBER(SEARCH(""CDM CASH DEPOSIT"",$C658)),
      ISNUMBER(SEARCH(""CASH DEPOSIT"",$C65"&amp;"8)),
      COUNTIFS('SUMMARY DATA'!$D:$D,$C658,'SUMMARY DATA'!$B:$B,""RWS"")&lt;&gt;1
    ),
    """",
    IFERROR(TEXTJOIN(CHAR(10),TRUE,FILTER('SUMMARY DATA'!E:E,'SUMMARY DATA'!$D:$D=$C658,'SUMMARY DATA'!$B:$B=""RWS"")),"""")
  )
)"),"")</f>
      </c>
      <c r="F658" s="17" t="str">
        <f>IFERROR(__xludf.DUMMYFUNCTION("IFERROR(
  TEXTJOIN(CHAR(10),TRUE,FILTER('SUMMARY DATA'!F:F,'SUMMARY DATA'!$A:$A=$A658,'SUMMARY DATA'!$C:$C=$B658,'SUMMARY DATA'!$B:$B=""RWS"")),
  IF(
    OR(
      ISNUMBER(SEARCH(""CDM CASH DEPOSIT"",$C658)),
      ISNUMBER(SEARCH(""CASH DEPOSIT"",$C65"&amp;"8)),
      COUNTIFS('SUMMARY DATA'!$D:$D,$C658,'SUMMARY DATA'!$B:$B,""RWS"")&lt;&gt;1
    ),
    """",
    IFERROR(TEXTJOIN(CHAR(10),TRUE,FILTER('SUMMARY DATA'!F:F,'SUMMARY DATA'!$D:$D=$C658,'SUMMARY DATA'!$B:$B=""RWS"")),"""")
  )
)"),"")</f>
      </c>
      <c r="G658" s="17" t="str">
        <f>IFERROR(__xludf.DUMMYFUNCTION("IFERROR(
  TEXTJOIN(CHAR(10),TRUE,FILTER('SUMMARY DATA'!G:G,'SUMMARY DATA'!$A:$A=$A658,'SUMMARY DATA'!$C:$C=$B658,'SUMMARY DATA'!$B:$B=""RWS"")),
  IF(
    OR(
      ISNUMBER(SEARCH(""CDM CASH DEPOSIT"",$C658)),
      ISNUMBER(SEARCH(""CASH DEPOSIT"",$C65"&amp;"8)),
      COUNTIFS('SUMMARY DATA'!$D:$D,$C658,'SUMMARY DATA'!$B:$B,""RWS"")&lt;&gt;1
    ),
    """",
    IFERROR(TEXTJOIN(CHAR(10),TRUE,FILTER('SUMMARY DATA'!G:G,'SUMMARY DATA'!$D:$D=$C658,'SUMMARY DATA'!$B:$B=""RWS"")),"""")
  )
)"),"")</f>
      </c>
      <c r="H658" s="18" t="str">
        <f>IFERROR(__xludf.DUMMYFUNCTION("IFERROR(
  TEXTJOIN(CHAR(10),TRUE,FILTER('SUMMARY DATA'!H:H,'SUMMARY DATA'!$A:$A=$A658,'SUMMARY DATA'!$C:$C=$B658,'SUMMARY DATA'!$B:$B=""RWS"",'SUMMARY DATA'!$H:$H=$D658)),
  IF(
    OR(
      ISNUMBER(SEARCH(""CDM CASH DEPOSIT"",$C658)),
      ISNUMBER(S"&amp;"EARCH(""CASH DEPOSIT"",$C658))
    ),
    """",
    IFERROR(TEXTJOIN(CHAR(10),TRUE,FILTER('SUMMARY DATA'!H:H,'SUMMARY DATA'!$D:$D=$C658,'SUMMARY DATA'!$B:$B=""RWS"",'SUMMARY DATA'!$H:$H=$D658)),"""")
  )
)"),"")</f>
      </c>
      <c r="I658" s="18" t="str">
        <f>IFERROR(__xludf.DUMMYFUNCTION("IF(H658="""","""",
SUM(ARRAYFORMULA(VALUE(SPLIT(H658,CHAR(10)))))
)"),"")</f>
      </c>
      <c r="J658" s="17" t="str">
        <f>IFERROR(__xludf.DUMMYFUNCTION("IFERROR(
  TEXTJOIN(CHAR(10),TRUE,FILTER('SUMMARY DATA'!I:I,'SUMMARY DATA'!$A:$A=$A658,'SUMMARY DATA'!$C:$C=$B658,'SUMMARY DATA'!$B:$B=""RWS"")),
  IF(
    OR(
      ISNUMBER(SEARCH(""CDM CASH DEPOSIT"",$C658)),
      ISNUMBER(SEARCH(""CASH DEPOSIT"",$C65"&amp;"8)),
      COUNTIFS('SUMMARY DATA'!$D:$D,$C658,'SUMMARY DATA'!$B:$B,""RWS"")&lt;&gt;1
    ),
    """",
    IFERROR(TEXTJOIN(CHAR(10),TRUE,FILTER('SUMMARY DATA'!I:I,'SUMMARY DATA'!$D:$D=$C658,'SUMMARY DATA'!$B:$B=""RWS"")),"""")
  )
)"),"")</f>
      </c>
      <c r="K658" s="2"/>
      <c r="L658" s="2"/>
      <c r="M658" s="2"/>
      <c r="N658" s="2"/>
      <c r="O658" s="2"/>
      <c r="P658" s="2"/>
      <c r="Q658" s="2"/>
      <c r="R658" s="2"/>
      <c r="S658" s="2"/>
      <c r="T658" s="2"/>
      <c r="U658" s="2"/>
      <c r="V658" s="2"/>
      <c r="W658" s="2"/>
      <c r="X658" s="2"/>
      <c r="Y658" s="2"/>
      <c r="Z658" s="2"/>
      <c r="AA658" s="2"/>
      <c r="AB658" s="2"/>
    </row>
    <row r="659" spans="1:28" customHeight="true">
      <c r="A659" s="2"/>
      <c r="B659" s="15">
        <v>46040</v>
      </c>
      <c r="C659" s="2" t="s">
        <v>1067</v>
      </c>
      <c r="D659" s="3">
        <v>246.87</v>
      </c>
      <c r="E659" s="16" t="str">
        <f>IFERROR(__xludf.DUMMYFUNCTION("IFERROR(
  TEXTJOIN(CHAR(10),TRUE,FILTER('SUMMARY DATA'!E:E,'SUMMARY DATA'!$A:$A=$A659,'SUMMARY DATA'!$C:$C=$B659,'SUMMARY DATA'!$B:$B=""RWS"")),
  IF(
    OR(
      ISNUMBER(SEARCH(""CDM CASH DEPOSIT"",$C659)),
      ISNUMBER(SEARCH(""CASH DEPOSIT"",$C65"&amp;"9)),
      COUNTIFS('SUMMARY DATA'!$D:$D,$C659,'SUMMARY DATA'!$B:$B,""RWS"")&lt;&gt;1
    ),
    """",
    IFERROR(TEXTJOIN(CHAR(10),TRUE,FILTER('SUMMARY DATA'!E:E,'SUMMARY DATA'!$D:$D=$C659,'SUMMARY DATA'!$B:$B=""RWS"")),"""")
  )
)"),"")</f>
      </c>
      <c r="F659" s="17" t="str">
        <f>IFERROR(__xludf.DUMMYFUNCTION("IFERROR(
  TEXTJOIN(CHAR(10),TRUE,FILTER('SUMMARY DATA'!F:F,'SUMMARY DATA'!$A:$A=$A659,'SUMMARY DATA'!$C:$C=$B659,'SUMMARY DATA'!$B:$B=""RWS"")),
  IF(
    OR(
      ISNUMBER(SEARCH(""CDM CASH DEPOSIT"",$C659)),
      ISNUMBER(SEARCH(""CASH DEPOSIT"",$C65"&amp;"9)),
      COUNTIFS('SUMMARY DATA'!$D:$D,$C659,'SUMMARY DATA'!$B:$B,""RWS"")&lt;&gt;1
    ),
    """",
    IFERROR(TEXTJOIN(CHAR(10),TRUE,FILTER('SUMMARY DATA'!F:F,'SUMMARY DATA'!$D:$D=$C659,'SUMMARY DATA'!$B:$B=""RWS"")),"""")
  )
)"),"")</f>
      </c>
      <c r="G659" s="17" t="str">
        <f>IFERROR(__xludf.DUMMYFUNCTION("IFERROR(
  TEXTJOIN(CHAR(10),TRUE,FILTER('SUMMARY DATA'!G:G,'SUMMARY DATA'!$A:$A=$A659,'SUMMARY DATA'!$C:$C=$B659,'SUMMARY DATA'!$B:$B=""RWS"")),
  IF(
    OR(
      ISNUMBER(SEARCH(""CDM CASH DEPOSIT"",$C659)),
      ISNUMBER(SEARCH(""CASH DEPOSIT"",$C65"&amp;"9)),
      COUNTIFS('SUMMARY DATA'!$D:$D,$C659,'SUMMARY DATA'!$B:$B,""RWS"")&lt;&gt;1
    ),
    """",
    IFERROR(TEXTJOIN(CHAR(10),TRUE,FILTER('SUMMARY DATA'!G:G,'SUMMARY DATA'!$D:$D=$C659,'SUMMARY DATA'!$B:$B=""RWS"")),"""")
  )
)"),"")</f>
      </c>
      <c r="H659" s="18" t="str">
        <f>IFERROR(__xludf.DUMMYFUNCTION("IFERROR(
  TEXTJOIN(CHAR(10),TRUE,FILTER('SUMMARY DATA'!H:H,'SUMMARY DATA'!$A:$A=$A659,'SUMMARY DATA'!$C:$C=$B659,'SUMMARY DATA'!$B:$B=""RWS"",'SUMMARY DATA'!$H:$H=$D659)),
  IF(
    OR(
      ISNUMBER(SEARCH(""CDM CASH DEPOSIT"",$C659)),
      ISNUMBER(S"&amp;"EARCH(""CASH DEPOSIT"",$C659))
    ),
    """",
    IFERROR(TEXTJOIN(CHAR(10),TRUE,FILTER('SUMMARY DATA'!H:H,'SUMMARY DATA'!$D:$D=$C659,'SUMMARY DATA'!$B:$B=""RWS"",'SUMMARY DATA'!$H:$H=$D659)),"""")
  )
)"),"")</f>
      </c>
      <c r="I659" s="18" t="str">
        <f>IFERROR(__xludf.DUMMYFUNCTION("IF(H659="""","""",
SUM(ARRAYFORMULA(VALUE(SPLIT(H659,CHAR(10)))))
)"),"")</f>
      </c>
      <c r="J659" s="17" t="str">
        <f>IFERROR(__xludf.DUMMYFUNCTION("IFERROR(
  TEXTJOIN(CHAR(10),TRUE,FILTER('SUMMARY DATA'!I:I,'SUMMARY DATA'!$A:$A=$A659,'SUMMARY DATA'!$C:$C=$B659,'SUMMARY DATA'!$B:$B=""RWS"")),
  IF(
    OR(
      ISNUMBER(SEARCH(""CDM CASH DEPOSIT"",$C659)),
      ISNUMBER(SEARCH(""CASH DEPOSIT"",$C65"&amp;"9)),
      COUNTIFS('SUMMARY DATA'!$D:$D,$C659,'SUMMARY DATA'!$B:$B,""RWS"")&lt;&gt;1
    ),
    """",
    IFERROR(TEXTJOIN(CHAR(10),TRUE,FILTER('SUMMARY DATA'!I:I,'SUMMARY DATA'!$D:$D=$C659,'SUMMARY DATA'!$B:$B=""RWS"")),"""")
  )
)"),"")</f>
      </c>
      <c r="K659" s="2"/>
      <c r="L659" s="2"/>
      <c r="M659" s="2"/>
      <c r="N659" s="2"/>
      <c r="O659" s="2"/>
      <c r="P659" s="2"/>
      <c r="Q659" s="2"/>
      <c r="R659" s="2"/>
      <c r="S659" s="2"/>
      <c r="T659" s="2"/>
      <c r="U659" s="2"/>
      <c r="V659" s="2"/>
      <c r="W659" s="2"/>
      <c r="X659" s="2"/>
      <c r="Y659" s="2"/>
      <c r="Z659" s="2"/>
      <c r="AA659" s="2"/>
      <c r="AB659" s="2"/>
    </row>
    <row r="660" spans="1:28" customHeight="true">
      <c r="A660" s="2" t="s">
        <v>1068</v>
      </c>
      <c r="B660" s="15">
        <v>46040</v>
      </c>
      <c r="C660" s="2" t="s">
        <v>1069</v>
      </c>
      <c r="D660" s="3">
        <v>20.5</v>
      </c>
      <c r="E660" s="16" t="str">
        <f>IFERROR(__xludf.DUMMYFUNCTION("IFERROR(
  TEXTJOIN(CHAR(10),TRUE,FILTER('SUMMARY DATA'!E:E,'SUMMARY DATA'!$A:$A=$A660,'SUMMARY DATA'!$C:$C=$B660,'SUMMARY DATA'!$B:$B=""RWS"")),
  IF(
    OR(
      ISNUMBER(SEARCH(""CDM CASH DEPOSIT"",$C660)),
      ISNUMBER(SEARCH(""CASH DEPOSIT"",$C66"&amp;"0)),
      COUNTIFS('SUMMARY DATA'!$D:$D,$C660,'SUMMARY DATA'!$B:$B,""RWS"")&lt;&gt;1
    ),
    """",
    IFERROR(TEXTJOIN(CHAR(10),TRUE,FILTER('SUMMARY DATA'!E:E,'SUMMARY DATA'!$D:$D=$C660,'SUMMARY DATA'!$B:$B=""RWS"")),"""")
  )
)"),"")</f>
      </c>
      <c r="F660" s="17" t="str">
        <f>IFERROR(__xludf.DUMMYFUNCTION("IFERROR(
  TEXTJOIN(CHAR(10),TRUE,FILTER('SUMMARY DATA'!F:F,'SUMMARY DATA'!$A:$A=$A660,'SUMMARY DATA'!$C:$C=$B660,'SUMMARY DATA'!$B:$B=""RWS"")),
  IF(
    OR(
      ISNUMBER(SEARCH(""CDM CASH DEPOSIT"",$C660)),
      ISNUMBER(SEARCH(""CASH DEPOSIT"",$C66"&amp;"0)),
      COUNTIFS('SUMMARY DATA'!$D:$D,$C660,'SUMMARY DATA'!$B:$B,""RWS"")&lt;&gt;1
    ),
    """",
    IFERROR(TEXTJOIN(CHAR(10),TRUE,FILTER('SUMMARY DATA'!F:F,'SUMMARY DATA'!$D:$D=$C660,'SUMMARY DATA'!$B:$B=""RWS"")),"""")
  )
)"),"")</f>
      </c>
      <c r="G660" s="17" t="str">
        <f>IFERROR(__xludf.DUMMYFUNCTION("IFERROR(
  TEXTJOIN(CHAR(10),TRUE,FILTER('SUMMARY DATA'!G:G,'SUMMARY DATA'!$A:$A=$A660,'SUMMARY DATA'!$C:$C=$B660,'SUMMARY DATA'!$B:$B=""RWS"")),
  IF(
    OR(
      ISNUMBER(SEARCH(""CDM CASH DEPOSIT"",$C660)),
      ISNUMBER(SEARCH(""CASH DEPOSIT"",$C66"&amp;"0)),
      COUNTIFS('SUMMARY DATA'!$D:$D,$C660,'SUMMARY DATA'!$B:$B,""RWS"")&lt;&gt;1
    ),
    """",
    IFERROR(TEXTJOIN(CHAR(10),TRUE,FILTER('SUMMARY DATA'!G:G,'SUMMARY DATA'!$D:$D=$C660,'SUMMARY DATA'!$B:$B=""RWS"")),"""")
  )
)"),"")</f>
      </c>
      <c r="H660" s="18" t="str">
        <f>IFERROR(__xludf.DUMMYFUNCTION("IFERROR(
  TEXTJOIN(CHAR(10),TRUE,FILTER('SUMMARY DATA'!H:H,'SUMMARY DATA'!$A:$A=$A660,'SUMMARY DATA'!$C:$C=$B660,'SUMMARY DATA'!$B:$B=""RWS"",'SUMMARY DATA'!$H:$H=$D660)),
  IF(
    OR(
      ISNUMBER(SEARCH(""CDM CASH DEPOSIT"",$C660)),
      ISNUMBER(S"&amp;"EARCH(""CASH DEPOSIT"",$C660))
    ),
    """",
    IFERROR(TEXTJOIN(CHAR(10),TRUE,FILTER('SUMMARY DATA'!H:H,'SUMMARY DATA'!$D:$D=$C660,'SUMMARY DATA'!$B:$B=""RWS"",'SUMMARY DATA'!$H:$H=$D660)),"""")
  )
)"),"")</f>
      </c>
      <c r="I660" s="18" t="str">
        <f>IFERROR(__xludf.DUMMYFUNCTION("IF(H660="""","""",
SUM(ARRAYFORMULA(VALUE(SPLIT(H660,CHAR(10)))))
)"),"")</f>
      </c>
      <c r="J660" s="17" t="str">
        <f>IFERROR(__xludf.DUMMYFUNCTION("IFERROR(
  TEXTJOIN(CHAR(10),TRUE,FILTER('SUMMARY DATA'!I:I,'SUMMARY DATA'!$A:$A=$A660,'SUMMARY DATA'!$C:$C=$B660,'SUMMARY DATA'!$B:$B=""RWS"")),
  IF(
    OR(
      ISNUMBER(SEARCH(""CDM CASH DEPOSIT"",$C660)),
      ISNUMBER(SEARCH(""CASH DEPOSIT"",$C66"&amp;"0)),
      COUNTIFS('SUMMARY DATA'!$D:$D,$C660,'SUMMARY DATA'!$B:$B,""RWS"")&lt;&gt;1
    ),
    """",
    IFERROR(TEXTJOIN(CHAR(10),TRUE,FILTER('SUMMARY DATA'!I:I,'SUMMARY DATA'!$D:$D=$C660,'SUMMARY DATA'!$B:$B=""RWS"")),"""")
  )
)"),"")</f>
      </c>
      <c r="K660" s="2"/>
      <c r="L660" s="2"/>
      <c r="M660" s="2"/>
      <c r="N660" s="2"/>
      <c r="O660" s="2"/>
      <c r="P660" s="2"/>
      <c r="Q660" s="2"/>
      <c r="R660" s="2"/>
      <c r="S660" s="2"/>
      <c r="T660" s="2"/>
      <c r="U660" s="2"/>
      <c r="V660" s="2"/>
      <c r="W660" s="2"/>
      <c r="X660" s="2"/>
      <c r="Y660" s="2"/>
      <c r="Z660" s="2"/>
      <c r="AA660" s="2"/>
      <c r="AB660" s="2"/>
    </row>
    <row r="661" spans="1:28" customHeight="true">
      <c r="A661" s="2"/>
      <c r="B661" s="15">
        <v>46040</v>
      </c>
      <c r="C661" s="2" t="s">
        <v>1070</v>
      </c>
      <c r="D661" s="3">
        <v>80.83</v>
      </c>
      <c r="E661" s="16" t="str">
        <f>IFERROR(__xludf.DUMMYFUNCTION("IFERROR(
  TEXTJOIN(CHAR(10),TRUE,FILTER('SUMMARY DATA'!E:E,'SUMMARY DATA'!$A:$A=$A661,'SUMMARY DATA'!$C:$C=$B661,'SUMMARY DATA'!$B:$B=""RWS"")),
  IF(
    OR(
      ISNUMBER(SEARCH(""CDM CASH DEPOSIT"",$C661)),
      ISNUMBER(SEARCH(""CASH DEPOSIT"",$C66"&amp;"1)),
      COUNTIFS('SUMMARY DATA'!$D:$D,$C661,'SUMMARY DATA'!$B:$B,""RWS"")&lt;&gt;1
    ),
    """",
    IFERROR(TEXTJOIN(CHAR(10),TRUE,FILTER('SUMMARY DATA'!E:E,'SUMMARY DATA'!$D:$D=$C661,'SUMMARY DATA'!$B:$B=""RWS"")),"""")
  )
)"),"")</f>
      </c>
      <c r="F661" s="17" t="str">
        <f>IFERROR(__xludf.DUMMYFUNCTION("IFERROR(
  TEXTJOIN(CHAR(10),TRUE,FILTER('SUMMARY DATA'!F:F,'SUMMARY DATA'!$A:$A=$A661,'SUMMARY DATA'!$C:$C=$B661,'SUMMARY DATA'!$B:$B=""RWS"")),
  IF(
    OR(
      ISNUMBER(SEARCH(""CDM CASH DEPOSIT"",$C661)),
      ISNUMBER(SEARCH(""CASH DEPOSIT"",$C66"&amp;"1)),
      COUNTIFS('SUMMARY DATA'!$D:$D,$C661,'SUMMARY DATA'!$B:$B,""RWS"")&lt;&gt;1
    ),
    """",
    IFERROR(TEXTJOIN(CHAR(10),TRUE,FILTER('SUMMARY DATA'!F:F,'SUMMARY DATA'!$D:$D=$C661,'SUMMARY DATA'!$B:$B=""RWS"")),"""")
  )
)"),"")</f>
      </c>
      <c r="G661" s="17" t="str">
        <f>IFERROR(__xludf.DUMMYFUNCTION("IFERROR(
  TEXTJOIN(CHAR(10),TRUE,FILTER('SUMMARY DATA'!G:G,'SUMMARY DATA'!$A:$A=$A661,'SUMMARY DATA'!$C:$C=$B661,'SUMMARY DATA'!$B:$B=""RWS"")),
  IF(
    OR(
      ISNUMBER(SEARCH(""CDM CASH DEPOSIT"",$C661)),
      ISNUMBER(SEARCH(""CASH DEPOSIT"",$C66"&amp;"1)),
      COUNTIFS('SUMMARY DATA'!$D:$D,$C661,'SUMMARY DATA'!$B:$B,""RWS"")&lt;&gt;1
    ),
    """",
    IFERROR(TEXTJOIN(CHAR(10),TRUE,FILTER('SUMMARY DATA'!G:G,'SUMMARY DATA'!$D:$D=$C661,'SUMMARY DATA'!$B:$B=""RWS"")),"""")
  )
)"),"")</f>
      </c>
      <c r="H661" s="18" t="str">
        <f>IFERROR(__xludf.DUMMYFUNCTION("IFERROR(
  TEXTJOIN(CHAR(10),TRUE,FILTER('SUMMARY DATA'!H:H,'SUMMARY DATA'!$A:$A=$A661,'SUMMARY DATA'!$C:$C=$B661,'SUMMARY DATA'!$B:$B=""RWS"",'SUMMARY DATA'!$H:$H=$D661)),
  IF(
    OR(
      ISNUMBER(SEARCH(""CDM CASH DEPOSIT"",$C661)),
      ISNUMBER(S"&amp;"EARCH(""CASH DEPOSIT"",$C661))
    ),
    """",
    IFERROR(TEXTJOIN(CHAR(10),TRUE,FILTER('SUMMARY DATA'!H:H,'SUMMARY DATA'!$D:$D=$C661,'SUMMARY DATA'!$B:$B=""RWS"",'SUMMARY DATA'!$H:$H=$D661)),"""")
  )
)"),"")</f>
      </c>
      <c r="I661" s="18" t="str">
        <f>IFERROR(__xludf.DUMMYFUNCTION("IF(H661="""","""",
SUM(ARRAYFORMULA(VALUE(SPLIT(H661,CHAR(10)))))
)"),"")</f>
      </c>
      <c r="J661" s="17" t="str">
        <f>IFERROR(__xludf.DUMMYFUNCTION("IFERROR(
  TEXTJOIN(CHAR(10),TRUE,FILTER('SUMMARY DATA'!I:I,'SUMMARY DATA'!$A:$A=$A661,'SUMMARY DATA'!$C:$C=$B661,'SUMMARY DATA'!$B:$B=""RWS"")),
  IF(
    OR(
      ISNUMBER(SEARCH(""CDM CASH DEPOSIT"",$C661)),
      ISNUMBER(SEARCH(""CASH DEPOSIT"",$C66"&amp;"1)),
      COUNTIFS('SUMMARY DATA'!$D:$D,$C661,'SUMMARY DATA'!$B:$B,""RWS"")&lt;&gt;1
    ),
    """",
    IFERROR(TEXTJOIN(CHAR(10),TRUE,FILTER('SUMMARY DATA'!I:I,'SUMMARY DATA'!$D:$D=$C661,'SUMMARY DATA'!$B:$B=""RWS"")),"""")
  )
)"),"")</f>
      </c>
      <c r="K661" s="2"/>
      <c r="L661" s="2"/>
      <c r="M661" s="2"/>
      <c r="N661" s="2"/>
      <c r="O661" s="2"/>
      <c r="P661" s="2"/>
      <c r="Q661" s="2"/>
      <c r="R661" s="2"/>
      <c r="S661" s="2"/>
      <c r="T661" s="2"/>
      <c r="U661" s="2"/>
      <c r="V661" s="2"/>
      <c r="W661" s="2"/>
      <c r="X661" s="2"/>
      <c r="Y661" s="2"/>
      <c r="Z661" s="2"/>
      <c r="AA661" s="2"/>
      <c r="AB661" s="2"/>
    </row>
    <row r="662" spans="1:28" customHeight="true">
      <c r="A662" s="2" t="s">
        <v>1071</v>
      </c>
      <c r="B662" s="15">
        <v>46039</v>
      </c>
      <c r="C662" s="2" t="s">
        <v>1072</v>
      </c>
      <c r="D662" s="3">
        <v>5</v>
      </c>
      <c r="E662" s="16" t="str">
        <f>IFERROR(__xludf.DUMMYFUNCTION("IFERROR(
  TEXTJOIN(CHAR(10),TRUE,FILTER('SUMMARY DATA'!E:E,'SUMMARY DATA'!$A:$A=$A662,'SUMMARY DATA'!$C:$C=$B662,'SUMMARY DATA'!$B:$B=""RWS"")),
  IF(
    OR(
      ISNUMBER(SEARCH(""CDM CASH DEPOSIT"",$C662)),
      ISNUMBER(SEARCH(""CASH DEPOSIT"",$C66"&amp;"2)),
      COUNTIFS('SUMMARY DATA'!$D:$D,$C662,'SUMMARY DATA'!$B:$B,""RWS"")&lt;&gt;1
    ),
    """",
    IFERROR(TEXTJOIN(CHAR(10),TRUE,FILTER('SUMMARY DATA'!E:E,'SUMMARY DATA'!$D:$D=$C662,'SUMMARY DATA'!$B:$B=""RWS"")),"""")
  )
)"),"")</f>
      </c>
      <c r="F662" s="17" t="str">
        <f>IFERROR(__xludf.DUMMYFUNCTION("IFERROR(
  TEXTJOIN(CHAR(10),TRUE,FILTER('SUMMARY DATA'!F:F,'SUMMARY DATA'!$A:$A=$A662,'SUMMARY DATA'!$C:$C=$B662,'SUMMARY DATA'!$B:$B=""RWS"")),
  IF(
    OR(
      ISNUMBER(SEARCH(""CDM CASH DEPOSIT"",$C662)),
      ISNUMBER(SEARCH(""CASH DEPOSIT"",$C66"&amp;"2)),
      COUNTIFS('SUMMARY DATA'!$D:$D,$C662,'SUMMARY DATA'!$B:$B,""RWS"")&lt;&gt;1
    ),
    """",
    IFERROR(TEXTJOIN(CHAR(10),TRUE,FILTER('SUMMARY DATA'!F:F,'SUMMARY DATA'!$D:$D=$C662,'SUMMARY DATA'!$B:$B=""RWS"")),"""")
  )
)"),"")</f>
      </c>
      <c r="G662" s="17" t="str">
        <f>IFERROR(__xludf.DUMMYFUNCTION("IFERROR(
  TEXTJOIN(CHAR(10),TRUE,FILTER('SUMMARY DATA'!G:G,'SUMMARY DATA'!$A:$A=$A662,'SUMMARY DATA'!$C:$C=$B662,'SUMMARY DATA'!$B:$B=""RWS"")),
  IF(
    OR(
      ISNUMBER(SEARCH(""CDM CASH DEPOSIT"",$C662)),
      ISNUMBER(SEARCH(""CASH DEPOSIT"",$C66"&amp;"2)),
      COUNTIFS('SUMMARY DATA'!$D:$D,$C662,'SUMMARY DATA'!$B:$B,""RWS"")&lt;&gt;1
    ),
    """",
    IFERROR(TEXTJOIN(CHAR(10),TRUE,FILTER('SUMMARY DATA'!G:G,'SUMMARY DATA'!$D:$D=$C662,'SUMMARY DATA'!$B:$B=""RWS"")),"""")
  )
)"),"")</f>
      </c>
      <c r="H662" s="18" t="str">
        <f>IFERROR(__xludf.DUMMYFUNCTION("IFERROR(
  TEXTJOIN(CHAR(10),TRUE,FILTER('SUMMARY DATA'!H:H,'SUMMARY DATA'!$A:$A=$A662,'SUMMARY DATA'!$C:$C=$B662,'SUMMARY DATA'!$B:$B=""RWS"",'SUMMARY DATA'!$H:$H=$D662)),
  IF(
    OR(
      ISNUMBER(SEARCH(""CDM CASH DEPOSIT"",$C662)),
      ISNUMBER(S"&amp;"EARCH(""CASH DEPOSIT"",$C662))
    ),
    """",
    IFERROR(TEXTJOIN(CHAR(10),TRUE,FILTER('SUMMARY DATA'!H:H,'SUMMARY DATA'!$D:$D=$C662,'SUMMARY DATA'!$B:$B=""RWS"",'SUMMARY DATA'!$H:$H=$D662)),"""")
  )
)"),"")</f>
      </c>
      <c r="I662" s="18" t="str">
        <f>IFERROR(__xludf.DUMMYFUNCTION("IF(H662="""","""",
SUM(ARRAYFORMULA(VALUE(SPLIT(H662,CHAR(10)))))
)"),"")</f>
      </c>
      <c r="J662" s="17" t="str">
        <f>IFERROR(__xludf.DUMMYFUNCTION("IFERROR(
  TEXTJOIN(CHAR(10),TRUE,FILTER('SUMMARY DATA'!I:I,'SUMMARY DATA'!$A:$A=$A662,'SUMMARY DATA'!$C:$C=$B662,'SUMMARY DATA'!$B:$B=""RWS"")),
  IF(
    OR(
      ISNUMBER(SEARCH(""CDM CASH DEPOSIT"",$C662)),
      ISNUMBER(SEARCH(""CASH DEPOSIT"",$C66"&amp;"2)),
      COUNTIFS('SUMMARY DATA'!$D:$D,$C662,'SUMMARY DATA'!$B:$B,""RWS"")&lt;&gt;1
    ),
    """",
    IFERROR(TEXTJOIN(CHAR(10),TRUE,FILTER('SUMMARY DATA'!I:I,'SUMMARY DATA'!$D:$D=$C662,'SUMMARY DATA'!$B:$B=""RWS"")),"""")
  )
)"),"")</f>
      </c>
      <c r="K662" s="2"/>
      <c r="L662" s="2"/>
      <c r="M662" s="2"/>
      <c r="N662" s="2"/>
      <c r="O662" s="2"/>
      <c r="P662" s="2"/>
      <c r="Q662" s="2"/>
      <c r="R662" s="2"/>
      <c r="S662" s="2"/>
      <c r="T662" s="2"/>
      <c r="U662" s="2"/>
      <c r="V662" s="2"/>
      <c r="W662" s="2"/>
      <c r="X662" s="2"/>
      <c r="Y662" s="2"/>
      <c r="Z662" s="2"/>
      <c r="AA662" s="2"/>
      <c r="AB662" s="2"/>
    </row>
    <row r="663" spans="1:28" customHeight="true">
      <c r="A663" s="2"/>
      <c r="B663" s="15">
        <v>46039</v>
      </c>
      <c r="C663" s="2" t="s">
        <v>1073</v>
      </c>
      <c r="D663" s="3">
        <v>32.29</v>
      </c>
      <c r="E663" s="16" t="str">
        <f>IFERROR(__xludf.DUMMYFUNCTION("IFERROR(
  TEXTJOIN(CHAR(10),TRUE,FILTER('SUMMARY DATA'!E:E,'SUMMARY DATA'!$A:$A=$A663,'SUMMARY DATA'!$C:$C=$B663,'SUMMARY DATA'!$B:$B=""RWS"")),
  IF(
    OR(
      ISNUMBER(SEARCH(""CDM CASH DEPOSIT"",$C663)),
      ISNUMBER(SEARCH(""CASH DEPOSIT"",$C66"&amp;"3)),
      COUNTIFS('SUMMARY DATA'!$D:$D,$C663,'SUMMARY DATA'!$B:$B,""RWS"")&lt;&gt;1
    ),
    """",
    IFERROR(TEXTJOIN(CHAR(10),TRUE,FILTER('SUMMARY DATA'!E:E,'SUMMARY DATA'!$D:$D=$C663,'SUMMARY DATA'!$B:$B=""RWS"")),"""")
  )
)"),"")</f>
      </c>
      <c r="F663" s="17" t="str">
        <f>IFERROR(__xludf.DUMMYFUNCTION("IFERROR(
  TEXTJOIN(CHAR(10),TRUE,FILTER('SUMMARY DATA'!F:F,'SUMMARY DATA'!$A:$A=$A663,'SUMMARY DATA'!$C:$C=$B663,'SUMMARY DATA'!$B:$B=""RWS"")),
  IF(
    OR(
      ISNUMBER(SEARCH(""CDM CASH DEPOSIT"",$C663)),
      ISNUMBER(SEARCH(""CASH DEPOSIT"",$C66"&amp;"3)),
      COUNTIFS('SUMMARY DATA'!$D:$D,$C663,'SUMMARY DATA'!$B:$B,""RWS"")&lt;&gt;1
    ),
    """",
    IFERROR(TEXTJOIN(CHAR(10),TRUE,FILTER('SUMMARY DATA'!F:F,'SUMMARY DATA'!$D:$D=$C663,'SUMMARY DATA'!$B:$B=""RWS"")),"""")
  )
)"),"")</f>
      </c>
      <c r="G663" s="17" t="str">
        <f>IFERROR(__xludf.DUMMYFUNCTION("IFERROR(
  TEXTJOIN(CHAR(10),TRUE,FILTER('SUMMARY DATA'!G:G,'SUMMARY DATA'!$A:$A=$A663,'SUMMARY DATA'!$C:$C=$B663,'SUMMARY DATA'!$B:$B=""RWS"")),
  IF(
    OR(
      ISNUMBER(SEARCH(""CDM CASH DEPOSIT"",$C663)),
      ISNUMBER(SEARCH(""CASH DEPOSIT"",$C66"&amp;"3)),
      COUNTIFS('SUMMARY DATA'!$D:$D,$C663,'SUMMARY DATA'!$B:$B,""RWS"")&lt;&gt;1
    ),
    """",
    IFERROR(TEXTJOIN(CHAR(10),TRUE,FILTER('SUMMARY DATA'!G:G,'SUMMARY DATA'!$D:$D=$C663,'SUMMARY DATA'!$B:$B=""RWS"")),"""")
  )
)"),"")</f>
      </c>
      <c r="H663" s="18" t="str">
        <f>IFERROR(__xludf.DUMMYFUNCTION("IFERROR(
  TEXTJOIN(CHAR(10),TRUE,FILTER('SUMMARY DATA'!H:H,'SUMMARY DATA'!$A:$A=$A663,'SUMMARY DATA'!$C:$C=$B663,'SUMMARY DATA'!$B:$B=""RWS"",'SUMMARY DATA'!$H:$H=$D663)),
  IF(
    OR(
      ISNUMBER(SEARCH(""CDM CASH DEPOSIT"",$C663)),
      ISNUMBER(S"&amp;"EARCH(""CASH DEPOSIT"",$C663))
    ),
    """",
    IFERROR(TEXTJOIN(CHAR(10),TRUE,FILTER('SUMMARY DATA'!H:H,'SUMMARY DATA'!$D:$D=$C663,'SUMMARY DATA'!$B:$B=""RWS"",'SUMMARY DATA'!$H:$H=$D663)),"""")
  )
)"),"")</f>
      </c>
      <c r="I663" s="18" t="str">
        <f>IFERROR(__xludf.DUMMYFUNCTION("IF(H663="""","""",
SUM(ARRAYFORMULA(VALUE(SPLIT(H663,CHAR(10)))))
)"),"")</f>
      </c>
      <c r="J663" s="17" t="str">
        <f>IFERROR(__xludf.DUMMYFUNCTION("IFERROR(
  TEXTJOIN(CHAR(10),TRUE,FILTER('SUMMARY DATA'!I:I,'SUMMARY DATA'!$A:$A=$A663,'SUMMARY DATA'!$C:$C=$B663,'SUMMARY DATA'!$B:$B=""RWS"")),
  IF(
    OR(
      ISNUMBER(SEARCH(""CDM CASH DEPOSIT"",$C663)),
      ISNUMBER(SEARCH(""CASH DEPOSIT"",$C66"&amp;"3)),
      COUNTIFS('SUMMARY DATA'!$D:$D,$C663,'SUMMARY DATA'!$B:$B,""RWS"")&lt;&gt;1
    ),
    """",
    IFERROR(TEXTJOIN(CHAR(10),TRUE,FILTER('SUMMARY DATA'!I:I,'SUMMARY DATA'!$D:$D=$C663,'SUMMARY DATA'!$B:$B=""RWS"")),"""")
  )
)"),"")</f>
      </c>
      <c r="K663" s="2"/>
      <c r="L663" s="2"/>
      <c r="M663" s="2"/>
      <c r="N663" s="2"/>
      <c r="O663" s="2"/>
      <c r="P663" s="2"/>
      <c r="Q663" s="2"/>
      <c r="R663" s="2"/>
      <c r="S663" s="2"/>
      <c r="T663" s="2"/>
      <c r="U663" s="2"/>
      <c r="V663" s="2"/>
      <c r="W663" s="2"/>
      <c r="X663" s="2"/>
      <c r="Y663" s="2"/>
      <c r="Z663" s="2"/>
      <c r="AA663" s="2"/>
      <c r="AB663" s="2"/>
    </row>
    <row r="664" spans="1:28" customHeight="true">
      <c r="A664" s="2"/>
      <c r="B664" s="15">
        <v>46039</v>
      </c>
      <c r="C664" s="2" t="s">
        <v>1074</v>
      </c>
      <c r="D664" s="3">
        <v>200.92</v>
      </c>
      <c r="E664" s="16" t="str">
        <f>IFERROR(__xludf.DUMMYFUNCTION("IFERROR(
  TEXTJOIN(CHAR(10),TRUE,FILTER('SUMMARY DATA'!E:E,'SUMMARY DATA'!$A:$A=$A664,'SUMMARY DATA'!$C:$C=$B664,'SUMMARY DATA'!$B:$B=""RWS"")),
  IF(
    OR(
      ISNUMBER(SEARCH(""CDM CASH DEPOSIT"",$C664)),
      ISNUMBER(SEARCH(""CASH DEPOSIT"",$C66"&amp;"4)),
      COUNTIFS('SUMMARY DATA'!$D:$D,$C664,'SUMMARY DATA'!$B:$B,""RWS"")&lt;&gt;1
    ),
    """",
    IFERROR(TEXTJOIN(CHAR(10),TRUE,FILTER('SUMMARY DATA'!E:E,'SUMMARY DATA'!$D:$D=$C664,'SUMMARY DATA'!$B:$B=""RWS"")),"""")
  )
)"),"")</f>
      </c>
      <c r="F664" s="17" t="str">
        <f>IFERROR(__xludf.DUMMYFUNCTION("IFERROR(
  TEXTJOIN(CHAR(10),TRUE,FILTER('SUMMARY DATA'!F:F,'SUMMARY DATA'!$A:$A=$A664,'SUMMARY DATA'!$C:$C=$B664,'SUMMARY DATA'!$B:$B=""RWS"")),
  IF(
    OR(
      ISNUMBER(SEARCH(""CDM CASH DEPOSIT"",$C664)),
      ISNUMBER(SEARCH(""CASH DEPOSIT"",$C66"&amp;"4)),
      COUNTIFS('SUMMARY DATA'!$D:$D,$C664,'SUMMARY DATA'!$B:$B,""RWS"")&lt;&gt;1
    ),
    """",
    IFERROR(TEXTJOIN(CHAR(10),TRUE,FILTER('SUMMARY DATA'!F:F,'SUMMARY DATA'!$D:$D=$C664,'SUMMARY DATA'!$B:$B=""RWS"")),"""")
  )
)"),"")</f>
      </c>
      <c r="G664" s="17" t="str">
        <f>IFERROR(__xludf.DUMMYFUNCTION("IFERROR(
  TEXTJOIN(CHAR(10),TRUE,FILTER('SUMMARY DATA'!G:G,'SUMMARY DATA'!$A:$A=$A664,'SUMMARY DATA'!$C:$C=$B664,'SUMMARY DATA'!$B:$B=""RWS"")),
  IF(
    OR(
      ISNUMBER(SEARCH(""CDM CASH DEPOSIT"",$C664)),
      ISNUMBER(SEARCH(""CASH DEPOSIT"",$C66"&amp;"4)),
      COUNTIFS('SUMMARY DATA'!$D:$D,$C664,'SUMMARY DATA'!$B:$B,""RWS"")&lt;&gt;1
    ),
    """",
    IFERROR(TEXTJOIN(CHAR(10),TRUE,FILTER('SUMMARY DATA'!G:G,'SUMMARY DATA'!$D:$D=$C664,'SUMMARY DATA'!$B:$B=""RWS"")),"""")
  )
)"),"")</f>
      </c>
      <c r="H664" s="18" t="str">
        <f>IFERROR(__xludf.DUMMYFUNCTION("IFERROR(
  TEXTJOIN(CHAR(10),TRUE,FILTER('SUMMARY DATA'!H:H,'SUMMARY DATA'!$A:$A=$A664,'SUMMARY DATA'!$C:$C=$B664,'SUMMARY DATA'!$B:$B=""RWS"",'SUMMARY DATA'!$H:$H=$D664)),
  IF(
    OR(
      ISNUMBER(SEARCH(""CDM CASH DEPOSIT"",$C664)),
      ISNUMBER(S"&amp;"EARCH(""CASH DEPOSIT"",$C664))
    ),
    """",
    IFERROR(TEXTJOIN(CHAR(10),TRUE,FILTER('SUMMARY DATA'!H:H,'SUMMARY DATA'!$D:$D=$C664,'SUMMARY DATA'!$B:$B=""RWS"",'SUMMARY DATA'!$H:$H=$D664)),"""")
  )
)"),"")</f>
      </c>
      <c r="I664" s="18" t="str">
        <f>IFERROR(__xludf.DUMMYFUNCTION("IF(H664="""","""",
SUM(ARRAYFORMULA(VALUE(SPLIT(H664,CHAR(10)))))
)"),"")</f>
      </c>
      <c r="J664" s="17" t="str">
        <f>IFERROR(__xludf.DUMMYFUNCTION("IFERROR(
  TEXTJOIN(CHAR(10),TRUE,FILTER('SUMMARY DATA'!I:I,'SUMMARY DATA'!$A:$A=$A664,'SUMMARY DATA'!$C:$C=$B664,'SUMMARY DATA'!$B:$B=""RWS"")),
  IF(
    OR(
      ISNUMBER(SEARCH(""CDM CASH DEPOSIT"",$C664)),
      ISNUMBER(SEARCH(""CASH DEPOSIT"",$C66"&amp;"4)),
      COUNTIFS('SUMMARY DATA'!$D:$D,$C664,'SUMMARY DATA'!$B:$B,""RWS"")&lt;&gt;1
    ),
    """",
    IFERROR(TEXTJOIN(CHAR(10),TRUE,FILTER('SUMMARY DATA'!I:I,'SUMMARY DATA'!$D:$D=$C664,'SUMMARY DATA'!$B:$B=""RWS"")),"""")
  )
)"),"")</f>
      </c>
      <c r="K664" s="2"/>
      <c r="L664" s="2"/>
      <c r="M664" s="2"/>
      <c r="N664" s="2"/>
      <c r="O664" s="2"/>
      <c r="P664" s="2"/>
      <c r="Q664" s="2"/>
      <c r="R664" s="2"/>
      <c r="S664" s="2"/>
      <c r="T664" s="2"/>
      <c r="U664" s="2"/>
      <c r="V664" s="2"/>
      <c r="W664" s="2"/>
      <c r="X664" s="2"/>
      <c r="Y664" s="2"/>
      <c r="Z664" s="2"/>
      <c r="AA664" s="2"/>
      <c r="AB664" s="2"/>
    </row>
    <row r="665" spans="1:28" customHeight="true">
      <c r="A665" s="2"/>
      <c r="B665" s="15">
        <v>46039</v>
      </c>
      <c r="C665" s="2" t="s">
        <v>1075</v>
      </c>
      <c r="D665" s="3">
        <v>100</v>
      </c>
      <c r="E665" s="16" t="str">
        <f>IFERROR(__xludf.DUMMYFUNCTION("IFERROR(
  TEXTJOIN(CHAR(10),TRUE,FILTER('SUMMARY DATA'!E:E,'SUMMARY DATA'!$A:$A=$A665,'SUMMARY DATA'!$C:$C=$B665,'SUMMARY DATA'!$B:$B=""RWS"")),
  IF(
    OR(
      ISNUMBER(SEARCH(""CDM CASH DEPOSIT"",$C665)),
      ISNUMBER(SEARCH(""CASH DEPOSIT"",$C66"&amp;"5)),
      COUNTIFS('SUMMARY DATA'!$D:$D,$C665,'SUMMARY DATA'!$B:$B,""RWS"")&lt;&gt;1
    ),
    """",
    IFERROR(TEXTJOIN(CHAR(10),TRUE,FILTER('SUMMARY DATA'!E:E,'SUMMARY DATA'!$D:$D=$C665,'SUMMARY DATA'!$B:$B=""RWS"")),"""")
  )
)"),"")</f>
      </c>
      <c r="F665" s="17" t="str">
        <f>IFERROR(__xludf.DUMMYFUNCTION("IFERROR(
  TEXTJOIN(CHAR(10),TRUE,FILTER('SUMMARY DATA'!F:F,'SUMMARY DATA'!$A:$A=$A665,'SUMMARY DATA'!$C:$C=$B665,'SUMMARY DATA'!$B:$B=""RWS"")),
  IF(
    OR(
      ISNUMBER(SEARCH(""CDM CASH DEPOSIT"",$C665)),
      ISNUMBER(SEARCH(""CASH DEPOSIT"",$C66"&amp;"5)),
      COUNTIFS('SUMMARY DATA'!$D:$D,$C665,'SUMMARY DATA'!$B:$B,""RWS"")&lt;&gt;1
    ),
    """",
    IFERROR(TEXTJOIN(CHAR(10),TRUE,FILTER('SUMMARY DATA'!F:F,'SUMMARY DATA'!$D:$D=$C665,'SUMMARY DATA'!$B:$B=""RWS"")),"""")
  )
)"),"")</f>
      </c>
      <c r="G665" s="17" t="str">
        <f>IFERROR(__xludf.DUMMYFUNCTION("IFERROR(
  TEXTJOIN(CHAR(10),TRUE,FILTER('SUMMARY DATA'!G:G,'SUMMARY DATA'!$A:$A=$A665,'SUMMARY DATA'!$C:$C=$B665,'SUMMARY DATA'!$B:$B=""RWS"")),
  IF(
    OR(
      ISNUMBER(SEARCH(""CDM CASH DEPOSIT"",$C665)),
      ISNUMBER(SEARCH(""CASH DEPOSIT"",$C66"&amp;"5)),
      COUNTIFS('SUMMARY DATA'!$D:$D,$C665,'SUMMARY DATA'!$B:$B,""RWS"")&lt;&gt;1
    ),
    """",
    IFERROR(TEXTJOIN(CHAR(10),TRUE,FILTER('SUMMARY DATA'!G:G,'SUMMARY DATA'!$D:$D=$C665,'SUMMARY DATA'!$B:$B=""RWS"")),"""")
  )
)"),"")</f>
      </c>
      <c r="H665" s="18" t="str">
        <f>IFERROR(__xludf.DUMMYFUNCTION("IFERROR(
  TEXTJOIN(CHAR(10),TRUE,FILTER('SUMMARY DATA'!H:H,'SUMMARY DATA'!$A:$A=$A665,'SUMMARY DATA'!$C:$C=$B665,'SUMMARY DATA'!$B:$B=""RWS"",'SUMMARY DATA'!$H:$H=$D665)),
  IF(
    OR(
      ISNUMBER(SEARCH(""CDM CASH DEPOSIT"",$C665)),
      ISNUMBER(S"&amp;"EARCH(""CASH DEPOSIT"",$C665))
    ),
    """",
    IFERROR(TEXTJOIN(CHAR(10),TRUE,FILTER('SUMMARY DATA'!H:H,'SUMMARY DATA'!$D:$D=$C665,'SUMMARY DATA'!$B:$B=""RWS"",'SUMMARY DATA'!$H:$H=$D665)),"""")
  )
)"),"")</f>
      </c>
      <c r="I665" s="18" t="str">
        <f>IFERROR(__xludf.DUMMYFUNCTION("IF(H665="""","""",
SUM(ARRAYFORMULA(VALUE(SPLIT(H665,CHAR(10)))))
)"),"")</f>
      </c>
      <c r="J665" s="17" t="str">
        <f>IFERROR(__xludf.DUMMYFUNCTION("IFERROR(
  TEXTJOIN(CHAR(10),TRUE,FILTER('SUMMARY DATA'!I:I,'SUMMARY DATA'!$A:$A=$A665,'SUMMARY DATA'!$C:$C=$B665,'SUMMARY DATA'!$B:$B=""RWS"")),
  IF(
    OR(
      ISNUMBER(SEARCH(""CDM CASH DEPOSIT"",$C665)),
      ISNUMBER(SEARCH(""CASH DEPOSIT"",$C66"&amp;"5)),
      COUNTIFS('SUMMARY DATA'!$D:$D,$C665,'SUMMARY DATA'!$B:$B,""RWS"")&lt;&gt;1
    ),
    """",
    IFERROR(TEXTJOIN(CHAR(10),TRUE,FILTER('SUMMARY DATA'!I:I,'SUMMARY DATA'!$D:$D=$C665,'SUMMARY DATA'!$B:$B=""RWS"")),"""")
  )
)"),"")</f>
      </c>
      <c r="K665" s="2"/>
      <c r="L665" s="2"/>
      <c r="M665" s="2"/>
      <c r="N665" s="2"/>
      <c r="O665" s="2"/>
      <c r="P665" s="2"/>
      <c r="Q665" s="2"/>
      <c r="R665" s="2"/>
      <c r="S665" s="2"/>
      <c r="T665" s="2"/>
      <c r="U665" s="2"/>
      <c r="V665" s="2"/>
      <c r="W665" s="2"/>
      <c r="X665" s="2"/>
      <c r="Y665" s="2"/>
      <c r="Z665" s="2"/>
      <c r="AA665" s="2"/>
      <c r="AB665" s="2"/>
    </row>
    <row r="666" spans="1:28" customHeight="true">
      <c r="A666" s="2"/>
      <c r="B666" s="15">
        <v>46039</v>
      </c>
      <c r="C666" s="2" t="s">
        <v>1076</v>
      </c>
      <c r="D666" s="3">
        <v>136.99</v>
      </c>
      <c r="E666" s="16" t="str">
        <f>IFERROR(__xludf.DUMMYFUNCTION("IFERROR(
  TEXTJOIN(CHAR(10),TRUE,FILTER('SUMMARY DATA'!E:E,'SUMMARY DATA'!$A:$A=$A666,'SUMMARY DATA'!$C:$C=$B666,'SUMMARY DATA'!$B:$B=""RWS"")),
  IF(
    OR(
      ISNUMBER(SEARCH(""CDM CASH DEPOSIT"",$C666)),
      ISNUMBER(SEARCH(""CASH DEPOSIT"",$C66"&amp;"6)),
      COUNTIFS('SUMMARY DATA'!$D:$D,$C666,'SUMMARY DATA'!$B:$B,""RWS"")&lt;&gt;1
    ),
    """",
    IFERROR(TEXTJOIN(CHAR(10),TRUE,FILTER('SUMMARY DATA'!E:E,'SUMMARY DATA'!$D:$D=$C666,'SUMMARY DATA'!$B:$B=""RWS"")),"""")
  )
)"),"")</f>
      </c>
      <c r="F666" s="17" t="str">
        <f>IFERROR(__xludf.DUMMYFUNCTION("IFERROR(
  TEXTJOIN(CHAR(10),TRUE,FILTER('SUMMARY DATA'!F:F,'SUMMARY DATA'!$A:$A=$A666,'SUMMARY DATA'!$C:$C=$B666,'SUMMARY DATA'!$B:$B=""RWS"")),
  IF(
    OR(
      ISNUMBER(SEARCH(""CDM CASH DEPOSIT"",$C666)),
      ISNUMBER(SEARCH(""CASH DEPOSIT"",$C66"&amp;"6)),
      COUNTIFS('SUMMARY DATA'!$D:$D,$C666,'SUMMARY DATA'!$B:$B,""RWS"")&lt;&gt;1
    ),
    """",
    IFERROR(TEXTJOIN(CHAR(10),TRUE,FILTER('SUMMARY DATA'!F:F,'SUMMARY DATA'!$D:$D=$C666,'SUMMARY DATA'!$B:$B=""RWS"")),"""")
  )
)"),"")</f>
      </c>
      <c r="G666" s="17" t="str">
        <f>IFERROR(__xludf.DUMMYFUNCTION("IFERROR(
  TEXTJOIN(CHAR(10),TRUE,FILTER('SUMMARY DATA'!G:G,'SUMMARY DATA'!$A:$A=$A666,'SUMMARY DATA'!$C:$C=$B666,'SUMMARY DATA'!$B:$B=""RWS"")),
  IF(
    OR(
      ISNUMBER(SEARCH(""CDM CASH DEPOSIT"",$C666)),
      ISNUMBER(SEARCH(""CASH DEPOSIT"",$C66"&amp;"6)),
      COUNTIFS('SUMMARY DATA'!$D:$D,$C666,'SUMMARY DATA'!$B:$B,""RWS"")&lt;&gt;1
    ),
    """",
    IFERROR(TEXTJOIN(CHAR(10),TRUE,FILTER('SUMMARY DATA'!G:G,'SUMMARY DATA'!$D:$D=$C666,'SUMMARY DATA'!$B:$B=""RWS"")),"""")
  )
)"),"")</f>
      </c>
      <c r="H666" s="18" t="str">
        <f>IFERROR(__xludf.DUMMYFUNCTION("IFERROR(
  TEXTJOIN(CHAR(10),TRUE,FILTER('SUMMARY DATA'!H:H,'SUMMARY DATA'!$A:$A=$A666,'SUMMARY DATA'!$C:$C=$B666,'SUMMARY DATA'!$B:$B=""RWS"",'SUMMARY DATA'!$H:$H=$D666)),
  IF(
    OR(
      ISNUMBER(SEARCH(""CDM CASH DEPOSIT"",$C666)),
      ISNUMBER(S"&amp;"EARCH(""CASH DEPOSIT"",$C666))
    ),
    """",
    IFERROR(TEXTJOIN(CHAR(10),TRUE,FILTER('SUMMARY DATA'!H:H,'SUMMARY DATA'!$D:$D=$C666,'SUMMARY DATA'!$B:$B=""RWS"",'SUMMARY DATA'!$H:$H=$D666)),"""")
  )
)"),"")</f>
      </c>
      <c r="I666" s="18" t="str">
        <f>IFERROR(__xludf.DUMMYFUNCTION("IF(H666="""","""",
SUM(ARRAYFORMULA(VALUE(SPLIT(H666,CHAR(10)))))
)"),"")</f>
      </c>
      <c r="J666" s="17" t="str">
        <f>IFERROR(__xludf.DUMMYFUNCTION("IFERROR(
  TEXTJOIN(CHAR(10),TRUE,FILTER('SUMMARY DATA'!I:I,'SUMMARY DATA'!$A:$A=$A666,'SUMMARY DATA'!$C:$C=$B666,'SUMMARY DATA'!$B:$B=""RWS"")),
  IF(
    OR(
      ISNUMBER(SEARCH(""CDM CASH DEPOSIT"",$C666)),
      ISNUMBER(SEARCH(""CASH DEPOSIT"",$C66"&amp;"6)),
      COUNTIFS('SUMMARY DATA'!$D:$D,$C666,'SUMMARY DATA'!$B:$B,""RWS"")&lt;&gt;1
    ),
    """",
    IFERROR(TEXTJOIN(CHAR(10),TRUE,FILTER('SUMMARY DATA'!I:I,'SUMMARY DATA'!$D:$D=$C666,'SUMMARY DATA'!$B:$B=""RWS"")),"""")
  )
)"),"")</f>
      </c>
      <c r="K666" s="2"/>
      <c r="L666" s="2"/>
      <c r="M666" s="2"/>
      <c r="N666" s="2"/>
      <c r="O666" s="2"/>
      <c r="P666" s="2"/>
      <c r="Q666" s="2"/>
      <c r="R666" s="2"/>
      <c r="S666" s="2"/>
      <c r="T666" s="2"/>
      <c r="U666" s="2"/>
      <c r="V666" s="2"/>
      <c r="W666" s="2"/>
      <c r="X666" s="2"/>
      <c r="Y666" s="2"/>
      <c r="Z666" s="2"/>
      <c r="AA666" s="2"/>
      <c r="AB666" s="2"/>
    </row>
    <row r="667" spans="1:28" customHeight="true">
      <c r="A667" s="2" t="s">
        <v>1077</v>
      </c>
      <c r="B667" s="15">
        <v>46038</v>
      </c>
      <c r="C667" s="2" t="s">
        <v>1078</v>
      </c>
      <c r="D667" s="3">
        <v>144</v>
      </c>
      <c r="E667" s="16" t="str">
        <f>IFERROR(__xludf.DUMMYFUNCTION("IFERROR(
  TEXTJOIN(CHAR(10),TRUE,FILTER('SUMMARY DATA'!E:E,'SUMMARY DATA'!$A:$A=$A667,'SUMMARY DATA'!$C:$C=$B667,'SUMMARY DATA'!$B:$B=""RWS"")),
  IF(
    OR(
      ISNUMBER(SEARCH(""CDM CASH DEPOSIT"",$C667)),
      ISNUMBER(SEARCH(""CASH DEPOSIT"",$C66"&amp;"7)),
      COUNTIFS('SUMMARY DATA'!$D:$D,$C667,'SUMMARY DATA'!$B:$B,""RWS"")&lt;&gt;1
    ),
    """",
    IFERROR(TEXTJOIN(CHAR(10),TRUE,FILTER('SUMMARY DATA'!E:E,'SUMMARY DATA'!$D:$D=$C667,'SUMMARY DATA'!$B:$B=""RWS"")),"""")
  )
)"),"")</f>
      </c>
      <c r="F667" s="17" t="str">
        <f>IFERROR(__xludf.DUMMYFUNCTION("IFERROR(
  TEXTJOIN(CHAR(10),TRUE,FILTER('SUMMARY DATA'!F:F,'SUMMARY DATA'!$A:$A=$A667,'SUMMARY DATA'!$C:$C=$B667,'SUMMARY DATA'!$B:$B=""RWS"")),
  IF(
    OR(
      ISNUMBER(SEARCH(""CDM CASH DEPOSIT"",$C667)),
      ISNUMBER(SEARCH(""CASH DEPOSIT"",$C66"&amp;"7)),
      COUNTIFS('SUMMARY DATA'!$D:$D,$C667,'SUMMARY DATA'!$B:$B,""RWS"")&lt;&gt;1
    ),
    """",
    IFERROR(TEXTJOIN(CHAR(10),TRUE,FILTER('SUMMARY DATA'!F:F,'SUMMARY DATA'!$D:$D=$C667,'SUMMARY DATA'!$B:$B=""RWS"")),"""")
  )
)"),"")</f>
      </c>
      <c r="G667" s="17" t="str">
        <f>IFERROR(__xludf.DUMMYFUNCTION("IFERROR(
  TEXTJOIN(CHAR(10),TRUE,FILTER('SUMMARY DATA'!G:G,'SUMMARY DATA'!$A:$A=$A667,'SUMMARY DATA'!$C:$C=$B667,'SUMMARY DATA'!$B:$B=""RWS"")),
  IF(
    OR(
      ISNUMBER(SEARCH(""CDM CASH DEPOSIT"",$C667)),
      ISNUMBER(SEARCH(""CASH DEPOSIT"",$C66"&amp;"7)),
      COUNTIFS('SUMMARY DATA'!$D:$D,$C667,'SUMMARY DATA'!$B:$B,""RWS"")&lt;&gt;1
    ),
    """",
    IFERROR(TEXTJOIN(CHAR(10),TRUE,FILTER('SUMMARY DATA'!G:G,'SUMMARY DATA'!$D:$D=$C667,'SUMMARY DATA'!$B:$B=""RWS"")),"""")
  )
)"),"")</f>
      </c>
      <c r="H667" s="18" t="str">
        <f>IFERROR(__xludf.DUMMYFUNCTION("IFERROR(
  TEXTJOIN(CHAR(10),TRUE,FILTER('SUMMARY DATA'!H:H,'SUMMARY DATA'!$A:$A=$A667,'SUMMARY DATA'!$C:$C=$B667,'SUMMARY DATA'!$B:$B=""RWS"",'SUMMARY DATA'!$H:$H=$D667)),
  IF(
    OR(
      ISNUMBER(SEARCH(""CDM CASH DEPOSIT"",$C667)),
      ISNUMBER(S"&amp;"EARCH(""CASH DEPOSIT"",$C667))
    ),
    """",
    IFERROR(TEXTJOIN(CHAR(10),TRUE,FILTER('SUMMARY DATA'!H:H,'SUMMARY DATA'!$D:$D=$C667,'SUMMARY DATA'!$B:$B=""RWS"",'SUMMARY DATA'!$H:$H=$D667)),"""")
  )
)"),"")</f>
      </c>
      <c r="I667" s="18" t="str">
        <f>IFERROR(__xludf.DUMMYFUNCTION("IF(H667="""","""",
SUM(ARRAYFORMULA(VALUE(SPLIT(H667,CHAR(10)))))
)"),"")</f>
      </c>
      <c r="J667" s="17" t="str">
        <f>IFERROR(__xludf.DUMMYFUNCTION("IFERROR(
  TEXTJOIN(CHAR(10),TRUE,FILTER('SUMMARY DATA'!I:I,'SUMMARY DATA'!$A:$A=$A667,'SUMMARY DATA'!$C:$C=$B667,'SUMMARY DATA'!$B:$B=""RWS"")),
  IF(
    OR(
      ISNUMBER(SEARCH(""CDM CASH DEPOSIT"",$C667)),
      ISNUMBER(SEARCH(""CASH DEPOSIT"",$C66"&amp;"7)),
      COUNTIFS('SUMMARY DATA'!$D:$D,$C667,'SUMMARY DATA'!$B:$B,""RWS"")&lt;&gt;1
    ),
    """",
    IFERROR(TEXTJOIN(CHAR(10),TRUE,FILTER('SUMMARY DATA'!I:I,'SUMMARY DATA'!$D:$D=$C667,'SUMMARY DATA'!$B:$B=""RWS"")),"""")
  )
)"),"")</f>
      </c>
      <c r="K667" s="2"/>
      <c r="L667" s="2"/>
      <c r="M667" s="2"/>
      <c r="N667" s="2"/>
      <c r="O667" s="2"/>
      <c r="P667" s="2"/>
      <c r="Q667" s="2"/>
      <c r="R667" s="2"/>
      <c r="S667" s="2"/>
      <c r="T667" s="2"/>
      <c r="U667" s="2"/>
      <c r="V667" s="2"/>
      <c r="W667" s="2"/>
      <c r="X667" s="2"/>
      <c r="Y667" s="2"/>
      <c r="Z667" s="2"/>
      <c r="AA667" s="2"/>
      <c r="AB667" s="2"/>
    </row>
    <row r="668" spans="1:28" customHeight="true">
      <c r="A668" s="2" t="s">
        <v>88</v>
      </c>
      <c r="B668" s="15">
        <v>46038</v>
      </c>
      <c r="C668" s="2" t="s">
        <v>1079</v>
      </c>
      <c r="D668" s="3">
        <v>149</v>
      </c>
      <c r="E668" s="16" t="str">
        <f>IFERROR(__xludf.DUMMYFUNCTION("IFERROR(
  TEXTJOIN(CHAR(10),TRUE,FILTER('SUMMARY DATA'!E:E,'SUMMARY DATA'!$A:$A=$A668,'SUMMARY DATA'!$C:$C=$B668,'SUMMARY DATA'!$B:$B=""RWS"")),
  IF(
    OR(
      ISNUMBER(SEARCH(""CDM CASH DEPOSIT"",$C668)),
      ISNUMBER(SEARCH(""CASH DEPOSIT"",$C66"&amp;"8)),
      COUNTIFS('SUMMARY DATA'!$D:$D,$C668,'SUMMARY DATA'!$B:$B,""RWS"")&lt;&gt;1
    ),
    """",
    IFERROR(TEXTJOIN(CHAR(10),TRUE,FILTER('SUMMARY DATA'!E:E,'SUMMARY DATA'!$D:$D=$C668,'SUMMARY DATA'!$B:$B=""RWS"")),"""")
  )
)"),"")</f>
      </c>
      <c r="F668" s="17" t="str">
        <f>IFERROR(__xludf.DUMMYFUNCTION("IFERROR(
  TEXTJOIN(CHAR(10),TRUE,FILTER('SUMMARY DATA'!F:F,'SUMMARY DATA'!$A:$A=$A668,'SUMMARY DATA'!$C:$C=$B668,'SUMMARY DATA'!$B:$B=""RWS"")),
  IF(
    OR(
      ISNUMBER(SEARCH(""CDM CASH DEPOSIT"",$C668)),
      ISNUMBER(SEARCH(""CASH DEPOSIT"",$C66"&amp;"8)),
      COUNTIFS('SUMMARY DATA'!$D:$D,$C668,'SUMMARY DATA'!$B:$B,""RWS"")&lt;&gt;1
    ),
    """",
    IFERROR(TEXTJOIN(CHAR(10),TRUE,FILTER('SUMMARY DATA'!F:F,'SUMMARY DATA'!$D:$D=$C668,'SUMMARY DATA'!$B:$B=""RWS"")),"""")
  )
)"),"")</f>
      </c>
      <c r="G668" s="17" t="str">
        <f>IFERROR(__xludf.DUMMYFUNCTION("IFERROR(
  TEXTJOIN(CHAR(10),TRUE,FILTER('SUMMARY DATA'!G:G,'SUMMARY DATA'!$A:$A=$A668,'SUMMARY DATA'!$C:$C=$B668,'SUMMARY DATA'!$B:$B=""RWS"")),
  IF(
    OR(
      ISNUMBER(SEARCH(""CDM CASH DEPOSIT"",$C668)),
      ISNUMBER(SEARCH(""CASH DEPOSIT"",$C66"&amp;"8)),
      COUNTIFS('SUMMARY DATA'!$D:$D,$C668,'SUMMARY DATA'!$B:$B,""RWS"")&lt;&gt;1
    ),
    """",
    IFERROR(TEXTJOIN(CHAR(10),TRUE,FILTER('SUMMARY DATA'!G:G,'SUMMARY DATA'!$D:$D=$C668,'SUMMARY DATA'!$B:$B=""RWS"")),"""")
  )
)"),"")</f>
      </c>
      <c r="H668" s="18" t="str">
        <f>IFERROR(__xludf.DUMMYFUNCTION("IFERROR(
  TEXTJOIN(CHAR(10),TRUE,FILTER('SUMMARY DATA'!H:H,'SUMMARY DATA'!$A:$A=$A668,'SUMMARY DATA'!$C:$C=$B668,'SUMMARY DATA'!$B:$B=""RWS"",'SUMMARY DATA'!$H:$H=$D668)),
  IF(
    OR(
      ISNUMBER(SEARCH(""CDM CASH DEPOSIT"",$C668)),
      ISNUMBER(S"&amp;"EARCH(""CASH DEPOSIT"",$C668))
    ),
    """",
    IFERROR(TEXTJOIN(CHAR(10),TRUE,FILTER('SUMMARY DATA'!H:H,'SUMMARY DATA'!$D:$D=$C668,'SUMMARY DATA'!$B:$B=""RWS"",'SUMMARY DATA'!$H:$H=$D668)),"""")
  )
)"),"")</f>
      </c>
      <c r="I668" s="18" t="str">
        <f>IFERROR(__xludf.DUMMYFUNCTION("IF(H668="""","""",
SUM(ARRAYFORMULA(VALUE(SPLIT(H668,CHAR(10)))))
)"),"")</f>
      </c>
      <c r="J668" s="17" t="str">
        <f>IFERROR(__xludf.DUMMYFUNCTION("IFERROR(
  TEXTJOIN(CHAR(10),TRUE,FILTER('SUMMARY DATA'!I:I,'SUMMARY DATA'!$A:$A=$A668,'SUMMARY DATA'!$C:$C=$B668,'SUMMARY DATA'!$B:$B=""RWS"")),
  IF(
    OR(
      ISNUMBER(SEARCH(""CDM CASH DEPOSIT"",$C668)),
      ISNUMBER(SEARCH(""CASH DEPOSIT"",$C66"&amp;"8)),
      COUNTIFS('SUMMARY DATA'!$D:$D,$C668,'SUMMARY DATA'!$B:$B,""RWS"")&lt;&gt;1
    ),
    """",
    IFERROR(TEXTJOIN(CHAR(10),TRUE,FILTER('SUMMARY DATA'!I:I,'SUMMARY DATA'!$D:$D=$C668,'SUMMARY DATA'!$B:$B=""RWS"")),"""")
  )
)"),"")</f>
      </c>
      <c r="K668" s="2"/>
      <c r="L668" s="2"/>
      <c r="M668" s="2"/>
      <c r="N668" s="2"/>
      <c r="O668" s="2"/>
      <c r="P668" s="2"/>
      <c r="Q668" s="2"/>
      <c r="R668" s="2"/>
      <c r="S668" s="2"/>
      <c r="T668" s="2"/>
      <c r="U668" s="2"/>
      <c r="V668" s="2"/>
      <c r="W668" s="2"/>
      <c r="X668" s="2"/>
      <c r="Y668" s="2"/>
      <c r="Z668" s="2"/>
      <c r="AA668" s="2"/>
      <c r="AB668" s="2"/>
    </row>
    <row r="669" spans="1:28" customHeight="true">
      <c r="A669" s="2" t="s">
        <v>88</v>
      </c>
      <c r="B669" s="15">
        <v>46038</v>
      </c>
      <c r="C669" s="2" t="s">
        <v>1079</v>
      </c>
      <c r="D669" s="3">
        <v>146.87</v>
      </c>
      <c r="E669" s="16" t="str">
        <f>IFERROR(__xludf.DUMMYFUNCTION("IFERROR(
  TEXTJOIN(CHAR(10),TRUE,FILTER('SUMMARY DATA'!E:E,'SUMMARY DATA'!$A:$A=$A669,'SUMMARY DATA'!$C:$C=$B669,'SUMMARY DATA'!$B:$B=""RWS"")),
  IF(
    OR(
      ISNUMBER(SEARCH(""CDM CASH DEPOSIT"",$C669)),
      ISNUMBER(SEARCH(""CASH DEPOSIT"",$C66"&amp;"9)),
      COUNTIFS('SUMMARY DATA'!$D:$D,$C669,'SUMMARY DATA'!$B:$B,""RWS"")&lt;&gt;1
    ),
    """",
    IFERROR(TEXTJOIN(CHAR(10),TRUE,FILTER('SUMMARY DATA'!E:E,'SUMMARY DATA'!$D:$D=$C669,'SUMMARY DATA'!$B:$B=""RWS"")),"""")
  )
)"),"")</f>
      </c>
      <c r="F669" s="17" t="str">
        <f>IFERROR(__xludf.DUMMYFUNCTION("IFERROR(
  TEXTJOIN(CHAR(10),TRUE,FILTER('SUMMARY DATA'!F:F,'SUMMARY DATA'!$A:$A=$A669,'SUMMARY DATA'!$C:$C=$B669,'SUMMARY DATA'!$B:$B=""RWS"")),
  IF(
    OR(
      ISNUMBER(SEARCH(""CDM CASH DEPOSIT"",$C669)),
      ISNUMBER(SEARCH(""CASH DEPOSIT"",$C66"&amp;"9)),
      COUNTIFS('SUMMARY DATA'!$D:$D,$C669,'SUMMARY DATA'!$B:$B,""RWS"")&lt;&gt;1
    ),
    """",
    IFERROR(TEXTJOIN(CHAR(10),TRUE,FILTER('SUMMARY DATA'!F:F,'SUMMARY DATA'!$D:$D=$C669,'SUMMARY DATA'!$B:$B=""RWS"")),"""")
  )
)"),"")</f>
      </c>
      <c r="G669" s="17" t="str">
        <f>IFERROR(__xludf.DUMMYFUNCTION("IFERROR(
  TEXTJOIN(CHAR(10),TRUE,FILTER('SUMMARY DATA'!G:G,'SUMMARY DATA'!$A:$A=$A669,'SUMMARY DATA'!$C:$C=$B669,'SUMMARY DATA'!$B:$B=""RWS"")),
  IF(
    OR(
      ISNUMBER(SEARCH(""CDM CASH DEPOSIT"",$C669)),
      ISNUMBER(SEARCH(""CASH DEPOSIT"",$C66"&amp;"9)),
      COUNTIFS('SUMMARY DATA'!$D:$D,$C669,'SUMMARY DATA'!$B:$B,""RWS"")&lt;&gt;1
    ),
    """",
    IFERROR(TEXTJOIN(CHAR(10),TRUE,FILTER('SUMMARY DATA'!G:G,'SUMMARY DATA'!$D:$D=$C669,'SUMMARY DATA'!$B:$B=""RWS"")),"""")
  )
)"),"")</f>
      </c>
      <c r="H669" s="18" t="str">
        <f>IFERROR(__xludf.DUMMYFUNCTION("IFERROR(
  TEXTJOIN(CHAR(10),TRUE,FILTER('SUMMARY DATA'!H:H,'SUMMARY DATA'!$A:$A=$A669,'SUMMARY DATA'!$C:$C=$B669,'SUMMARY DATA'!$B:$B=""RWS"",'SUMMARY DATA'!$H:$H=$D669)),
  IF(
    OR(
      ISNUMBER(SEARCH(""CDM CASH DEPOSIT"",$C669)),
      ISNUMBER(S"&amp;"EARCH(""CASH DEPOSIT"",$C669))
    ),
    """",
    IFERROR(TEXTJOIN(CHAR(10),TRUE,FILTER('SUMMARY DATA'!H:H,'SUMMARY DATA'!$D:$D=$C669,'SUMMARY DATA'!$B:$B=""RWS"",'SUMMARY DATA'!$H:$H=$D669)),"""")
  )
)"),"")</f>
      </c>
      <c r="I669" s="18" t="str">
        <f>IFERROR(__xludf.DUMMYFUNCTION("IF(H669="""","""",
SUM(ARRAYFORMULA(VALUE(SPLIT(H669,CHAR(10)))))
)"),"")</f>
      </c>
      <c r="J669" s="17" t="str">
        <f>IFERROR(__xludf.DUMMYFUNCTION("IFERROR(
  TEXTJOIN(CHAR(10),TRUE,FILTER('SUMMARY DATA'!I:I,'SUMMARY DATA'!$A:$A=$A669,'SUMMARY DATA'!$C:$C=$B669,'SUMMARY DATA'!$B:$B=""RWS"")),
  IF(
    OR(
      ISNUMBER(SEARCH(""CDM CASH DEPOSIT"",$C669)),
      ISNUMBER(SEARCH(""CASH DEPOSIT"",$C66"&amp;"9)),
      COUNTIFS('SUMMARY DATA'!$D:$D,$C669,'SUMMARY DATA'!$B:$B,""RWS"")&lt;&gt;1
    ),
    """",
    IFERROR(TEXTJOIN(CHAR(10),TRUE,FILTER('SUMMARY DATA'!I:I,'SUMMARY DATA'!$D:$D=$C669,'SUMMARY DATA'!$B:$B=""RWS"")),"""")
  )
)"),"")</f>
      </c>
      <c r="K669" s="2"/>
      <c r="L669" s="2"/>
      <c r="M669" s="2"/>
      <c r="N669" s="2"/>
      <c r="O669" s="2"/>
      <c r="P669" s="2"/>
      <c r="Q669" s="2"/>
      <c r="R669" s="2"/>
      <c r="S669" s="2"/>
      <c r="T669" s="2"/>
      <c r="U669" s="2"/>
      <c r="V669" s="2"/>
      <c r="W669" s="2"/>
      <c r="X669" s="2"/>
      <c r="Y669" s="2"/>
      <c r="Z669" s="2"/>
      <c r="AA669" s="2"/>
      <c r="AB669" s="2"/>
    </row>
    <row r="670" spans="1:28" customHeight="true">
      <c r="A670" s="2"/>
      <c r="B670" s="15">
        <v>46037</v>
      </c>
      <c r="C670" s="2" t="s">
        <v>1080</v>
      </c>
      <c r="D670" s="3">
        <v>40</v>
      </c>
      <c r="E670" s="16" t="str">
        <f>IFERROR(__xludf.DUMMYFUNCTION("IFERROR(
  TEXTJOIN(CHAR(10),TRUE,FILTER('SUMMARY DATA'!E:E,'SUMMARY DATA'!$A:$A=$A670,'SUMMARY DATA'!$C:$C=$B670,'SUMMARY DATA'!$B:$B=""RWS"")),
  IF(
    OR(
      ISNUMBER(SEARCH(""CDM CASH DEPOSIT"",$C670)),
      ISNUMBER(SEARCH(""CASH DEPOSIT"",$C67"&amp;"0)),
      COUNTIFS('SUMMARY DATA'!$D:$D,$C670,'SUMMARY DATA'!$B:$B,""RWS"")&lt;&gt;1
    ),
    """",
    IFERROR(TEXTJOIN(CHAR(10),TRUE,FILTER('SUMMARY DATA'!E:E,'SUMMARY DATA'!$D:$D=$C670,'SUMMARY DATA'!$B:$B=""RWS"")),"""")
  )
)"),"")</f>
      </c>
      <c r="F670" s="17" t="str">
        <f>IFERROR(__xludf.DUMMYFUNCTION("IFERROR(
  TEXTJOIN(CHAR(10),TRUE,FILTER('SUMMARY DATA'!F:F,'SUMMARY DATA'!$A:$A=$A670,'SUMMARY DATA'!$C:$C=$B670,'SUMMARY DATA'!$B:$B=""RWS"")),
  IF(
    OR(
      ISNUMBER(SEARCH(""CDM CASH DEPOSIT"",$C670)),
      ISNUMBER(SEARCH(""CASH DEPOSIT"",$C67"&amp;"0)),
      COUNTIFS('SUMMARY DATA'!$D:$D,$C670,'SUMMARY DATA'!$B:$B,""RWS"")&lt;&gt;1
    ),
    """",
    IFERROR(TEXTJOIN(CHAR(10),TRUE,FILTER('SUMMARY DATA'!F:F,'SUMMARY DATA'!$D:$D=$C670,'SUMMARY DATA'!$B:$B=""RWS"")),"""")
  )
)"),"")</f>
      </c>
      <c r="G670" s="17" t="str">
        <f>IFERROR(__xludf.DUMMYFUNCTION("IFERROR(
  TEXTJOIN(CHAR(10),TRUE,FILTER('SUMMARY DATA'!G:G,'SUMMARY DATA'!$A:$A=$A670,'SUMMARY DATA'!$C:$C=$B670,'SUMMARY DATA'!$B:$B=""RWS"")),
  IF(
    OR(
      ISNUMBER(SEARCH(""CDM CASH DEPOSIT"",$C670)),
      ISNUMBER(SEARCH(""CASH DEPOSIT"",$C67"&amp;"0)),
      COUNTIFS('SUMMARY DATA'!$D:$D,$C670,'SUMMARY DATA'!$B:$B,""RWS"")&lt;&gt;1
    ),
    """",
    IFERROR(TEXTJOIN(CHAR(10),TRUE,FILTER('SUMMARY DATA'!G:G,'SUMMARY DATA'!$D:$D=$C670,'SUMMARY DATA'!$B:$B=""RWS"")),"""")
  )
)"),"")</f>
      </c>
      <c r="H670" s="18" t="str">
        <f>IFERROR(__xludf.DUMMYFUNCTION("IFERROR(
  TEXTJOIN(CHAR(10),TRUE,FILTER('SUMMARY DATA'!H:H,'SUMMARY DATA'!$A:$A=$A670,'SUMMARY DATA'!$C:$C=$B670,'SUMMARY DATA'!$B:$B=""RWS"",'SUMMARY DATA'!$H:$H=$D670)),
  IF(
    OR(
      ISNUMBER(SEARCH(""CDM CASH DEPOSIT"",$C670)),
      ISNUMBER(S"&amp;"EARCH(""CASH DEPOSIT"",$C670))
    ),
    """",
    IFERROR(TEXTJOIN(CHAR(10),TRUE,FILTER('SUMMARY DATA'!H:H,'SUMMARY DATA'!$D:$D=$C670,'SUMMARY DATA'!$B:$B=""RWS"",'SUMMARY DATA'!$H:$H=$D670)),"""")
  )
)"),"")</f>
      </c>
      <c r="I670" s="18" t="str">
        <f>IFERROR(__xludf.DUMMYFUNCTION("IF(H670="""","""",
SUM(ARRAYFORMULA(VALUE(SPLIT(H670,CHAR(10)))))
)"),"")</f>
      </c>
      <c r="J670" s="17" t="str">
        <f>IFERROR(__xludf.DUMMYFUNCTION("IFERROR(
  TEXTJOIN(CHAR(10),TRUE,FILTER('SUMMARY DATA'!I:I,'SUMMARY DATA'!$A:$A=$A670,'SUMMARY DATA'!$C:$C=$B670,'SUMMARY DATA'!$B:$B=""RWS"")),
  IF(
    OR(
      ISNUMBER(SEARCH(""CDM CASH DEPOSIT"",$C670)),
      ISNUMBER(SEARCH(""CASH DEPOSIT"",$C67"&amp;"0)),
      COUNTIFS('SUMMARY DATA'!$D:$D,$C670,'SUMMARY DATA'!$B:$B,""RWS"")&lt;&gt;1
    ),
    """",
    IFERROR(TEXTJOIN(CHAR(10),TRUE,FILTER('SUMMARY DATA'!I:I,'SUMMARY DATA'!$D:$D=$C670,'SUMMARY DATA'!$B:$B=""RWS"")),"""")
  )
)"),"")</f>
      </c>
      <c r="K670" s="2"/>
      <c r="L670" s="2"/>
      <c r="M670" s="2"/>
      <c r="N670" s="2"/>
      <c r="O670" s="2"/>
      <c r="P670" s="2"/>
      <c r="Q670" s="2"/>
      <c r="R670" s="2"/>
      <c r="S670" s="2"/>
      <c r="T670" s="2"/>
      <c r="U670" s="2"/>
      <c r="V670" s="2"/>
      <c r="W670" s="2"/>
      <c r="X670" s="2"/>
      <c r="Y670" s="2"/>
      <c r="Z670" s="2"/>
      <c r="AA670" s="2"/>
      <c r="AB670" s="2"/>
    </row>
    <row r="671" spans="1:28" customHeight="true">
      <c r="A671" s="2" t="s">
        <v>1081</v>
      </c>
      <c r="B671" s="15">
        <v>46037</v>
      </c>
      <c r="C671" s="2" t="s">
        <v>1082</v>
      </c>
      <c r="D671" s="3">
        <v>105.38</v>
      </c>
      <c r="E671" s="16" t="s">
        <v>2444</v>
      </c>
      <c r="F671" s="17" t="s">
        <v>2627</v>
      </c>
      <c r="G671" s="17" t="s">
        <v>2393</v>
      </c>
      <c r="H671" s="18">
        <v>105.38</v>
      </c>
      <c r="I671" s="18">
        <v>105.38</v>
      </c>
      <c r="J671" s="17" t="s">
        <v>2394</v>
      </c>
      <c r="K671" s="2" t="s">
        <v>2395</v>
      </c>
      <c r="L671" s="2"/>
      <c r="M671" s="2"/>
      <c r="N671" s="2"/>
      <c r="O671" s="2"/>
      <c r="P671" s="2"/>
      <c r="Q671" s="2"/>
      <c r="R671" s="2"/>
      <c r="S671" s="2"/>
      <c r="T671" s="2"/>
      <c r="U671" s="2"/>
      <c r="V671" s="2"/>
      <c r="W671" s="2"/>
      <c r="X671" s="2"/>
      <c r="Y671" s="2"/>
      <c r="Z671" s="2"/>
      <c r="AA671" s="2"/>
      <c r="AB671" s="2"/>
    </row>
    <row r="672" spans="1:28" customHeight="true">
      <c r="A672" s="2" t="s">
        <v>1083</v>
      </c>
      <c r="B672" s="15">
        <v>46037</v>
      </c>
      <c r="C672" s="2" t="s">
        <v>1046</v>
      </c>
      <c r="D672" s="3">
        <v>215.16</v>
      </c>
      <c r="E672" s="16" t="s">
        <v>2444</v>
      </c>
      <c r="F672" s="17" t="s">
        <v>2628</v>
      </c>
      <c r="G672" s="17" t="s">
        <v>2393</v>
      </c>
      <c r="H672" s="18">
        <v>215.16</v>
      </c>
      <c r="I672" s="18">
        <v>215.16</v>
      </c>
      <c r="J672" s="17" t="s">
        <v>2394</v>
      </c>
      <c r="K672" s="2" t="s">
        <v>2395</v>
      </c>
      <c r="L672" s="2"/>
      <c r="M672" s="2"/>
      <c r="N672" s="2"/>
      <c r="O672" s="2"/>
      <c r="P672" s="2"/>
      <c r="Q672" s="2"/>
      <c r="R672" s="2"/>
      <c r="S672" s="2"/>
      <c r="T672" s="2"/>
      <c r="U672" s="2"/>
      <c r="V672" s="2"/>
      <c r="W672" s="2"/>
      <c r="X672" s="2"/>
      <c r="Y672" s="2"/>
      <c r="Z672" s="2"/>
      <c r="AA672" s="2"/>
      <c r="AB672" s="2"/>
    </row>
    <row r="673" spans="1:28" customHeight="true">
      <c r="A673" s="2" t="s">
        <v>1084</v>
      </c>
      <c r="B673" s="15">
        <v>46037</v>
      </c>
      <c r="C673" s="2" t="s">
        <v>1085</v>
      </c>
      <c r="D673" s="3">
        <v>267</v>
      </c>
      <c r="E673" s="16" t="str">
        <f>IFERROR(__xludf.DUMMYFUNCTION("IFERROR(
  TEXTJOIN(CHAR(10),TRUE,FILTER('SUMMARY DATA'!E:E,'SUMMARY DATA'!$A:$A=$A673,'SUMMARY DATA'!$C:$C=$B673,'SUMMARY DATA'!$B:$B=""RWS"")),
  IF(
    OR(
      ISNUMBER(SEARCH(""CDM CASH DEPOSIT"",$C673)),
      ISNUMBER(SEARCH(""CASH DEPOSIT"",$C67"&amp;"3)),
      COUNTIFS('SUMMARY DATA'!$D:$D,$C673,'SUMMARY DATA'!$B:$B,""RWS"")&lt;&gt;1
    ),
    """",
    IFERROR(TEXTJOIN(CHAR(10),TRUE,FILTER('SUMMARY DATA'!E:E,'SUMMARY DATA'!$D:$D=$C673,'SUMMARY DATA'!$B:$B=""RWS"")),"""")
  )
)"),"")</f>
      </c>
      <c r="F673" s="17" t="str">
        <f>IFERROR(__xludf.DUMMYFUNCTION("IFERROR(
  TEXTJOIN(CHAR(10),TRUE,FILTER('SUMMARY DATA'!F:F,'SUMMARY DATA'!$A:$A=$A673,'SUMMARY DATA'!$C:$C=$B673,'SUMMARY DATA'!$B:$B=""RWS"")),
  IF(
    OR(
      ISNUMBER(SEARCH(""CDM CASH DEPOSIT"",$C673)),
      ISNUMBER(SEARCH(""CASH DEPOSIT"",$C67"&amp;"3)),
      COUNTIFS('SUMMARY DATA'!$D:$D,$C673,'SUMMARY DATA'!$B:$B,""RWS"")&lt;&gt;1
    ),
    """",
    IFERROR(TEXTJOIN(CHAR(10),TRUE,FILTER('SUMMARY DATA'!F:F,'SUMMARY DATA'!$D:$D=$C673,'SUMMARY DATA'!$B:$B=""RWS"")),"""")
  )
)"),"")</f>
      </c>
      <c r="G673" s="17" t="str">
        <f>IFERROR(__xludf.DUMMYFUNCTION("IFERROR(
  TEXTJOIN(CHAR(10),TRUE,FILTER('SUMMARY DATA'!G:G,'SUMMARY DATA'!$A:$A=$A673,'SUMMARY DATA'!$C:$C=$B673,'SUMMARY DATA'!$B:$B=""RWS"")),
  IF(
    OR(
      ISNUMBER(SEARCH(""CDM CASH DEPOSIT"",$C673)),
      ISNUMBER(SEARCH(""CASH DEPOSIT"",$C67"&amp;"3)),
      COUNTIFS('SUMMARY DATA'!$D:$D,$C673,'SUMMARY DATA'!$B:$B,""RWS"")&lt;&gt;1
    ),
    """",
    IFERROR(TEXTJOIN(CHAR(10),TRUE,FILTER('SUMMARY DATA'!G:G,'SUMMARY DATA'!$D:$D=$C673,'SUMMARY DATA'!$B:$B=""RWS"")),"""")
  )
)"),"")</f>
      </c>
      <c r="H673" s="18" t="str">
        <f>IFERROR(__xludf.DUMMYFUNCTION("IFERROR(
  TEXTJOIN(CHAR(10),TRUE,FILTER('SUMMARY DATA'!H:H,'SUMMARY DATA'!$A:$A=$A673,'SUMMARY DATA'!$C:$C=$B673,'SUMMARY DATA'!$B:$B=""RWS"",'SUMMARY DATA'!$H:$H=$D673)),
  IF(
    OR(
      ISNUMBER(SEARCH(""CDM CASH DEPOSIT"",$C673)),
      ISNUMBER(S"&amp;"EARCH(""CASH DEPOSIT"",$C673))
    ),
    """",
    IFERROR(TEXTJOIN(CHAR(10),TRUE,FILTER('SUMMARY DATA'!H:H,'SUMMARY DATA'!$D:$D=$C673,'SUMMARY DATA'!$B:$B=""RWS"",'SUMMARY DATA'!$H:$H=$D673)),"""")
  )
)"),"")</f>
      </c>
      <c r="I673" s="18" t="str">
        <f>IFERROR(__xludf.DUMMYFUNCTION("IF(H673="""","""",
SUM(ARRAYFORMULA(VALUE(SPLIT(H673,CHAR(10)))))
)"),"")</f>
      </c>
      <c r="J673" s="17" t="str">
        <f>IFERROR(__xludf.DUMMYFUNCTION("IFERROR(
  TEXTJOIN(CHAR(10),TRUE,FILTER('SUMMARY DATA'!I:I,'SUMMARY DATA'!$A:$A=$A673,'SUMMARY DATA'!$C:$C=$B673,'SUMMARY DATA'!$B:$B=""RWS"")),
  IF(
    OR(
      ISNUMBER(SEARCH(""CDM CASH DEPOSIT"",$C673)),
      ISNUMBER(SEARCH(""CASH DEPOSIT"",$C67"&amp;"3)),
      COUNTIFS('SUMMARY DATA'!$D:$D,$C673,'SUMMARY DATA'!$B:$B,""RWS"")&lt;&gt;1
    ),
    """",
    IFERROR(TEXTJOIN(CHAR(10),TRUE,FILTER('SUMMARY DATA'!I:I,'SUMMARY DATA'!$D:$D=$C673,'SUMMARY DATA'!$B:$B=""RWS"")),"""")
  )
)"),"")</f>
      </c>
      <c r="K673" s="2"/>
      <c r="L673" s="2"/>
      <c r="M673" s="2"/>
      <c r="N673" s="2"/>
      <c r="O673" s="2"/>
      <c r="P673" s="2"/>
      <c r="Q673" s="2"/>
      <c r="R673" s="2"/>
      <c r="S673" s="2"/>
      <c r="T673" s="2"/>
      <c r="U673" s="2"/>
      <c r="V673" s="2"/>
      <c r="W673" s="2"/>
      <c r="X673" s="2"/>
      <c r="Y673" s="2"/>
      <c r="Z673" s="2"/>
      <c r="AA673" s="2"/>
      <c r="AB673" s="2"/>
    </row>
    <row r="674" spans="1:28" customHeight="true">
      <c r="A674" s="2" t="s">
        <v>1086</v>
      </c>
      <c r="B674" s="15">
        <v>46037</v>
      </c>
      <c r="C674" s="2" t="s">
        <v>1087</v>
      </c>
      <c r="D674" s="3">
        <v>70</v>
      </c>
      <c r="E674" s="16" t="str">
        <f>IFERROR(__xludf.DUMMYFUNCTION("IFERROR(
  TEXTJOIN(CHAR(10),TRUE,FILTER('SUMMARY DATA'!E:E,'SUMMARY DATA'!$A:$A=$A674,'SUMMARY DATA'!$C:$C=$B674,'SUMMARY DATA'!$B:$B=""RWS"")),
  IF(
    OR(
      ISNUMBER(SEARCH(""CDM CASH DEPOSIT"",$C674)),
      ISNUMBER(SEARCH(""CASH DEPOSIT"",$C67"&amp;"4)),
      COUNTIFS('SUMMARY DATA'!$D:$D,$C674,'SUMMARY DATA'!$B:$B,""RWS"")&lt;&gt;1
    ),
    """",
    IFERROR(TEXTJOIN(CHAR(10),TRUE,FILTER('SUMMARY DATA'!E:E,'SUMMARY DATA'!$D:$D=$C674,'SUMMARY DATA'!$B:$B=""RWS"")),"""")
  )
)"),"")</f>
      </c>
      <c r="F674" s="17" t="str">
        <f>IFERROR(__xludf.DUMMYFUNCTION("IFERROR(
  TEXTJOIN(CHAR(10),TRUE,FILTER('SUMMARY DATA'!F:F,'SUMMARY DATA'!$A:$A=$A674,'SUMMARY DATA'!$C:$C=$B674,'SUMMARY DATA'!$B:$B=""RWS"")),
  IF(
    OR(
      ISNUMBER(SEARCH(""CDM CASH DEPOSIT"",$C674)),
      ISNUMBER(SEARCH(""CASH DEPOSIT"",$C67"&amp;"4)),
      COUNTIFS('SUMMARY DATA'!$D:$D,$C674,'SUMMARY DATA'!$B:$B,""RWS"")&lt;&gt;1
    ),
    """",
    IFERROR(TEXTJOIN(CHAR(10),TRUE,FILTER('SUMMARY DATA'!F:F,'SUMMARY DATA'!$D:$D=$C674,'SUMMARY DATA'!$B:$B=""RWS"")),"""")
  )
)"),"")</f>
      </c>
      <c r="G674" s="17" t="str">
        <f>IFERROR(__xludf.DUMMYFUNCTION("IFERROR(
  TEXTJOIN(CHAR(10),TRUE,FILTER('SUMMARY DATA'!G:G,'SUMMARY DATA'!$A:$A=$A674,'SUMMARY DATA'!$C:$C=$B674,'SUMMARY DATA'!$B:$B=""RWS"")),
  IF(
    OR(
      ISNUMBER(SEARCH(""CDM CASH DEPOSIT"",$C674)),
      ISNUMBER(SEARCH(""CASH DEPOSIT"",$C67"&amp;"4)),
      COUNTIFS('SUMMARY DATA'!$D:$D,$C674,'SUMMARY DATA'!$B:$B,""RWS"")&lt;&gt;1
    ),
    """",
    IFERROR(TEXTJOIN(CHAR(10),TRUE,FILTER('SUMMARY DATA'!G:G,'SUMMARY DATA'!$D:$D=$C674,'SUMMARY DATA'!$B:$B=""RWS"")),"""")
  )
)"),"")</f>
      </c>
      <c r="H674" s="18" t="str">
        <f>IFERROR(__xludf.DUMMYFUNCTION("IFERROR(
  TEXTJOIN(CHAR(10),TRUE,FILTER('SUMMARY DATA'!H:H,'SUMMARY DATA'!$A:$A=$A674,'SUMMARY DATA'!$C:$C=$B674,'SUMMARY DATA'!$B:$B=""RWS"",'SUMMARY DATA'!$H:$H=$D674)),
  IF(
    OR(
      ISNUMBER(SEARCH(""CDM CASH DEPOSIT"",$C674)),
      ISNUMBER(S"&amp;"EARCH(""CASH DEPOSIT"",$C674))
    ),
    """",
    IFERROR(TEXTJOIN(CHAR(10),TRUE,FILTER('SUMMARY DATA'!H:H,'SUMMARY DATA'!$D:$D=$C674,'SUMMARY DATA'!$B:$B=""RWS"",'SUMMARY DATA'!$H:$H=$D674)),"""")
  )
)"),"")</f>
      </c>
      <c r="I674" s="18" t="str">
        <f>IFERROR(__xludf.DUMMYFUNCTION("IF(H674="""","""",
SUM(ARRAYFORMULA(VALUE(SPLIT(H674,CHAR(10)))))
)"),"")</f>
      </c>
      <c r="J674" s="17" t="str">
        <f>IFERROR(__xludf.DUMMYFUNCTION("IFERROR(
  TEXTJOIN(CHAR(10),TRUE,FILTER('SUMMARY DATA'!I:I,'SUMMARY DATA'!$A:$A=$A674,'SUMMARY DATA'!$C:$C=$B674,'SUMMARY DATA'!$B:$B=""RWS"")),
  IF(
    OR(
      ISNUMBER(SEARCH(""CDM CASH DEPOSIT"",$C674)),
      ISNUMBER(SEARCH(""CASH DEPOSIT"",$C67"&amp;"4)),
      COUNTIFS('SUMMARY DATA'!$D:$D,$C674,'SUMMARY DATA'!$B:$B,""RWS"")&lt;&gt;1
    ),
    """",
    IFERROR(TEXTJOIN(CHAR(10),TRUE,FILTER('SUMMARY DATA'!I:I,'SUMMARY DATA'!$D:$D=$C674,'SUMMARY DATA'!$B:$B=""RWS"")),"""")
  )
)"),"")</f>
      </c>
      <c r="K674" s="2"/>
      <c r="L674" s="2"/>
      <c r="M674" s="2"/>
      <c r="N674" s="2"/>
      <c r="O674" s="2"/>
      <c r="P674" s="2"/>
      <c r="Q674" s="2"/>
      <c r="R674" s="2"/>
      <c r="S674" s="2"/>
      <c r="T674" s="2"/>
      <c r="U674" s="2"/>
      <c r="V674" s="2"/>
      <c r="W674" s="2"/>
      <c r="X674" s="2"/>
      <c r="Y674" s="2"/>
      <c r="Z674" s="2"/>
      <c r="AA674" s="2"/>
      <c r="AB674" s="2"/>
    </row>
    <row r="675" spans="1:28" customHeight="true">
      <c r="A675" s="2" t="s">
        <v>1088</v>
      </c>
      <c r="B675" s="15">
        <v>46037</v>
      </c>
      <c r="C675" s="2" t="s">
        <v>1089</v>
      </c>
      <c r="D675" s="3">
        <v>37.87</v>
      </c>
      <c r="E675" s="16" t="str">
        <f>IFERROR(__xludf.DUMMYFUNCTION("IFERROR(
  TEXTJOIN(CHAR(10),TRUE,FILTER('SUMMARY DATA'!E:E,'SUMMARY DATA'!$A:$A=$A675,'SUMMARY DATA'!$C:$C=$B675,'SUMMARY DATA'!$B:$B=""RWS"")),
  IF(
    OR(
      ISNUMBER(SEARCH(""CDM CASH DEPOSIT"",$C675)),
      ISNUMBER(SEARCH(""CASH DEPOSIT"",$C67"&amp;"5)),
      COUNTIFS('SUMMARY DATA'!$D:$D,$C675,'SUMMARY DATA'!$B:$B,""RWS"")&lt;&gt;1
    ),
    """",
    IFERROR(TEXTJOIN(CHAR(10),TRUE,FILTER('SUMMARY DATA'!E:E,'SUMMARY DATA'!$D:$D=$C675,'SUMMARY DATA'!$B:$B=""RWS"")),"""")
  )
)"),"")</f>
      </c>
      <c r="F675" s="17" t="str">
        <f>IFERROR(__xludf.DUMMYFUNCTION("IFERROR(
  TEXTJOIN(CHAR(10),TRUE,FILTER('SUMMARY DATA'!F:F,'SUMMARY DATA'!$A:$A=$A675,'SUMMARY DATA'!$C:$C=$B675,'SUMMARY DATA'!$B:$B=""RWS"")),
  IF(
    OR(
      ISNUMBER(SEARCH(""CDM CASH DEPOSIT"",$C675)),
      ISNUMBER(SEARCH(""CASH DEPOSIT"",$C67"&amp;"5)),
      COUNTIFS('SUMMARY DATA'!$D:$D,$C675,'SUMMARY DATA'!$B:$B,""RWS"")&lt;&gt;1
    ),
    """",
    IFERROR(TEXTJOIN(CHAR(10),TRUE,FILTER('SUMMARY DATA'!F:F,'SUMMARY DATA'!$D:$D=$C675,'SUMMARY DATA'!$B:$B=""RWS"")),"""")
  )
)"),"")</f>
      </c>
      <c r="G675" s="17" t="str">
        <f>IFERROR(__xludf.DUMMYFUNCTION("IFERROR(
  TEXTJOIN(CHAR(10),TRUE,FILTER('SUMMARY DATA'!G:G,'SUMMARY DATA'!$A:$A=$A675,'SUMMARY DATA'!$C:$C=$B675,'SUMMARY DATA'!$B:$B=""RWS"")),
  IF(
    OR(
      ISNUMBER(SEARCH(""CDM CASH DEPOSIT"",$C675)),
      ISNUMBER(SEARCH(""CASH DEPOSIT"",$C67"&amp;"5)),
      COUNTIFS('SUMMARY DATA'!$D:$D,$C675,'SUMMARY DATA'!$B:$B,""RWS"")&lt;&gt;1
    ),
    """",
    IFERROR(TEXTJOIN(CHAR(10),TRUE,FILTER('SUMMARY DATA'!G:G,'SUMMARY DATA'!$D:$D=$C675,'SUMMARY DATA'!$B:$B=""RWS"")),"""")
  )
)"),"")</f>
      </c>
      <c r="H675" s="18" t="str">
        <f>IFERROR(__xludf.DUMMYFUNCTION("IFERROR(
  TEXTJOIN(CHAR(10),TRUE,FILTER('SUMMARY DATA'!H:H,'SUMMARY DATA'!$A:$A=$A675,'SUMMARY DATA'!$C:$C=$B675,'SUMMARY DATA'!$B:$B=""RWS"",'SUMMARY DATA'!$H:$H=$D675)),
  IF(
    OR(
      ISNUMBER(SEARCH(""CDM CASH DEPOSIT"",$C675)),
      ISNUMBER(S"&amp;"EARCH(""CASH DEPOSIT"",$C675))
    ),
    """",
    IFERROR(TEXTJOIN(CHAR(10),TRUE,FILTER('SUMMARY DATA'!H:H,'SUMMARY DATA'!$D:$D=$C675,'SUMMARY DATA'!$B:$B=""RWS"",'SUMMARY DATA'!$H:$H=$D675)),"""")
  )
)"),"")</f>
      </c>
      <c r="I675" s="18" t="str">
        <f>IFERROR(__xludf.DUMMYFUNCTION("IF(H675="""","""",
SUM(ARRAYFORMULA(VALUE(SPLIT(H675,CHAR(10)))))
)"),"")</f>
      </c>
      <c r="J675" s="17" t="str">
        <f>IFERROR(__xludf.DUMMYFUNCTION("IFERROR(
  TEXTJOIN(CHAR(10),TRUE,FILTER('SUMMARY DATA'!I:I,'SUMMARY DATA'!$A:$A=$A675,'SUMMARY DATA'!$C:$C=$B675,'SUMMARY DATA'!$B:$B=""RWS"")),
  IF(
    OR(
      ISNUMBER(SEARCH(""CDM CASH DEPOSIT"",$C675)),
      ISNUMBER(SEARCH(""CASH DEPOSIT"",$C67"&amp;"5)),
      COUNTIFS('SUMMARY DATA'!$D:$D,$C675,'SUMMARY DATA'!$B:$B,""RWS"")&lt;&gt;1
    ),
    """",
    IFERROR(TEXTJOIN(CHAR(10),TRUE,FILTER('SUMMARY DATA'!I:I,'SUMMARY DATA'!$D:$D=$C675,'SUMMARY DATA'!$B:$B=""RWS"")),"""")
  )
)"),"")</f>
      </c>
      <c r="K675" s="2"/>
      <c r="L675" s="2"/>
      <c r="M675" s="2"/>
      <c r="N675" s="2"/>
      <c r="O675" s="2"/>
      <c r="P675" s="2"/>
      <c r="Q675" s="2"/>
      <c r="R675" s="2"/>
      <c r="S675" s="2"/>
      <c r="T675" s="2"/>
      <c r="U675" s="2"/>
      <c r="V675" s="2"/>
      <c r="W675" s="2"/>
      <c r="X675" s="2"/>
      <c r="Y675" s="2"/>
      <c r="Z675" s="2"/>
      <c r="AA675" s="2"/>
      <c r="AB675" s="2"/>
    </row>
    <row r="676" spans="1:28" customHeight="true">
      <c r="A676" s="2"/>
      <c r="B676" s="15">
        <v>46036</v>
      </c>
      <c r="C676" s="2" t="s">
        <v>1090</v>
      </c>
      <c r="D676" s="3">
        <v>59</v>
      </c>
      <c r="E676" s="16" t="str">
        <f>IFERROR(__xludf.DUMMYFUNCTION("IFERROR(
  TEXTJOIN(CHAR(10),TRUE,FILTER('SUMMARY DATA'!E:E,'SUMMARY DATA'!$A:$A=$A676,'SUMMARY DATA'!$C:$C=$B676,'SUMMARY DATA'!$B:$B=""RWS"")),
  IF(
    OR(
      ISNUMBER(SEARCH(""CDM CASH DEPOSIT"",$C676)),
      ISNUMBER(SEARCH(""CASH DEPOSIT"",$C67"&amp;"6)),
      COUNTIFS('SUMMARY DATA'!$D:$D,$C676,'SUMMARY DATA'!$B:$B,""RWS"")&lt;&gt;1
    ),
    """",
    IFERROR(TEXTJOIN(CHAR(10),TRUE,FILTER('SUMMARY DATA'!E:E,'SUMMARY DATA'!$D:$D=$C676,'SUMMARY DATA'!$B:$B=""RWS"")),"""")
  )
)"),"")</f>
      </c>
      <c r="F676" s="17" t="str">
        <f>IFERROR(__xludf.DUMMYFUNCTION("IFERROR(
  TEXTJOIN(CHAR(10),TRUE,FILTER('SUMMARY DATA'!F:F,'SUMMARY DATA'!$A:$A=$A676,'SUMMARY DATA'!$C:$C=$B676,'SUMMARY DATA'!$B:$B=""RWS"")),
  IF(
    OR(
      ISNUMBER(SEARCH(""CDM CASH DEPOSIT"",$C676)),
      ISNUMBER(SEARCH(""CASH DEPOSIT"",$C67"&amp;"6)),
      COUNTIFS('SUMMARY DATA'!$D:$D,$C676,'SUMMARY DATA'!$B:$B,""RWS"")&lt;&gt;1
    ),
    """",
    IFERROR(TEXTJOIN(CHAR(10),TRUE,FILTER('SUMMARY DATA'!F:F,'SUMMARY DATA'!$D:$D=$C676,'SUMMARY DATA'!$B:$B=""RWS"")),"""")
  )
)"),"")</f>
      </c>
      <c r="G676" s="17" t="str">
        <f>IFERROR(__xludf.DUMMYFUNCTION("IFERROR(
  TEXTJOIN(CHAR(10),TRUE,FILTER('SUMMARY DATA'!G:G,'SUMMARY DATA'!$A:$A=$A676,'SUMMARY DATA'!$C:$C=$B676,'SUMMARY DATA'!$B:$B=""RWS"")),
  IF(
    OR(
      ISNUMBER(SEARCH(""CDM CASH DEPOSIT"",$C676)),
      ISNUMBER(SEARCH(""CASH DEPOSIT"",$C67"&amp;"6)),
      COUNTIFS('SUMMARY DATA'!$D:$D,$C676,'SUMMARY DATA'!$B:$B,""RWS"")&lt;&gt;1
    ),
    """",
    IFERROR(TEXTJOIN(CHAR(10),TRUE,FILTER('SUMMARY DATA'!G:G,'SUMMARY DATA'!$D:$D=$C676,'SUMMARY DATA'!$B:$B=""RWS"")),"""")
  )
)"),"")</f>
      </c>
      <c r="H676" s="18" t="str">
        <f>IFERROR(__xludf.DUMMYFUNCTION("IFERROR(
  TEXTJOIN(CHAR(10),TRUE,FILTER('SUMMARY DATA'!H:H,'SUMMARY DATA'!$A:$A=$A676,'SUMMARY DATA'!$C:$C=$B676,'SUMMARY DATA'!$B:$B=""RWS"",'SUMMARY DATA'!$H:$H=$D676)),
  IF(
    OR(
      ISNUMBER(SEARCH(""CDM CASH DEPOSIT"",$C676)),
      ISNUMBER(S"&amp;"EARCH(""CASH DEPOSIT"",$C676))
    ),
    """",
    IFERROR(TEXTJOIN(CHAR(10),TRUE,FILTER('SUMMARY DATA'!H:H,'SUMMARY DATA'!$D:$D=$C676,'SUMMARY DATA'!$B:$B=""RWS"",'SUMMARY DATA'!$H:$H=$D676)),"""")
  )
)"),"")</f>
      </c>
      <c r="I676" s="18" t="str">
        <f>IFERROR(__xludf.DUMMYFUNCTION("IF(H676="""","""",
SUM(ARRAYFORMULA(VALUE(SPLIT(H676,CHAR(10)))))
)"),"")</f>
      </c>
      <c r="J676" s="17" t="str">
        <f>IFERROR(__xludf.DUMMYFUNCTION("IFERROR(
  TEXTJOIN(CHAR(10),TRUE,FILTER('SUMMARY DATA'!I:I,'SUMMARY DATA'!$A:$A=$A676,'SUMMARY DATA'!$C:$C=$B676,'SUMMARY DATA'!$B:$B=""RWS"")),
  IF(
    OR(
      ISNUMBER(SEARCH(""CDM CASH DEPOSIT"",$C676)),
      ISNUMBER(SEARCH(""CASH DEPOSIT"",$C67"&amp;"6)),
      COUNTIFS('SUMMARY DATA'!$D:$D,$C676,'SUMMARY DATA'!$B:$B,""RWS"")&lt;&gt;1
    ),
    """",
    IFERROR(TEXTJOIN(CHAR(10),TRUE,FILTER('SUMMARY DATA'!I:I,'SUMMARY DATA'!$D:$D=$C676,'SUMMARY DATA'!$B:$B=""RWS"")),"""")
  )
)"),"")</f>
      </c>
      <c r="K676" s="2"/>
      <c r="L676" s="2"/>
      <c r="M676" s="2"/>
      <c r="N676" s="2"/>
      <c r="O676" s="2"/>
      <c r="P676" s="2"/>
      <c r="Q676" s="2"/>
      <c r="R676" s="2"/>
      <c r="S676" s="2"/>
      <c r="T676" s="2"/>
      <c r="U676" s="2"/>
      <c r="V676" s="2"/>
      <c r="W676" s="2"/>
      <c r="X676" s="2"/>
      <c r="Y676" s="2"/>
      <c r="Z676" s="2"/>
      <c r="AA676" s="2"/>
      <c r="AB676" s="2"/>
    </row>
    <row r="677" spans="1:28" customHeight="true">
      <c r="A677" s="2" t="s">
        <v>1091</v>
      </c>
      <c r="B677" s="15">
        <v>46036</v>
      </c>
      <c r="C677" s="2" t="s">
        <v>1092</v>
      </c>
      <c r="D677" s="3">
        <v>196.94</v>
      </c>
      <c r="E677" s="16" t="str">
        <f>IFERROR(__xludf.DUMMYFUNCTION("IFERROR(
  TEXTJOIN(CHAR(10),TRUE,FILTER('SUMMARY DATA'!E:E,'SUMMARY DATA'!$A:$A=$A677,'SUMMARY DATA'!$C:$C=$B677,'SUMMARY DATA'!$B:$B=""RWS"")),
  IF(
    OR(
      ISNUMBER(SEARCH(""CDM CASH DEPOSIT"",$C677)),
      ISNUMBER(SEARCH(""CASH DEPOSIT"",$C67"&amp;"7)),
      COUNTIFS('SUMMARY DATA'!$D:$D,$C677,'SUMMARY DATA'!$B:$B,""RWS"")&lt;&gt;1
    ),
    """",
    IFERROR(TEXTJOIN(CHAR(10),TRUE,FILTER('SUMMARY DATA'!E:E,'SUMMARY DATA'!$D:$D=$C677,'SUMMARY DATA'!$B:$B=""RWS"")),"""")
  )
)"),"")</f>
      </c>
      <c r="F677" s="17" t="str">
        <f>IFERROR(__xludf.DUMMYFUNCTION("IFERROR(
  TEXTJOIN(CHAR(10),TRUE,FILTER('SUMMARY DATA'!F:F,'SUMMARY DATA'!$A:$A=$A677,'SUMMARY DATA'!$C:$C=$B677,'SUMMARY DATA'!$B:$B=""RWS"")),
  IF(
    OR(
      ISNUMBER(SEARCH(""CDM CASH DEPOSIT"",$C677)),
      ISNUMBER(SEARCH(""CASH DEPOSIT"",$C67"&amp;"7)),
      COUNTIFS('SUMMARY DATA'!$D:$D,$C677,'SUMMARY DATA'!$B:$B,""RWS"")&lt;&gt;1
    ),
    """",
    IFERROR(TEXTJOIN(CHAR(10),TRUE,FILTER('SUMMARY DATA'!F:F,'SUMMARY DATA'!$D:$D=$C677,'SUMMARY DATA'!$B:$B=""RWS"")),"""")
  )
)"),"")</f>
      </c>
      <c r="G677" s="17" t="str">
        <f>IFERROR(__xludf.DUMMYFUNCTION("IFERROR(
  TEXTJOIN(CHAR(10),TRUE,FILTER('SUMMARY DATA'!G:G,'SUMMARY DATA'!$A:$A=$A677,'SUMMARY DATA'!$C:$C=$B677,'SUMMARY DATA'!$B:$B=""RWS"")),
  IF(
    OR(
      ISNUMBER(SEARCH(""CDM CASH DEPOSIT"",$C677)),
      ISNUMBER(SEARCH(""CASH DEPOSIT"",$C67"&amp;"7)),
      COUNTIFS('SUMMARY DATA'!$D:$D,$C677,'SUMMARY DATA'!$B:$B,""RWS"")&lt;&gt;1
    ),
    """",
    IFERROR(TEXTJOIN(CHAR(10),TRUE,FILTER('SUMMARY DATA'!G:G,'SUMMARY DATA'!$D:$D=$C677,'SUMMARY DATA'!$B:$B=""RWS"")),"""")
  )
)"),"")</f>
      </c>
      <c r="H677" s="18" t="str">
        <f>IFERROR(__xludf.DUMMYFUNCTION("IFERROR(
  TEXTJOIN(CHAR(10),TRUE,FILTER('SUMMARY DATA'!H:H,'SUMMARY DATA'!$A:$A=$A677,'SUMMARY DATA'!$C:$C=$B677,'SUMMARY DATA'!$B:$B=""RWS"",'SUMMARY DATA'!$H:$H=$D677)),
  IF(
    OR(
      ISNUMBER(SEARCH(""CDM CASH DEPOSIT"",$C677)),
      ISNUMBER(S"&amp;"EARCH(""CASH DEPOSIT"",$C677))
    ),
    """",
    IFERROR(TEXTJOIN(CHAR(10),TRUE,FILTER('SUMMARY DATA'!H:H,'SUMMARY DATA'!$D:$D=$C677,'SUMMARY DATA'!$B:$B=""RWS"",'SUMMARY DATA'!$H:$H=$D677)),"""")
  )
)"),"")</f>
      </c>
      <c r="I677" s="18" t="str">
        <f>IFERROR(__xludf.DUMMYFUNCTION("IF(H677="""","""",
SUM(ARRAYFORMULA(VALUE(SPLIT(H677,CHAR(10)))))
)"),"")</f>
      </c>
      <c r="J677" s="17" t="str">
        <f>IFERROR(__xludf.DUMMYFUNCTION("IFERROR(
  TEXTJOIN(CHAR(10),TRUE,FILTER('SUMMARY DATA'!I:I,'SUMMARY DATA'!$A:$A=$A677,'SUMMARY DATA'!$C:$C=$B677,'SUMMARY DATA'!$B:$B=""RWS"")),
  IF(
    OR(
      ISNUMBER(SEARCH(""CDM CASH DEPOSIT"",$C677)),
      ISNUMBER(SEARCH(""CASH DEPOSIT"",$C67"&amp;"7)),
      COUNTIFS('SUMMARY DATA'!$D:$D,$C677,'SUMMARY DATA'!$B:$B,""RWS"")&lt;&gt;1
    ),
    """",
    IFERROR(TEXTJOIN(CHAR(10),TRUE,FILTER('SUMMARY DATA'!I:I,'SUMMARY DATA'!$D:$D=$C677,'SUMMARY DATA'!$B:$B=""RWS"")),"""")
  )
)"),"")</f>
      </c>
      <c r="K677" s="2"/>
      <c r="L677" s="2"/>
      <c r="M677" s="2"/>
      <c r="N677" s="2"/>
      <c r="O677" s="2"/>
      <c r="P677" s="2"/>
      <c r="Q677" s="2"/>
      <c r="R677" s="2"/>
      <c r="S677" s="2"/>
      <c r="T677" s="2"/>
      <c r="U677" s="2"/>
      <c r="V677" s="2"/>
      <c r="W677" s="2"/>
      <c r="X677" s="2"/>
      <c r="Y677" s="2"/>
      <c r="Z677" s="2"/>
      <c r="AA677" s="2"/>
      <c r="AB677" s="2"/>
    </row>
    <row r="678" spans="1:28" customHeight="true">
      <c r="A678" s="2"/>
      <c r="B678" s="15">
        <v>46036</v>
      </c>
      <c r="C678" s="2" t="s">
        <v>1093</v>
      </c>
      <c r="D678" s="3">
        <v>78</v>
      </c>
      <c r="E678" s="16" t="str">
        <f>IFERROR(__xludf.DUMMYFUNCTION("IFERROR(
  TEXTJOIN(CHAR(10),TRUE,FILTER('SUMMARY DATA'!E:E,'SUMMARY DATA'!$A:$A=$A678,'SUMMARY DATA'!$C:$C=$B678,'SUMMARY DATA'!$B:$B=""RWS"")),
  IF(
    OR(
      ISNUMBER(SEARCH(""CDM CASH DEPOSIT"",$C678)),
      ISNUMBER(SEARCH(""CASH DEPOSIT"",$C67"&amp;"8)),
      COUNTIFS('SUMMARY DATA'!$D:$D,$C678,'SUMMARY DATA'!$B:$B,""RWS"")&lt;&gt;1
    ),
    """",
    IFERROR(TEXTJOIN(CHAR(10),TRUE,FILTER('SUMMARY DATA'!E:E,'SUMMARY DATA'!$D:$D=$C678,'SUMMARY DATA'!$B:$B=""RWS"")),"""")
  )
)"),"")</f>
      </c>
      <c r="F678" s="17" t="str">
        <f>IFERROR(__xludf.DUMMYFUNCTION("IFERROR(
  TEXTJOIN(CHAR(10),TRUE,FILTER('SUMMARY DATA'!F:F,'SUMMARY DATA'!$A:$A=$A678,'SUMMARY DATA'!$C:$C=$B678,'SUMMARY DATA'!$B:$B=""RWS"")),
  IF(
    OR(
      ISNUMBER(SEARCH(""CDM CASH DEPOSIT"",$C678)),
      ISNUMBER(SEARCH(""CASH DEPOSIT"",$C67"&amp;"8)),
      COUNTIFS('SUMMARY DATA'!$D:$D,$C678,'SUMMARY DATA'!$B:$B,""RWS"")&lt;&gt;1
    ),
    """",
    IFERROR(TEXTJOIN(CHAR(10),TRUE,FILTER('SUMMARY DATA'!F:F,'SUMMARY DATA'!$D:$D=$C678,'SUMMARY DATA'!$B:$B=""RWS"")),"""")
  )
)"),"")</f>
      </c>
      <c r="G678" s="17" t="str">
        <f>IFERROR(__xludf.DUMMYFUNCTION("IFERROR(
  TEXTJOIN(CHAR(10),TRUE,FILTER('SUMMARY DATA'!G:G,'SUMMARY DATA'!$A:$A=$A678,'SUMMARY DATA'!$C:$C=$B678,'SUMMARY DATA'!$B:$B=""RWS"")),
  IF(
    OR(
      ISNUMBER(SEARCH(""CDM CASH DEPOSIT"",$C678)),
      ISNUMBER(SEARCH(""CASH DEPOSIT"",$C67"&amp;"8)),
      COUNTIFS('SUMMARY DATA'!$D:$D,$C678,'SUMMARY DATA'!$B:$B,""RWS"")&lt;&gt;1
    ),
    """",
    IFERROR(TEXTJOIN(CHAR(10),TRUE,FILTER('SUMMARY DATA'!G:G,'SUMMARY DATA'!$D:$D=$C678,'SUMMARY DATA'!$B:$B=""RWS"")),"""")
  )
)"),"")</f>
      </c>
      <c r="H678" s="18" t="str">
        <f>IFERROR(__xludf.DUMMYFUNCTION("IFERROR(
  TEXTJOIN(CHAR(10),TRUE,FILTER('SUMMARY DATA'!H:H,'SUMMARY DATA'!$A:$A=$A678,'SUMMARY DATA'!$C:$C=$B678,'SUMMARY DATA'!$B:$B=""RWS"",'SUMMARY DATA'!$H:$H=$D678)),
  IF(
    OR(
      ISNUMBER(SEARCH(""CDM CASH DEPOSIT"",$C678)),
      ISNUMBER(S"&amp;"EARCH(""CASH DEPOSIT"",$C678))
    ),
    """",
    IFERROR(TEXTJOIN(CHAR(10),TRUE,FILTER('SUMMARY DATA'!H:H,'SUMMARY DATA'!$D:$D=$C678,'SUMMARY DATA'!$B:$B=""RWS"",'SUMMARY DATA'!$H:$H=$D678)),"""")
  )
)"),"")</f>
      </c>
      <c r="I678" s="18" t="str">
        <f>IFERROR(__xludf.DUMMYFUNCTION("IF(H678="""","""",
SUM(ARRAYFORMULA(VALUE(SPLIT(H678,CHAR(10)))))
)"),"")</f>
      </c>
      <c r="J678" s="17" t="str">
        <f>IFERROR(__xludf.DUMMYFUNCTION("IFERROR(
  TEXTJOIN(CHAR(10),TRUE,FILTER('SUMMARY DATA'!I:I,'SUMMARY DATA'!$A:$A=$A678,'SUMMARY DATA'!$C:$C=$B678,'SUMMARY DATA'!$B:$B=""RWS"")),
  IF(
    OR(
      ISNUMBER(SEARCH(""CDM CASH DEPOSIT"",$C678)),
      ISNUMBER(SEARCH(""CASH DEPOSIT"",$C67"&amp;"8)),
      COUNTIFS('SUMMARY DATA'!$D:$D,$C678,'SUMMARY DATA'!$B:$B,""RWS"")&lt;&gt;1
    ),
    """",
    IFERROR(TEXTJOIN(CHAR(10),TRUE,FILTER('SUMMARY DATA'!I:I,'SUMMARY DATA'!$D:$D=$C678,'SUMMARY DATA'!$B:$B=""RWS"")),"""")
  )
)"),"")</f>
      </c>
      <c r="K678" s="2"/>
      <c r="L678" s="2"/>
      <c r="M678" s="2"/>
      <c r="N678" s="2"/>
      <c r="O678" s="2"/>
      <c r="P678" s="2"/>
      <c r="Q678" s="2"/>
      <c r="R678" s="2"/>
      <c r="S678" s="2"/>
      <c r="T678" s="2"/>
      <c r="U678" s="2"/>
      <c r="V678" s="2"/>
      <c r="W678" s="2"/>
      <c r="X678" s="2"/>
      <c r="Y678" s="2"/>
      <c r="Z678" s="2"/>
      <c r="AA678" s="2"/>
      <c r="AB678" s="2"/>
    </row>
    <row r="679" spans="1:28" customHeight="true">
      <c r="A679" s="2"/>
      <c r="B679" s="15">
        <v>46036</v>
      </c>
      <c r="C679" s="2" t="s">
        <v>1094</v>
      </c>
      <c r="D679" s="3">
        <v>0.01</v>
      </c>
      <c r="E679" s="16" t="str">
        <f>IFERROR(__xludf.DUMMYFUNCTION("IFERROR(
  TEXTJOIN(CHAR(10),TRUE,FILTER('SUMMARY DATA'!E:E,'SUMMARY DATA'!$A:$A=$A679,'SUMMARY DATA'!$C:$C=$B679,'SUMMARY DATA'!$B:$B=""RWS"")),
  IF(
    OR(
      ISNUMBER(SEARCH(""CDM CASH DEPOSIT"",$C679)),
      ISNUMBER(SEARCH(""CASH DEPOSIT"",$C67"&amp;"9)),
      COUNTIFS('SUMMARY DATA'!$D:$D,$C679,'SUMMARY DATA'!$B:$B,""RWS"")&lt;&gt;1
    ),
    """",
    IFERROR(TEXTJOIN(CHAR(10),TRUE,FILTER('SUMMARY DATA'!E:E,'SUMMARY DATA'!$D:$D=$C679,'SUMMARY DATA'!$B:$B=""RWS"")),"""")
  )
)"),"")</f>
      </c>
      <c r="F679" s="17" t="str">
        <f>IFERROR(__xludf.DUMMYFUNCTION("IFERROR(
  TEXTJOIN(CHAR(10),TRUE,FILTER('SUMMARY DATA'!F:F,'SUMMARY DATA'!$A:$A=$A679,'SUMMARY DATA'!$C:$C=$B679,'SUMMARY DATA'!$B:$B=""RWS"")),
  IF(
    OR(
      ISNUMBER(SEARCH(""CDM CASH DEPOSIT"",$C679)),
      ISNUMBER(SEARCH(""CASH DEPOSIT"",$C67"&amp;"9)),
      COUNTIFS('SUMMARY DATA'!$D:$D,$C679,'SUMMARY DATA'!$B:$B,""RWS"")&lt;&gt;1
    ),
    """",
    IFERROR(TEXTJOIN(CHAR(10),TRUE,FILTER('SUMMARY DATA'!F:F,'SUMMARY DATA'!$D:$D=$C679,'SUMMARY DATA'!$B:$B=""RWS"")),"""")
  )
)"),"")</f>
      </c>
      <c r="G679" s="17" t="str">
        <f>IFERROR(__xludf.DUMMYFUNCTION("IFERROR(
  TEXTJOIN(CHAR(10),TRUE,FILTER('SUMMARY DATA'!G:G,'SUMMARY DATA'!$A:$A=$A679,'SUMMARY DATA'!$C:$C=$B679,'SUMMARY DATA'!$B:$B=""RWS"")),
  IF(
    OR(
      ISNUMBER(SEARCH(""CDM CASH DEPOSIT"",$C679)),
      ISNUMBER(SEARCH(""CASH DEPOSIT"",$C67"&amp;"9)),
      COUNTIFS('SUMMARY DATA'!$D:$D,$C679,'SUMMARY DATA'!$B:$B,""RWS"")&lt;&gt;1
    ),
    """",
    IFERROR(TEXTJOIN(CHAR(10),TRUE,FILTER('SUMMARY DATA'!G:G,'SUMMARY DATA'!$D:$D=$C679,'SUMMARY DATA'!$B:$B=""RWS"")),"""")
  )
)"),"")</f>
      </c>
      <c r="H679" s="18" t="str">
        <f>IFERROR(__xludf.DUMMYFUNCTION("IFERROR(
  TEXTJOIN(CHAR(10),TRUE,FILTER('SUMMARY DATA'!H:H,'SUMMARY DATA'!$A:$A=$A679,'SUMMARY DATA'!$C:$C=$B679,'SUMMARY DATA'!$B:$B=""RWS"",'SUMMARY DATA'!$H:$H=$D679)),
  IF(
    OR(
      ISNUMBER(SEARCH(""CDM CASH DEPOSIT"",$C679)),
      ISNUMBER(S"&amp;"EARCH(""CASH DEPOSIT"",$C679))
    ),
    """",
    IFERROR(TEXTJOIN(CHAR(10),TRUE,FILTER('SUMMARY DATA'!H:H,'SUMMARY DATA'!$D:$D=$C679,'SUMMARY DATA'!$B:$B=""RWS"",'SUMMARY DATA'!$H:$H=$D679)),"""")
  )
)"),"")</f>
      </c>
      <c r="I679" s="18" t="str">
        <f>IFERROR(__xludf.DUMMYFUNCTION("IF(H679="""","""",
SUM(ARRAYFORMULA(VALUE(SPLIT(H679,CHAR(10)))))
)"),"")</f>
      </c>
      <c r="J679" s="17" t="str">
        <f>IFERROR(__xludf.DUMMYFUNCTION("IFERROR(
  TEXTJOIN(CHAR(10),TRUE,FILTER('SUMMARY DATA'!I:I,'SUMMARY DATA'!$A:$A=$A679,'SUMMARY DATA'!$C:$C=$B679,'SUMMARY DATA'!$B:$B=""RWS"")),
  IF(
    OR(
      ISNUMBER(SEARCH(""CDM CASH DEPOSIT"",$C679)),
      ISNUMBER(SEARCH(""CASH DEPOSIT"",$C67"&amp;"9)),
      COUNTIFS('SUMMARY DATA'!$D:$D,$C679,'SUMMARY DATA'!$B:$B,""RWS"")&lt;&gt;1
    ),
    """",
    IFERROR(TEXTJOIN(CHAR(10),TRUE,FILTER('SUMMARY DATA'!I:I,'SUMMARY DATA'!$D:$D=$C679,'SUMMARY DATA'!$B:$B=""RWS"")),"""")
  )
)"),"")</f>
      </c>
      <c r="K679" s="2"/>
      <c r="L679" s="2"/>
      <c r="M679" s="2"/>
      <c r="N679" s="2"/>
      <c r="O679" s="2"/>
      <c r="P679" s="2"/>
      <c r="Q679" s="2"/>
      <c r="R679" s="2"/>
      <c r="S679" s="2"/>
      <c r="T679" s="2"/>
      <c r="U679" s="2"/>
      <c r="V679" s="2"/>
      <c r="W679" s="2"/>
      <c r="X679" s="2"/>
      <c r="Y679" s="2"/>
      <c r="Z679" s="2"/>
      <c r="AA679" s="2"/>
      <c r="AB679" s="2"/>
    </row>
    <row r="680" spans="1:28" customHeight="true">
      <c r="A680" s="2" t="s">
        <v>1095</v>
      </c>
      <c r="B680" s="15">
        <v>46036</v>
      </c>
      <c r="C680" s="2" t="s">
        <v>1096</v>
      </c>
      <c r="D680" s="3">
        <v>89.9</v>
      </c>
      <c r="E680" s="16" t="s">
        <v>2444</v>
      </c>
      <c r="F680" s="17" t="s">
        <v>2629</v>
      </c>
      <c r="G680" s="17" t="s">
        <v>2393</v>
      </c>
      <c r="H680" s="18">
        <v>89.9</v>
      </c>
      <c r="I680" s="18">
        <v>89.9</v>
      </c>
      <c r="J680" s="17" t="s">
        <v>2394</v>
      </c>
      <c r="K680" s="2" t="s">
        <v>2395</v>
      </c>
      <c r="L680" s="2"/>
      <c r="M680" s="2"/>
      <c r="N680" s="2"/>
      <c r="O680" s="2"/>
      <c r="P680" s="2"/>
      <c r="Q680" s="2"/>
      <c r="R680" s="2"/>
      <c r="S680" s="2"/>
      <c r="T680" s="2"/>
      <c r="U680" s="2"/>
      <c r="V680" s="2"/>
      <c r="W680" s="2"/>
      <c r="X680" s="2"/>
      <c r="Y680" s="2"/>
      <c r="Z680" s="2"/>
      <c r="AA680" s="2"/>
      <c r="AB680" s="2"/>
    </row>
    <row r="681" spans="1:28" customHeight="true">
      <c r="A681" s="2"/>
      <c r="B681" s="15">
        <v>46036</v>
      </c>
      <c r="C681" s="2" t="s">
        <v>48</v>
      </c>
      <c r="D681" s="3">
        <v>20</v>
      </c>
      <c r="E681" s="16" t="str">
        <f>IFERROR(__xludf.DUMMYFUNCTION("IFERROR(
  TEXTJOIN(CHAR(10),TRUE,FILTER('SUMMARY DATA'!E:E,'SUMMARY DATA'!$A:$A=$A681,'SUMMARY DATA'!$C:$C=$B681,'SUMMARY DATA'!$B:$B=""RWS"")),
  IF(
    OR(
      ISNUMBER(SEARCH(""CDM CASH DEPOSIT"",$C681)),
      ISNUMBER(SEARCH(""CASH DEPOSIT"",$C68"&amp;"1)),
      COUNTIFS('SUMMARY DATA'!$D:$D,$C681,'SUMMARY DATA'!$B:$B,""RWS"")&lt;&gt;1
    ),
    """",
    IFERROR(TEXTJOIN(CHAR(10),TRUE,FILTER('SUMMARY DATA'!E:E,'SUMMARY DATA'!$D:$D=$C681,'SUMMARY DATA'!$B:$B=""RWS"")),"""")
  )
)"),"")</f>
      </c>
      <c r="F681" s="17" t="str">
        <f>IFERROR(__xludf.DUMMYFUNCTION("IFERROR(
  TEXTJOIN(CHAR(10),TRUE,FILTER('SUMMARY DATA'!F:F,'SUMMARY DATA'!$A:$A=$A681,'SUMMARY DATA'!$C:$C=$B681,'SUMMARY DATA'!$B:$B=""RWS"")),
  IF(
    OR(
      ISNUMBER(SEARCH(""CDM CASH DEPOSIT"",$C681)),
      ISNUMBER(SEARCH(""CASH DEPOSIT"",$C68"&amp;"1)),
      COUNTIFS('SUMMARY DATA'!$D:$D,$C681,'SUMMARY DATA'!$B:$B,""RWS"")&lt;&gt;1
    ),
    """",
    IFERROR(TEXTJOIN(CHAR(10),TRUE,FILTER('SUMMARY DATA'!F:F,'SUMMARY DATA'!$D:$D=$C681,'SUMMARY DATA'!$B:$B=""RWS"")),"""")
  )
)"),"")</f>
      </c>
      <c r="G681" s="17" t="str">
        <f>IFERROR(__xludf.DUMMYFUNCTION("IFERROR(
  TEXTJOIN(CHAR(10),TRUE,FILTER('SUMMARY DATA'!G:G,'SUMMARY DATA'!$A:$A=$A681,'SUMMARY DATA'!$C:$C=$B681,'SUMMARY DATA'!$B:$B=""RWS"")),
  IF(
    OR(
      ISNUMBER(SEARCH(""CDM CASH DEPOSIT"",$C681)),
      ISNUMBER(SEARCH(""CASH DEPOSIT"",$C68"&amp;"1)),
      COUNTIFS('SUMMARY DATA'!$D:$D,$C681,'SUMMARY DATA'!$B:$B,""RWS"")&lt;&gt;1
    ),
    """",
    IFERROR(TEXTJOIN(CHAR(10),TRUE,FILTER('SUMMARY DATA'!G:G,'SUMMARY DATA'!$D:$D=$C681,'SUMMARY DATA'!$B:$B=""RWS"")),"""")
  )
)"),"")</f>
      </c>
      <c r="H681" s="18" t="str">
        <f>IFERROR(__xludf.DUMMYFUNCTION("IFERROR(
  TEXTJOIN(CHAR(10),TRUE,FILTER('SUMMARY DATA'!H:H,'SUMMARY DATA'!$A:$A=$A681,'SUMMARY DATA'!$C:$C=$B681,'SUMMARY DATA'!$B:$B=""RWS"",'SUMMARY DATA'!$H:$H=$D681)),
  IF(
    OR(
      ISNUMBER(SEARCH(""CDM CASH DEPOSIT"",$C681)),
      ISNUMBER(S"&amp;"EARCH(""CASH DEPOSIT"",$C681))
    ),
    """",
    IFERROR(TEXTJOIN(CHAR(10),TRUE,FILTER('SUMMARY DATA'!H:H,'SUMMARY DATA'!$D:$D=$C681,'SUMMARY DATA'!$B:$B=""RWS"",'SUMMARY DATA'!$H:$H=$D681)),"""")
  )
)"),"")</f>
      </c>
      <c r="I681" s="18" t="str">
        <f>IFERROR(__xludf.DUMMYFUNCTION("IF(H681="""","""",
SUM(ARRAYFORMULA(VALUE(SPLIT(H681,CHAR(10)))))
)"),"")</f>
      </c>
      <c r="J681" s="17" t="str">
        <f>IFERROR(__xludf.DUMMYFUNCTION("IFERROR(
  TEXTJOIN(CHAR(10),TRUE,FILTER('SUMMARY DATA'!I:I,'SUMMARY DATA'!$A:$A=$A681,'SUMMARY DATA'!$C:$C=$B681,'SUMMARY DATA'!$B:$B=""RWS"")),
  IF(
    OR(
      ISNUMBER(SEARCH(""CDM CASH DEPOSIT"",$C681)),
      ISNUMBER(SEARCH(""CASH DEPOSIT"",$C68"&amp;"1)),
      COUNTIFS('SUMMARY DATA'!$D:$D,$C681,'SUMMARY DATA'!$B:$B,""RWS"")&lt;&gt;1
    ),
    """",
    IFERROR(TEXTJOIN(CHAR(10),TRUE,FILTER('SUMMARY DATA'!I:I,'SUMMARY DATA'!$D:$D=$C681,'SUMMARY DATA'!$B:$B=""RWS"")),"""")
  )
)"),"")</f>
      </c>
      <c r="K681" s="2"/>
      <c r="L681" s="2"/>
      <c r="M681" s="2"/>
      <c r="N681" s="2"/>
      <c r="O681" s="2"/>
      <c r="P681" s="2"/>
      <c r="Q681" s="2"/>
      <c r="R681" s="2"/>
      <c r="S681" s="2"/>
      <c r="T681" s="2"/>
      <c r="U681" s="2"/>
      <c r="V681" s="2"/>
      <c r="W681" s="2"/>
      <c r="X681" s="2"/>
      <c r="Y681" s="2"/>
      <c r="Z681" s="2"/>
      <c r="AA681" s="2"/>
      <c r="AB681" s="2"/>
    </row>
    <row r="682" spans="1:28" customHeight="true">
      <c r="A682" s="2" t="s">
        <v>1097</v>
      </c>
      <c r="B682" s="15">
        <v>46035</v>
      </c>
      <c r="C682" s="2" t="s">
        <v>1098</v>
      </c>
      <c r="D682" s="3">
        <v>500</v>
      </c>
      <c r="E682" s="16" t="s">
        <v>2630</v>
      </c>
      <c r="F682" s="17" t="s">
        <v>2631</v>
      </c>
      <c r="G682" s="17" t="s">
        <v>2393</v>
      </c>
      <c r="H682" s="18">
        <v>500</v>
      </c>
      <c r="I682" s="18">
        <v>500</v>
      </c>
      <c r="J682" s="17" t="s">
        <v>2394</v>
      </c>
      <c r="K682" s="2" t="s">
        <v>2395</v>
      </c>
      <c r="L682" s="2"/>
      <c r="M682" s="2"/>
      <c r="N682" s="2"/>
      <c r="O682" s="2"/>
      <c r="P682" s="2"/>
      <c r="Q682" s="2"/>
      <c r="R682" s="2"/>
      <c r="S682" s="2"/>
      <c r="T682" s="2"/>
      <c r="U682" s="2"/>
      <c r="V682" s="2"/>
      <c r="W682" s="2"/>
      <c r="X682" s="2"/>
      <c r="Y682" s="2"/>
      <c r="Z682" s="2"/>
      <c r="AA682" s="2"/>
      <c r="AB682" s="2"/>
    </row>
    <row r="683" spans="1:28" customHeight="true">
      <c r="A683" s="2"/>
      <c r="B683" s="15">
        <v>46035</v>
      </c>
      <c r="C683" s="2" t="s">
        <v>1099</v>
      </c>
      <c r="D683" s="3">
        <v>198</v>
      </c>
      <c r="E683" s="16" t="str">
        <f>IFERROR(__xludf.DUMMYFUNCTION("IFERROR(
  TEXTJOIN(CHAR(10),TRUE,FILTER('SUMMARY DATA'!E:E,'SUMMARY DATA'!$A:$A=$A683,'SUMMARY DATA'!$C:$C=$B683,'SUMMARY DATA'!$B:$B=""RWS"")),
  IF(
    OR(
      ISNUMBER(SEARCH(""CDM CASH DEPOSIT"",$C683)),
      ISNUMBER(SEARCH(""CASH DEPOSIT"",$C68"&amp;"3)),
      COUNTIFS('SUMMARY DATA'!$D:$D,$C683,'SUMMARY DATA'!$B:$B,""RWS"")&lt;&gt;1
    ),
    """",
    IFERROR(TEXTJOIN(CHAR(10),TRUE,FILTER('SUMMARY DATA'!E:E,'SUMMARY DATA'!$D:$D=$C683,'SUMMARY DATA'!$B:$B=""RWS"")),"""")
  )
)"),"")</f>
      </c>
      <c r="F683" s="17" t="str">
        <f>IFERROR(__xludf.DUMMYFUNCTION("IFERROR(
  TEXTJOIN(CHAR(10),TRUE,FILTER('SUMMARY DATA'!F:F,'SUMMARY DATA'!$A:$A=$A683,'SUMMARY DATA'!$C:$C=$B683,'SUMMARY DATA'!$B:$B=""RWS"")),
  IF(
    OR(
      ISNUMBER(SEARCH(""CDM CASH DEPOSIT"",$C683)),
      ISNUMBER(SEARCH(""CASH DEPOSIT"",$C68"&amp;"3)),
      COUNTIFS('SUMMARY DATA'!$D:$D,$C683,'SUMMARY DATA'!$B:$B,""RWS"")&lt;&gt;1
    ),
    """",
    IFERROR(TEXTJOIN(CHAR(10),TRUE,FILTER('SUMMARY DATA'!F:F,'SUMMARY DATA'!$D:$D=$C683,'SUMMARY DATA'!$B:$B=""RWS"")),"""")
  )
)"),"")</f>
      </c>
      <c r="G683" s="17" t="str">
        <f>IFERROR(__xludf.DUMMYFUNCTION("IFERROR(
  TEXTJOIN(CHAR(10),TRUE,FILTER('SUMMARY DATA'!G:G,'SUMMARY DATA'!$A:$A=$A683,'SUMMARY DATA'!$C:$C=$B683,'SUMMARY DATA'!$B:$B=""RWS"")),
  IF(
    OR(
      ISNUMBER(SEARCH(""CDM CASH DEPOSIT"",$C683)),
      ISNUMBER(SEARCH(""CASH DEPOSIT"",$C68"&amp;"3)),
      COUNTIFS('SUMMARY DATA'!$D:$D,$C683,'SUMMARY DATA'!$B:$B,""RWS"")&lt;&gt;1
    ),
    """",
    IFERROR(TEXTJOIN(CHAR(10),TRUE,FILTER('SUMMARY DATA'!G:G,'SUMMARY DATA'!$D:$D=$C683,'SUMMARY DATA'!$B:$B=""RWS"")),"""")
  )
)"),"")</f>
      </c>
      <c r="H683" s="18" t="str">
        <f>IFERROR(__xludf.DUMMYFUNCTION("IFERROR(
  TEXTJOIN(CHAR(10),TRUE,FILTER('SUMMARY DATA'!H:H,'SUMMARY DATA'!$A:$A=$A683,'SUMMARY DATA'!$C:$C=$B683,'SUMMARY DATA'!$B:$B=""RWS"",'SUMMARY DATA'!$H:$H=$D683)),
  IF(
    OR(
      ISNUMBER(SEARCH(""CDM CASH DEPOSIT"",$C683)),
      ISNUMBER(S"&amp;"EARCH(""CASH DEPOSIT"",$C683))
    ),
    """",
    IFERROR(TEXTJOIN(CHAR(10),TRUE,FILTER('SUMMARY DATA'!H:H,'SUMMARY DATA'!$D:$D=$C683,'SUMMARY DATA'!$B:$B=""RWS"",'SUMMARY DATA'!$H:$H=$D683)),"""")
  )
)"),"")</f>
      </c>
      <c r="I683" s="18" t="str">
        <f>IFERROR(__xludf.DUMMYFUNCTION("IF(H683="""","""",
SUM(ARRAYFORMULA(VALUE(SPLIT(H683,CHAR(10)))))
)"),"")</f>
      </c>
      <c r="J683" s="17" t="str">
        <f>IFERROR(__xludf.DUMMYFUNCTION("IFERROR(
  TEXTJOIN(CHAR(10),TRUE,FILTER('SUMMARY DATA'!I:I,'SUMMARY DATA'!$A:$A=$A683,'SUMMARY DATA'!$C:$C=$B683,'SUMMARY DATA'!$B:$B=""RWS"")),
  IF(
    OR(
      ISNUMBER(SEARCH(""CDM CASH DEPOSIT"",$C683)),
      ISNUMBER(SEARCH(""CASH DEPOSIT"",$C68"&amp;"3)),
      COUNTIFS('SUMMARY DATA'!$D:$D,$C683,'SUMMARY DATA'!$B:$B,""RWS"")&lt;&gt;1
    ),
    """",
    IFERROR(TEXTJOIN(CHAR(10),TRUE,FILTER('SUMMARY DATA'!I:I,'SUMMARY DATA'!$D:$D=$C683,'SUMMARY DATA'!$B:$B=""RWS"")),"""")
  )
)"),"")</f>
      </c>
      <c r="K683" s="2"/>
      <c r="L683" s="2"/>
      <c r="M683" s="2"/>
      <c r="N683" s="2"/>
      <c r="O683" s="2"/>
      <c r="P683" s="2"/>
      <c r="Q683" s="2"/>
      <c r="R683" s="2"/>
      <c r="S683" s="2"/>
      <c r="T683" s="2"/>
      <c r="U683" s="2"/>
      <c r="V683" s="2"/>
      <c r="W683" s="2"/>
      <c r="X683" s="2"/>
      <c r="Y683" s="2"/>
      <c r="Z683" s="2"/>
      <c r="AA683" s="2"/>
      <c r="AB683" s="2"/>
    </row>
    <row r="684" spans="1:28" customHeight="true">
      <c r="A684" s="2"/>
      <c r="B684" s="15">
        <v>46035</v>
      </c>
      <c r="C684" s="2" t="s">
        <v>1100</v>
      </c>
      <c r="D684" s="3">
        <v>144</v>
      </c>
      <c r="E684" s="16" t="str">
        <f>IFERROR(__xludf.DUMMYFUNCTION("IFERROR(
  TEXTJOIN(CHAR(10),TRUE,FILTER('SUMMARY DATA'!E:E,'SUMMARY DATA'!$A:$A=$A684,'SUMMARY DATA'!$C:$C=$B684,'SUMMARY DATA'!$B:$B=""RWS"")),
  IF(
    OR(
      ISNUMBER(SEARCH(""CDM CASH DEPOSIT"",$C684)),
      ISNUMBER(SEARCH(""CASH DEPOSIT"",$C68"&amp;"4)),
      COUNTIFS('SUMMARY DATA'!$D:$D,$C684,'SUMMARY DATA'!$B:$B,""RWS"")&lt;&gt;1
    ),
    """",
    IFERROR(TEXTJOIN(CHAR(10),TRUE,FILTER('SUMMARY DATA'!E:E,'SUMMARY DATA'!$D:$D=$C684,'SUMMARY DATA'!$B:$B=""RWS"")),"""")
  )
)"),"")</f>
      </c>
      <c r="F684" s="17" t="str">
        <f>IFERROR(__xludf.DUMMYFUNCTION("IFERROR(
  TEXTJOIN(CHAR(10),TRUE,FILTER('SUMMARY DATA'!F:F,'SUMMARY DATA'!$A:$A=$A684,'SUMMARY DATA'!$C:$C=$B684,'SUMMARY DATA'!$B:$B=""RWS"")),
  IF(
    OR(
      ISNUMBER(SEARCH(""CDM CASH DEPOSIT"",$C684)),
      ISNUMBER(SEARCH(""CASH DEPOSIT"",$C68"&amp;"4)),
      COUNTIFS('SUMMARY DATA'!$D:$D,$C684,'SUMMARY DATA'!$B:$B,""RWS"")&lt;&gt;1
    ),
    """",
    IFERROR(TEXTJOIN(CHAR(10),TRUE,FILTER('SUMMARY DATA'!F:F,'SUMMARY DATA'!$D:$D=$C684,'SUMMARY DATA'!$B:$B=""RWS"")),"""")
  )
)"),"")</f>
      </c>
      <c r="G684" s="17" t="str">
        <f>IFERROR(__xludf.DUMMYFUNCTION("IFERROR(
  TEXTJOIN(CHAR(10),TRUE,FILTER('SUMMARY DATA'!G:G,'SUMMARY DATA'!$A:$A=$A684,'SUMMARY DATA'!$C:$C=$B684,'SUMMARY DATA'!$B:$B=""RWS"")),
  IF(
    OR(
      ISNUMBER(SEARCH(""CDM CASH DEPOSIT"",$C684)),
      ISNUMBER(SEARCH(""CASH DEPOSIT"",$C68"&amp;"4)),
      COUNTIFS('SUMMARY DATA'!$D:$D,$C684,'SUMMARY DATA'!$B:$B,""RWS"")&lt;&gt;1
    ),
    """",
    IFERROR(TEXTJOIN(CHAR(10),TRUE,FILTER('SUMMARY DATA'!G:G,'SUMMARY DATA'!$D:$D=$C684,'SUMMARY DATA'!$B:$B=""RWS"")),"""")
  )
)"),"")</f>
      </c>
      <c r="H684" s="18" t="str">
        <f>IFERROR(__xludf.DUMMYFUNCTION("IFERROR(
  TEXTJOIN(CHAR(10),TRUE,FILTER('SUMMARY DATA'!H:H,'SUMMARY DATA'!$A:$A=$A684,'SUMMARY DATA'!$C:$C=$B684,'SUMMARY DATA'!$B:$B=""RWS"",'SUMMARY DATA'!$H:$H=$D684)),
  IF(
    OR(
      ISNUMBER(SEARCH(""CDM CASH DEPOSIT"",$C684)),
      ISNUMBER(S"&amp;"EARCH(""CASH DEPOSIT"",$C684))
    ),
    """",
    IFERROR(TEXTJOIN(CHAR(10),TRUE,FILTER('SUMMARY DATA'!H:H,'SUMMARY DATA'!$D:$D=$C684,'SUMMARY DATA'!$B:$B=""RWS"",'SUMMARY DATA'!$H:$H=$D684)),"""")
  )
)"),"")</f>
      </c>
      <c r="I684" s="18" t="str">
        <f>IFERROR(__xludf.DUMMYFUNCTION("IF(H684="""","""",
SUM(ARRAYFORMULA(VALUE(SPLIT(H684,CHAR(10)))))
)"),"")</f>
      </c>
      <c r="J684" s="17" t="str">
        <f>IFERROR(__xludf.DUMMYFUNCTION("IFERROR(
  TEXTJOIN(CHAR(10),TRUE,FILTER('SUMMARY DATA'!I:I,'SUMMARY DATA'!$A:$A=$A684,'SUMMARY DATA'!$C:$C=$B684,'SUMMARY DATA'!$B:$B=""RWS"")),
  IF(
    OR(
      ISNUMBER(SEARCH(""CDM CASH DEPOSIT"",$C684)),
      ISNUMBER(SEARCH(""CASH DEPOSIT"",$C68"&amp;"4)),
      COUNTIFS('SUMMARY DATA'!$D:$D,$C684,'SUMMARY DATA'!$B:$B,""RWS"")&lt;&gt;1
    ),
    """",
    IFERROR(TEXTJOIN(CHAR(10),TRUE,FILTER('SUMMARY DATA'!I:I,'SUMMARY DATA'!$D:$D=$C684,'SUMMARY DATA'!$B:$B=""RWS"")),"""")
  )
)"),"")</f>
      </c>
      <c r="K684" s="2"/>
      <c r="L684" s="2"/>
      <c r="M684" s="2"/>
      <c r="N684" s="2"/>
      <c r="O684" s="2"/>
      <c r="P684" s="2"/>
      <c r="Q684" s="2"/>
      <c r="R684" s="2"/>
      <c r="S684" s="2"/>
      <c r="T684" s="2"/>
      <c r="U684" s="2"/>
      <c r="V684" s="2"/>
      <c r="W684" s="2"/>
      <c r="X684" s="2"/>
      <c r="Y684" s="2"/>
      <c r="Z684" s="2"/>
      <c r="AA684" s="2"/>
      <c r="AB684" s="2"/>
    </row>
    <row r="685" spans="1:28" customHeight="true">
      <c r="A685" s="2" t="s">
        <v>1101</v>
      </c>
      <c r="B685" s="15">
        <v>46035</v>
      </c>
      <c r="C685" s="2" t="s">
        <v>1102</v>
      </c>
      <c r="D685" s="3">
        <v>18</v>
      </c>
      <c r="E685" s="16" t="s">
        <v>2632</v>
      </c>
      <c r="F685" s="17" t="s">
        <v>2633</v>
      </c>
      <c r="G685" s="17" t="s">
        <v>2393</v>
      </c>
      <c r="H685" s="18">
        <v>18</v>
      </c>
      <c r="I685" s="18">
        <v>18</v>
      </c>
      <c r="J685" s="17" t="s">
        <v>2394</v>
      </c>
      <c r="K685" s="2" t="s">
        <v>2395</v>
      </c>
      <c r="L685" s="2"/>
      <c r="M685" s="2"/>
      <c r="N685" s="2"/>
      <c r="O685" s="2"/>
      <c r="P685" s="2"/>
      <c r="Q685" s="2"/>
      <c r="R685" s="2"/>
      <c r="S685" s="2"/>
      <c r="T685" s="2"/>
      <c r="U685" s="2"/>
      <c r="V685" s="2"/>
      <c r="W685" s="2"/>
      <c r="X685" s="2"/>
      <c r="Y685" s="2"/>
      <c r="Z685" s="2"/>
      <c r="AA685" s="2"/>
      <c r="AB685" s="2"/>
    </row>
    <row r="686" spans="1:28" customHeight="true">
      <c r="A686" s="2"/>
      <c r="B686" s="15">
        <v>46035</v>
      </c>
      <c r="C686" s="2" t="s">
        <v>1103</v>
      </c>
      <c r="D686" s="3">
        <v>99</v>
      </c>
      <c r="E686" s="16" t="str">
        <f>IFERROR(__xludf.DUMMYFUNCTION("IFERROR(
  TEXTJOIN(CHAR(10),TRUE,FILTER('SUMMARY DATA'!E:E,'SUMMARY DATA'!$A:$A=$A686,'SUMMARY DATA'!$C:$C=$B686,'SUMMARY DATA'!$B:$B=""RWS"")),
  IF(
    OR(
      ISNUMBER(SEARCH(""CDM CASH DEPOSIT"",$C686)),
      ISNUMBER(SEARCH(""CASH DEPOSIT"",$C68"&amp;"6)),
      COUNTIFS('SUMMARY DATA'!$D:$D,$C686,'SUMMARY DATA'!$B:$B,""RWS"")&lt;&gt;1
    ),
    """",
    IFERROR(TEXTJOIN(CHAR(10),TRUE,FILTER('SUMMARY DATA'!E:E,'SUMMARY DATA'!$D:$D=$C686,'SUMMARY DATA'!$B:$B=""RWS"")),"""")
  )
)"),"")</f>
      </c>
      <c r="F686" s="17" t="str">
        <f>IFERROR(__xludf.DUMMYFUNCTION("IFERROR(
  TEXTJOIN(CHAR(10),TRUE,FILTER('SUMMARY DATA'!F:F,'SUMMARY DATA'!$A:$A=$A686,'SUMMARY DATA'!$C:$C=$B686,'SUMMARY DATA'!$B:$B=""RWS"")),
  IF(
    OR(
      ISNUMBER(SEARCH(""CDM CASH DEPOSIT"",$C686)),
      ISNUMBER(SEARCH(""CASH DEPOSIT"",$C68"&amp;"6)),
      COUNTIFS('SUMMARY DATA'!$D:$D,$C686,'SUMMARY DATA'!$B:$B,""RWS"")&lt;&gt;1
    ),
    """",
    IFERROR(TEXTJOIN(CHAR(10),TRUE,FILTER('SUMMARY DATA'!F:F,'SUMMARY DATA'!$D:$D=$C686,'SUMMARY DATA'!$B:$B=""RWS"")),"""")
  )
)"),"")</f>
      </c>
      <c r="G686" s="17" t="str">
        <f>IFERROR(__xludf.DUMMYFUNCTION("IFERROR(
  TEXTJOIN(CHAR(10),TRUE,FILTER('SUMMARY DATA'!G:G,'SUMMARY DATA'!$A:$A=$A686,'SUMMARY DATA'!$C:$C=$B686,'SUMMARY DATA'!$B:$B=""RWS"")),
  IF(
    OR(
      ISNUMBER(SEARCH(""CDM CASH DEPOSIT"",$C686)),
      ISNUMBER(SEARCH(""CASH DEPOSIT"",$C68"&amp;"6)),
      COUNTIFS('SUMMARY DATA'!$D:$D,$C686,'SUMMARY DATA'!$B:$B,""RWS"")&lt;&gt;1
    ),
    """",
    IFERROR(TEXTJOIN(CHAR(10),TRUE,FILTER('SUMMARY DATA'!G:G,'SUMMARY DATA'!$D:$D=$C686,'SUMMARY DATA'!$B:$B=""RWS"")),"""")
  )
)"),"")</f>
      </c>
      <c r="H686" s="18" t="str">
        <f>IFERROR(__xludf.DUMMYFUNCTION("IFERROR(
  TEXTJOIN(CHAR(10),TRUE,FILTER('SUMMARY DATA'!H:H,'SUMMARY DATA'!$A:$A=$A686,'SUMMARY DATA'!$C:$C=$B686,'SUMMARY DATA'!$B:$B=""RWS"",'SUMMARY DATA'!$H:$H=$D686)),
  IF(
    OR(
      ISNUMBER(SEARCH(""CDM CASH DEPOSIT"",$C686)),
      ISNUMBER(S"&amp;"EARCH(""CASH DEPOSIT"",$C686))
    ),
    """",
    IFERROR(TEXTJOIN(CHAR(10),TRUE,FILTER('SUMMARY DATA'!H:H,'SUMMARY DATA'!$D:$D=$C686,'SUMMARY DATA'!$B:$B=""RWS"",'SUMMARY DATA'!$H:$H=$D686)),"""")
  )
)"),"")</f>
      </c>
      <c r="I686" s="18" t="str">
        <f>IFERROR(__xludf.DUMMYFUNCTION("IF(H686="""","""",
SUM(ARRAYFORMULA(VALUE(SPLIT(H686,CHAR(10)))))
)"),"")</f>
      </c>
      <c r="J686" s="17" t="str">
        <f>IFERROR(__xludf.DUMMYFUNCTION("IFERROR(
  TEXTJOIN(CHAR(10),TRUE,FILTER('SUMMARY DATA'!I:I,'SUMMARY DATA'!$A:$A=$A686,'SUMMARY DATA'!$C:$C=$B686,'SUMMARY DATA'!$B:$B=""RWS"")),
  IF(
    OR(
      ISNUMBER(SEARCH(""CDM CASH DEPOSIT"",$C686)),
      ISNUMBER(SEARCH(""CASH DEPOSIT"",$C68"&amp;"6)),
      COUNTIFS('SUMMARY DATA'!$D:$D,$C686,'SUMMARY DATA'!$B:$B,""RWS"")&lt;&gt;1
    ),
    """",
    IFERROR(TEXTJOIN(CHAR(10),TRUE,FILTER('SUMMARY DATA'!I:I,'SUMMARY DATA'!$D:$D=$C686,'SUMMARY DATA'!$B:$B=""RWS"")),"""")
  )
)"),"")</f>
      </c>
      <c r="K686" s="2"/>
      <c r="L686" s="2"/>
      <c r="M686" s="2"/>
      <c r="N686" s="2"/>
      <c r="O686" s="2"/>
      <c r="P686" s="2"/>
      <c r="Q686" s="2"/>
      <c r="R686" s="2"/>
      <c r="S686" s="2"/>
      <c r="T686" s="2"/>
      <c r="U686" s="2"/>
      <c r="V686" s="2"/>
      <c r="W686" s="2"/>
      <c r="X686" s="2"/>
      <c r="Y686" s="2"/>
      <c r="Z686" s="2"/>
      <c r="AA686" s="2"/>
      <c r="AB686" s="2"/>
    </row>
    <row r="687" spans="1:28" customHeight="true">
      <c r="A687" s="2"/>
      <c r="B687" s="15">
        <v>46035</v>
      </c>
      <c r="C687" s="2" t="s">
        <v>1104</v>
      </c>
      <c r="D687" s="3">
        <v>74.8</v>
      </c>
      <c r="E687" s="16" t="str">
        <f>IFERROR(__xludf.DUMMYFUNCTION("IFERROR(
  TEXTJOIN(CHAR(10),TRUE,FILTER('SUMMARY DATA'!E:E,'SUMMARY DATA'!$A:$A=$A687,'SUMMARY DATA'!$C:$C=$B687,'SUMMARY DATA'!$B:$B=""RWS"")),
  IF(
    OR(
      ISNUMBER(SEARCH(""CDM CASH DEPOSIT"",$C687)),
      ISNUMBER(SEARCH(""CASH DEPOSIT"",$C68"&amp;"7)),
      COUNTIFS('SUMMARY DATA'!$D:$D,$C687,'SUMMARY DATA'!$B:$B,""RWS"")&lt;&gt;1
    ),
    """",
    IFERROR(TEXTJOIN(CHAR(10),TRUE,FILTER('SUMMARY DATA'!E:E,'SUMMARY DATA'!$D:$D=$C687,'SUMMARY DATA'!$B:$B=""RWS"")),"""")
  )
)"),"")</f>
      </c>
      <c r="F687" s="17" t="str">
        <f>IFERROR(__xludf.DUMMYFUNCTION("IFERROR(
  TEXTJOIN(CHAR(10),TRUE,FILTER('SUMMARY DATA'!F:F,'SUMMARY DATA'!$A:$A=$A687,'SUMMARY DATA'!$C:$C=$B687,'SUMMARY DATA'!$B:$B=""RWS"")),
  IF(
    OR(
      ISNUMBER(SEARCH(""CDM CASH DEPOSIT"",$C687)),
      ISNUMBER(SEARCH(""CASH DEPOSIT"",$C68"&amp;"7)),
      COUNTIFS('SUMMARY DATA'!$D:$D,$C687,'SUMMARY DATA'!$B:$B,""RWS"")&lt;&gt;1
    ),
    """",
    IFERROR(TEXTJOIN(CHAR(10),TRUE,FILTER('SUMMARY DATA'!F:F,'SUMMARY DATA'!$D:$D=$C687,'SUMMARY DATA'!$B:$B=""RWS"")),"""")
  )
)"),"")</f>
      </c>
      <c r="G687" s="17" t="str">
        <f>IFERROR(__xludf.DUMMYFUNCTION("IFERROR(
  TEXTJOIN(CHAR(10),TRUE,FILTER('SUMMARY DATA'!G:G,'SUMMARY DATA'!$A:$A=$A687,'SUMMARY DATA'!$C:$C=$B687,'SUMMARY DATA'!$B:$B=""RWS"")),
  IF(
    OR(
      ISNUMBER(SEARCH(""CDM CASH DEPOSIT"",$C687)),
      ISNUMBER(SEARCH(""CASH DEPOSIT"",$C68"&amp;"7)),
      COUNTIFS('SUMMARY DATA'!$D:$D,$C687,'SUMMARY DATA'!$B:$B,""RWS"")&lt;&gt;1
    ),
    """",
    IFERROR(TEXTJOIN(CHAR(10),TRUE,FILTER('SUMMARY DATA'!G:G,'SUMMARY DATA'!$D:$D=$C687,'SUMMARY DATA'!$B:$B=""RWS"")),"""")
  )
)"),"")</f>
      </c>
      <c r="H687" s="18" t="str">
        <f>IFERROR(__xludf.DUMMYFUNCTION("IFERROR(
  TEXTJOIN(CHAR(10),TRUE,FILTER('SUMMARY DATA'!H:H,'SUMMARY DATA'!$A:$A=$A687,'SUMMARY DATA'!$C:$C=$B687,'SUMMARY DATA'!$B:$B=""RWS"",'SUMMARY DATA'!$H:$H=$D687)),
  IF(
    OR(
      ISNUMBER(SEARCH(""CDM CASH DEPOSIT"",$C687)),
      ISNUMBER(S"&amp;"EARCH(""CASH DEPOSIT"",$C687))
    ),
    """",
    IFERROR(TEXTJOIN(CHAR(10),TRUE,FILTER('SUMMARY DATA'!H:H,'SUMMARY DATA'!$D:$D=$C687,'SUMMARY DATA'!$B:$B=""RWS"",'SUMMARY DATA'!$H:$H=$D687)),"""")
  )
)"),"")</f>
      </c>
      <c r="I687" s="18" t="str">
        <f>IFERROR(__xludf.DUMMYFUNCTION("IF(H687="""","""",
SUM(ARRAYFORMULA(VALUE(SPLIT(H687,CHAR(10)))))
)"),"")</f>
      </c>
      <c r="J687" s="17" t="str">
        <f>IFERROR(__xludf.DUMMYFUNCTION("IFERROR(
  TEXTJOIN(CHAR(10),TRUE,FILTER('SUMMARY DATA'!I:I,'SUMMARY DATA'!$A:$A=$A687,'SUMMARY DATA'!$C:$C=$B687,'SUMMARY DATA'!$B:$B=""RWS"")),
  IF(
    OR(
      ISNUMBER(SEARCH(""CDM CASH DEPOSIT"",$C687)),
      ISNUMBER(SEARCH(""CASH DEPOSIT"",$C68"&amp;"7)),
      COUNTIFS('SUMMARY DATA'!$D:$D,$C687,'SUMMARY DATA'!$B:$B,""RWS"")&lt;&gt;1
    ),
    """",
    IFERROR(TEXTJOIN(CHAR(10),TRUE,FILTER('SUMMARY DATA'!I:I,'SUMMARY DATA'!$D:$D=$C687,'SUMMARY DATA'!$B:$B=""RWS"")),"""")
  )
)"),"")</f>
      </c>
      <c r="K687" s="2"/>
      <c r="L687" s="2"/>
      <c r="M687" s="2"/>
      <c r="N687" s="2"/>
      <c r="O687" s="2"/>
      <c r="P687" s="2"/>
      <c r="Q687" s="2"/>
      <c r="R687" s="2"/>
      <c r="S687" s="2"/>
      <c r="T687" s="2"/>
      <c r="U687" s="2"/>
      <c r="V687" s="2"/>
      <c r="W687" s="2"/>
      <c r="X687" s="2"/>
      <c r="Y687" s="2"/>
      <c r="Z687" s="2"/>
      <c r="AA687" s="2"/>
      <c r="AB687" s="2"/>
    </row>
    <row r="688" spans="1:28" customHeight="true">
      <c r="A688" s="2"/>
      <c r="B688" s="15">
        <v>46035</v>
      </c>
      <c r="C688" s="2" t="s">
        <v>1105</v>
      </c>
      <c r="D688" s="3">
        <v>688</v>
      </c>
      <c r="E688" s="16" t="str">
        <f>IFERROR(__xludf.DUMMYFUNCTION("IFERROR(
  TEXTJOIN(CHAR(10),TRUE,FILTER('SUMMARY DATA'!E:E,'SUMMARY DATA'!$A:$A=$A688,'SUMMARY DATA'!$C:$C=$B688,'SUMMARY DATA'!$B:$B=""RWS"")),
  IF(
    OR(
      ISNUMBER(SEARCH(""CDM CASH DEPOSIT"",$C688)),
      ISNUMBER(SEARCH(""CASH DEPOSIT"",$C68"&amp;"8)),
      COUNTIFS('SUMMARY DATA'!$D:$D,$C688,'SUMMARY DATA'!$B:$B,""RWS"")&lt;&gt;1
    ),
    """",
    IFERROR(TEXTJOIN(CHAR(10),TRUE,FILTER('SUMMARY DATA'!E:E,'SUMMARY DATA'!$D:$D=$C688,'SUMMARY DATA'!$B:$B=""RWS"")),"""")
  )
)"),"")</f>
      </c>
      <c r="F688" s="17" t="str">
        <f>IFERROR(__xludf.DUMMYFUNCTION("IFERROR(
  TEXTJOIN(CHAR(10),TRUE,FILTER('SUMMARY DATA'!F:F,'SUMMARY DATA'!$A:$A=$A688,'SUMMARY DATA'!$C:$C=$B688,'SUMMARY DATA'!$B:$B=""RWS"")),
  IF(
    OR(
      ISNUMBER(SEARCH(""CDM CASH DEPOSIT"",$C688)),
      ISNUMBER(SEARCH(""CASH DEPOSIT"",$C68"&amp;"8)),
      COUNTIFS('SUMMARY DATA'!$D:$D,$C688,'SUMMARY DATA'!$B:$B,""RWS"")&lt;&gt;1
    ),
    """",
    IFERROR(TEXTJOIN(CHAR(10),TRUE,FILTER('SUMMARY DATA'!F:F,'SUMMARY DATA'!$D:$D=$C688,'SUMMARY DATA'!$B:$B=""RWS"")),"""")
  )
)"),"")</f>
      </c>
      <c r="G688" s="17" t="str">
        <f>IFERROR(__xludf.DUMMYFUNCTION("IFERROR(
  TEXTJOIN(CHAR(10),TRUE,FILTER('SUMMARY DATA'!G:G,'SUMMARY DATA'!$A:$A=$A688,'SUMMARY DATA'!$C:$C=$B688,'SUMMARY DATA'!$B:$B=""RWS"")),
  IF(
    OR(
      ISNUMBER(SEARCH(""CDM CASH DEPOSIT"",$C688)),
      ISNUMBER(SEARCH(""CASH DEPOSIT"",$C68"&amp;"8)),
      COUNTIFS('SUMMARY DATA'!$D:$D,$C688,'SUMMARY DATA'!$B:$B,""RWS"")&lt;&gt;1
    ),
    """",
    IFERROR(TEXTJOIN(CHAR(10),TRUE,FILTER('SUMMARY DATA'!G:G,'SUMMARY DATA'!$D:$D=$C688,'SUMMARY DATA'!$B:$B=""RWS"")),"""")
  )
)"),"")</f>
      </c>
      <c r="H688" s="18" t="str">
        <f>IFERROR(__xludf.DUMMYFUNCTION("IFERROR(
  TEXTJOIN(CHAR(10),TRUE,FILTER('SUMMARY DATA'!H:H,'SUMMARY DATA'!$A:$A=$A688,'SUMMARY DATA'!$C:$C=$B688,'SUMMARY DATA'!$B:$B=""RWS"",'SUMMARY DATA'!$H:$H=$D688)),
  IF(
    OR(
      ISNUMBER(SEARCH(""CDM CASH DEPOSIT"",$C688)),
      ISNUMBER(S"&amp;"EARCH(""CASH DEPOSIT"",$C688))
    ),
    """",
    IFERROR(TEXTJOIN(CHAR(10),TRUE,FILTER('SUMMARY DATA'!H:H,'SUMMARY DATA'!$D:$D=$C688,'SUMMARY DATA'!$B:$B=""RWS"",'SUMMARY DATA'!$H:$H=$D688)),"""")
  )
)"),"")</f>
      </c>
      <c r="I688" s="18" t="str">
        <f>IFERROR(__xludf.DUMMYFUNCTION("IF(H688="""","""",
SUM(ARRAYFORMULA(VALUE(SPLIT(H688,CHAR(10)))))
)"),"")</f>
      </c>
      <c r="J688" s="17" t="str">
        <f>IFERROR(__xludf.DUMMYFUNCTION("IFERROR(
  TEXTJOIN(CHAR(10),TRUE,FILTER('SUMMARY DATA'!I:I,'SUMMARY DATA'!$A:$A=$A688,'SUMMARY DATA'!$C:$C=$B688,'SUMMARY DATA'!$B:$B=""RWS"")),
  IF(
    OR(
      ISNUMBER(SEARCH(""CDM CASH DEPOSIT"",$C688)),
      ISNUMBER(SEARCH(""CASH DEPOSIT"",$C68"&amp;"8)),
      COUNTIFS('SUMMARY DATA'!$D:$D,$C688,'SUMMARY DATA'!$B:$B,""RWS"")&lt;&gt;1
    ),
    """",
    IFERROR(TEXTJOIN(CHAR(10),TRUE,FILTER('SUMMARY DATA'!I:I,'SUMMARY DATA'!$D:$D=$C688,'SUMMARY DATA'!$B:$B=""RWS"")),"""")
  )
)"),"")</f>
      </c>
      <c r="K688" s="2"/>
      <c r="L688" s="2"/>
      <c r="M688" s="2"/>
      <c r="N688" s="2"/>
      <c r="O688" s="2"/>
      <c r="P688" s="2"/>
      <c r="Q688" s="2"/>
      <c r="R688" s="2"/>
      <c r="S688" s="2"/>
      <c r="T688" s="2"/>
      <c r="U688" s="2"/>
      <c r="V688" s="2"/>
      <c r="W688" s="2"/>
      <c r="X688" s="2"/>
      <c r="Y688" s="2"/>
      <c r="Z688" s="2"/>
      <c r="AA688" s="2"/>
      <c r="AB688" s="2"/>
    </row>
    <row r="689" spans="1:28" customHeight="true">
      <c r="A689" s="2" t="s">
        <v>1106</v>
      </c>
      <c r="B689" s="15">
        <v>46035</v>
      </c>
      <c r="C689" s="2" t="s">
        <v>1107</v>
      </c>
      <c r="D689" s="3">
        <v>3</v>
      </c>
      <c r="E689" s="16" t="str">
        <f>IFERROR(__xludf.DUMMYFUNCTION("IFERROR(
  TEXTJOIN(CHAR(10),TRUE,FILTER('SUMMARY DATA'!E:E,'SUMMARY DATA'!$A:$A=$A689,'SUMMARY DATA'!$C:$C=$B689,'SUMMARY DATA'!$B:$B=""RWS"")),
  IF(
    OR(
      ISNUMBER(SEARCH(""CDM CASH DEPOSIT"",$C689)),
      ISNUMBER(SEARCH(""CASH DEPOSIT"",$C68"&amp;"9)),
      COUNTIFS('SUMMARY DATA'!$D:$D,$C689,'SUMMARY DATA'!$B:$B,""RWS"")&lt;&gt;1
    ),
    """",
    IFERROR(TEXTJOIN(CHAR(10),TRUE,FILTER('SUMMARY DATA'!E:E,'SUMMARY DATA'!$D:$D=$C689,'SUMMARY DATA'!$B:$B=""RWS"")),"""")
  )
)"),"")</f>
      </c>
      <c r="F689" s="17" t="str">
        <f>IFERROR(__xludf.DUMMYFUNCTION("IFERROR(
  TEXTJOIN(CHAR(10),TRUE,FILTER('SUMMARY DATA'!F:F,'SUMMARY DATA'!$A:$A=$A689,'SUMMARY DATA'!$C:$C=$B689,'SUMMARY DATA'!$B:$B=""RWS"")),
  IF(
    OR(
      ISNUMBER(SEARCH(""CDM CASH DEPOSIT"",$C689)),
      ISNUMBER(SEARCH(""CASH DEPOSIT"",$C68"&amp;"9)),
      COUNTIFS('SUMMARY DATA'!$D:$D,$C689,'SUMMARY DATA'!$B:$B,""RWS"")&lt;&gt;1
    ),
    """",
    IFERROR(TEXTJOIN(CHAR(10),TRUE,FILTER('SUMMARY DATA'!F:F,'SUMMARY DATA'!$D:$D=$C689,'SUMMARY DATA'!$B:$B=""RWS"")),"""")
  )
)"),"")</f>
      </c>
      <c r="G689" s="17" t="str">
        <f>IFERROR(__xludf.DUMMYFUNCTION("IFERROR(
  TEXTJOIN(CHAR(10),TRUE,FILTER('SUMMARY DATA'!G:G,'SUMMARY DATA'!$A:$A=$A689,'SUMMARY DATA'!$C:$C=$B689,'SUMMARY DATA'!$B:$B=""RWS"")),
  IF(
    OR(
      ISNUMBER(SEARCH(""CDM CASH DEPOSIT"",$C689)),
      ISNUMBER(SEARCH(""CASH DEPOSIT"",$C68"&amp;"9)),
      COUNTIFS('SUMMARY DATA'!$D:$D,$C689,'SUMMARY DATA'!$B:$B,""RWS"")&lt;&gt;1
    ),
    """",
    IFERROR(TEXTJOIN(CHAR(10),TRUE,FILTER('SUMMARY DATA'!G:G,'SUMMARY DATA'!$D:$D=$C689,'SUMMARY DATA'!$B:$B=""RWS"")),"""")
  )
)"),"")</f>
      </c>
      <c r="H689" s="18" t="str">
        <f>IFERROR(__xludf.DUMMYFUNCTION("IFERROR(
  TEXTJOIN(CHAR(10),TRUE,FILTER('SUMMARY DATA'!H:H,'SUMMARY DATA'!$A:$A=$A689,'SUMMARY DATA'!$C:$C=$B689,'SUMMARY DATA'!$B:$B=""RWS"",'SUMMARY DATA'!$H:$H=$D689)),
  IF(
    OR(
      ISNUMBER(SEARCH(""CDM CASH DEPOSIT"",$C689)),
      ISNUMBER(S"&amp;"EARCH(""CASH DEPOSIT"",$C689))
    ),
    """",
    IFERROR(TEXTJOIN(CHAR(10),TRUE,FILTER('SUMMARY DATA'!H:H,'SUMMARY DATA'!$D:$D=$C689,'SUMMARY DATA'!$B:$B=""RWS"",'SUMMARY DATA'!$H:$H=$D689)),"""")
  )
)"),"")</f>
      </c>
      <c r="I689" s="18" t="str">
        <f>IFERROR(__xludf.DUMMYFUNCTION("IF(H689="""","""",
SUM(ARRAYFORMULA(VALUE(SPLIT(H689,CHAR(10)))))
)"),"")</f>
      </c>
      <c r="J689" s="17" t="str">
        <f>IFERROR(__xludf.DUMMYFUNCTION("IFERROR(
  TEXTJOIN(CHAR(10),TRUE,FILTER('SUMMARY DATA'!I:I,'SUMMARY DATA'!$A:$A=$A689,'SUMMARY DATA'!$C:$C=$B689,'SUMMARY DATA'!$B:$B=""RWS"")),
  IF(
    OR(
      ISNUMBER(SEARCH(""CDM CASH DEPOSIT"",$C689)),
      ISNUMBER(SEARCH(""CASH DEPOSIT"",$C68"&amp;"9)),
      COUNTIFS('SUMMARY DATA'!$D:$D,$C689,'SUMMARY DATA'!$B:$B,""RWS"")&lt;&gt;1
    ),
    """",
    IFERROR(TEXTJOIN(CHAR(10),TRUE,FILTER('SUMMARY DATA'!I:I,'SUMMARY DATA'!$D:$D=$C689,'SUMMARY DATA'!$B:$B=""RWS"")),"""")
  )
)"),"")</f>
      </c>
      <c r="K689" s="2"/>
      <c r="L689" s="2"/>
      <c r="M689" s="2"/>
      <c r="N689" s="2"/>
      <c r="O689" s="2"/>
      <c r="P689" s="2"/>
      <c r="Q689" s="2"/>
      <c r="R689" s="2"/>
      <c r="S689" s="2"/>
      <c r="T689" s="2"/>
      <c r="U689" s="2"/>
      <c r="V689" s="2"/>
      <c r="W689" s="2"/>
      <c r="X689" s="2"/>
      <c r="Y689" s="2"/>
      <c r="Z689" s="2"/>
      <c r="AA689" s="2"/>
      <c r="AB689" s="2"/>
    </row>
    <row r="690" spans="1:28" customHeight="true">
      <c r="A690" s="2"/>
      <c r="B690" s="15">
        <v>46034</v>
      </c>
      <c r="C690" s="2" t="s">
        <v>1108</v>
      </c>
      <c r="D690" s="3">
        <v>9.9</v>
      </c>
      <c r="E690" s="16" t="str">
        <f>IFERROR(__xludf.DUMMYFUNCTION("IFERROR(
  TEXTJOIN(CHAR(10),TRUE,FILTER('SUMMARY DATA'!E:E,'SUMMARY DATA'!$A:$A=$A690,'SUMMARY DATA'!$C:$C=$B690,'SUMMARY DATA'!$B:$B=""RWS"")),
  IF(
    OR(
      ISNUMBER(SEARCH(""CDM CASH DEPOSIT"",$C690)),
      ISNUMBER(SEARCH(""CASH DEPOSIT"",$C69"&amp;"0)),
      COUNTIFS('SUMMARY DATA'!$D:$D,$C690,'SUMMARY DATA'!$B:$B,""RWS"")&lt;&gt;1
    ),
    """",
    IFERROR(TEXTJOIN(CHAR(10),TRUE,FILTER('SUMMARY DATA'!E:E,'SUMMARY DATA'!$D:$D=$C690,'SUMMARY DATA'!$B:$B=""RWS"")),"""")
  )
)"),"")</f>
      </c>
      <c r="F690" s="17" t="str">
        <f>IFERROR(__xludf.DUMMYFUNCTION("IFERROR(
  TEXTJOIN(CHAR(10),TRUE,FILTER('SUMMARY DATA'!F:F,'SUMMARY DATA'!$A:$A=$A690,'SUMMARY DATA'!$C:$C=$B690,'SUMMARY DATA'!$B:$B=""RWS"")),
  IF(
    OR(
      ISNUMBER(SEARCH(""CDM CASH DEPOSIT"",$C690)),
      ISNUMBER(SEARCH(""CASH DEPOSIT"",$C69"&amp;"0)),
      COUNTIFS('SUMMARY DATA'!$D:$D,$C690,'SUMMARY DATA'!$B:$B,""RWS"")&lt;&gt;1
    ),
    """",
    IFERROR(TEXTJOIN(CHAR(10),TRUE,FILTER('SUMMARY DATA'!F:F,'SUMMARY DATA'!$D:$D=$C690,'SUMMARY DATA'!$B:$B=""RWS"")),"""")
  )
)"),"")</f>
      </c>
      <c r="G690" s="17" t="str">
        <f>IFERROR(__xludf.DUMMYFUNCTION("IFERROR(
  TEXTJOIN(CHAR(10),TRUE,FILTER('SUMMARY DATA'!G:G,'SUMMARY DATA'!$A:$A=$A690,'SUMMARY DATA'!$C:$C=$B690,'SUMMARY DATA'!$B:$B=""RWS"")),
  IF(
    OR(
      ISNUMBER(SEARCH(""CDM CASH DEPOSIT"",$C690)),
      ISNUMBER(SEARCH(""CASH DEPOSIT"",$C69"&amp;"0)),
      COUNTIFS('SUMMARY DATA'!$D:$D,$C690,'SUMMARY DATA'!$B:$B,""RWS"")&lt;&gt;1
    ),
    """",
    IFERROR(TEXTJOIN(CHAR(10),TRUE,FILTER('SUMMARY DATA'!G:G,'SUMMARY DATA'!$D:$D=$C690,'SUMMARY DATA'!$B:$B=""RWS"")),"""")
  )
)"),"")</f>
      </c>
      <c r="H690" s="18" t="str">
        <f>IFERROR(__xludf.DUMMYFUNCTION("IFERROR(
  TEXTJOIN(CHAR(10),TRUE,FILTER('SUMMARY DATA'!H:H,'SUMMARY DATA'!$A:$A=$A690,'SUMMARY DATA'!$C:$C=$B690,'SUMMARY DATA'!$B:$B=""RWS"",'SUMMARY DATA'!$H:$H=$D690)),
  IF(
    OR(
      ISNUMBER(SEARCH(""CDM CASH DEPOSIT"",$C690)),
      ISNUMBER(S"&amp;"EARCH(""CASH DEPOSIT"",$C690))
    ),
    """",
    IFERROR(TEXTJOIN(CHAR(10),TRUE,FILTER('SUMMARY DATA'!H:H,'SUMMARY DATA'!$D:$D=$C690,'SUMMARY DATA'!$B:$B=""RWS"",'SUMMARY DATA'!$H:$H=$D690)),"""")
  )
)"),"")</f>
      </c>
      <c r="I690" s="18" t="str">
        <f>IFERROR(__xludf.DUMMYFUNCTION("IF(H690="""","""",
SUM(ARRAYFORMULA(VALUE(SPLIT(H690,CHAR(10)))))
)"),"")</f>
      </c>
      <c r="J690" s="17" t="str">
        <f>IFERROR(__xludf.DUMMYFUNCTION("IFERROR(
  TEXTJOIN(CHAR(10),TRUE,FILTER('SUMMARY DATA'!I:I,'SUMMARY DATA'!$A:$A=$A690,'SUMMARY DATA'!$C:$C=$B690,'SUMMARY DATA'!$B:$B=""RWS"")),
  IF(
    OR(
      ISNUMBER(SEARCH(""CDM CASH DEPOSIT"",$C690)),
      ISNUMBER(SEARCH(""CASH DEPOSIT"",$C69"&amp;"0)),
      COUNTIFS('SUMMARY DATA'!$D:$D,$C690,'SUMMARY DATA'!$B:$B,""RWS"")&lt;&gt;1
    ),
    """",
    IFERROR(TEXTJOIN(CHAR(10),TRUE,FILTER('SUMMARY DATA'!I:I,'SUMMARY DATA'!$D:$D=$C690,'SUMMARY DATA'!$B:$B=""RWS"")),"""")
  )
)"),"")</f>
      </c>
      <c r="K690" s="2"/>
      <c r="L690" s="2"/>
      <c r="M690" s="2"/>
      <c r="N690" s="2"/>
      <c r="O690" s="2"/>
      <c r="P690" s="2"/>
      <c r="Q690" s="2"/>
      <c r="R690" s="2"/>
      <c r="S690" s="2"/>
      <c r="T690" s="2"/>
      <c r="U690" s="2"/>
      <c r="V690" s="2"/>
      <c r="W690" s="2"/>
      <c r="X690" s="2"/>
      <c r="Y690" s="2"/>
      <c r="Z690" s="2"/>
      <c r="AA690" s="2"/>
      <c r="AB690" s="2"/>
    </row>
    <row r="691" spans="1:28" customHeight="true">
      <c r="A691" s="2"/>
      <c r="B691" s="15">
        <v>46034</v>
      </c>
      <c r="C691" s="2" t="s">
        <v>1109</v>
      </c>
      <c r="D691" s="3">
        <v>150</v>
      </c>
      <c r="E691" s="16" t="str">
        <f>IFERROR(__xludf.DUMMYFUNCTION("IFERROR(
  TEXTJOIN(CHAR(10),TRUE,FILTER('SUMMARY DATA'!E:E,'SUMMARY DATA'!$A:$A=$A691,'SUMMARY DATA'!$C:$C=$B691,'SUMMARY DATA'!$B:$B=""RWS"")),
  IF(
    OR(
      ISNUMBER(SEARCH(""CDM CASH DEPOSIT"",$C691)),
      ISNUMBER(SEARCH(""CASH DEPOSIT"",$C69"&amp;"1)),
      COUNTIFS('SUMMARY DATA'!$D:$D,$C691,'SUMMARY DATA'!$B:$B,""RWS"")&lt;&gt;1
    ),
    """",
    IFERROR(TEXTJOIN(CHAR(10),TRUE,FILTER('SUMMARY DATA'!E:E,'SUMMARY DATA'!$D:$D=$C691,'SUMMARY DATA'!$B:$B=""RWS"")),"""")
  )
)"),"")</f>
      </c>
      <c r="F691" s="17" t="str">
        <f>IFERROR(__xludf.DUMMYFUNCTION("IFERROR(
  TEXTJOIN(CHAR(10),TRUE,FILTER('SUMMARY DATA'!F:F,'SUMMARY DATA'!$A:$A=$A691,'SUMMARY DATA'!$C:$C=$B691,'SUMMARY DATA'!$B:$B=""RWS"")),
  IF(
    OR(
      ISNUMBER(SEARCH(""CDM CASH DEPOSIT"",$C691)),
      ISNUMBER(SEARCH(""CASH DEPOSIT"",$C69"&amp;"1)),
      COUNTIFS('SUMMARY DATA'!$D:$D,$C691,'SUMMARY DATA'!$B:$B,""RWS"")&lt;&gt;1
    ),
    """",
    IFERROR(TEXTJOIN(CHAR(10),TRUE,FILTER('SUMMARY DATA'!F:F,'SUMMARY DATA'!$D:$D=$C691,'SUMMARY DATA'!$B:$B=""RWS"")),"""")
  )
)"),"")</f>
      </c>
      <c r="G691" s="17" t="str">
        <f>IFERROR(__xludf.DUMMYFUNCTION("IFERROR(
  TEXTJOIN(CHAR(10),TRUE,FILTER('SUMMARY DATA'!G:G,'SUMMARY DATA'!$A:$A=$A691,'SUMMARY DATA'!$C:$C=$B691,'SUMMARY DATA'!$B:$B=""RWS"")),
  IF(
    OR(
      ISNUMBER(SEARCH(""CDM CASH DEPOSIT"",$C691)),
      ISNUMBER(SEARCH(""CASH DEPOSIT"",$C69"&amp;"1)),
      COUNTIFS('SUMMARY DATA'!$D:$D,$C691,'SUMMARY DATA'!$B:$B,""RWS"")&lt;&gt;1
    ),
    """",
    IFERROR(TEXTJOIN(CHAR(10),TRUE,FILTER('SUMMARY DATA'!G:G,'SUMMARY DATA'!$D:$D=$C691,'SUMMARY DATA'!$B:$B=""RWS"")),"""")
  )
)"),"")</f>
      </c>
      <c r="H691" s="18" t="str">
        <f>IFERROR(__xludf.DUMMYFUNCTION("IFERROR(
  TEXTJOIN(CHAR(10),TRUE,FILTER('SUMMARY DATA'!H:H,'SUMMARY DATA'!$A:$A=$A691,'SUMMARY DATA'!$C:$C=$B691,'SUMMARY DATA'!$B:$B=""RWS"",'SUMMARY DATA'!$H:$H=$D691)),
  IF(
    OR(
      ISNUMBER(SEARCH(""CDM CASH DEPOSIT"",$C691)),
      ISNUMBER(S"&amp;"EARCH(""CASH DEPOSIT"",$C691))
    ),
    """",
    IFERROR(TEXTJOIN(CHAR(10),TRUE,FILTER('SUMMARY DATA'!H:H,'SUMMARY DATA'!$D:$D=$C691,'SUMMARY DATA'!$B:$B=""RWS"",'SUMMARY DATA'!$H:$H=$D691)),"""")
  )
)"),"")</f>
      </c>
      <c r="I691" s="18" t="str">
        <f>IFERROR(__xludf.DUMMYFUNCTION("IF(H691="""","""",
SUM(ARRAYFORMULA(VALUE(SPLIT(H691,CHAR(10)))))
)"),"")</f>
      </c>
      <c r="J691" s="17" t="str">
        <f>IFERROR(__xludf.DUMMYFUNCTION("IFERROR(
  TEXTJOIN(CHAR(10),TRUE,FILTER('SUMMARY DATA'!I:I,'SUMMARY DATA'!$A:$A=$A691,'SUMMARY DATA'!$C:$C=$B691,'SUMMARY DATA'!$B:$B=""RWS"")),
  IF(
    OR(
      ISNUMBER(SEARCH(""CDM CASH DEPOSIT"",$C691)),
      ISNUMBER(SEARCH(""CASH DEPOSIT"",$C69"&amp;"1)),
      COUNTIFS('SUMMARY DATA'!$D:$D,$C691,'SUMMARY DATA'!$B:$B,""RWS"")&lt;&gt;1
    ),
    """",
    IFERROR(TEXTJOIN(CHAR(10),TRUE,FILTER('SUMMARY DATA'!I:I,'SUMMARY DATA'!$D:$D=$C691,'SUMMARY DATA'!$B:$B=""RWS"")),"""")
  )
)"),"")</f>
      </c>
      <c r="K691" s="2"/>
      <c r="L691" s="2"/>
      <c r="M691" s="2"/>
      <c r="N691" s="2"/>
      <c r="O691" s="2"/>
      <c r="P691" s="2"/>
      <c r="Q691" s="2"/>
      <c r="R691" s="2"/>
      <c r="S691" s="2"/>
      <c r="T691" s="2"/>
      <c r="U691" s="2"/>
      <c r="V691" s="2"/>
      <c r="W691" s="2"/>
      <c r="X691" s="2"/>
      <c r="Y691" s="2"/>
      <c r="Z691" s="2"/>
      <c r="AA691" s="2"/>
      <c r="AB691" s="2"/>
    </row>
    <row r="692" spans="1:28" customHeight="true">
      <c r="A692" s="2" t="s">
        <v>1106</v>
      </c>
      <c r="B692" s="15">
        <v>46034</v>
      </c>
      <c r="C692" s="2" t="s">
        <v>1107</v>
      </c>
      <c r="D692" s="3">
        <v>1</v>
      </c>
      <c r="E692" s="16" t="str">
        <f>IFERROR(__xludf.DUMMYFUNCTION("IFERROR(
  TEXTJOIN(CHAR(10),TRUE,FILTER('SUMMARY DATA'!E:E,'SUMMARY DATA'!$A:$A=$A692,'SUMMARY DATA'!$C:$C=$B692,'SUMMARY DATA'!$B:$B=""RWS"")),
  IF(
    OR(
      ISNUMBER(SEARCH(""CDM CASH DEPOSIT"",$C692)),
      ISNUMBER(SEARCH(""CASH DEPOSIT"",$C69"&amp;"2)),
      COUNTIFS('SUMMARY DATA'!$D:$D,$C692,'SUMMARY DATA'!$B:$B,""RWS"")&lt;&gt;1
    ),
    """",
    IFERROR(TEXTJOIN(CHAR(10),TRUE,FILTER('SUMMARY DATA'!E:E,'SUMMARY DATA'!$D:$D=$C692,'SUMMARY DATA'!$B:$B=""RWS"")),"""")
  )
)"),"")</f>
      </c>
      <c r="F692" s="17" t="str">
        <f>IFERROR(__xludf.DUMMYFUNCTION("IFERROR(
  TEXTJOIN(CHAR(10),TRUE,FILTER('SUMMARY DATA'!F:F,'SUMMARY DATA'!$A:$A=$A692,'SUMMARY DATA'!$C:$C=$B692,'SUMMARY DATA'!$B:$B=""RWS"")),
  IF(
    OR(
      ISNUMBER(SEARCH(""CDM CASH DEPOSIT"",$C692)),
      ISNUMBER(SEARCH(""CASH DEPOSIT"",$C69"&amp;"2)),
      COUNTIFS('SUMMARY DATA'!$D:$D,$C692,'SUMMARY DATA'!$B:$B,""RWS"")&lt;&gt;1
    ),
    """",
    IFERROR(TEXTJOIN(CHAR(10),TRUE,FILTER('SUMMARY DATA'!F:F,'SUMMARY DATA'!$D:$D=$C692,'SUMMARY DATA'!$B:$B=""RWS"")),"""")
  )
)"),"")</f>
      </c>
      <c r="G692" s="17" t="str">
        <f>IFERROR(__xludf.DUMMYFUNCTION("IFERROR(
  TEXTJOIN(CHAR(10),TRUE,FILTER('SUMMARY DATA'!G:G,'SUMMARY DATA'!$A:$A=$A692,'SUMMARY DATA'!$C:$C=$B692,'SUMMARY DATA'!$B:$B=""RWS"")),
  IF(
    OR(
      ISNUMBER(SEARCH(""CDM CASH DEPOSIT"",$C692)),
      ISNUMBER(SEARCH(""CASH DEPOSIT"",$C69"&amp;"2)),
      COUNTIFS('SUMMARY DATA'!$D:$D,$C692,'SUMMARY DATA'!$B:$B,""RWS"")&lt;&gt;1
    ),
    """",
    IFERROR(TEXTJOIN(CHAR(10),TRUE,FILTER('SUMMARY DATA'!G:G,'SUMMARY DATA'!$D:$D=$C692,'SUMMARY DATA'!$B:$B=""RWS"")),"""")
  )
)"),"")</f>
      </c>
      <c r="H692" s="18" t="str">
        <f>IFERROR(__xludf.DUMMYFUNCTION("IFERROR(
  TEXTJOIN(CHAR(10),TRUE,FILTER('SUMMARY DATA'!H:H,'SUMMARY DATA'!$A:$A=$A692,'SUMMARY DATA'!$C:$C=$B692,'SUMMARY DATA'!$B:$B=""RWS"",'SUMMARY DATA'!$H:$H=$D692)),
  IF(
    OR(
      ISNUMBER(SEARCH(""CDM CASH DEPOSIT"",$C692)),
      ISNUMBER(S"&amp;"EARCH(""CASH DEPOSIT"",$C692))
    ),
    """",
    IFERROR(TEXTJOIN(CHAR(10),TRUE,FILTER('SUMMARY DATA'!H:H,'SUMMARY DATA'!$D:$D=$C692,'SUMMARY DATA'!$B:$B=""RWS"",'SUMMARY DATA'!$H:$H=$D692)),"""")
  )
)"),"")</f>
      </c>
      <c r="I692" s="18" t="str">
        <f>IFERROR(__xludf.DUMMYFUNCTION("IF(H692="""","""",
SUM(ARRAYFORMULA(VALUE(SPLIT(H692,CHAR(10)))))
)"),"")</f>
      </c>
      <c r="J692" s="17" t="str">
        <f>IFERROR(__xludf.DUMMYFUNCTION("IFERROR(
  TEXTJOIN(CHAR(10),TRUE,FILTER('SUMMARY DATA'!I:I,'SUMMARY DATA'!$A:$A=$A692,'SUMMARY DATA'!$C:$C=$B692,'SUMMARY DATA'!$B:$B=""RWS"")),
  IF(
    OR(
      ISNUMBER(SEARCH(""CDM CASH DEPOSIT"",$C692)),
      ISNUMBER(SEARCH(""CASH DEPOSIT"",$C69"&amp;"2)),
      COUNTIFS('SUMMARY DATA'!$D:$D,$C692,'SUMMARY DATA'!$B:$B,""RWS"")&lt;&gt;1
    ),
    """",
    IFERROR(TEXTJOIN(CHAR(10),TRUE,FILTER('SUMMARY DATA'!I:I,'SUMMARY DATA'!$D:$D=$C692,'SUMMARY DATA'!$B:$B=""RWS"")),"""")
  )
)"),"")</f>
      </c>
      <c r="K692" s="2"/>
      <c r="L692" s="2"/>
      <c r="M692" s="2"/>
      <c r="N692" s="2"/>
      <c r="O692" s="2"/>
      <c r="P692" s="2"/>
      <c r="Q692" s="2"/>
      <c r="R692" s="2"/>
      <c r="S692" s="2"/>
      <c r="T692" s="2"/>
      <c r="U692" s="2"/>
      <c r="V692" s="2"/>
      <c r="W692" s="2"/>
      <c r="X692" s="2"/>
      <c r="Y692" s="2"/>
      <c r="Z692" s="2"/>
      <c r="AA692" s="2"/>
      <c r="AB692" s="2"/>
    </row>
    <row r="693" spans="1:28" customHeight="true">
      <c r="A693" s="2" t="s">
        <v>1110</v>
      </c>
      <c r="B693" s="15">
        <v>46034</v>
      </c>
      <c r="C693" s="2" t="s">
        <v>1111</v>
      </c>
      <c r="D693" s="3">
        <v>112.87</v>
      </c>
      <c r="E693" s="16" t="str">
        <f>IFERROR(__xludf.DUMMYFUNCTION("IFERROR(
  TEXTJOIN(CHAR(10),TRUE,FILTER('SUMMARY DATA'!E:E,'SUMMARY DATA'!$A:$A=$A693,'SUMMARY DATA'!$C:$C=$B693,'SUMMARY DATA'!$B:$B=""RWS"")),
  IF(
    OR(
      ISNUMBER(SEARCH(""CDM CASH DEPOSIT"",$C693)),
      ISNUMBER(SEARCH(""CASH DEPOSIT"",$C69"&amp;"3)),
      COUNTIFS('SUMMARY DATA'!$D:$D,$C693,'SUMMARY DATA'!$B:$B,""RWS"")&lt;&gt;1
    ),
    """",
    IFERROR(TEXTJOIN(CHAR(10),TRUE,FILTER('SUMMARY DATA'!E:E,'SUMMARY DATA'!$D:$D=$C693,'SUMMARY DATA'!$B:$B=""RWS"")),"""")
  )
)"),"")</f>
      </c>
      <c r="F693" s="17" t="str">
        <f>IFERROR(__xludf.DUMMYFUNCTION("IFERROR(
  TEXTJOIN(CHAR(10),TRUE,FILTER('SUMMARY DATA'!F:F,'SUMMARY DATA'!$A:$A=$A693,'SUMMARY DATA'!$C:$C=$B693,'SUMMARY DATA'!$B:$B=""RWS"")),
  IF(
    OR(
      ISNUMBER(SEARCH(""CDM CASH DEPOSIT"",$C693)),
      ISNUMBER(SEARCH(""CASH DEPOSIT"",$C69"&amp;"3)),
      COUNTIFS('SUMMARY DATA'!$D:$D,$C693,'SUMMARY DATA'!$B:$B,""RWS"")&lt;&gt;1
    ),
    """",
    IFERROR(TEXTJOIN(CHAR(10),TRUE,FILTER('SUMMARY DATA'!F:F,'SUMMARY DATA'!$D:$D=$C693,'SUMMARY DATA'!$B:$B=""RWS"")),"""")
  )
)"),"")</f>
      </c>
      <c r="G693" s="17" t="str">
        <f>IFERROR(__xludf.DUMMYFUNCTION("IFERROR(
  TEXTJOIN(CHAR(10),TRUE,FILTER('SUMMARY DATA'!G:G,'SUMMARY DATA'!$A:$A=$A693,'SUMMARY DATA'!$C:$C=$B693,'SUMMARY DATA'!$B:$B=""RWS"")),
  IF(
    OR(
      ISNUMBER(SEARCH(""CDM CASH DEPOSIT"",$C693)),
      ISNUMBER(SEARCH(""CASH DEPOSIT"",$C69"&amp;"3)),
      COUNTIFS('SUMMARY DATA'!$D:$D,$C693,'SUMMARY DATA'!$B:$B,""RWS"")&lt;&gt;1
    ),
    """",
    IFERROR(TEXTJOIN(CHAR(10),TRUE,FILTER('SUMMARY DATA'!G:G,'SUMMARY DATA'!$D:$D=$C693,'SUMMARY DATA'!$B:$B=""RWS"")),"""")
  )
)"),"")</f>
      </c>
      <c r="H693" s="18" t="str">
        <f>IFERROR(__xludf.DUMMYFUNCTION("IFERROR(
  TEXTJOIN(CHAR(10),TRUE,FILTER('SUMMARY DATA'!H:H,'SUMMARY DATA'!$A:$A=$A693,'SUMMARY DATA'!$C:$C=$B693,'SUMMARY DATA'!$B:$B=""RWS"",'SUMMARY DATA'!$H:$H=$D693)),
  IF(
    OR(
      ISNUMBER(SEARCH(""CDM CASH DEPOSIT"",$C693)),
      ISNUMBER(S"&amp;"EARCH(""CASH DEPOSIT"",$C693))
    ),
    """",
    IFERROR(TEXTJOIN(CHAR(10),TRUE,FILTER('SUMMARY DATA'!H:H,'SUMMARY DATA'!$D:$D=$C693,'SUMMARY DATA'!$B:$B=""RWS"",'SUMMARY DATA'!$H:$H=$D693)),"""")
  )
)"),"")</f>
      </c>
      <c r="I693" s="18" t="str">
        <f>IFERROR(__xludf.DUMMYFUNCTION("IF(H693="""","""",
SUM(ARRAYFORMULA(VALUE(SPLIT(H693,CHAR(10)))))
)"),"")</f>
      </c>
      <c r="J693" s="17" t="str">
        <f>IFERROR(__xludf.DUMMYFUNCTION("IFERROR(
  TEXTJOIN(CHAR(10),TRUE,FILTER('SUMMARY DATA'!I:I,'SUMMARY DATA'!$A:$A=$A693,'SUMMARY DATA'!$C:$C=$B693,'SUMMARY DATA'!$B:$B=""RWS"")),
  IF(
    OR(
      ISNUMBER(SEARCH(""CDM CASH DEPOSIT"",$C693)),
      ISNUMBER(SEARCH(""CASH DEPOSIT"",$C69"&amp;"3)),
      COUNTIFS('SUMMARY DATA'!$D:$D,$C693,'SUMMARY DATA'!$B:$B,""RWS"")&lt;&gt;1
    ),
    """",
    IFERROR(TEXTJOIN(CHAR(10),TRUE,FILTER('SUMMARY DATA'!I:I,'SUMMARY DATA'!$D:$D=$C693,'SUMMARY DATA'!$B:$B=""RWS"")),"""")
  )
)"),"")</f>
      </c>
      <c r="K693" s="2"/>
      <c r="L693" s="2"/>
      <c r="M693" s="2"/>
      <c r="N693" s="2"/>
      <c r="O693" s="2"/>
      <c r="P693" s="2"/>
      <c r="Q693" s="2"/>
      <c r="R693" s="2"/>
      <c r="S693" s="2"/>
      <c r="T693" s="2"/>
      <c r="U693" s="2"/>
      <c r="V693" s="2"/>
      <c r="W693" s="2"/>
      <c r="X693" s="2"/>
      <c r="Y693" s="2"/>
      <c r="Z693" s="2"/>
      <c r="AA693" s="2"/>
      <c r="AB693" s="2"/>
    </row>
    <row r="694" spans="1:28" customHeight="true">
      <c r="A694" s="2" t="s">
        <v>1112</v>
      </c>
      <c r="B694" s="15">
        <v>46034</v>
      </c>
      <c r="C694" s="2" t="s">
        <v>1113</v>
      </c>
      <c r="D694" s="3">
        <v>127.57</v>
      </c>
      <c r="E694" s="16" t="str">
        <f>IFERROR(__xludf.DUMMYFUNCTION("IFERROR(
  TEXTJOIN(CHAR(10),TRUE,FILTER('SUMMARY DATA'!E:E,'SUMMARY DATA'!$A:$A=$A694,'SUMMARY DATA'!$C:$C=$B694,'SUMMARY DATA'!$B:$B=""RWS"")),
  IF(
    OR(
      ISNUMBER(SEARCH(""CDM CASH DEPOSIT"",$C694)),
      ISNUMBER(SEARCH(""CASH DEPOSIT"",$C69"&amp;"4)),
      COUNTIFS('SUMMARY DATA'!$D:$D,$C694,'SUMMARY DATA'!$B:$B,""RWS"")&lt;&gt;1
    ),
    """",
    IFERROR(TEXTJOIN(CHAR(10),TRUE,FILTER('SUMMARY DATA'!E:E,'SUMMARY DATA'!$D:$D=$C694,'SUMMARY DATA'!$B:$B=""RWS"")),"""")
  )
)"),"")</f>
      </c>
      <c r="F694" s="17" t="str">
        <f>IFERROR(__xludf.DUMMYFUNCTION("IFERROR(
  TEXTJOIN(CHAR(10),TRUE,FILTER('SUMMARY DATA'!F:F,'SUMMARY DATA'!$A:$A=$A694,'SUMMARY DATA'!$C:$C=$B694,'SUMMARY DATA'!$B:$B=""RWS"")),
  IF(
    OR(
      ISNUMBER(SEARCH(""CDM CASH DEPOSIT"",$C694)),
      ISNUMBER(SEARCH(""CASH DEPOSIT"",$C69"&amp;"4)),
      COUNTIFS('SUMMARY DATA'!$D:$D,$C694,'SUMMARY DATA'!$B:$B,""RWS"")&lt;&gt;1
    ),
    """",
    IFERROR(TEXTJOIN(CHAR(10),TRUE,FILTER('SUMMARY DATA'!F:F,'SUMMARY DATA'!$D:$D=$C694,'SUMMARY DATA'!$B:$B=""RWS"")),"""")
  )
)"),"")</f>
      </c>
      <c r="G694" s="17" t="str">
        <f>IFERROR(__xludf.DUMMYFUNCTION("IFERROR(
  TEXTJOIN(CHAR(10),TRUE,FILTER('SUMMARY DATA'!G:G,'SUMMARY DATA'!$A:$A=$A694,'SUMMARY DATA'!$C:$C=$B694,'SUMMARY DATA'!$B:$B=""RWS"")),
  IF(
    OR(
      ISNUMBER(SEARCH(""CDM CASH DEPOSIT"",$C694)),
      ISNUMBER(SEARCH(""CASH DEPOSIT"",$C69"&amp;"4)),
      COUNTIFS('SUMMARY DATA'!$D:$D,$C694,'SUMMARY DATA'!$B:$B,""RWS"")&lt;&gt;1
    ),
    """",
    IFERROR(TEXTJOIN(CHAR(10),TRUE,FILTER('SUMMARY DATA'!G:G,'SUMMARY DATA'!$D:$D=$C694,'SUMMARY DATA'!$B:$B=""RWS"")),"""")
  )
)"),"")</f>
      </c>
      <c r="H694" s="18" t="str">
        <f>IFERROR(__xludf.DUMMYFUNCTION("IFERROR(
  TEXTJOIN(CHAR(10),TRUE,FILTER('SUMMARY DATA'!H:H,'SUMMARY DATA'!$A:$A=$A694,'SUMMARY DATA'!$C:$C=$B694,'SUMMARY DATA'!$B:$B=""RWS"",'SUMMARY DATA'!$H:$H=$D694)),
  IF(
    OR(
      ISNUMBER(SEARCH(""CDM CASH DEPOSIT"",$C694)),
      ISNUMBER(S"&amp;"EARCH(""CASH DEPOSIT"",$C694))
    ),
    """",
    IFERROR(TEXTJOIN(CHAR(10),TRUE,FILTER('SUMMARY DATA'!H:H,'SUMMARY DATA'!$D:$D=$C694,'SUMMARY DATA'!$B:$B=""RWS"",'SUMMARY DATA'!$H:$H=$D694)),"""")
  )
)"),"")</f>
      </c>
      <c r="I694" s="18" t="str">
        <f>IFERROR(__xludf.DUMMYFUNCTION("IF(H694="""","""",
SUM(ARRAYFORMULA(VALUE(SPLIT(H694,CHAR(10)))))
)"),"")</f>
      </c>
      <c r="J694" s="17" t="str">
        <f>IFERROR(__xludf.DUMMYFUNCTION("IFERROR(
  TEXTJOIN(CHAR(10),TRUE,FILTER('SUMMARY DATA'!I:I,'SUMMARY DATA'!$A:$A=$A694,'SUMMARY DATA'!$C:$C=$B694,'SUMMARY DATA'!$B:$B=""RWS"")),
  IF(
    OR(
      ISNUMBER(SEARCH(""CDM CASH DEPOSIT"",$C694)),
      ISNUMBER(SEARCH(""CASH DEPOSIT"",$C69"&amp;"4)),
      COUNTIFS('SUMMARY DATA'!$D:$D,$C694,'SUMMARY DATA'!$B:$B,""RWS"")&lt;&gt;1
    ),
    """",
    IFERROR(TEXTJOIN(CHAR(10),TRUE,FILTER('SUMMARY DATA'!I:I,'SUMMARY DATA'!$D:$D=$C694,'SUMMARY DATA'!$B:$B=""RWS"")),"""")
  )
)"),"")</f>
      </c>
      <c r="K694" s="2"/>
      <c r="L694" s="2"/>
      <c r="M694" s="2"/>
      <c r="N694" s="2"/>
      <c r="O694" s="2"/>
      <c r="P694" s="2"/>
      <c r="Q694" s="2"/>
      <c r="R694" s="2"/>
      <c r="S694" s="2"/>
      <c r="T694" s="2"/>
      <c r="U694" s="2"/>
      <c r="V694" s="2"/>
      <c r="W694" s="2"/>
      <c r="X694" s="2"/>
      <c r="Y694" s="2"/>
      <c r="Z694" s="2"/>
      <c r="AA694" s="2"/>
      <c r="AB694" s="2"/>
    </row>
    <row r="695" spans="1:28" customHeight="true">
      <c r="A695" s="2" t="s">
        <v>1114</v>
      </c>
      <c r="B695" s="15">
        <v>46033</v>
      </c>
      <c r="C695" s="2" t="s">
        <v>1115</v>
      </c>
      <c r="D695" s="3">
        <v>136.99</v>
      </c>
      <c r="E695" s="16" t="s">
        <v>2444</v>
      </c>
      <c r="F695" s="17" t="s">
        <v>2634</v>
      </c>
      <c r="G695" s="17" t="s">
        <v>2393</v>
      </c>
      <c r="H695" s="18">
        <v>136.99</v>
      </c>
      <c r="I695" s="18">
        <v>136.99</v>
      </c>
      <c r="J695" s="17" t="s">
        <v>2394</v>
      </c>
      <c r="K695" s="2" t="s">
        <v>2395</v>
      </c>
      <c r="L695" s="2"/>
      <c r="M695" s="2"/>
      <c r="N695" s="2"/>
      <c r="O695" s="2"/>
      <c r="P695" s="2"/>
      <c r="Q695" s="2"/>
      <c r="R695" s="2"/>
      <c r="S695" s="2"/>
      <c r="T695" s="2"/>
      <c r="U695" s="2"/>
      <c r="V695" s="2"/>
      <c r="W695" s="2"/>
      <c r="X695" s="2"/>
      <c r="Y695" s="2"/>
      <c r="Z695" s="2"/>
      <c r="AA695" s="2"/>
      <c r="AB695" s="2"/>
    </row>
    <row r="696" spans="1:28" customHeight="true">
      <c r="A696" s="2" t="s">
        <v>1116</v>
      </c>
      <c r="B696" s="15">
        <v>46033</v>
      </c>
      <c r="C696" s="2" t="s">
        <v>1050</v>
      </c>
      <c r="D696" s="3">
        <v>90.6</v>
      </c>
      <c r="E696" s="16" t="s">
        <v>2497</v>
      </c>
      <c r="F696" s="17" t="s">
        <v>2635</v>
      </c>
      <c r="G696" s="17" t="s">
        <v>2393</v>
      </c>
      <c r="H696" s="18">
        <v>90.6</v>
      </c>
      <c r="I696" s="18">
        <v>90.6</v>
      </c>
      <c r="J696" s="17" t="s">
        <v>2394</v>
      </c>
      <c r="K696" s="2" t="s">
        <v>2395</v>
      </c>
      <c r="L696" s="2"/>
      <c r="M696" s="2"/>
      <c r="N696" s="2"/>
      <c r="O696" s="2"/>
      <c r="P696" s="2"/>
      <c r="Q696" s="2"/>
      <c r="R696" s="2"/>
      <c r="S696" s="2"/>
      <c r="T696" s="2"/>
      <c r="U696" s="2"/>
      <c r="V696" s="2"/>
      <c r="W696" s="2"/>
      <c r="X696" s="2"/>
      <c r="Y696" s="2"/>
      <c r="Z696" s="2"/>
      <c r="AA696" s="2"/>
      <c r="AB696" s="2"/>
    </row>
    <row r="697" spans="1:28" customHeight="true">
      <c r="A697" s="2"/>
      <c r="B697" s="15">
        <v>46033</v>
      </c>
      <c r="C697" s="2" t="s">
        <v>1117</v>
      </c>
      <c r="D697" s="3">
        <v>54.86</v>
      </c>
      <c r="E697" s="16" t="str">
        <f>IFERROR(__xludf.DUMMYFUNCTION("IFERROR(
  TEXTJOIN(CHAR(10),TRUE,FILTER('SUMMARY DATA'!E:E,'SUMMARY DATA'!$A:$A=$A697,'SUMMARY DATA'!$C:$C=$B697,'SUMMARY DATA'!$B:$B=""RWS"")),
  IF(
    OR(
      ISNUMBER(SEARCH(""CDM CASH DEPOSIT"",$C697)),
      ISNUMBER(SEARCH(""CASH DEPOSIT"",$C69"&amp;"7)),
      COUNTIFS('SUMMARY DATA'!$D:$D,$C697,'SUMMARY DATA'!$B:$B,""RWS"")&lt;&gt;1
    ),
    """",
    IFERROR(TEXTJOIN(CHAR(10),TRUE,FILTER('SUMMARY DATA'!E:E,'SUMMARY DATA'!$D:$D=$C697,'SUMMARY DATA'!$B:$B=""RWS"")),"""")
  )
)"),"")</f>
      </c>
      <c r="F697" s="17" t="str">
        <f>IFERROR(__xludf.DUMMYFUNCTION("IFERROR(
  TEXTJOIN(CHAR(10),TRUE,FILTER('SUMMARY DATA'!F:F,'SUMMARY DATA'!$A:$A=$A697,'SUMMARY DATA'!$C:$C=$B697,'SUMMARY DATA'!$B:$B=""RWS"")),
  IF(
    OR(
      ISNUMBER(SEARCH(""CDM CASH DEPOSIT"",$C697)),
      ISNUMBER(SEARCH(""CASH DEPOSIT"",$C69"&amp;"7)),
      COUNTIFS('SUMMARY DATA'!$D:$D,$C697,'SUMMARY DATA'!$B:$B,""RWS"")&lt;&gt;1
    ),
    """",
    IFERROR(TEXTJOIN(CHAR(10),TRUE,FILTER('SUMMARY DATA'!F:F,'SUMMARY DATA'!$D:$D=$C697,'SUMMARY DATA'!$B:$B=""RWS"")),"""")
  )
)"),"")</f>
      </c>
      <c r="G697" s="17" t="str">
        <f>IFERROR(__xludf.DUMMYFUNCTION("IFERROR(
  TEXTJOIN(CHAR(10),TRUE,FILTER('SUMMARY DATA'!G:G,'SUMMARY DATA'!$A:$A=$A697,'SUMMARY DATA'!$C:$C=$B697,'SUMMARY DATA'!$B:$B=""RWS"")),
  IF(
    OR(
      ISNUMBER(SEARCH(""CDM CASH DEPOSIT"",$C697)),
      ISNUMBER(SEARCH(""CASH DEPOSIT"",$C69"&amp;"7)),
      COUNTIFS('SUMMARY DATA'!$D:$D,$C697,'SUMMARY DATA'!$B:$B,""RWS"")&lt;&gt;1
    ),
    """",
    IFERROR(TEXTJOIN(CHAR(10),TRUE,FILTER('SUMMARY DATA'!G:G,'SUMMARY DATA'!$D:$D=$C697,'SUMMARY DATA'!$B:$B=""RWS"")),"""")
  )
)"),"")</f>
      </c>
      <c r="H697" s="18" t="str">
        <f>IFERROR(__xludf.DUMMYFUNCTION("IFERROR(
  TEXTJOIN(CHAR(10),TRUE,FILTER('SUMMARY DATA'!H:H,'SUMMARY DATA'!$A:$A=$A697,'SUMMARY DATA'!$C:$C=$B697,'SUMMARY DATA'!$B:$B=""RWS"",'SUMMARY DATA'!$H:$H=$D697)),
  IF(
    OR(
      ISNUMBER(SEARCH(""CDM CASH DEPOSIT"",$C697)),
      ISNUMBER(S"&amp;"EARCH(""CASH DEPOSIT"",$C697))
    ),
    """",
    IFERROR(TEXTJOIN(CHAR(10),TRUE,FILTER('SUMMARY DATA'!H:H,'SUMMARY DATA'!$D:$D=$C697,'SUMMARY DATA'!$B:$B=""RWS"",'SUMMARY DATA'!$H:$H=$D697)),"""")
  )
)"),"")</f>
      </c>
      <c r="I697" s="18" t="str">
        <f>IFERROR(__xludf.DUMMYFUNCTION("IF(H697="""","""",
SUM(ARRAYFORMULA(VALUE(SPLIT(H697,CHAR(10)))))
)"),"")</f>
      </c>
      <c r="J697" s="17" t="str">
        <f>IFERROR(__xludf.DUMMYFUNCTION("IFERROR(
  TEXTJOIN(CHAR(10),TRUE,FILTER('SUMMARY DATA'!I:I,'SUMMARY DATA'!$A:$A=$A697,'SUMMARY DATA'!$C:$C=$B697,'SUMMARY DATA'!$B:$B=""RWS"")),
  IF(
    OR(
      ISNUMBER(SEARCH(""CDM CASH DEPOSIT"",$C697)),
      ISNUMBER(SEARCH(""CASH DEPOSIT"",$C69"&amp;"7)),
      COUNTIFS('SUMMARY DATA'!$D:$D,$C697,'SUMMARY DATA'!$B:$B,""RWS"")&lt;&gt;1
    ),
    """",
    IFERROR(TEXTJOIN(CHAR(10),TRUE,FILTER('SUMMARY DATA'!I:I,'SUMMARY DATA'!$D:$D=$C697,'SUMMARY DATA'!$B:$B=""RWS"")),"""")
  )
)"),"")</f>
      </c>
      <c r="K697" s="2"/>
      <c r="L697" s="2"/>
      <c r="M697" s="2"/>
      <c r="N697" s="2"/>
      <c r="O697" s="2"/>
      <c r="P697" s="2"/>
      <c r="Q697" s="2"/>
      <c r="R697" s="2"/>
      <c r="S697" s="2"/>
      <c r="T697" s="2"/>
      <c r="U697" s="2"/>
      <c r="V697" s="2"/>
      <c r="W697" s="2"/>
      <c r="X697" s="2"/>
      <c r="Y697" s="2"/>
      <c r="Z697" s="2"/>
      <c r="AA697" s="2"/>
      <c r="AB697" s="2"/>
    </row>
    <row r="698" spans="1:28" customHeight="true">
      <c r="A698" s="2" t="s">
        <v>1118</v>
      </c>
      <c r="B698" s="15">
        <v>46033</v>
      </c>
      <c r="C698" s="2" t="s">
        <v>1119</v>
      </c>
      <c r="D698" s="3">
        <v>58.88</v>
      </c>
      <c r="E698" s="16" t="s">
        <v>2444</v>
      </c>
      <c r="F698" s="17" t="s">
        <v>2636</v>
      </c>
      <c r="G698" s="17" t="s">
        <v>2393</v>
      </c>
      <c r="H698" s="18">
        <v>58.88</v>
      </c>
      <c r="I698" s="18">
        <v>58.88</v>
      </c>
      <c r="J698" s="17" t="s">
        <v>2394</v>
      </c>
      <c r="K698" s="2" t="s">
        <v>2395</v>
      </c>
      <c r="L698" s="2"/>
      <c r="M698" s="2"/>
      <c r="N698" s="2"/>
      <c r="O698" s="2"/>
      <c r="P698" s="2"/>
      <c r="Q698" s="2"/>
      <c r="R698" s="2"/>
      <c r="S698" s="2"/>
      <c r="T698" s="2"/>
      <c r="U698" s="2"/>
      <c r="V698" s="2"/>
      <c r="W698" s="2"/>
      <c r="X698" s="2"/>
      <c r="Y698" s="2"/>
      <c r="Z698" s="2"/>
      <c r="AA698" s="2"/>
      <c r="AB698" s="2"/>
    </row>
    <row r="699" spans="1:28" customHeight="true">
      <c r="A699" s="2"/>
      <c r="B699" s="15">
        <v>46033</v>
      </c>
      <c r="C699" s="2" t="s">
        <v>242</v>
      </c>
      <c r="D699" s="3">
        <v>277</v>
      </c>
      <c r="E699" s="16" t="str">
        <f>IFERROR(__xludf.DUMMYFUNCTION("IFERROR(
  TEXTJOIN(CHAR(10),TRUE,FILTER('SUMMARY DATA'!E:E,'SUMMARY DATA'!$A:$A=$A699,'SUMMARY DATA'!$C:$C=$B699,'SUMMARY DATA'!$B:$B=""RWS"")),
  IF(
    OR(
      ISNUMBER(SEARCH(""CDM CASH DEPOSIT"",$C699)),
      ISNUMBER(SEARCH(""CASH DEPOSIT"",$C69"&amp;"9)),
      COUNTIFS('SUMMARY DATA'!$D:$D,$C699,'SUMMARY DATA'!$B:$B,""RWS"")&lt;&gt;1
    ),
    """",
    IFERROR(TEXTJOIN(CHAR(10),TRUE,FILTER('SUMMARY DATA'!E:E,'SUMMARY DATA'!$D:$D=$C699,'SUMMARY DATA'!$B:$B=""RWS"")),"""")
  )
)"),"")</f>
      </c>
      <c r="F699" s="17" t="str">
        <f>IFERROR(__xludf.DUMMYFUNCTION("IFERROR(
  TEXTJOIN(CHAR(10),TRUE,FILTER('SUMMARY DATA'!F:F,'SUMMARY DATA'!$A:$A=$A699,'SUMMARY DATA'!$C:$C=$B699,'SUMMARY DATA'!$B:$B=""RWS"")),
  IF(
    OR(
      ISNUMBER(SEARCH(""CDM CASH DEPOSIT"",$C699)),
      ISNUMBER(SEARCH(""CASH DEPOSIT"",$C69"&amp;"9)),
      COUNTIFS('SUMMARY DATA'!$D:$D,$C699,'SUMMARY DATA'!$B:$B,""RWS"")&lt;&gt;1
    ),
    """",
    IFERROR(TEXTJOIN(CHAR(10),TRUE,FILTER('SUMMARY DATA'!F:F,'SUMMARY DATA'!$D:$D=$C699,'SUMMARY DATA'!$B:$B=""RWS"")),"""")
  )
)"),"")</f>
      </c>
      <c r="G699" s="17" t="str">
        <f>IFERROR(__xludf.DUMMYFUNCTION("IFERROR(
  TEXTJOIN(CHAR(10),TRUE,FILTER('SUMMARY DATA'!G:G,'SUMMARY DATA'!$A:$A=$A699,'SUMMARY DATA'!$C:$C=$B699,'SUMMARY DATA'!$B:$B=""RWS"")),
  IF(
    OR(
      ISNUMBER(SEARCH(""CDM CASH DEPOSIT"",$C699)),
      ISNUMBER(SEARCH(""CASH DEPOSIT"",$C69"&amp;"9)),
      COUNTIFS('SUMMARY DATA'!$D:$D,$C699,'SUMMARY DATA'!$B:$B,""RWS"")&lt;&gt;1
    ),
    """",
    IFERROR(TEXTJOIN(CHAR(10),TRUE,FILTER('SUMMARY DATA'!G:G,'SUMMARY DATA'!$D:$D=$C699,'SUMMARY DATA'!$B:$B=""RWS"")),"""")
  )
)"),"")</f>
      </c>
      <c r="H699" s="18" t="str">
        <f>IFERROR(__xludf.DUMMYFUNCTION("IFERROR(
  TEXTJOIN(CHAR(10),TRUE,FILTER('SUMMARY DATA'!H:H,'SUMMARY DATA'!$A:$A=$A699,'SUMMARY DATA'!$C:$C=$B699,'SUMMARY DATA'!$B:$B=""RWS"",'SUMMARY DATA'!$H:$H=$D699)),
  IF(
    OR(
      ISNUMBER(SEARCH(""CDM CASH DEPOSIT"",$C699)),
      ISNUMBER(S"&amp;"EARCH(""CASH DEPOSIT"",$C699))
    ),
    """",
    IFERROR(TEXTJOIN(CHAR(10),TRUE,FILTER('SUMMARY DATA'!H:H,'SUMMARY DATA'!$D:$D=$C699,'SUMMARY DATA'!$B:$B=""RWS"",'SUMMARY DATA'!$H:$H=$D699)),"""")
  )
)"),"")</f>
      </c>
      <c r="I699" s="18" t="str">
        <f>IFERROR(__xludf.DUMMYFUNCTION("IF(H699="""","""",
SUM(ARRAYFORMULA(VALUE(SPLIT(H699,CHAR(10)))))
)"),"")</f>
      </c>
      <c r="J699" s="17" t="str">
        <f>IFERROR(__xludf.DUMMYFUNCTION("IFERROR(
  TEXTJOIN(CHAR(10),TRUE,FILTER('SUMMARY DATA'!I:I,'SUMMARY DATA'!$A:$A=$A699,'SUMMARY DATA'!$C:$C=$B699,'SUMMARY DATA'!$B:$B=""RWS"")),
  IF(
    OR(
      ISNUMBER(SEARCH(""CDM CASH DEPOSIT"",$C699)),
      ISNUMBER(SEARCH(""CASH DEPOSIT"",$C69"&amp;"9)),
      COUNTIFS('SUMMARY DATA'!$D:$D,$C699,'SUMMARY DATA'!$B:$B,""RWS"")&lt;&gt;1
    ),
    """",
    IFERROR(TEXTJOIN(CHAR(10),TRUE,FILTER('SUMMARY DATA'!I:I,'SUMMARY DATA'!$D:$D=$C699,'SUMMARY DATA'!$B:$B=""RWS"")),"""")
  )
)"),"")</f>
      </c>
      <c r="K699" s="2"/>
      <c r="L699" s="2"/>
      <c r="M699" s="2"/>
      <c r="N699" s="2"/>
      <c r="O699" s="2"/>
      <c r="P699" s="2"/>
      <c r="Q699" s="2"/>
      <c r="R699" s="2"/>
      <c r="S699" s="2"/>
      <c r="T699" s="2"/>
      <c r="U699" s="2"/>
      <c r="V699" s="2"/>
      <c r="W699" s="2"/>
      <c r="X699" s="2"/>
      <c r="Y699" s="2"/>
      <c r="Z699" s="2"/>
      <c r="AA699" s="2"/>
      <c r="AB699" s="2"/>
    </row>
    <row r="700" spans="1:28" customHeight="true">
      <c r="A700" s="2" t="s">
        <v>1120</v>
      </c>
      <c r="B700" s="15">
        <v>46033</v>
      </c>
      <c r="C700" s="2" t="s">
        <v>1121</v>
      </c>
      <c r="D700" s="3">
        <v>101.31</v>
      </c>
      <c r="E700" s="16" t="str">
        <f>IFERROR(__xludf.DUMMYFUNCTION("IFERROR(
  TEXTJOIN(CHAR(10),TRUE,FILTER('SUMMARY DATA'!E:E,'SUMMARY DATA'!$A:$A=$A700,'SUMMARY DATA'!$C:$C=$B700,'SUMMARY DATA'!$B:$B=""RWS"")),
  IF(
    OR(
      ISNUMBER(SEARCH(""CDM CASH DEPOSIT"",$C700)),
      ISNUMBER(SEARCH(""CASH DEPOSIT"",$C70"&amp;"0)),
      COUNTIFS('SUMMARY DATA'!$D:$D,$C700,'SUMMARY DATA'!$B:$B,""RWS"")&lt;&gt;1
    ),
    """",
    IFERROR(TEXTJOIN(CHAR(10),TRUE,FILTER('SUMMARY DATA'!E:E,'SUMMARY DATA'!$D:$D=$C700,'SUMMARY DATA'!$B:$B=""RWS"")),"""")
  )
)"),"")</f>
      </c>
      <c r="F700" s="17" t="str">
        <f>IFERROR(__xludf.DUMMYFUNCTION("IFERROR(
  TEXTJOIN(CHAR(10),TRUE,FILTER('SUMMARY DATA'!F:F,'SUMMARY DATA'!$A:$A=$A700,'SUMMARY DATA'!$C:$C=$B700,'SUMMARY DATA'!$B:$B=""RWS"")),
  IF(
    OR(
      ISNUMBER(SEARCH(""CDM CASH DEPOSIT"",$C700)),
      ISNUMBER(SEARCH(""CASH DEPOSIT"",$C70"&amp;"0)),
      COUNTIFS('SUMMARY DATA'!$D:$D,$C700,'SUMMARY DATA'!$B:$B,""RWS"")&lt;&gt;1
    ),
    """",
    IFERROR(TEXTJOIN(CHAR(10),TRUE,FILTER('SUMMARY DATA'!F:F,'SUMMARY DATA'!$D:$D=$C700,'SUMMARY DATA'!$B:$B=""RWS"")),"""")
  )
)"),"")</f>
      </c>
      <c r="G700" s="17" t="str">
        <f>IFERROR(__xludf.DUMMYFUNCTION("IFERROR(
  TEXTJOIN(CHAR(10),TRUE,FILTER('SUMMARY DATA'!G:G,'SUMMARY DATA'!$A:$A=$A700,'SUMMARY DATA'!$C:$C=$B700,'SUMMARY DATA'!$B:$B=""RWS"")),
  IF(
    OR(
      ISNUMBER(SEARCH(""CDM CASH DEPOSIT"",$C700)),
      ISNUMBER(SEARCH(""CASH DEPOSIT"",$C70"&amp;"0)),
      COUNTIFS('SUMMARY DATA'!$D:$D,$C700,'SUMMARY DATA'!$B:$B,""RWS"")&lt;&gt;1
    ),
    """",
    IFERROR(TEXTJOIN(CHAR(10),TRUE,FILTER('SUMMARY DATA'!G:G,'SUMMARY DATA'!$D:$D=$C700,'SUMMARY DATA'!$B:$B=""RWS"")),"""")
  )
)"),"")</f>
      </c>
      <c r="H700" s="18" t="str">
        <f>IFERROR(__xludf.DUMMYFUNCTION("IFERROR(
  TEXTJOIN(CHAR(10),TRUE,FILTER('SUMMARY DATA'!H:H,'SUMMARY DATA'!$A:$A=$A700,'SUMMARY DATA'!$C:$C=$B700,'SUMMARY DATA'!$B:$B=""RWS"",'SUMMARY DATA'!$H:$H=$D700)),
  IF(
    OR(
      ISNUMBER(SEARCH(""CDM CASH DEPOSIT"",$C700)),
      ISNUMBER(S"&amp;"EARCH(""CASH DEPOSIT"",$C700))
    ),
    """",
    IFERROR(TEXTJOIN(CHAR(10),TRUE,FILTER('SUMMARY DATA'!H:H,'SUMMARY DATA'!$D:$D=$C700,'SUMMARY DATA'!$B:$B=""RWS"",'SUMMARY DATA'!$H:$H=$D700)),"""")
  )
)"),"")</f>
      </c>
      <c r="I700" s="18" t="str">
        <f>IFERROR(__xludf.DUMMYFUNCTION("IF(H700="""","""",
SUM(ARRAYFORMULA(VALUE(SPLIT(H700,CHAR(10)))))
)"),"")</f>
      </c>
      <c r="J700" s="17" t="str">
        <f>IFERROR(__xludf.DUMMYFUNCTION("IFERROR(
  TEXTJOIN(CHAR(10),TRUE,FILTER('SUMMARY DATA'!I:I,'SUMMARY DATA'!$A:$A=$A700,'SUMMARY DATA'!$C:$C=$B700,'SUMMARY DATA'!$B:$B=""RWS"")),
  IF(
    OR(
      ISNUMBER(SEARCH(""CDM CASH DEPOSIT"",$C700)),
      ISNUMBER(SEARCH(""CASH DEPOSIT"",$C70"&amp;"0)),
      COUNTIFS('SUMMARY DATA'!$D:$D,$C700,'SUMMARY DATA'!$B:$B,""RWS"")&lt;&gt;1
    ),
    """",
    IFERROR(TEXTJOIN(CHAR(10),TRUE,FILTER('SUMMARY DATA'!I:I,'SUMMARY DATA'!$D:$D=$C700,'SUMMARY DATA'!$B:$B=""RWS"")),"""")
  )
)"),"")</f>
      </c>
      <c r="K700" s="2"/>
      <c r="L700" s="2"/>
      <c r="M700" s="2"/>
      <c r="N700" s="2"/>
      <c r="O700" s="2"/>
      <c r="P700" s="2"/>
      <c r="Q700" s="2"/>
      <c r="R700" s="2"/>
      <c r="S700" s="2"/>
      <c r="T700" s="2"/>
      <c r="U700" s="2"/>
      <c r="V700" s="2"/>
      <c r="W700" s="2"/>
      <c r="X700" s="2"/>
      <c r="Y700" s="2"/>
      <c r="Z700" s="2"/>
      <c r="AA700" s="2"/>
      <c r="AB700" s="2"/>
    </row>
    <row r="701" spans="1:28" customHeight="true">
      <c r="A701" s="2"/>
      <c r="B701" s="15">
        <v>46033</v>
      </c>
      <c r="C701" s="2" t="s">
        <v>1122</v>
      </c>
      <c r="D701" s="3">
        <v>132</v>
      </c>
      <c r="E701" s="16" t="str">
        <f>IFERROR(__xludf.DUMMYFUNCTION("IFERROR(
  TEXTJOIN(CHAR(10),TRUE,FILTER('SUMMARY DATA'!E:E,'SUMMARY DATA'!$A:$A=$A701,'SUMMARY DATA'!$C:$C=$B701,'SUMMARY DATA'!$B:$B=""RWS"")),
  IF(
    OR(
      ISNUMBER(SEARCH(""CDM CASH DEPOSIT"",$C701)),
      ISNUMBER(SEARCH(""CASH DEPOSIT"",$C70"&amp;"1)),
      COUNTIFS('SUMMARY DATA'!$D:$D,$C701,'SUMMARY DATA'!$B:$B,""RWS"")&lt;&gt;1
    ),
    """",
    IFERROR(TEXTJOIN(CHAR(10),TRUE,FILTER('SUMMARY DATA'!E:E,'SUMMARY DATA'!$D:$D=$C701,'SUMMARY DATA'!$B:$B=""RWS"")),"""")
  )
)"),"")</f>
      </c>
      <c r="F701" s="17" t="str">
        <f>IFERROR(__xludf.DUMMYFUNCTION("IFERROR(
  TEXTJOIN(CHAR(10),TRUE,FILTER('SUMMARY DATA'!F:F,'SUMMARY DATA'!$A:$A=$A701,'SUMMARY DATA'!$C:$C=$B701,'SUMMARY DATA'!$B:$B=""RWS"")),
  IF(
    OR(
      ISNUMBER(SEARCH(""CDM CASH DEPOSIT"",$C701)),
      ISNUMBER(SEARCH(""CASH DEPOSIT"",$C70"&amp;"1)),
      COUNTIFS('SUMMARY DATA'!$D:$D,$C701,'SUMMARY DATA'!$B:$B,""RWS"")&lt;&gt;1
    ),
    """",
    IFERROR(TEXTJOIN(CHAR(10),TRUE,FILTER('SUMMARY DATA'!F:F,'SUMMARY DATA'!$D:$D=$C701,'SUMMARY DATA'!$B:$B=""RWS"")),"""")
  )
)"),"")</f>
      </c>
      <c r="G701" s="17" t="str">
        <f>IFERROR(__xludf.DUMMYFUNCTION("IFERROR(
  TEXTJOIN(CHAR(10),TRUE,FILTER('SUMMARY DATA'!G:G,'SUMMARY DATA'!$A:$A=$A701,'SUMMARY DATA'!$C:$C=$B701,'SUMMARY DATA'!$B:$B=""RWS"")),
  IF(
    OR(
      ISNUMBER(SEARCH(""CDM CASH DEPOSIT"",$C701)),
      ISNUMBER(SEARCH(""CASH DEPOSIT"",$C70"&amp;"1)),
      COUNTIFS('SUMMARY DATA'!$D:$D,$C701,'SUMMARY DATA'!$B:$B,""RWS"")&lt;&gt;1
    ),
    """",
    IFERROR(TEXTJOIN(CHAR(10),TRUE,FILTER('SUMMARY DATA'!G:G,'SUMMARY DATA'!$D:$D=$C701,'SUMMARY DATA'!$B:$B=""RWS"")),"""")
  )
)"),"")</f>
      </c>
      <c r="H701" s="18" t="str">
        <f>IFERROR(__xludf.DUMMYFUNCTION("IFERROR(
  TEXTJOIN(CHAR(10),TRUE,FILTER('SUMMARY DATA'!H:H,'SUMMARY DATA'!$A:$A=$A701,'SUMMARY DATA'!$C:$C=$B701,'SUMMARY DATA'!$B:$B=""RWS"",'SUMMARY DATA'!$H:$H=$D701)),
  IF(
    OR(
      ISNUMBER(SEARCH(""CDM CASH DEPOSIT"",$C701)),
      ISNUMBER(S"&amp;"EARCH(""CASH DEPOSIT"",$C701))
    ),
    """",
    IFERROR(TEXTJOIN(CHAR(10),TRUE,FILTER('SUMMARY DATA'!H:H,'SUMMARY DATA'!$D:$D=$C701,'SUMMARY DATA'!$B:$B=""RWS"",'SUMMARY DATA'!$H:$H=$D701)),"""")
  )
)"),"")</f>
      </c>
      <c r="I701" s="18" t="str">
        <f>IFERROR(__xludf.DUMMYFUNCTION("IF(H701="""","""",
SUM(ARRAYFORMULA(VALUE(SPLIT(H701,CHAR(10)))))
)"),"")</f>
      </c>
      <c r="J701" s="17" t="str">
        <f>IFERROR(__xludf.DUMMYFUNCTION("IFERROR(
  TEXTJOIN(CHAR(10),TRUE,FILTER('SUMMARY DATA'!I:I,'SUMMARY DATA'!$A:$A=$A701,'SUMMARY DATA'!$C:$C=$B701,'SUMMARY DATA'!$B:$B=""RWS"")),
  IF(
    OR(
      ISNUMBER(SEARCH(""CDM CASH DEPOSIT"",$C701)),
      ISNUMBER(SEARCH(""CASH DEPOSIT"",$C70"&amp;"1)),
      COUNTIFS('SUMMARY DATA'!$D:$D,$C701,'SUMMARY DATA'!$B:$B,""RWS"")&lt;&gt;1
    ),
    """",
    IFERROR(TEXTJOIN(CHAR(10),TRUE,FILTER('SUMMARY DATA'!I:I,'SUMMARY DATA'!$D:$D=$C701,'SUMMARY DATA'!$B:$B=""RWS"")),"""")
  )
)"),"")</f>
      </c>
      <c r="K701" s="2"/>
      <c r="L701" s="2"/>
      <c r="M701" s="2"/>
      <c r="N701" s="2"/>
      <c r="O701" s="2"/>
      <c r="P701" s="2"/>
      <c r="Q701" s="2"/>
      <c r="R701" s="2"/>
      <c r="S701" s="2"/>
      <c r="T701" s="2"/>
      <c r="U701" s="2"/>
      <c r="V701" s="2"/>
      <c r="W701" s="2"/>
      <c r="X701" s="2"/>
      <c r="Y701" s="2"/>
      <c r="Z701" s="2"/>
      <c r="AA701" s="2"/>
      <c r="AB701" s="2"/>
    </row>
    <row r="702" spans="1:28" customHeight="true">
      <c r="A702" s="2" t="s">
        <v>1123</v>
      </c>
      <c r="B702" s="15">
        <v>46032</v>
      </c>
      <c r="C702" s="2" t="s">
        <v>1124</v>
      </c>
      <c r="D702" s="3">
        <v>50</v>
      </c>
      <c r="E702" s="16" t="str">
        <f>IFERROR(__xludf.DUMMYFUNCTION("IFERROR(
  TEXTJOIN(CHAR(10),TRUE,FILTER('SUMMARY DATA'!E:E,'SUMMARY DATA'!$A:$A=$A702,'SUMMARY DATA'!$C:$C=$B702,'SUMMARY DATA'!$B:$B=""RWS"")),
  IF(
    OR(
      ISNUMBER(SEARCH(""CDM CASH DEPOSIT"",$C702)),
      ISNUMBER(SEARCH(""CASH DEPOSIT"",$C70"&amp;"2)),
      COUNTIFS('SUMMARY DATA'!$D:$D,$C702,'SUMMARY DATA'!$B:$B,""RWS"")&lt;&gt;1
    ),
    """",
    IFERROR(TEXTJOIN(CHAR(10),TRUE,FILTER('SUMMARY DATA'!E:E,'SUMMARY DATA'!$D:$D=$C702,'SUMMARY DATA'!$B:$B=""RWS"")),"""")
  )
)"),"")</f>
      </c>
      <c r="F702" s="17" t="str">
        <f>IFERROR(__xludf.DUMMYFUNCTION("IFERROR(
  TEXTJOIN(CHAR(10),TRUE,FILTER('SUMMARY DATA'!F:F,'SUMMARY DATA'!$A:$A=$A702,'SUMMARY DATA'!$C:$C=$B702,'SUMMARY DATA'!$B:$B=""RWS"")),
  IF(
    OR(
      ISNUMBER(SEARCH(""CDM CASH DEPOSIT"",$C702)),
      ISNUMBER(SEARCH(""CASH DEPOSIT"",$C70"&amp;"2)),
      COUNTIFS('SUMMARY DATA'!$D:$D,$C702,'SUMMARY DATA'!$B:$B,""RWS"")&lt;&gt;1
    ),
    """",
    IFERROR(TEXTJOIN(CHAR(10),TRUE,FILTER('SUMMARY DATA'!F:F,'SUMMARY DATA'!$D:$D=$C702,'SUMMARY DATA'!$B:$B=""RWS"")),"""")
  )
)"),"")</f>
      </c>
      <c r="G702" s="17" t="str">
        <f>IFERROR(__xludf.DUMMYFUNCTION("IFERROR(
  TEXTJOIN(CHAR(10),TRUE,FILTER('SUMMARY DATA'!G:G,'SUMMARY DATA'!$A:$A=$A702,'SUMMARY DATA'!$C:$C=$B702,'SUMMARY DATA'!$B:$B=""RWS"")),
  IF(
    OR(
      ISNUMBER(SEARCH(""CDM CASH DEPOSIT"",$C702)),
      ISNUMBER(SEARCH(""CASH DEPOSIT"",$C70"&amp;"2)),
      COUNTIFS('SUMMARY DATA'!$D:$D,$C702,'SUMMARY DATA'!$B:$B,""RWS"")&lt;&gt;1
    ),
    """",
    IFERROR(TEXTJOIN(CHAR(10),TRUE,FILTER('SUMMARY DATA'!G:G,'SUMMARY DATA'!$D:$D=$C702,'SUMMARY DATA'!$B:$B=""RWS"")),"""")
  )
)"),"")</f>
      </c>
      <c r="H702" s="18" t="str">
        <f>IFERROR(__xludf.DUMMYFUNCTION("IFERROR(
  TEXTJOIN(CHAR(10),TRUE,FILTER('SUMMARY DATA'!H:H,'SUMMARY DATA'!$A:$A=$A702,'SUMMARY DATA'!$C:$C=$B702,'SUMMARY DATA'!$B:$B=""RWS"",'SUMMARY DATA'!$H:$H=$D702)),
  IF(
    OR(
      ISNUMBER(SEARCH(""CDM CASH DEPOSIT"",$C702)),
      ISNUMBER(S"&amp;"EARCH(""CASH DEPOSIT"",$C702))
    ),
    """",
    IFERROR(TEXTJOIN(CHAR(10),TRUE,FILTER('SUMMARY DATA'!H:H,'SUMMARY DATA'!$D:$D=$C702,'SUMMARY DATA'!$B:$B=""RWS"",'SUMMARY DATA'!$H:$H=$D702)),"""")
  )
)"),"")</f>
      </c>
      <c r="I702" s="18" t="str">
        <f>IFERROR(__xludf.DUMMYFUNCTION("IF(H702="""","""",
SUM(ARRAYFORMULA(VALUE(SPLIT(H702,CHAR(10)))))
)"),"")</f>
      </c>
      <c r="J702" s="17" t="str">
        <f>IFERROR(__xludf.DUMMYFUNCTION("IFERROR(
  TEXTJOIN(CHAR(10),TRUE,FILTER('SUMMARY DATA'!I:I,'SUMMARY DATA'!$A:$A=$A702,'SUMMARY DATA'!$C:$C=$B702,'SUMMARY DATA'!$B:$B=""RWS"")),
  IF(
    OR(
      ISNUMBER(SEARCH(""CDM CASH DEPOSIT"",$C702)),
      ISNUMBER(SEARCH(""CASH DEPOSIT"",$C70"&amp;"2)),
      COUNTIFS('SUMMARY DATA'!$D:$D,$C702,'SUMMARY DATA'!$B:$B,""RWS"")&lt;&gt;1
    ),
    """",
    IFERROR(TEXTJOIN(CHAR(10),TRUE,FILTER('SUMMARY DATA'!I:I,'SUMMARY DATA'!$D:$D=$C702,'SUMMARY DATA'!$B:$B=""RWS"")),"""")
  )
)"),"")</f>
      </c>
      <c r="K702" s="2"/>
      <c r="L702" s="2"/>
      <c r="M702" s="2"/>
      <c r="N702" s="2"/>
      <c r="O702" s="2"/>
      <c r="P702" s="2"/>
      <c r="Q702" s="2"/>
      <c r="R702" s="2"/>
      <c r="S702" s="2"/>
      <c r="T702" s="2"/>
      <c r="U702" s="2"/>
      <c r="V702" s="2"/>
      <c r="W702" s="2"/>
      <c r="X702" s="2"/>
      <c r="Y702" s="2"/>
      <c r="Z702" s="2"/>
      <c r="AA702" s="2"/>
      <c r="AB702" s="2"/>
    </row>
    <row r="703" spans="1:28" customHeight="true">
      <c r="A703" s="2" t="s">
        <v>1125</v>
      </c>
      <c r="B703" s="15">
        <v>46032</v>
      </c>
      <c r="C703" s="2" t="s">
        <v>1126</v>
      </c>
      <c r="D703" s="3">
        <v>118.49</v>
      </c>
      <c r="E703" s="16" t="s">
        <v>2446</v>
      </c>
      <c r="F703" s="17" t="s">
        <v>2637</v>
      </c>
      <c r="G703" s="17" t="s">
        <v>2393</v>
      </c>
      <c r="H703" s="18">
        <v>118.49</v>
      </c>
      <c r="I703" s="18">
        <v>118.49</v>
      </c>
      <c r="J703" s="17" t="s">
        <v>2394</v>
      </c>
      <c r="K703" s="2" t="s">
        <v>2395</v>
      </c>
      <c r="L703" s="2"/>
      <c r="M703" s="2"/>
      <c r="N703" s="2"/>
      <c r="O703" s="2"/>
      <c r="P703" s="2"/>
      <c r="Q703" s="2"/>
      <c r="R703" s="2"/>
      <c r="S703" s="2"/>
      <c r="T703" s="2"/>
      <c r="U703" s="2"/>
      <c r="V703" s="2"/>
      <c r="W703" s="2"/>
      <c r="X703" s="2"/>
      <c r="Y703" s="2"/>
      <c r="Z703" s="2"/>
      <c r="AA703" s="2"/>
      <c r="AB703" s="2"/>
    </row>
    <row r="704" spans="1:28" customHeight="true">
      <c r="A704" s="2" t="s">
        <v>1127</v>
      </c>
      <c r="B704" s="15">
        <v>46032</v>
      </c>
      <c r="C704" s="2" t="s">
        <v>1128</v>
      </c>
      <c r="D704" s="3">
        <v>308.67</v>
      </c>
      <c r="E704" s="16" t="s">
        <v>2446</v>
      </c>
      <c r="F704" s="17" t="s">
        <v>2638</v>
      </c>
      <c r="G704" s="17" t="s">
        <v>2393</v>
      </c>
      <c r="H704" s="18">
        <v>308.67</v>
      </c>
      <c r="I704" s="18">
        <v>308.67</v>
      </c>
      <c r="J704" s="17" t="s">
        <v>2394</v>
      </c>
      <c r="K704" s="2" t="s">
        <v>2395</v>
      </c>
      <c r="L704" s="2"/>
      <c r="M704" s="2"/>
      <c r="N704" s="2"/>
      <c r="O704" s="2"/>
      <c r="P704" s="2"/>
      <c r="Q704" s="2"/>
      <c r="R704" s="2"/>
      <c r="S704" s="2"/>
      <c r="T704" s="2"/>
      <c r="U704" s="2"/>
      <c r="V704" s="2"/>
      <c r="W704" s="2"/>
      <c r="X704" s="2"/>
      <c r="Y704" s="2"/>
      <c r="Z704" s="2"/>
      <c r="AA704" s="2"/>
      <c r="AB704" s="2"/>
    </row>
    <row r="705" spans="1:28" customHeight="true">
      <c r="A705" s="2" t="s">
        <v>1129</v>
      </c>
      <c r="B705" s="15">
        <v>46031</v>
      </c>
      <c r="C705" s="2" t="s">
        <v>1130</v>
      </c>
      <c r="D705" s="3">
        <v>74.49</v>
      </c>
      <c r="E705" s="16" t="str">
        <f>IFERROR(__xludf.DUMMYFUNCTION("IFERROR(
  TEXTJOIN(CHAR(10),TRUE,FILTER('SUMMARY DATA'!E:E,'SUMMARY DATA'!$A:$A=$A705,'SUMMARY DATA'!$C:$C=$B705,'SUMMARY DATA'!$B:$B=""RWS"")),
  IF(
    OR(
      ISNUMBER(SEARCH(""CDM CASH DEPOSIT"",$C705)),
      ISNUMBER(SEARCH(""CASH DEPOSIT"",$C70"&amp;"5)),
      COUNTIFS('SUMMARY DATA'!$D:$D,$C705,'SUMMARY DATA'!$B:$B,""RWS"")&lt;&gt;1
    ),
    """",
    IFERROR(TEXTJOIN(CHAR(10),TRUE,FILTER('SUMMARY DATA'!E:E,'SUMMARY DATA'!$D:$D=$C705,'SUMMARY DATA'!$B:$B=""RWS"")),"""")
  )
)"),"")</f>
      </c>
      <c r="F705" s="17" t="str">
        <f>IFERROR(__xludf.DUMMYFUNCTION("IFERROR(
  TEXTJOIN(CHAR(10),TRUE,FILTER('SUMMARY DATA'!F:F,'SUMMARY DATA'!$A:$A=$A705,'SUMMARY DATA'!$C:$C=$B705,'SUMMARY DATA'!$B:$B=""RWS"")),
  IF(
    OR(
      ISNUMBER(SEARCH(""CDM CASH DEPOSIT"",$C705)),
      ISNUMBER(SEARCH(""CASH DEPOSIT"",$C70"&amp;"5)),
      COUNTIFS('SUMMARY DATA'!$D:$D,$C705,'SUMMARY DATA'!$B:$B,""RWS"")&lt;&gt;1
    ),
    """",
    IFERROR(TEXTJOIN(CHAR(10),TRUE,FILTER('SUMMARY DATA'!F:F,'SUMMARY DATA'!$D:$D=$C705,'SUMMARY DATA'!$B:$B=""RWS"")),"""")
  )
)"),"")</f>
      </c>
      <c r="G705" s="17" t="str">
        <f>IFERROR(__xludf.DUMMYFUNCTION("IFERROR(
  TEXTJOIN(CHAR(10),TRUE,FILTER('SUMMARY DATA'!G:G,'SUMMARY DATA'!$A:$A=$A705,'SUMMARY DATA'!$C:$C=$B705,'SUMMARY DATA'!$B:$B=""RWS"")),
  IF(
    OR(
      ISNUMBER(SEARCH(""CDM CASH DEPOSIT"",$C705)),
      ISNUMBER(SEARCH(""CASH DEPOSIT"",$C70"&amp;"5)),
      COUNTIFS('SUMMARY DATA'!$D:$D,$C705,'SUMMARY DATA'!$B:$B,""RWS"")&lt;&gt;1
    ),
    """",
    IFERROR(TEXTJOIN(CHAR(10),TRUE,FILTER('SUMMARY DATA'!G:G,'SUMMARY DATA'!$D:$D=$C705,'SUMMARY DATA'!$B:$B=""RWS"")),"""")
  )
)"),"")</f>
      </c>
      <c r="H705" s="18" t="str">
        <f>IFERROR(__xludf.DUMMYFUNCTION("IFERROR(
  TEXTJOIN(CHAR(10),TRUE,FILTER('SUMMARY DATA'!H:H,'SUMMARY DATA'!$A:$A=$A705,'SUMMARY DATA'!$C:$C=$B705,'SUMMARY DATA'!$B:$B=""RWS"",'SUMMARY DATA'!$H:$H=$D705)),
  IF(
    OR(
      ISNUMBER(SEARCH(""CDM CASH DEPOSIT"",$C705)),
      ISNUMBER(S"&amp;"EARCH(""CASH DEPOSIT"",$C705))
    ),
    """",
    IFERROR(TEXTJOIN(CHAR(10),TRUE,FILTER('SUMMARY DATA'!H:H,'SUMMARY DATA'!$D:$D=$C705,'SUMMARY DATA'!$B:$B=""RWS"",'SUMMARY DATA'!$H:$H=$D705)),"""")
  )
)"),"")</f>
      </c>
      <c r="I705" s="18" t="str">
        <f>IFERROR(__xludf.DUMMYFUNCTION("IF(H705="""","""",
SUM(ARRAYFORMULA(VALUE(SPLIT(H705,CHAR(10)))))
)"),"")</f>
      </c>
      <c r="J705" s="17" t="str">
        <f>IFERROR(__xludf.DUMMYFUNCTION("IFERROR(
  TEXTJOIN(CHAR(10),TRUE,FILTER('SUMMARY DATA'!I:I,'SUMMARY DATA'!$A:$A=$A705,'SUMMARY DATA'!$C:$C=$B705,'SUMMARY DATA'!$B:$B=""RWS"")),
  IF(
    OR(
      ISNUMBER(SEARCH(""CDM CASH DEPOSIT"",$C705)),
      ISNUMBER(SEARCH(""CASH DEPOSIT"",$C70"&amp;"5)),
      COUNTIFS('SUMMARY DATA'!$D:$D,$C705,'SUMMARY DATA'!$B:$B,""RWS"")&lt;&gt;1
    ),
    """",
    IFERROR(TEXTJOIN(CHAR(10),TRUE,FILTER('SUMMARY DATA'!I:I,'SUMMARY DATA'!$D:$D=$C705,'SUMMARY DATA'!$B:$B=""RWS"")),"""")
  )
)"),"")</f>
      </c>
      <c r="K705" s="2"/>
      <c r="L705" s="2"/>
      <c r="M705" s="2"/>
      <c r="N705" s="2"/>
      <c r="O705" s="2"/>
      <c r="P705" s="2"/>
      <c r="Q705" s="2"/>
      <c r="R705" s="2"/>
      <c r="S705" s="2"/>
      <c r="T705" s="2"/>
      <c r="U705" s="2"/>
      <c r="V705" s="2"/>
      <c r="W705" s="2"/>
      <c r="X705" s="2"/>
      <c r="Y705" s="2"/>
      <c r="Z705" s="2"/>
      <c r="AA705" s="2"/>
      <c r="AB705" s="2"/>
    </row>
    <row r="706" spans="1:28" customHeight="true">
      <c r="A706" s="2" t="s">
        <v>1131</v>
      </c>
      <c r="B706" s="15">
        <v>46031</v>
      </c>
      <c r="C706" s="2" t="s">
        <v>1132</v>
      </c>
      <c r="D706" s="3">
        <v>55</v>
      </c>
      <c r="E706" s="16" t="str">
        <f>IFERROR(__xludf.DUMMYFUNCTION("IFERROR(
  TEXTJOIN(CHAR(10),TRUE,FILTER('SUMMARY DATA'!E:E,'SUMMARY DATA'!$A:$A=$A706,'SUMMARY DATA'!$C:$C=$B706,'SUMMARY DATA'!$B:$B=""RWS"")),
  IF(
    OR(
      ISNUMBER(SEARCH(""CDM CASH DEPOSIT"",$C706)),
      ISNUMBER(SEARCH(""CASH DEPOSIT"",$C70"&amp;"6)),
      COUNTIFS('SUMMARY DATA'!$D:$D,$C706,'SUMMARY DATA'!$B:$B,""RWS"")&lt;&gt;1
    ),
    """",
    IFERROR(TEXTJOIN(CHAR(10),TRUE,FILTER('SUMMARY DATA'!E:E,'SUMMARY DATA'!$D:$D=$C706,'SUMMARY DATA'!$B:$B=""RWS"")),"""")
  )
)"),"")</f>
      </c>
      <c r="F706" s="17" t="str">
        <f>IFERROR(__xludf.DUMMYFUNCTION("IFERROR(
  TEXTJOIN(CHAR(10),TRUE,FILTER('SUMMARY DATA'!F:F,'SUMMARY DATA'!$A:$A=$A706,'SUMMARY DATA'!$C:$C=$B706,'SUMMARY DATA'!$B:$B=""RWS"")),
  IF(
    OR(
      ISNUMBER(SEARCH(""CDM CASH DEPOSIT"",$C706)),
      ISNUMBER(SEARCH(""CASH DEPOSIT"",$C70"&amp;"6)),
      COUNTIFS('SUMMARY DATA'!$D:$D,$C706,'SUMMARY DATA'!$B:$B,""RWS"")&lt;&gt;1
    ),
    """",
    IFERROR(TEXTJOIN(CHAR(10),TRUE,FILTER('SUMMARY DATA'!F:F,'SUMMARY DATA'!$D:$D=$C706,'SUMMARY DATA'!$B:$B=""RWS"")),"""")
  )
)"),"")</f>
      </c>
      <c r="G706" s="17" t="str">
        <f>IFERROR(__xludf.DUMMYFUNCTION("IFERROR(
  TEXTJOIN(CHAR(10),TRUE,FILTER('SUMMARY DATA'!G:G,'SUMMARY DATA'!$A:$A=$A706,'SUMMARY DATA'!$C:$C=$B706,'SUMMARY DATA'!$B:$B=""RWS"")),
  IF(
    OR(
      ISNUMBER(SEARCH(""CDM CASH DEPOSIT"",$C706)),
      ISNUMBER(SEARCH(""CASH DEPOSIT"",$C70"&amp;"6)),
      COUNTIFS('SUMMARY DATA'!$D:$D,$C706,'SUMMARY DATA'!$B:$B,""RWS"")&lt;&gt;1
    ),
    """",
    IFERROR(TEXTJOIN(CHAR(10),TRUE,FILTER('SUMMARY DATA'!G:G,'SUMMARY DATA'!$D:$D=$C706,'SUMMARY DATA'!$B:$B=""RWS"")),"""")
  )
)"),"")</f>
      </c>
      <c r="H706" s="18" t="str">
        <f>IFERROR(__xludf.DUMMYFUNCTION("IFERROR(
  TEXTJOIN(CHAR(10),TRUE,FILTER('SUMMARY DATA'!H:H,'SUMMARY DATA'!$A:$A=$A706,'SUMMARY DATA'!$C:$C=$B706,'SUMMARY DATA'!$B:$B=""RWS"",'SUMMARY DATA'!$H:$H=$D706)),
  IF(
    OR(
      ISNUMBER(SEARCH(""CDM CASH DEPOSIT"",$C706)),
      ISNUMBER(S"&amp;"EARCH(""CASH DEPOSIT"",$C706))
    ),
    """",
    IFERROR(TEXTJOIN(CHAR(10),TRUE,FILTER('SUMMARY DATA'!H:H,'SUMMARY DATA'!$D:$D=$C706,'SUMMARY DATA'!$B:$B=""RWS"",'SUMMARY DATA'!$H:$H=$D706)),"""")
  )
)"),"")</f>
      </c>
      <c r="I706" s="18" t="str">
        <f>IFERROR(__xludf.DUMMYFUNCTION("IF(H706="""","""",
SUM(ARRAYFORMULA(VALUE(SPLIT(H706,CHAR(10)))))
)"),"")</f>
      </c>
      <c r="J706" s="17" t="str">
        <f>IFERROR(__xludf.DUMMYFUNCTION("IFERROR(
  TEXTJOIN(CHAR(10),TRUE,FILTER('SUMMARY DATA'!I:I,'SUMMARY DATA'!$A:$A=$A706,'SUMMARY DATA'!$C:$C=$B706,'SUMMARY DATA'!$B:$B=""RWS"")),
  IF(
    OR(
      ISNUMBER(SEARCH(""CDM CASH DEPOSIT"",$C706)),
      ISNUMBER(SEARCH(""CASH DEPOSIT"",$C70"&amp;"6)),
      COUNTIFS('SUMMARY DATA'!$D:$D,$C706,'SUMMARY DATA'!$B:$B,""RWS"")&lt;&gt;1
    ),
    """",
    IFERROR(TEXTJOIN(CHAR(10),TRUE,FILTER('SUMMARY DATA'!I:I,'SUMMARY DATA'!$D:$D=$C706,'SUMMARY DATA'!$B:$B=""RWS"")),"""")
  )
)"),"")</f>
      </c>
      <c r="K706" s="2"/>
      <c r="L706" s="2"/>
      <c r="M706" s="2"/>
      <c r="N706" s="2"/>
      <c r="O706" s="2"/>
      <c r="P706" s="2"/>
      <c r="Q706" s="2"/>
      <c r="R706" s="2"/>
      <c r="S706" s="2"/>
      <c r="T706" s="2"/>
      <c r="U706" s="2"/>
      <c r="V706" s="2"/>
      <c r="W706" s="2"/>
      <c r="X706" s="2"/>
      <c r="Y706" s="2"/>
      <c r="Z706" s="2"/>
      <c r="AA706" s="2"/>
      <c r="AB706" s="2"/>
    </row>
    <row r="707" spans="1:28" customHeight="true">
      <c r="A707" s="2" t="s">
        <v>1133</v>
      </c>
      <c r="B707" s="15">
        <v>46031</v>
      </c>
      <c r="C707" s="2" t="s">
        <v>1134</v>
      </c>
      <c r="D707" s="3">
        <v>45</v>
      </c>
      <c r="E707" s="16" t="s">
        <v>2446</v>
      </c>
      <c r="F707" s="17" t="s">
        <v>2639</v>
      </c>
      <c r="G707" s="17" t="s">
        <v>2393</v>
      </c>
      <c r="H707" s="18">
        <v>45</v>
      </c>
      <c r="I707" s="18">
        <v>45</v>
      </c>
      <c r="J707" s="17" t="s">
        <v>2394</v>
      </c>
      <c r="K707" s="2" t="s">
        <v>2395</v>
      </c>
      <c r="L707" s="2"/>
      <c r="M707" s="2"/>
      <c r="N707" s="2"/>
      <c r="O707" s="2"/>
      <c r="P707" s="2"/>
      <c r="Q707" s="2"/>
      <c r="R707" s="2"/>
      <c r="S707" s="2"/>
      <c r="T707" s="2"/>
      <c r="U707" s="2"/>
      <c r="V707" s="2"/>
      <c r="W707" s="2"/>
      <c r="X707" s="2"/>
      <c r="Y707" s="2"/>
      <c r="Z707" s="2"/>
      <c r="AA707" s="2"/>
      <c r="AB707" s="2"/>
    </row>
    <row r="708" spans="1:28" customHeight="true">
      <c r="A708" s="2" t="s">
        <v>1135</v>
      </c>
      <c r="B708" s="15">
        <v>46031</v>
      </c>
      <c r="C708" s="2" t="s">
        <v>1136</v>
      </c>
      <c r="D708" s="3">
        <v>25</v>
      </c>
      <c r="E708" s="16" t="s">
        <v>2446</v>
      </c>
      <c r="F708" s="17" t="s">
        <v>2640</v>
      </c>
      <c r="G708" s="17" t="s">
        <v>2393</v>
      </c>
      <c r="H708" s="18">
        <v>25</v>
      </c>
      <c r="I708" s="18">
        <v>25</v>
      </c>
      <c r="J708" s="17" t="s">
        <v>2394</v>
      </c>
      <c r="K708" s="2" t="s">
        <v>2395</v>
      </c>
      <c r="L708" s="2"/>
      <c r="M708" s="2"/>
      <c r="N708" s="2"/>
      <c r="O708" s="2"/>
      <c r="P708" s="2"/>
      <c r="Q708" s="2"/>
      <c r="R708" s="2"/>
      <c r="S708" s="2"/>
      <c r="T708" s="2"/>
      <c r="U708" s="2"/>
      <c r="V708" s="2"/>
      <c r="W708" s="2"/>
      <c r="X708" s="2"/>
      <c r="Y708" s="2"/>
      <c r="Z708" s="2"/>
      <c r="AA708" s="2"/>
      <c r="AB708" s="2"/>
    </row>
    <row r="709" spans="1:28" customHeight="true">
      <c r="A709" s="2" t="s">
        <v>1137</v>
      </c>
      <c r="B709" s="15">
        <v>46031</v>
      </c>
      <c r="C709" s="2" t="s">
        <v>1138</v>
      </c>
      <c r="D709" s="3">
        <v>232</v>
      </c>
      <c r="E709" s="16" t="str">
        <f>IFERROR(__xludf.DUMMYFUNCTION("IFERROR(
  TEXTJOIN(CHAR(10),TRUE,FILTER('SUMMARY DATA'!E:E,'SUMMARY DATA'!$A:$A=$A709,'SUMMARY DATA'!$C:$C=$B709,'SUMMARY DATA'!$B:$B=""RWS"")),
  IF(
    OR(
      ISNUMBER(SEARCH(""CDM CASH DEPOSIT"",$C709)),
      ISNUMBER(SEARCH(""CASH DEPOSIT"",$C70"&amp;"9)),
      COUNTIFS('SUMMARY DATA'!$D:$D,$C709,'SUMMARY DATA'!$B:$B,""RWS"")&lt;&gt;1
    ),
    """",
    IFERROR(TEXTJOIN(CHAR(10),TRUE,FILTER('SUMMARY DATA'!E:E,'SUMMARY DATA'!$D:$D=$C709,'SUMMARY DATA'!$B:$B=""RWS"")),"""")
  )
)"),"")</f>
      </c>
      <c r="F709" s="17" t="str">
        <f>IFERROR(__xludf.DUMMYFUNCTION("IFERROR(
  TEXTJOIN(CHAR(10),TRUE,FILTER('SUMMARY DATA'!F:F,'SUMMARY DATA'!$A:$A=$A709,'SUMMARY DATA'!$C:$C=$B709,'SUMMARY DATA'!$B:$B=""RWS"")),
  IF(
    OR(
      ISNUMBER(SEARCH(""CDM CASH DEPOSIT"",$C709)),
      ISNUMBER(SEARCH(""CASH DEPOSIT"",$C70"&amp;"9)),
      COUNTIFS('SUMMARY DATA'!$D:$D,$C709,'SUMMARY DATA'!$B:$B,""RWS"")&lt;&gt;1
    ),
    """",
    IFERROR(TEXTJOIN(CHAR(10),TRUE,FILTER('SUMMARY DATA'!F:F,'SUMMARY DATA'!$D:$D=$C709,'SUMMARY DATA'!$B:$B=""RWS"")),"""")
  )
)"),"")</f>
      </c>
      <c r="G709" s="17" t="str">
        <f>IFERROR(__xludf.DUMMYFUNCTION("IFERROR(
  TEXTJOIN(CHAR(10),TRUE,FILTER('SUMMARY DATA'!G:G,'SUMMARY DATA'!$A:$A=$A709,'SUMMARY DATA'!$C:$C=$B709,'SUMMARY DATA'!$B:$B=""RWS"")),
  IF(
    OR(
      ISNUMBER(SEARCH(""CDM CASH DEPOSIT"",$C709)),
      ISNUMBER(SEARCH(""CASH DEPOSIT"",$C70"&amp;"9)),
      COUNTIFS('SUMMARY DATA'!$D:$D,$C709,'SUMMARY DATA'!$B:$B,""RWS"")&lt;&gt;1
    ),
    """",
    IFERROR(TEXTJOIN(CHAR(10),TRUE,FILTER('SUMMARY DATA'!G:G,'SUMMARY DATA'!$D:$D=$C709,'SUMMARY DATA'!$B:$B=""RWS"")),"""")
  )
)"),"")</f>
      </c>
      <c r="H709" s="18" t="str">
        <f>IFERROR(__xludf.DUMMYFUNCTION("IFERROR(
  TEXTJOIN(CHAR(10),TRUE,FILTER('SUMMARY DATA'!H:H,'SUMMARY DATA'!$A:$A=$A709,'SUMMARY DATA'!$C:$C=$B709,'SUMMARY DATA'!$B:$B=""RWS"",'SUMMARY DATA'!$H:$H=$D709)),
  IF(
    OR(
      ISNUMBER(SEARCH(""CDM CASH DEPOSIT"",$C709)),
      ISNUMBER(S"&amp;"EARCH(""CASH DEPOSIT"",$C709))
    ),
    """",
    IFERROR(TEXTJOIN(CHAR(10),TRUE,FILTER('SUMMARY DATA'!H:H,'SUMMARY DATA'!$D:$D=$C709,'SUMMARY DATA'!$B:$B=""RWS"",'SUMMARY DATA'!$H:$H=$D709)),"""")
  )
)"),"")</f>
      </c>
      <c r="I709" s="18" t="str">
        <f>IFERROR(__xludf.DUMMYFUNCTION("IF(H709="""","""",
SUM(ARRAYFORMULA(VALUE(SPLIT(H709,CHAR(10)))))
)"),"")</f>
      </c>
      <c r="J709" s="17" t="str">
        <f>IFERROR(__xludf.DUMMYFUNCTION("IFERROR(
  TEXTJOIN(CHAR(10),TRUE,FILTER('SUMMARY DATA'!I:I,'SUMMARY DATA'!$A:$A=$A709,'SUMMARY DATA'!$C:$C=$B709,'SUMMARY DATA'!$B:$B=""RWS"")),
  IF(
    OR(
      ISNUMBER(SEARCH(""CDM CASH DEPOSIT"",$C709)),
      ISNUMBER(SEARCH(""CASH DEPOSIT"",$C70"&amp;"9)),
      COUNTIFS('SUMMARY DATA'!$D:$D,$C709,'SUMMARY DATA'!$B:$B,""RWS"")&lt;&gt;1
    ),
    """",
    IFERROR(TEXTJOIN(CHAR(10),TRUE,FILTER('SUMMARY DATA'!I:I,'SUMMARY DATA'!$D:$D=$C709,'SUMMARY DATA'!$B:$B=""RWS"")),"""")
  )
)"),"")</f>
      </c>
      <c r="K709" s="2"/>
      <c r="L709" s="2"/>
      <c r="M709" s="2"/>
      <c r="N709" s="2"/>
      <c r="O709" s="2"/>
      <c r="P709" s="2"/>
      <c r="Q709" s="2"/>
      <c r="R709" s="2"/>
      <c r="S709" s="2"/>
      <c r="T709" s="2"/>
      <c r="U709" s="2"/>
      <c r="V709" s="2"/>
      <c r="W709" s="2"/>
      <c r="X709" s="2"/>
      <c r="Y709" s="2"/>
      <c r="Z709" s="2"/>
      <c r="AA709" s="2"/>
      <c r="AB709" s="2"/>
    </row>
    <row r="710" spans="1:28" customHeight="true">
      <c r="A710" s="2" t="s">
        <v>1139</v>
      </c>
      <c r="B710" s="15">
        <v>46031</v>
      </c>
      <c r="C710" s="2" t="s">
        <v>1140</v>
      </c>
      <c r="D710" s="3">
        <v>50</v>
      </c>
      <c r="E710" s="16" t="s">
        <v>2446</v>
      </c>
      <c r="F710" s="17" t="s">
        <v>2641</v>
      </c>
      <c r="G710" s="17" t="s">
        <v>2393</v>
      </c>
      <c r="H710" s="18">
        <v>50</v>
      </c>
      <c r="I710" s="18">
        <v>50</v>
      </c>
      <c r="J710" s="17" t="s">
        <v>2394</v>
      </c>
      <c r="K710" s="2" t="s">
        <v>2395</v>
      </c>
      <c r="L710" s="2"/>
      <c r="M710" s="2"/>
      <c r="N710" s="2"/>
      <c r="O710" s="2"/>
      <c r="P710" s="2"/>
      <c r="Q710" s="2"/>
      <c r="R710" s="2"/>
      <c r="S710" s="2"/>
      <c r="T710" s="2"/>
      <c r="U710" s="2"/>
      <c r="V710" s="2"/>
      <c r="W710" s="2"/>
      <c r="X710" s="2"/>
      <c r="Y710" s="2"/>
      <c r="Z710" s="2"/>
      <c r="AA710" s="2"/>
      <c r="AB710" s="2"/>
    </row>
    <row r="711" spans="1:28" customHeight="true">
      <c r="A711" s="2" t="s">
        <v>1141</v>
      </c>
      <c r="B711" s="15">
        <v>46030</v>
      </c>
      <c r="C711" s="2" t="s">
        <v>1142</v>
      </c>
      <c r="D711" s="3">
        <v>58.52</v>
      </c>
      <c r="E711" s="16" t="str">
        <f>IFERROR(__xludf.DUMMYFUNCTION("IFERROR(
  TEXTJOIN(CHAR(10),TRUE,FILTER('SUMMARY DATA'!E:E,'SUMMARY DATA'!$A:$A=$A711,'SUMMARY DATA'!$C:$C=$B711,'SUMMARY DATA'!$B:$B=""RWS"")),
  IF(
    OR(
      ISNUMBER(SEARCH(""CDM CASH DEPOSIT"",$C711)),
      ISNUMBER(SEARCH(""CASH DEPOSIT"",$C71"&amp;"1)),
      COUNTIFS('SUMMARY DATA'!$D:$D,$C711,'SUMMARY DATA'!$B:$B,""RWS"")&lt;&gt;1
    ),
    """",
    IFERROR(TEXTJOIN(CHAR(10),TRUE,FILTER('SUMMARY DATA'!E:E,'SUMMARY DATA'!$D:$D=$C711,'SUMMARY DATA'!$B:$B=""RWS"")),"""")
  )
)"),"")</f>
      </c>
      <c r="F711" s="17" t="str">
        <f>IFERROR(__xludf.DUMMYFUNCTION("IFERROR(
  TEXTJOIN(CHAR(10),TRUE,FILTER('SUMMARY DATA'!F:F,'SUMMARY DATA'!$A:$A=$A711,'SUMMARY DATA'!$C:$C=$B711,'SUMMARY DATA'!$B:$B=""RWS"")),
  IF(
    OR(
      ISNUMBER(SEARCH(""CDM CASH DEPOSIT"",$C711)),
      ISNUMBER(SEARCH(""CASH DEPOSIT"",$C71"&amp;"1)),
      COUNTIFS('SUMMARY DATA'!$D:$D,$C711,'SUMMARY DATA'!$B:$B,""RWS"")&lt;&gt;1
    ),
    """",
    IFERROR(TEXTJOIN(CHAR(10),TRUE,FILTER('SUMMARY DATA'!F:F,'SUMMARY DATA'!$D:$D=$C711,'SUMMARY DATA'!$B:$B=""RWS"")),"""")
  )
)"),"")</f>
      </c>
      <c r="G711" s="17" t="str">
        <f>IFERROR(__xludf.DUMMYFUNCTION("IFERROR(
  TEXTJOIN(CHAR(10),TRUE,FILTER('SUMMARY DATA'!G:G,'SUMMARY DATA'!$A:$A=$A711,'SUMMARY DATA'!$C:$C=$B711,'SUMMARY DATA'!$B:$B=""RWS"")),
  IF(
    OR(
      ISNUMBER(SEARCH(""CDM CASH DEPOSIT"",$C711)),
      ISNUMBER(SEARCH(""CASH DEPOSIT"",$C71"&amp;"1)),
      COUNTIFS('SUMMARY DATA'!$D:$D,$C711,'SUMMARY DATA'!$B:$B,""RWS"")&lt;&gt;1
    ),
    """",
    IFERROR(TEXTJOIN(CHAR(10),TRUE,FILTER('SUMMARY DATA'!G:G,'SUMMARY DATA'!$D:$D=$C711,'SUMMARY DATA'!$B:$B=""RWS"")),"""")
  )
)"),"")</f>
      </c>
      <c r="H711" s="18" t="str">
        <f>IFERROR(__xludf.DUMMYFUNCTION("IFERROR(
  TEXTJOIN(CHAR(10),TRUE,FILTER('SUMMARY DATA'!H:H,'SUMMARY DATA'!$A:$A=$A711,'SUMMARY DATA'!$C:$C=$B711,'SUMMARY DATA'!$B:$B=""RWS"",'SUMMARY DATA'!$H:$H=$D711)),
  IF(
    OR(
      ISNUMBER(SEARCH(""CDM CASH DEPOSIT"",$C711)),
      ISNUMBER(S"&amp;"EARCH(""CASH DEPOSIT"",$C711))
    ),
    """",
    IFERROR(TEXTJOIN(CHAR(10),TRUE,FILTER('SUMMARY DATA'!H:H,'SUMMARY DATA'!$D:$D=$C711,'SUMMARY DATA'!$B:$B=""RWS"",'SUMMARY DATA'!$H:$H=$D711)),"""")
  )
)"),"")</f>
      </c>
      <c r="I711" s="18" t="str">
        <f>IFERROR(__xludf.DUMMYFUNCTION("IF(H711="""","""",
SUM(ARRAYFORMULA(VALUE(SPLIT(H711,CHAR(10)))))
)"),"")</f>
      </c>
      <c r="J711" s="17" t="str">
        <f>IFERROR(__xludf.DUMMYFUNCTION("IFERROR(
  TEXTJOIN(CHAR(10),TRUE,FILTER('SUMMARY DATA'!I:I,'SUMMARY DATA'!$A:$A=$A711,'SUMMARY DATA'!$C:$C=$B711,'SUMMARY DATA'!$B:$B=""RWS"")),
  IF(
    OR(
      ISNUMBER(SEARCH(""CDM CASH DEPOSIT"",$C711)),
      ISNUMBER(SEARCH(""CASH DEPOSIT"",$C71"&amp;"1)),
      COUNTIFS('SUMMARY DATA'!$D:$D,$C711,'SUMMARY DATA'!$B:$B,""RWS"")&lt;&gt;1
    ),
    """",
    IFERROR(TEXTJOIN(CHAR(10),TRUE,FILTER('SUMMARY DATA'!I:I,'SUMMARY DATA'!$D:$D=$C711,'SUMMARY DATA'!$B:$B=""RWS"")),"""")
  )
)"),"")</f>
      </c>
      <c r="K711" s="2"/>
      <c r="L711" s="2"/>
      <c r="M711" s="2"/>
      <c r="N711" s="2"/>
      <c r="O711" s="2"/>
      <c r="P711" s="2"/>
      <c r="Q711" s="2"/>
      <c r="R711" s="2"/>
      <c r="S711" s="2"/>
      <c r="T711" s="2"/>
      <c r="U711" s="2"/>
      <c r="V711" s="2"/>
      <c r="W711" s="2"/>
      <c r="X711" s="2"/>
      <c r="Y711" s="2"/>
      <c r="Z711" s="2"/>
      <c r="AA711" s="2"/>
      <c r="AB711" s="2"/>
    </row>
    <row r="712" spans="1:28" customHeight="true">
      <c r="A712" s="2" t="s">
        <v>1143</v>
      </c>
      <c r="B712" s="15">
        <v>46030</v>
      </c>
      <c r="C712" s="2" t="s">
        <v>964</v>
      </c>
      <c r="D712" s="3">
        <v>129.45</v>
      </c>
      <c r="E712" s="16" t="s">
        <v>2497</v>
      </c>
      <c r="F712" s="17" t="s">
        <v>2642</v>
      </c>
      <c r="G712" s="17" t="s">
        <v>2393</v>
      </c>
      <c r="H712" s="18">
        <v>129.45</v>
      </c>
      <c r="I712" s="18">
        <v>129.45</v>
      </c>
      <c r="J712" s="17" t="s">
        <v>2394</v>
      </c>
      <c r="K712" s="2" t="s">
        <v>2395</v>
      </c>
      <c r="L712" s="2"/>
      <c r="M712" s="2"/>
      <c r="N712" s="2"/>
      <c r="O712" s="2"/>
      <c r="P712" s="2"/>
      <c r="Q712" s="2"/>
      <c r="R712" s="2"/>
      <c r="S712" s="2"/>
      <c r="T712" s="2"/>
      <c r="U712" s="2"/>
      <c r="V712" s="2"/>
      <c r="W712" s="2"/>
      <c r="X712" s="2"/>
      <c r="Y712" s="2"/>
      <c r="Z712" s="2"/>
      <c r="AA712" s="2"/>
      <c r="AB712" s="2"/>
    </row>
    <row r="713" spans="1:28" customHeight="true">
      <c r="A713" s="2" t="s">
        <v>1144</v>
      </c>
      <c r="B713" s="15">
        <v>46030</v>
      </c>
      <c r="C713" s="2" t="s">
        <v>1145</v>
      </c>
      <c r="D713" s="3">
        <v>70</v>
      </c>
      <c r="E713" s="16" t="str">
        <f>IFERROR(__xludf.DUMMYFUNCTION("IFERROR(
  TEXTJOIN(CHAR(10),TRUE,FILTER('SUMMARY DATA'!E:E,'SUMMARY DATA'!$A:$A=$A713,'SUMMARY DATA'!$C:$C=$B713,'SUMMARY DATA'!$B:$B=""RWS"")),
  IF(
    OR(
      ISNUMBER(SEARCH(""CDM CASH DEPOSIT"",$C713)),
      ISNUMBER(SEARCH(""CASH DEPOSIT"",$C71"&amp;"3)),
      COUNTIFS('SUMMARY DATA'!$D:$D,$C713,'SUMMARY DATA'!$B:$B,""RWS"")&lt;&gt;1
    ),
    """",
    IFERROR(TEXTJOIN(CHAR(10),TRUE,FILTER('SUMMARY DATA'!E:E,'SUMMARY DATA'!$D:$D=$C713,'SUMMARY DATA'!$B:$B=""RWS"")),"""")
  )
)"),"")</f>
      </c>
      <c r="F713" s="17" t="str">
        <f>IFERROR(__xludf.DUMMYFUNCTION("IFERROR(
  TEXTJOIN(CHAR(10),TRUE,FILTER('SUMMARY DATA'!F:F,'SUMMARY DATA'!$A:$A=$A713,'SUMMARY DATA'!$C:$C=$B713,'SUMMARY DATA'!$B:$B=""RWS"")),
  IF(
    OR(
      ISNUMBER(SEARCH(""CDM CASH DEPOSIT"",$C713)),
      ISNUMBER(SEARCH(""CASH DEPOSIT"",$C71"&amp;"3)),
      COUNTIFS('SUMMARY DATA'!$D:$D,$C713,'SUMMARY DATA'!$B:$B,""RWS"")&lt;&gt;1
    ),
    """",
    IFERROR(TEXTJOIN(CHAR(10),TRUE,FILTER('SUMMARY DATA'!F:F,'SUMMARY DATA'!$D:$D=$C713,'SUMMARY DATA'!$B:$B=""RWS"")),"""")
  )
)"),"")</f>
      </c>
      <c r="G713" s="17" t="str">
        <f>IFERROR(__xludf.DUMMYFUNCTION("IFERROR(
  TEXTJOIN(CHAR(10),TRUE,FILTER('SUMMARY DATA'!G:G,'SUMMARY DATA'!$A:$A=$A713,'SUMMARY DATA'!$C:$C=$B713,'SUMMARY DATA'!$B:$B=""RWS"")),
  IF(
    OR(
      ISNUMBER(SEARCH(""CDM CASH DEPOSIT"",$C713)),
      ISNUMBER(SEARCH(""CASH DEPOSIT"",$C71"&amp;"3)),
      COUNTIFS('SUMMARY DATA'!$D:$D,$C713,'SUMMARY DATA'!$B:$B,""RWS"")&lt;&gt;1
    ),
    """",
    IFERROR(TEXTJOIN(CHAR(10),TRUE,FILTER('SUMMARY DATA'!G:G,'SUMMARY DATA'!$D:$D=$C713,'SUMMARY DATA'!$B:$B=""RWS"")),"""")
  )
)"),"")</f>
      </c>
      <c r="H713" s="18" t="str">
        <f>IFERROR(__xludf.DUMMYFUNCTION("IFERROR(
  TEXTJOIN(CHAR(10),TRUE,FILTER('SUMMARY DATA'!H:H,'SUMMARY DATA'!$A:$A=$A713,'SUMMARY DATA'!$C:$C=$B713,'SUMMARY DATA'!$B:$B=""RWS"",'SUMMARY DATA'!$H:$H=$D713)),
  IF(
    OR(
      ISNUMBER(SEARCH(""CDM CASH DEPOSIT"",$C713)),
      ISNUMBER(S"&amp;"EARCH(""CASH DEPOSIT"",$C713))
    ),
    """",
    IFERROR(TEXTJOIN(CHAR(10),TRUE,FILTER('SUMMARY DATA'!H:H,'SUMMARY DATA'!$D:$D=$C713,'SUMMARY DATA'!$B:$B=""RWS"",'SUMMARY DATA'!$H:$H=$D713)),"""")
  )
)"),"")</f>
      </c>
      <c r="I713" s="18" t="str">
        <f>IFERROR(__xludf.DUMMYFUNCTION("IF(H713="""","""",
SUM(ARRAYFORMULA(VALUE(SPLIT(H713,CHAR(10)))))
)"),"")</f>
      </c>
      <c r="J713" s="17" t="str">
        <f>IFERROR(__xludf.DUMMYFUNCTION("IFERROR(
  TEXTJOIN(CHAR(10),TRUE,FILTER('SUMMARY DATA'!I:I,'SUMMARY DATA'!$A:$A=$A713,'SUMMARY DATA'!$C:$C=$B713,'SUMMARY DATA'!$B:$B=""RWS"")),
  IF(
    OR(
      ISNUMBER(SEARCH(""CDM CASH DEPOSIT"",$C713)),
      ISNUMBER(SEARCH(""CASH DEPOSIT"",$C71"&amp;"3)),
      COUNTIFS('SUMMARY DATA'!$D:$D,$C713,'SUMMARY DATA'!$B:$B,""RWS"")&lt;&gt;1
    ),
    """",
    IFERROR(TEXTJOIN(CHAR(10),TRUE,FILTER('SUMMARY DATA'!I:I,'SUMMARY DATA'!$D:$D=$C713,'SUMMARY DATA'!$B:$B=""RWS"")),"""")
  )
)"),"")</f>
      </c>
      <c r="K713" s="2"/>
      <c r="L713" s="2"/>
      <c r="M713" s="2"/>
      <c r="N713" s="2"/>
      <c r="O713" s="2"/>
      <c r="P713" s="2"/>
      <c r="Q713" s="2"/>
      <c r="R713" s="2"/>
      <c r="S713" s="2"/>
      <c r="T713" s="2"/>
      <c r="U713" s="2"/>
      <c r="V713" s="2"/>
      <c r="W713" s="2"/>
      <c r="X713" s="2"/>
      <c r="Y713" s="2"/>
      <c r="Z713" s="2"/>
      <c r="AA713" s="2"/>
      <c r="AB713" s="2"/>
    </row>
    <row r="714" spans="1:28" customHeight="true">
      <c r="A714" s="2" t="s">
        <v>1146</v>
      </c>
      <c r="B714" s="15">
        <v>46030</v>
      </c>
      <c r="C714" s="2" t="s">
        <v>1147</v>
      </c>
      <c r="D714" s="3">
        <v>1</v>
      </c>
      <c r="E714" s="16" t="str">
        <f>IFERROR(__xludf.DUMMYFUNCTION("IFERROR(
  TEXTJOIN(CHAR(10),TRUE,FILTER('SUMMARY DATA'!E:E,'SUMMARY DATA'!$A:$A=$A714,'SUMMARY DATA'!$C:$C=$B714,'SUMMARY DATA'!$B:$B=""RWS"")),
  IF(
    OR(
      ISNUMBER(SEARCH(""CDM CASH DEPOSIT"",$C714)),
      ISNUMBER(SEARCH(""CASH DEPOSIT"",$C71"&amp;"4)),
      COUNTIFS('SUMMARY DATA'!$D:$D,$C714,'SUMMARY DATA'!$B:$B,""RWS"")&lt;&gt;1
    ),
    """",
    IFERROR(TEXTJOIN(CHAR(10),TRUE,FILTER('SUMMARY DATA'!E:E,'SUMMARY DATA'!$D:$D=$C714,'SUMMARY DATA'!$B:$B=""RWS"")),"""")
  )
)"),"")</f>
      </c>
      <c r="F714" s="17" t="str">
        <f>IFERROR(__xludf.DUMMYFUNCTION("IFERROR(
  TEXTJOIN(CHAR(10),TRUE,FILTER('SUMMARY DATA'!F:F,'SUMMARY DATA'!$A:$A=$A714,'SUMMARY DATA'!$C:$C=$B714,'SUMMARY DATA'!$B:$B=""RWS"")),
  IF(
    OR(
      ISNUMBER(SEARCH(""CDM CASH DEPOSIT"",$C714)),
      ISNUMBER(SEARCH(""CASH DEPOSIT"",$C71"&amp;"4)),
      COUNTIFS('SUMMARY DATA'!$D:$D,$C714,'SUMMARY DATA'!$B:$B,""RWS"")&lt;&gt;1
    ),
    """",
    IFERROR(TEXTJOIN(CHAR(10),TRUE,FILTER('SUMMARY DATA'!F:F,'SUMMARY DATA'!$D:$D=$C714,'SUMMARY DATA'!$B:$B=""RWS"")),"""")
  )
)"),"")</f>
      </c>
      <c r="G714" s="17" t="str">
        <f>IFERROR(__xludf.DUMMYFUNCTION("IFERROR(
  TEXTJOIN(CHAR(10),TRUE,FILTER('SUMMARY DATA'!G:G,'SUMMARY DATA'!$A:$A=$A714,'SUMMARY DATA'!$C:$C=$B714,'SUMMARY DATA'!$B:$B=""RWS"")),
  IF(
    OR(
      ISNUMBER(SEARCH(""CDM CASH DEPOSIT"",$C714)),
      ISNUMBER(SEARCH(""CASH DEPOSIT"",$C71"&amp;"4)),
      COUNTIFS('SUMMARY DATA'!$D:$D,$C714,'SUMMARY DATA'!$B:$B,""RWS"")&lt;&gt;1
    ),
    """",
    IFERROR(TEXTJOIN(CHAR(10),TRUE,FILTER('SUMMARY DATA'!G:G,'SUMMARY DATA'!$D:$D=$C714,'SUMMARY DATA'!$B:$B=""RWS"")),"""")
  )
)"),"")</f>
      </c>
      <c r="H714" s="18" t="str">
        <f>IFERROR(__xludf.DUMMYFUNCTION("IFERROR(
  TEXTJOIN(CHAR(10),TRUE,FILTER('SUMMARY DATA'!H:H,'SUMMARY DATA'!$A:$A=$A714,'SUMMARY DATA'!$C:$C=$B714,'SUMMARY DATA'!$B:$B=""RWS"",'SUMMARY DATA'!$H:$H=$D714)),
  IF(
    OR(
      ISNUMBER(SEARCH(""CDM CASH DEPOSIT"",$C714)),
      ISNUMBER(S"&amp;"EARCH(""CASH DEPOSIT"",$C714))
    ),
    """",
    IFERROR(TEXTJOIN(CHAR(10),TRUE,FILTER('SUMMARY DATA'!H:H,'SUMMARY DATA'!$D:$D=$C714,'SUMMARY DATA'!$B:$B=""RWS"",'SUMMARY DATA'!$H:$H=$D714)),"""")
  )
)"),"")</f>
      </c>
      <c r="I714" s="18" t="str">
        <f>IFERROR(__xludf.DUMMYFUNCTION("IF(H714="""","""",
SUM(ARRAYFORMULA(VALUE(SPLIT(H714,CHAR(10)))))
)"),"")</f>
      </c>
      <c r="J714" s="17" t="str">
        <f>IFERROR(__xludf.DUMMYFUNCTION("IFERROR(
  TEXTJOIN(CHAR(10),TRUE,FILTER('SUMMARY DATA'!I:I,'SUMMARY DATA'!$A:$A=$A714,'SUMMARY DATA'!$C:$C=$B714,'SUMMARY DATA'!$B:$B=""RWS"")),
  IF(
    OR(
      ISNUMBER(SEARCH(""CDM CASH DEPOSIT"",$C714)),
      ISNUMBER(SEARCH(""CASH DEPOSIT"",$C71"&amp;"4)),
      COUNTIFS('SUMMARY DATA'!$D:$D,$C714,'SUMMARY DATA'!$B:$B,""RWS"")&lt;&gt;1
    ),
    """",
    IFERROR(TEXTJOIN(CHAR(10),TRUE,FILTER('SUMMARY DATA'!I:I,'SUMMARY DATA'!$D:$D=$C714,'SUMMARY DATA'!$B:$B=""RWS"")),"""")
  )
)"),"")</f>
      </c>
      <c r="K714" s="2"/>
      <c r="L714" s="2"/>
      <c r="M714" s="2"/>
      <c r="N714" s="2"/>
      <c r="O714" s="2"/>
      <c r="P714" s="2"/>
      <c r="Q714" s="2"/>
      <c r="R714" s="2"/>
      <c r="S714" s="2"/>
      <c r="T714" s="2"/>
      <c r="U714" s="2"/>
      <c r="V714" s="2"/>
      <c r="W714" s="2"/>
      <c r="X714" s="2"/>
      <c r="Y714" s="2"/>
      <c r="Z714" s="2"/>
      <c r="AA714" s="2"/>
      <c r="AB714" s="2"/>
    </row>
    <row r="715" spans="1:28" customHeight="true">
      <c r="A715" s="2"/>
      <c r="B715" s="15">
        <v>46030</v>
      </c>
      <c r="C715" s="2" t="s">
        <v>1058</v>
      </c>
      <c r="D715" s="3">
        <v>1942</v>
      </c>
      <c r="E715" s="16" t="str">
        <f>IFERROR(__xludf.DUMMYFUNCTION("IFERROR(
  TEXTJOIN(CHAR(10),TRUE,FILTER('SUMMARY DATA'!E:E,'SUMMARY DATA'!$A:$A=$A715,'SUMMARY DATA'!$C:$C=$B715,'SUMMARY DATA'!$B:$B=""RWS"")),
  IF(
    OR(
      ISNUMBER(SEARCH(""CDM CASH DEPOSIT"",$C715)),
      ISNUMBER(SEARCH(""CASH DEPOSIT"",$C71"&amp;"5)),
      COUNTIFS('SUMMARY DATA'!$D:$D,$C715,'SUMMARY DATA'!$B:$B,""RWS"")&lt;&gt;1
    ),
    """",
    IFERROR(TEXTJOIN(CHAR(10),TRUE,FILTER('SUMMARY DATA'!E:E,'SUMMARY DATA'!$D:$D=$C715,'SUMMARY DATA'!$B:$B=""RWS"")),"""")
  )
)"),"")</f>
      </c>
      <c r="F715" s="17" t="str">
        <f>IFERROR(__xludf.DUMMYFUNCTION("IFERROR(
  TEXTJOIN(CHAR(10),TRUE,FILTER('SUMMARY DATA'!F:F,'SUMMARY DATA'!$A:$A=$A715,'SUMMARY DATA'!$C:$C=$B715,'SUMMARY DATA'!$B:$B=""RWS"")),
  IF(
    OR(
      ISNUMBER(SEARCH(""CDM CASH DEPOSIT"",$C715)),
      ISNUMBER(SEARCH(""CASH DEPOSIT"",$C71"&amp;"5)),
      COUNTIFS('SUMMARY DATA'!$D:$D,$C715,'SUMMARY DATA'!$B:$B,""RWS"")&lt;&gt;1
    ),
    """",
    IFERROR(TEXTJOIN(CHAR(10),TRUE,FILTER('SUMMARY DATA'!F:F,'SUMMARY DATA'!$D:$D=$C715,'SUMMARY DATA'!$B:$B=""RWS"")),"""")
  )
)"),"")</f>
      </c>
      <c r="G715" s="17" t="str">
        <f>IFERROR(__xludf.DUMMYFUNCTION("IFERROR(
  TEXTJOIN(CHAR(10),TRUE,FILTER('SUMMARY DATA'!G:G,'SUMMARY DATA'!$A:$A=$A715,'SUMMARY DATA'!$C:$C=$B715,'SUMMARY DATA'!$B:$B=""RWS"")),
  IF(
    OR(
      ISNUMBER(SEARCH(""CDM CASH DEPOSIT"",$C715)),
      ISNUMBER(SEARCH(""CASH DEPOSIT"",$C71"&amp;"5)),
      COUNTIFS('SUMMARY DATA'!$D:$D,$C715,'SUMMARY DATA'!$B:$B,""RWS"")&lt;&gt;1
    ),
    """",
    IFERROR(TEXTJOIN(CHAR(10),TRUE,FILTER('SUMMARY DATA'!G:G,'SUMMARY DATA'!$D:$D=$C715,'SUMMARY DATA'!$B:$B=""RWS"")),"""")
  )
)"),"")</f>
      </c>
      <c r="H715" s="18" t="str">
        <f>IFERROR(__xludf.DUMMYFUNCTION("IFERROR(
  TEXTJOIN(CHAR(10),TRUE,FILTER('SUMMARY DATA'!H:H,'SUMMARY DATA'!$A:$A=$A715,'SUMMARY DATA'!$C:$C=$B715,'SUMMARY DATA'!$B:$B=""RWS"",'SUMMARY DATA'!$H:$H=$D715)),
  IF(
    OR(
      ISNUMBER(SEARCH(""CDM CASH DEPOSIT"",$C715)),
      ISNUMBER(S"&amp;"EARCH(""CASH DEPOSIT"",$C715))
    ),
    """",
    IFERROR(TEXTJOIN(CHAR(10),TRUE,FILTER('SUMMARY DATA'!H:H,'SUMMARY DATA'!$D:$D=$C715,'SUMMARY DATA'!$B:$B=""RWS"",'SUMMARY DATA'!$H:$H=$D715)),"""")
  )
)"),"")</f>
      </c>
      <c r="I715" s="18" t="str">
        <f>IFERROR(__xludf.DUMMYFUNCTION("IF(H715="""","""",
SUM(ARRAYFORMULA(VALUE(SPLIT(H715,CHAR(10)))))
)"),"")</f>
      </c>
      <c r="J715" s="17" t="str">
        <f>IFERROR(__xludf.DUMMYFUNCTION("IFERROR(
  TEXTJOIN(CHAR(10),TRUE,FILTER('SUMMARY DATA'!I:I,'SUMMARY DATA'!$A:$A=$A715,'SUMMARY DATA'!$C:$C=$B715,'SUMMARY DATA'!$B:$B=""RWS"")),
  IF(
    OR(
      ISNUMBER(SEARCH(""CDM CASH DEPOSIT"",$C715)),
      ISNUMBER(SEARCH(""CASH DEPOSIT"",$C71"&amp;"5)),
      COUNTIFS('SUMMARY DATA'!$D:$D,$C715,'SUMMARY DATA'!$B:$B,""RWS"")&lt;&gt;1
    ),
    """",
    IFERROR(TEXTJOIN(CHAR(10),TRUE,FILTER('SUMMARY DATA'!I:I,'SUMMARY DATA'!$D:$D=$C715,'SUMMARY DATA'!$B:$B=""RWS"")),"""")
  )
)"),"")</f>
      </c>
      <c r="K715" s="2"/>
      <c r="L715" s="2"/>
      <c r="M715" s="2"/>
      <c r="N715" s="2"/>
      <c r="O715" s="2"/>
      <c r="P715" s="2"/>
      <c r="Q715" s="2"/>
      <c r="R715" s="2"/>
      <c r="S715" s="2"/>
      <c r="T715" s="2"/>
      <c r="U715" s="2"/>
      <c r="V715" s="2"/>
      <c r="W715" s="2"/>
      <c r="X715" s="2"/>
      <c r="Y715" s="2"/>
      <c r="Z715" s="2"/>
      <c r="AA715" s="2"/>
      <c r="AB715" s="2"/>
    </row>
    <row r="716" spans="1:28" customHeight="true">
      <c r="A716" s="2" t="s">
        <v>1146</v>
      </c>
      <c r="B716" s="15">
        <v>46029</v>
      </c>
      <c r="C716" s="2" t="s">
        <v>1148</v>
      </c>
      <c r="D716" s="3">
        <v>107</v>
      </c>
      <c r="E716" s="16" t="str">
        <f>IFERROR(__xludf.DUMMYFUNCTION("IFERROR(
  TEXTJOIN(CHAR(10),TRUE,FILTER('SUMMARY DATA'!E:E,'SUMMARY DATA'!$A:$A=$A716,'SUMMARY DATA'!$C:$C=$B716,'SUMMARY DATA'!$B:$B=""RWS"")),
  IF(
    OR(
      ISNUMBER(SEARCH(""CDM CASH DEPOSIT"",$C716)),
      ISNUMBER(SEARCH(""CASH DEPOSIT"",$C71"&amp;"6)),
      COUNTIFS('SUMMARY DATA'!$D:$D,$C716,'SUMMARY DATA'!$B:$B,""RWS"")&lt;&gt;1
    ),
    """",
    IFERROR(TEXTJOIN(CHAR(10),TRUE,FILTER('SUMMARY DATA'!E:E,'SUMMARY DATA'!$D:$D=$C716,'SUMMARY DATA'!$B:$B=""RWS"")),"""")
  )
)"),"")</f>
      </c>
      <c r="F716" s="17" t="str">
        <f>IFERROR(__xludf.DUMMYFUNCTION("IFERROR(
  TEXTJOIN(CHAR(10),TRUE,FILTER('SUMMARY DATA'!F:F,'SUMMARY DATA'!$A:$A=$A716,'SUMMARY DATA'!$C:$C=$B716,'SUMMARY DATA'!$B:$B=""RWS"")),
  IF(
    OR(
      ISNUMBER(SEARCH(""CDM CASH DEPOSIT"",$C716)),
      ISNUMBER(SEARCH(""CASH DEPOSIT"",$C71"&amp;"6)),
      COUNTIFS('SUMMARY DATA'!$D:$D,$C716,'SUMMARY DATA'!$B:$B,""RWS"")&lt;&gt;1
    ),
    """",
    IFERROR(TEXTJOIN(CHAR(10),TRUE,FILTER('SUMMARY DATA'!F:F,'SUMMARY DATA'!$D:$D=$C716,'SUMMARY DATA'!$B:$B=""RWS"")),"""")
  )
)"),"")</f>
      </c>
      <c r="G716" s="17" t="str">
        <f>IFERROR(__xludf.DUMMYFUNCTION("IFERROR(
  TEXTJOIN(CHAR(10),TRUE,FILTER('SUMMARY DATA'!G:G,'SUMMARY DATA'!$A:$A=$A716,'SUMMARY DATA'!$C:$C=$B716,'SUMMARY DATA'!$B:$B=""RWS"")),
  IF(
    OR(
      ISNUMBER(SEARCH(""CDM CASH DEPOSIT"",$C716)),
      ISNUMBER(SEARCH(""CASH DEPOSIT"",$C71"&amp;"6)),
      COUNTIFS('SUMMARY DATA'!$D:$D,$C716,'SUMMARY DATA'!$B:$B,""RWS"")&lt;&gt;1
    ),
    """",
    IFERROR(TEXTJOIN(CHAR(10),TRUE,FILTER('SUMMARY DATA'!G:G,'SUMMARY DATA'!$D:$D=$C716,'SUMMARY DATA'!$B:$B=""RWS"")),"""")
  )
)"),"")</f>
      </c>
      <c r="H716" s="18" t="str">
        <f>IFERROR(__xludf.DUMMYFUNCTION("IFERROR(
  TEXTJOIN(CHAR(10),TRUE,FILTER('SUMMARY DATA'!H:H,'SUMMARY DATA'!$A:$A=$A716,'SUMMARY DATA'!$C:$C=$B716,'SUMMARY DATA'!$B:$B=""RWS"",'SUMMARY DATA'!$H:$H=$D716)),
  IF(
    OR(
      ISNUMBER(SEARCH(""CDM CASH DEPOSIT"",$C716)),
      ISNUMBER(S"&amp;"EARCH(""CASH DEPOSIT"",$C716))
    ),
    """",
    IFERROR(TEXTJOIN(CHAR(10),TRUE,FILTER('SUMMARY DATA'!H:H,'SUMMARY DATA'!$D:$D=$C716,'SUMMARY DATA'!$B:$B=""RWS"",'SUMMARY DATA'!$H:$H=$D716)),"""")
  )
)"),"")</f>
      </c>
      <c r="I716" s="18" t="str">
        <f>IFERROR(__xludf.DUMMYFUNCTION("IF(H716="""","""",
SUM(ARRAYFORMULA(VALUE(SPLIT(H716,CHAR(10)))))
)"),"")</f>
      </c>
      <c r="J716" s="17" t="str">
        <f>IFERROR(__xludf.DUMMYFUNCTION("IFERROR(
  TEXTJOIN(CHAR(10),TRUE,FILTER('SUMMARY DATA'!I:I,'SUMMARY DATA'!$A:$A=$A716,'SUMMARY DATA'!$C:$C=$B716,'SUMMARY DATA'!$B:$B=""RWS"")),
  IF(
    OR(
      ISNUMBER(SEARCH(""CDM CASH DEPOSIT"",$C716)),
      ISNUMBER(SEARCH(""CASH DEPOSIT"",$C71"&amp;"6)),
      COUNTIFS('SUMMARY DATA'!$D:$D,$C716,'SUMMARY DATA'!$B:$B,""RWS"")&lt;&gt;1
    ),
    """",
    IFERROR(TEXTJOIN(CHAR(10),TRUE,FILTER('SUMMARY DATA'!I:I,'SUMMARY DATA'!$D:$D=$C716,'SUMMARY DATA'!$B:$B=""RWS"")),"""")
  )
)"),"")</f>
      </c>
      <c r="K716" s="2"/>
      <c r="L716" s="2"/>
      <c r="M716" s="2"/>
      <c r="N716" s="2"/>
      <c r="O716" s="2"/>
      <c r="P716" s="2"/>
      <c r="Q716" s="2"/>
      <c r="R716" s="2"/>
      <c r="S716" s="2"/>
      <c r="T716" s="2"/>
      <c r="U716" s="2"/>
      <c r="V716" s="2"/>
      <c r="W716" s="2"/>
      <c r="X716" s="2"/>
      <c r="Y716" s="2"/>
      <c r="Z716" s="2"/>
      <c r="AA716" s="2"/>
      <c r="AB716" s="2"/>
    </row>
    <row r="717" spans="1:28" customHeight="true">
      <c r="A717" s="2" t="s">
        <v>1149</v>
      </c>
      <c r="B717" s="15">
        <v>46029</v>
      </c>
      <c r="C717" s="2" t="s">
        <v>1150</v>
      </c>
      <c r="D717" s="3">
        <v>188.55</v>
      </c>
      <c r="E717" s="16" t="str">
        <f>IFERROR(__xludf.DUMMYFUNCTION("IFERROR(
  TEXTJOIN(CHAR(10),TRUE,FILTER('SUMMARY DATA'!E:E,'SUMMARY DATA'!$A:$A=$A717,'SUMMARY DATA'!$C:$C=$B717,'SUMMARY DATA'!$B:$B=""RWS"")),
  IF(
    OR(
      ISNUMBER(SEARCH(""CDM CASH DEPOSIT"",$C717)),
      ISNUMBER(SEARCH(""CASH DEPOSIT"",$C71"&amp;"7)),
      COUNTIFS('SUMMARY DATA'!$D:$D,$C717,'SUMMARY DATA'!$B:$B,""RWS"")&lt;&gt;1
    ),
    """",
    IFERROR(TEXTJOIN(CHAR(10),TRUE,FILTER('SUMMARY DATA'!E:E,'SUMMARY DATA'!$D:$D=$C717,'SUMMARY DATA'!$B:$B=""RWS"")),"""")
  )
)"),"")</f>
      </c>
      <c r="F717" s="17" t="str">
        <f>IFERROR(__xludf.DUMMYFUNCTION("IFERROR(
  TEXTJOIN(CHAR(10),TRUE,FILTER('SUMMARY DATA'!F:F,'SUMMARY DATA'!$A:$A=$A717,'SUMMARY DATA'!$C:$C=$B717,'SUMMARY DATA'!$B:$B=""RWS"")),
  IF(
    OR(
      ISNUMBER(SEARCH(""CDM CASH DEPOSIT"",$C717)),
      ISNUMBER(SEARCH(""CASH DEPOSIT"",$C71"&amp;"7)),
      COUNTIFS('SUMMARY DATA'!$D:$D,$C717,'SUMMARY DATA'!$B:$B,""RWS"")&lt;&gt;1
    ),
    """",
    IFERROR(TEXTJOIN(CHAR(10),TRUE,FILTER('SUMMARY DATA'!F:F,'SUMMARY DATA'!$D:$D=$C717,'SUMMARY DATA'!$B:$B=""RWS"")),"""")
  )
)"),"")</f>
      </c>
      <c r="G717" s="17" t="str">
        <f>IFERROR(__xludf.DUMMYFUNCTION("IFERROR(
  TEXTJOIN(CHAR(10),TRUE,FILTER('SUMMARY DATA'!G:G,'SUMMARY DATA'!$A:$A=$A717,'SUMMARY DATA'!$C:$C=$B717,'SUMMARY DATA'!$B:$B=""RWS"")),
  IF(
    OR(
      ISNUMBER(SEARCH(""CDM CASH DEPOSIT"",$C717)),
      ISNUMBER(SEARCH(""CASH DEPOSIT"",$C71"&amp;"7)),
      COUNTIFS('SUMMARY DATA'!$D:$D,$C717,'SUMMARY DATA'!$B:$B,""RWS"")&lt;&gt;1
    ),
    """",
    IFERROR(TEXTJOIN(CHAR(10),TRUE,FILTER('SUMMARY DATA'!G:G,'SUMMARY DATA'!$D:$D=$C717,'SUMMARY DATA'!$B:$B=""RWS"")),"""")
  )
)"),"")</f>
      </c>
      <c r="H717" s="18" t="str">
        <f>IFERROR(__xludf.DUMMYFUNCTION("IFERROR(
  TEXTJOIN(CHAR(10),TRUE,FILTER('SUMMARY DATA'!H:H,'SUMMARY DATA'!$A:$A=$A717,'SUMMARY DATA'!$C:$C=$B717,'SUMMARY DATA'!$B:$B=""RWS"",'SUMMARY DATA'!$H:$H=$D717)),
  IF(
    OR(
      ISNUMBER(SEARCH(""CDM CASH DEPOSIT"",$C717)),
      ISNUMBER(S"&amp;"EARCH(""CASH DEPOSIT"",$C717))
    ),
    """",
    IFERROR(TEXTJOIN(CHAR(10),TRUE,FILTER('SUMMARY DATA'!H:H,'SUMMARY DATA'!$D:$D=$C717,'SUMMARY DATA'!$B:$B=""RWS"",'SUMMARY DATA'!$H:$H=$D717)),"""")
  )
)"),"")</f>
      </c>
      <c r="I717" s="18" t="str">
        <f>IFERROR(__xludf.DUMMYFUNCTION("IF(H717="""","""",
SUM(ARRAYFORMULA(VALUE(SPLIT(H717,CHAR(10)))))
)"),"")</f>
      </c>
      <c r="J717" s="17" t="str">
        <f>IFERROR(__xludf.DUMMYFUNCTION("IFERROR(
  TEXTJOIN(CHAR(10),TRUE,FILTER('SUMMARY DATA'!I:I,'SUMMARY DATA'!$A:$A=$A717,'SUMMARY DATA'!$C:$C=$B717,'SUMMARY DATA'!$B:$B=""RWS"")),
  IF(
    OR(
      ISNUMBER(SEARCH(""CDM CASH DEPOSIT"",$C717)),
      ISNUMBER(SEARCH(""CASH DEPOSIT"",$C71"&amp;"7)),
      COUNTIFS('SUMMARY DATA'!$D:$D,$C717,'SUMMARY DATA'!$B:$B,""RWS"")&lt;&gt;1
    ),
    """",
    IFERROR(TEXTJOIN(CHAR(10),TRUE,FILTER('SUMMARY DATA'!I:I,'SUMMARY DATA'!$D:$D=$C717,'SUMMARY DATA'!$B:$B=""RWS"")),"""")
  )
)"),"")</f>
      </c>
      <c r="K717" s="2"/>
      <c r="L717" s="2"/>
      <c r="M717" s="2"/>
      <c r="N717" s="2"/>
      <c r="O717" s="2"/>
      <c r="P717" s="2"/>
      <c r="Q717" s="2"/>
      <c r="R717" s="2"/>
      <c r="S717" s="2"/>
      <c r="T717" s="2"/>
      <c r="U717" s="2"/>
      <c r="V717" s="2"/>
      <c r="W717" s="2"/>
      <c r="X717" s="2"/>
      <c r="Y717" s="2"/>
      <c r="Z717" s="2"/>
      <c r="AA717" s="2"/>
      <c r="AB717" s="2"/>
    </row>
    <row r="718" spans="1:28" customHeight="true">
      <c r="A718" s="2"/>
      <c r="B718" s="15">
        <v>46029</v>
      </c>
      <c r="C718" s="2" t="s">
        <v>1151</v>
      </c>
      <c r="D718" s="3">
        <v>56</v>
      </c>
      <c r="E718" s="16" t="str">
        <f>IFERROR(__xludf.DUMMYFUNCTION("IFERROR(
  TEXTJOIN(CHAR(10),TRUE,FILTER('SUMMARY DATA'!E:E,'SUMMARY DATA'!$A:$A=$A718,'SUMMARY DATA'!$C:$C=$B718,'SUMMARY DATA'!$B:$B=""RWS"")),
  IF(
    OR(
      ISNUMBER(SEARCH(""CDM CASH DEPOSIT"",$C718)),
      ISNUMBER(SEARCH(""CASH DEPOSIT"",$C71"&amp;"8)),
      COUNTIFS('SUMMARY DATA'!$D:$D,$C718,'SUMMARY DATA'!$B:$B,""RWS"")&lt;&gt;1
    ),
    """",
    IFERROR(TEXTJOIN(CHAR(10),TRUE,FILTER('SUMMARY DATA'!E:E,'SUMMARY DATA'!$D:$D=$C718,'SUMMARY DATA'!$B:$B=""RWS"")),"""")
  )
)"),"")</f>
      </c>
      <c r="F718" s="17" t="str">
        <f>IFERROR(__xludf.DUMMYFUNCTION("IFERROR(
  TEXTJOIN(CHAR(10),TRUE,FILTER('SUMMARY DATA'!F:F,'SUMMARY DATA'!$A:$A=$A718,'SUMMARY DATA'!$C:$C=$B718,'SUMMARY DATA'!$B:$B=""RWS"")),
  IF(
    OR(
      ISNUMBER(SEARCH(""CDM CASH DEPOSIT"",$C718)),
      ISNUMBER(SEARCH(""CASH DEPOSIT"",$C71"&amp;"8)),
      COUNTIFS('SUMMARY DATA'!$D:$D,$C718,'SUMMARY DATA'!$B:$B,""RWS"")&lt;&gt;1
    ),
    """",
    IFERROR(TEXTJOIN(CHAR(10),TRUE,FILTER('SUMMARY DATA'!F:F,'SUMMARY DATA'!$D:$D=$C718,'SUMMARY DATA'!$B:$B=""RWS"")),"""")
  )
)"),"")</f>
      </c>
      <c r="G718" s="17" t="str">
        <f>IFERROR(__xludf.DUMMYFUNCTION("IFERROR(
  TEXTJOIN(CHAR(10),TRUE,FILTER('SUMMARY DATA'!G:G,'SUMMARY DATA'!$A:$A=$A718,'SUMMARY DATA'!$C:$C=$B718,'SUMMARY DATA'!$B:$B=""RWS"")),
  IF(
    OR(
      ISNUMBER(SEARCH(""CDM CASH DEPOSIT"",$C718)),
      ISNUMBER(SEARCH(""CASH DEPOSIT"",$C71"&amp;"8)),
      COUNTIFS('SUMMARY DATA'!$D:$D,$C718,'SUMMARY DATA'!$B:$B,""RWS"")&lt;&gt;1
    ),
    """",
    IFERROR(TEXTJOIN(CHAR(10),TRUE,FILTER('SUMMARY DATA'!G:G,'SUMMARY DATA'!$D:$D=$C718,'SUMMARY DATA'!$B:$B=""RWS"")),"""")
  )
)"),"")</f>
      </c>
      <c r="H718" s="18" t="str">
        <f>IFERROR(__xludf.DUMMYFUNCTION("IFERROR(
  TEXTJOIN(CHAR(10),TRUE,FILTER('SUMMARY DATA'!H:H,'SUMMARY DATA'!$A:$A=$A718,'SUMMARY DATA'!$C:$C=$B718,'SUMMARY DATA'!$B:$B=""RWS"",'SUMMARY DATA'!$H:$H=$D718)),
  IF(
    OR(
      ISNUMBER(SEARCH(""CDM CASH DEPOSIT"",$C718)),
      ISNUMBER(S"&amp;"EARCH(""CASH DEPOSIT"",$C718))
    ),
    """",
    IFERROR(TEXTJOIN(CHAR(10),TRUE,FILTER('SUMMARY DATA'!H:H,'SUMMARY DATA'!$D:$D=$C718,'SUMMARY DATA'!$B:$B=""RWS"",'SUMMARY DATA'!$H:$H=$D718)),"""")
  )
)"),"")</f>
      </c>
      <c r="I718" s="18" t="str">
        <f>IFERROR(__xludf.DUMMYFUNCTION("IF(H718="""","""",
SUM(ARRAYFORMULA(VALUE(SPLIT(H718,CHAR(10)))))
)"),"")</f>
      </c>
      <c r="J718" s="17" t="str">
        <f>IFERROR(__xludf.DUMMYFUNCTION("IFERROR(
  TEXTJOIN(CHAR(10),TRUE,FILTER('SUMMARY DATA'!I:I,'SUMMARY DATA'!$A:$A=$A718,'SUMMARY DATA'!$C:$C=$B718,'SUMMARY DATA'!$B:$B=""RWS"")),
  IF(
    OR(
      ISNUMBER(SEARCH(""CDM CASH DEPOSIT"",$C718)),
      ISNUMBER(SEARCH(""CASH DEPOSIT"",$C71"&amp;"8)),
      COUNTIFS('SUMMARY DATA'!$D:$D,$C718,'SUMMARY DATA'!$B:$B,""RWS"")&lt;&gt;1
    ),
    """",
    IFERROR(TEXTJOIN(CHAR(10),TRUE,FILTER('SUMMARY DATA'!I:I,'SUMMARY DATA'!$D:$D=$C718,'SUMMARY DATA'!$B:$B=""RWS"")),"""")
  )
)"),"")</f>
      </c>
      <c r="K718" s="2"/>
      <c r="L718" s="2"/>
      <c r="M718" s="2"/>
      <c r="N718" s="2"/>
      <c r="O718" s="2"/>
      <c r="P718" s="2"/>
      <c r="Q718" s="2"/>
      <c r="R718" s="2"/>
      <c r="S718" s="2"/>
      <c r="T718" s="2"/>
      <c r="U718" s="2"/>
      <c r="V718" s="2"/>
      <c r="W718" s="2"/>
      <c r="X718" s="2"/>
      <c r="Y718" s="2"/>
      <c r="Z718" s="2"/>
      <c r="AA718" s="2"/>
      <c r="AB718" s="2"/>
    </row>
    <row r="719" spans="1:28" customHeight="true">
      <c r="A719" s="2" t="s">
        <v>1152</v>
      </c>
      <c r="B719" s="15">
        <v>46029</v>
      </c>
      <c r="C719" s="2" t="s">
        <v>1153</v>
      </c>
      <c r="D719" s="3">
        <v>106</v>
      </c>
      <c r="E719" s="16" t="s">
        <v>2444</v>
      </c>
      <c r="F719" s="17" t="s">
        <v>2643</v>
      </c>
      <c r="G719" s="17" t="s">
        <v>2393</v>
      </c>
      <c r="H719" s="18">
        <v>106</v>
      </c>
      <c r="I719" s="18">
        <v>106</v>
      </c>
      <c r="J719" s="17" t="s">
        <v>2394</v>
      </c>
      <c r="K719" s="2" t="s">
        <v>2395</v>
      </c>
      <c r="L719" s="2"/>
      <c r="M719" s="2"/>
      <c r="N719" s="2"/>
      <c r="O719" s="2"/>
      <c r="P719" s="2"/>
      <c r="Q719" s="2"/>
      <c r="R719" s="2"/>
      <c r="S719" s="2"/>
      <c r="T719" s="2"/>
      <c r="U719" s="2"/>
      <c r="V719" s="2"/>
      <c r="W719" s="2"/>
      <c r="X719" s="2"/>
      <c r="Y719" s="2"/>
      <c r="Z719" s="2"/>
      <c r="AA719" s="2"/>
      <c r="AB719" s="2"/>
    </row>
    <row r="720" spans="1:28" customHeight="true">
      <c r="A720" s="2" t="s">
        <v>1154</v>
      </c>
      <c r="B720" s="15">
        <v>46029</v>
      </c>
      <c r="C720" s="2" t="s">
        <v>1155</v>
      </c>
      <c r="D720" s="3">
        <v>85</v>
      </c>
      <c r="E720" s="16" t="s">
        <v>2594</v>
      </c>
      <c r="F720" s="17" t="s">
        <v>2644</v>
      </c>
      <c r="G720" s="17" t="s">
        <v>2393</v>
      </c>
      <c r="H720" s="18">
        <v>85</v>
      </c>
      <c r="I720" s="18">
        <v>85</v>
      </c>
      <c r="J720" s="17" t="s">
        <v>2394</v>
      </c>
      <c r="K720" s="2" t="s">
        <v>2395</v>
      </c>
      <c r="L720" s="2"/>
      <c r="M720" s="2"/>
      <c r="N720" s="2"/>
      <c r="O720" s="2"/>
      <c r="P720" s="2"/>
      <c r="Q720" s="2"/>
      <c r="R720" s="2"/>
      <c r="S720" s="2"/>
      <c r="T720" s="2"/>
      <c r="U720" s="2"/>
      <c r="V720" s="2"/>
      <c r="W720" s="2"/>
      <c r="X720" s="2"/>
      <c r="Y720" s="2"/>
      <c r="Z720" s="2"/>
      <c r="AA720" s="2"/>
      <c r="AB720" s="2"/>
    </row>
    <row r="721" spans="1:28" customHeight="true">
      <c r="A721" s="2" t="s">
        <v>1156</v>
      </c>
      <c r="B721" s="15">
        <v>46029</v>
      </c>
      <c r="C721" s="2" t="s">
        <v>1157</v>
      </c>
      <c r="D721" s="3">
        <v>47.88</v>
      </c>
      <c r="E721" s="16" t="str">
        <f>IFERROR(__xludf.DUMMYFUNCTION("IFERROR(
  TEXTJOIN(CHAR(10),TRUE,FILTER('SUMMARY DATA'!E:E,'SUMMARY DATA'!$A:$A=$A721,'SUMMARY DATA'!$C:$C=$B721,'SUMMARY DATA'!$B:$B=""RWS"")),
  IF(
    OR(
      ISNUMBER(SEARCH(""CDM CASH DEPOSIT"",$C721)),
      ISNUMBER(SEARCH(""CASH DEPOSIT"",$C72"&amp;"1)),
      COUNTIFS('SUMMARY DATA'!$D:$D,$C721,'SUMMARY DATA'!$B:$B,""RWS"")&lt;&gt;1
    ),
    """",
    IFERROR(TEXTJOIN(CHAR(10),TRUE,FILTER('SUMMARY DATA'!E:E,'SUMMARY DATA'!$D:$D=$C721,'SUMMARY DATA'!$B:$B=""RWS"")),"""")
  )
)"),"")</f>
      </c>
      <c r="F721" s="17" t="str">
        <f>IFERROR(__xludf.DUMMYFUNCTION("IFERROR(
  TEXTJOIN(CHAR(10),TRUE,FILTER('SUMMARY DATA'!F:F,'SUMMARY DATA'!$A:$A=$A721,'SUMMARY DATA'!$C:$C=$B721,'SUMMARY DATA'!$B:$B=""RWS"")),
  IF(
    OR(
      ISNUMBER(SEARCH(""CDM CASH DEPOSIT"",$C721)),
      ISNUMBER(SEARCH(""CASH DEPOSIT"",$C72"&amp;"1)),
      COUNTIFS('SUMMARY DATA'!$D:$D,$C721,'SUMMARY DATA'!$B:$B,""RWS"")&lt;&gt;1
    ),
    """",
    IFERROR(TEXTJOIN(CHAR(10),TRUE,FILTER('SUMMARY DATA'!F:F,'SUMMARY DATA'!$D:$D=$C721,'SUMMARY DATA'!$B:$B=""RWS"")),"""")
  )
)"),"")</f>
      </c>
      <c r="G721" s="17" t="str">
        <f>IFERROR(__xludf.DUMMYFUNCTION("IFERROR(
  TEXTJOIN(CHAR(10),TRUE,FILTER('SUMMARY DATA'!G:G,'SUMMARY DATA'!$A:$A=$A721,'SUMMARY DATA'!$C:$C=$B721,'SUMMARY DATA'!$B:$B=""RWS"")),
  IF(
    OR(
      ISNUMBER(SEARCH(""CDM CASH DEPOSIT"",$C721)),
      ISNUMBER(SEARCH(""CASH DEPOSIT"",$C72"&amp;"1)),
      COUNTIFS('SUMMARY DATA'!$D:$D,$C721,'SUMMARY DATA'!$B:$B,""RWS"")&lt;&gt;1
    ),
    """",
    IFERROR(TEXTJOIN(CHAR(10),TRUE,FILTER('SUMMARY DATA'!G:G,'SUMMARY DATA'!$D:$D=$C721,'SUMMARY DATA'!$B:$B=""RWS"")),"""")
  )
)"),"")</f>
      </c>
      <c r="H721" s="18" t="str">
        <f>IFERROR(__xludf.DUMMYFUNCTION("IFERROR(
  TEXTJOIN(CHAR(10),TRUE,FILTER('SUMMARY DATA'!H:H,'SUMMARY DATA'!$A:$A=$A721,'SUMMARY DATA'!$C:$C=$B721,'SUMMARY DATA'!$B:$B=""RWS"",'SUMMARY DATA'!$H:$H=$D721)),
  IF(
    OR(
      ISNUMBER(SEARCH(""CDM CASH DEPOSIT"",$C721)),
      ISNUMBER(S"&amp;"EARCH(""CASH DEPOSIT"",$C721))
    ),
    """",
    IFERROR(TEXTJOIN(CHAR(10),TRUE,FILTER('SUMMARY DATA'!H:H,'SUMMARY DATA'!$D:$D=$C721,'SUMMARY DATA'!$B:$B=""RWS"",'SUMMARY DATA'!$H:$H=$D721)),"""")
  )
)"),"")</f>
      </c>
      <c r="I721" s="18" t="str">
        <f>IFERROR(__xludf.DUMMYFUNCTION("IF(H721="""","""",
SUM(ARRAYFORMULA(VALUE(SPLIT(H721,CHAR(10)))))
)"),"")</f>
      </c>
      <c r="J721" s="17" t="str">
        <f>IFERROR(__xludf.DUMMYFUNCTION("IFERROR(
  TEXTJOIN(CHAR(10),TRUE,FILTER('SUMMARY DATA'!I:I,'SUMMARY DATA'!$A:$A=$A721,'SUMMARY DATA'!$C:$C=$B721,'SUMMARY DATA'!$B:$B=""RWS"")),
  IF(
    OR(
      ISNUMBER(SEARCH(""CDM CASH DEPOSIT"",$C721)),
      ISNUMBER(SEARCH(""CASH DEPOSIT"",$C72"&amp;"1)),
      COUNTIFS('SUMMARY DATA'!$D:$D,$C721,'SUMMARY DATA'!$B:$B,""RWS"")&lt;&gt;1
    ),
    """",
    IFERROR(TEXTJOIN(CHAR(10),TRUE,FILTER('SUMMARY DATA'!I:I,'SUMMARY DATA'!$D:$D=$C721,'SUMMARY DATA'!$B:$B=""RWS"")),"""")
  )
)"),"")</f>
      </c>
      <c r="K721" s="2"/>
      <c r="L721" s="2"/>
      <c r="M721" s="2"/>
      <c r="N721" s="2"/>
      <c r="O721" s="2"/>
      <c r="P721" s="2"/>
      <c r="Q721" s="2"/>
      <c r="R721" s="2"/>
      <c r="S721" s="2"/>
      <c r="T721" s="2"/>
      <c r="U721" s="2"/>
      <c r="V721" s="2"/>
      <c r="W721" s="2"/>
      <c r="X721" s="2"/>
      <c r="Y721" s="2"/>
      <c r="Z721" s="2"/>
      <c r="AA721" s="2"/>
      <c r="AB721" s="2"/>
    </row>
    <row r="722" spans="1:28" customHeight="true">
      <c r="A722" s="2"/>
      <c r="B722" s="15">
        <v>46029</v>
      </c>
      <c r="C722" s="2" t="s">
        <v>1094</v>
      </c>
      <c r="D722" s="3">
        <v>2</v>
      </c>
      <c r="E722" s="16" t="str">
        <f>IFERROR(__xludf.DUMMYFUNCTION("IFERROR(
  TEXTJOIN(CHAR(10),TRUE,FILTER('SUMMARY DATA'!E:E,'SUMMARY DATA'!$A:$A=$A722,'SUMMARY DATA'!$C:$C=$B722,'SUMMARY DATA'!$B:$B=""RWS"")),
  IF(
    OR(
      ISNUMBER(SEARCH(""CDM CASH DEPOSIT"",$C722)),
      ISNUMBER(SEARCH(""CASH DEPOSIT"",$C72"&amp;"2)),
      COUNTIFS('SUMMARY DATA'!$D:$D,$C722,'SUMMARY DATA'!$B:$B,""RWS"")&lt;&gt;1
    ),
    """",
    IFERROR(TEXTJOIN(CHAR(10),TRUE,FILTER('SUMMARY DATA'!E:E,'SUMMARY DATA'!$D:$D=$C722,'SUMMARY DATA'!$B:$B=""RWS"")),"""")
  )
)"),"")</f>
      </c>
      <c r="F722" s="17" t="str">
        <f>IFERROR(__xludf.DUMMYFUNCTION("IFERROR(
  TEXTJOIN(CHAR(10),TRUE,FILTER('SUMMARY DATA'!F:F,'SUMMARY DATA'!$A:$A=$A722,'SUMMARY DATA'!$C:$C=$B722,'SUMMARY DATA'!$B:$B=""RWS"")),
  IF(
    OR(
      ISNUMBER(SEARCH(""CDM CASH DEPOSIT"",$C722)),
      ISNUMBER(SEARCH(""CASH DEPOSIT"",$C72"&amp;"2)),
      COUNTIFS('SUMMARY DATA'!$D:$D,$C722,'SUMMARY DATA'!$B:$B,""RWS"")&lt;&gt;1
    ),
    """",
    IFERROR(TEXTJOIN(CHAR(10),TRUE,FILTER('SUMMARY DATA'!F:F,'SUMMARY DATA'!$D:$D=$C722,'SUMMARY DATA'!$B:$B=""RWS"")),"""")
  )
)"),"")</f>
      </c>
      <c r="G722" s="17" t="str">
        <f>IFERROR(__xludf.DUMMYFUNCTION("IFERROR(
  TEXTJOIN(CHAR(10),TRUE,FILTER('SUMMARY DATA'!G:G,'SUMMARY DATA'!$A:$A=$A722,'SUMMARY DATA'!$C:$C=$B722,'SUMMARY DATA'!$B:$B=""RWS"")),
  IF(
    OR(
      ISNUMBER(SEARCH(""CDM CASH DEPOSIT"",$C722)),
      ISNUMBER(SEARCH(""CASH DEPOSIT"",$C72"&amp;"2)),
      COUNTIFS('SUMMARY DATA'!$D:$D,$C722,'SUMMARY DATA'!$B:$B,""RWS"")&lt;&gt;1
    ),
    """",
    IFERROR(TEXTJOIN(CHAR(10),TRUE,FILTER('SUMMARY DATA'!G:G,'SUMMARY DATA'!$D:$D=$C722,'SUMMARY DATA'!$B:$B=""RWS"")),"""")
  )
)"),"")</f>
      </c>
      <c r="H722" s="18" t="str">
        <f>IFERROR(__xludf.DUMMYFUNCTION("IFERROR(
  TEXTJOIN(CHAR(10),TRUE,FILTER('SUMMARY DATA'!H:H,'SUMMARY DATA'!$A:$A=$A722,'SUMMARY DATA'!$C:$C=$B722,'SUMMARY DATA'!$B:$B=""RWS"",'SUMMARY DATA'!$H:$H=$D722)),
  IF(
    OR(
      ISNUMBER(SEARCH(""CDM CASH DEPOSIT"",$C722)),
      ISNUMBER(S"&amp;"EARCH(""CASH DEPOSIT"",$C722))
    ),
    """",
    IFERROR(TEXTJOIN(CHAR(10),TRUE,FILTER('SUMMARY DATA'!H:H,'SUMMARY DATA'!$D:$D=$C722,'SUMMARY DATA'!$B:$B=""RWS"",'SUMMARY DATA'!$H:$H=$D722)),"""")
  )
)"),"")</f>
      </c>
      <c r="I722" s="18" t="str">
        <f>IFERROR(__xludf.DUMMYFUNCTION("IF(H722="""","""",
SUM(ARRAYFORMULA(VALUE(SPLIT(H722,CHAR(10)))))
)"),"")</f>
      </c>
      <c r="J722" s="17" t="str">
        <f>IFERROR(__xludf.DUMMYFUNCTION("IFERROR(
  TEXTJOIN(CHAR(10),TRUE,FILTER('SUMMARY DATA'!I:I,'SUMMARY DATA'!$A:$A=$A722,'SUMMARY DATA'!$C:$C=$B722,'SUMMARY DATA'!$B:$B=""RWS"")),
  IF(
    OR(
      ISNUMBER(SEARCH(""CDM CASH DEPOSIT"",$C722)),
      ISNUMBER(SEARCH(""CASH DEPOSIT"",$C72"&amp;"2)),
      COUNTIFS('SUMMARY DATA'!$D:$D,$C722,'SUMMARY DATA'!$B:$B,""RWS"")&lt;&gt;1
    ),
    """",
    IFERROR(TEXTJOIN(CHAR(10),TRUE,FILTER('SUMMARY DATA'!I:I,'SUMMARY DATA'!$D:$D=$C722,'SUMMARY DATA'!$B:$B=""RWS"")),"""")
  )
)"),"")</f>
      </c>
      <c r="K722" s="2"/>
      <c r="L722" s="2"/>
      <c r="M722" s="2"/>
      <c r="N722" s="2"/>
      <c r="O722" s="2"/>
      <c r="P722" s="2"/>
      <c r="Q722" s="2"/>
      <c r="R722" s="2"/>
      <c r="S722" s="2"/>
      <c r="T722" s="2"/>
      <c r="U722" s="2"/>
      <c r="V722" s="2"/>
      <c r="W722" s="2"/>
      <c r="X722" s="2"/>
      <c r="Y722" s="2"/>
      <c r="Z722" s="2"/>
      <c r="AA722" s="2"/>
      <c r="AB722" s="2"/>
    </row>
    <row r="723" spans="1:28" customHeight="true">
      <c r="A723" s="2" t="s">
        <v>1158</v>
      </c>
      <c r="B723" s="15">
        <v>46029</v>
      </c>
      <c r="C723" s="2" t="s">
        <v>1159</v>
      </c>
      <c r="D723" s="3">
        <v>12.64</v>
      </c>
      <c r="E723" s="16" t="s">
        <v>2645</v>
      </c>
      <c r="F723" s="17" t="s">
        <v>2646</v>
      </c>
      <c r="G723" s="17" t="s">
        <v>2393</v>
      </c>
      <c r="H723" s="18">
        <v>12.64</v>
      </c>
      <c r="I723" s="18">
        <v>12.64</v>
      </c>
      <c r="J723" s="17" t="s">
        <v>2394</v>
      </c>
      <c r="K723" s="2" t="s">
        <v>2395</v>
      </c>
      <c r="L723" s="2"/>
      <c r="M723" s="2"/>
      <c r="N723" s="2"/>
      <c r="O723" s="2"/>
      <c r="P723" s="2"/>
      <c r="Q723" s="2"/>
      <c r="R723" s="2"/>
      <c r="S723" s="2"/>
      <c r="T723" s="2"/>
      <c r="U723" s="2"/>
      <c r="V723" s="2"/>
      <c r="W723" s="2"/>
      <c r="X723" s="2"/>
      <c r="Y723" s="2"/>
      <c r="Z723" s="2"/>
      <c r="AA723" s="2"/>
      <c r="AB723" s="2"/>
    </row>
    <row r="724" spans="1:28" customHeight="true">
      <c r="A724" s="2"/>
      <c r="B724" s="15">
        <v>46029</v>
      </c>
      <c r="C724" s="2" t="s">
        <v>1160</v>
      </c>
      <c r="D724" s="3">
        <v>0.5</v>
      </c>
      <c r="E724" s="16" t="str">
        <f>IFERROR(__xludf.DUMMYFUNCTION("IFERROR(
  TEXTJOIN(CHAR(10),TRUE,FILTER('SUMMARY DATA'!E:E,'SUMMARY DATA'!$A:$A=$A724,'SUMMARY DATA'!$C:$C=$B724,'SUMMARY DATA'!$B:$B=""RWS"")),
  IF(
    OR(
      ISNUMBER(SEARCH(""CDM CASH DEPOSIT"",$C724)),
      ISNUMBER(SEARCH(""CASH DEPOSIT"",$C72"&amp;"4)),
      COUNTIFS('SUMMARY DATA'!$D:$D,$C724,'SUMMARY DATA'!$B:$B,""RWS"")&lt;&gt;1
    ),
    """",
    IFERROR(TEXTJOIN(CHAR(10),TRUE,FILTER('SUMMARY DATA'!E:E,'SUMMARY DATA'!$D:$D=$C724,'SUMMARY DATA'!$B:$B=""RWS"")),"""")
  )
)"),"")</f>
      </c>
      <c r="F724" s="17" t="str">
        <f>IFERROR(__xludf.DUMMYFUNCTION("IFERROR(
  TEXTJOIN(CHAR(10),TRUE,FILTER('SUMMARY DATA'!F:F,'SUMMARY DATA'!$A:$A=$A724,'SUMMARY DATA'!$C:$C=$B724,'SUMMARY DATA'!$B:$B=""RWS"")),
  IF(
    OR(
      ISNUMBER(SEARCH(""CDM CASH DEPOSIT"",$C724)),
      ISNUMBER(SEARCH(""CASH DEPOSIT"",$C72"&amp;"4)),
      COUNTIFS('SUMMARY DATA'!$D:$D,$C724,'SUMMARY DATA'!$B:$B,""RWS"")&lt;&gt;1
    ),
    """",
    IFERROR(TEXTJOIN(CHAR(10),TRUE,FILTER('SUMMARY DATA'!F:F,'SUMMARY DATA'!$D:$D=$C724,'SUMMARY DATA'!$B:$B=""RWS"")),"""")
  )
)"),"")</f>
      </c>
      <c r="G724" s="17" t="str">
        <f>IFERROR(__xludf.DUMMYFUNCTION("IFERROR(
  TEXTJOIN(CHAR(10),TRUE,FILTER('SUMMARY DATA'!G:G,'SUMMARY DATA'!$A:$A=$A724,'SUMMARY DATA'!$C:$C=$B724,'SUMMARY DATA'!$B:$B=""RWS"")),
  IF(
    OR(
      ISNUMBER(SEARCH(""CDM CASH DEPOSIT"",$C724)),
      ISNUMBER(SEARCH(""CASH DEPOSIT"",$C72"&amp;"4)),
      COUNTIFS('SUMMARY DATA'!$D:$D,$C724,'SUMMARY DATA'!$B:$B,""RWS"")&lt;&gt;1
    ),
    """",
    IFERROR(TEXTJOIN(CHAR(10),TRUE,FILTER('SUMMARY DATA'!G:G,'SUMMARY DATA'!$D:$D=$C724,'SUMMARY DATA'!$B:$B=""RWS"")),"""")
  )
)"),"")</f>
      </c>
      <c r="H724" s="18" t="str">
        <f>IFERROR(__xludf.DUMMYFUNCTION("IFERROR(
  TEXTJOIN(CHAR(10),TRUE,FILTER('SUMMARY DATA'!H:H,'SUMMARY DATA'!$A:$A=$A724,'SUMMARY DATA'!$C:$C=$B724,'SUMMARY DATA'!$B:$B=""RWS"",'SUMMARY DATA'!$H:$H=$D724)),
  IF(
    OR(
      ISNUMBER(SEARCH(""CDM CASH DEPOSIT"",$C724)),
      ISNUMBER(S"&amp;"EARCH(""CASH DEPOSIT"",$C724))
    ),
    """",
    IFERROR(TEXTJOIN(CHAR(10),TRUE,FILTER('SUMMARY DATA'!H:H,'SUMMARY DATA'!$D:$D=$C724,'SUMMARY DATA'!$B:$B=""RWS"",'SUMMARY DATA'!$H:$H=$D724)),"""")
  )
)"),"")</f>
      </c>
      <c r="I724" s="18" t="str">
        <f>IFERROR(__xludf.DUMMYFUNCTION("IF(H724="""","""",
SUM(ARRAYFORMULA(VALUE(SPLIT(H724,CHAR(10)))))
)"),"")</f>
      </c>
      <c r="J724" s="17" t="str">
        <f>IFERROR(__xludf.DUMMYFUNCTION("IFERROR(
  TEXTJOIN(CHAR(10),TRUE,FILTER('SUMMARY DATA'!I:I,'SUMMARY DATA'!$A:$A=$A724,'SUMMARY DATA'!$C:$C=$B724,'SUMMARY DATA'!$B:$B=""RWS"")),
  IF(
    OR(
      ISNUMBER(SEARCH(""CDM CASH DEPOSIT"",$C724)),
      ISNUMBER(SEARCH(""CASH DEPOSIT"",$C72"&amp;"4)),
      COUNTIFS('SUMMARY DATA'!$D:$D,$C724,'SUMMARY DATA'!$B:$B,""RWS"")&lt;&gt;1
    ),
    """",
    IFERROR(TEXTJOIN(CHAR(10),TRUE,FILTER('SUMMARY DATA'!I:I,'SUMMARY DATA'!$D:$D=$C724,'SUMMARY DATA'!$B:$B=""RWS"")),"""")
  )
)"),"")</f>
      </c>
      <c r="K724" s="2"/>
      <c r="L724" s="2"/>
      <c r="M724" s="2"/>
      <c r="N724" s="2"/>
      <c r="O724" s="2"/>
      <c r="P724" s="2"/>
      <c r="Q724" s="2"/>
      <c r="R724" s="2"/>
      <c r="S724" s="2"/>
      <c r="T724" s="2"/>
      <c r="U724" s="2"/>
      <c r="V724" s="2"/>
      <c r="W724" s="2"/>
      <c r="X724" s="2"/>
      <c r="Y724" s="2"/>
      <c r="Z724" s="2"/>
      <c r="AA724" s="2"/>
      <c r="AB724" s="2"/>
    </row>
    <row r="725" spans="1:28" customHeight="true">
      <c r="A725" s="2" t="s">
        <v>353</v>
      </c>
      <c r="B725" s="15">
        <v>46029</v>
      </c>
      <c r="C725" s="2" t="s">
        <v>349</v>
      </c>
      <c r="D725" s="3">
        <v>177.37</v>
      </c>
      <c r="E725" s="16" t="str">
        <f>IFERROR(__xludf.DUMMYFUNCTION("IFERROR(
  TEXTJOIN(CHAR(10),TRUE,FILTER('SUMMARY DATA'!E:E,'SUMMARY DATA'!$A:$A=$A725,'SUMMARY DATA'!$C:$C=$B725,'SUMMARY DATA'!$B:$B=""RWS"")),
  IF(
    OR(
      ISNUMBER(SEARCH(""CDM CASH DEPOSIT"",$C725)),
      ISNUMBER(SEARCH(""CASH DEPOSIT"",$C72"&amp;"5)),
      COUNTIFS('SUMMARY DATA'!$D:$D,$C725,'SUMMARY DATA'!$B:$B,""RWS"")&lt;&gt;1
    ),
    """",
    IFERROR(TEXTJOIN(CHAR(10),TRUE,FILTER('SUMMARY DATA'!E:E,'SUMMARY DATA'!$D:$D=$C725,'SUMMARY DATA'!$B:$B=""RWS"")),"""")
  )
)"),"")</f>
      </c>
      <c r="F725" s="17" t="str">
        <f>IFERROR(__xludf.DUMMYFUNCTION("IFERROR(
  TEXTJOIN(CHAR(10),TRUE,FILTER('SUMMARY DATA'!F:F,'SUMMARY DATA'!$A:$A=$A725,'SUMMARY DATA'!$C:$C=$B725,'SUMMARY DATA'!$B:$B=""RWS"")),
  IF(
    OR(
      ISNUMBER(SEARCH(""CDM CASH DEPOSIT"",$C725)),
      ISNUMBER(SEARCH(""CASH DEPOSIT"",$C72"&amp;"5)),
      COUNTIFS('SUMMARY DATA'!$D:$D,$C725,'SUMMARY DATA'!$B:$B,""RWS"")&lt;&gt;1
    ),
    """",
    IFERROR(TEXTJOIN(CHAR(10),TRUE,FILTER('SUMMARY DATA'!F:F,'SUMMARY DATA'!$D:$D=$C725,'SUMMARY DATA'!$B:$B=""RWS"")),"""")
  )
)"),"")</f>
      </c>
      <c r="G725" s="17" t="str">
        <f>IFERROR(__xludf.DUMMYFUNCTION("IFERROR(
  TEXTJOIN(CHAR(10),TRUE,FILTER('SUMMARY DATA'!G:G,'SUMMARY DATA'!$A:$A=$A725,'SUMMARY DATA'!$C:$C=$B725,'SUMMARY DATA'!$B:$B=""RWS"")),
  IF(
    OR(
      ISNUMBER(SEARCH(""CDM CASH DEPOSIT"",$C725)),
      ISNUMBER(SEARCH(""CASH DEPOSIT"",$C72"&amp;"5)),
      COUNTIFS('SUMMARY DATA'!$D:$D,$C725,'SUMMARY DATA'!$B:$B,""RWS"")&lt;&gt;1
    ),
    """",
    IFERROR(TEXTJOIN(CHAR(10),TRUE,FILTER('SUMMARY DATA'!G:G,'SUMMARY DATA'!$D:$D=$C725,'SUMMARY DATA'!$B:$B=""RWS"")),"""")
  )
)"),"")</f>
      </c>
      <c r="H725" s="18" t="str">
        <f>IFERROR(__xludf.DUMMYFUNCTION("IFERROR(
  TEXTJOIN(CHAR(10),TRUE,FILTER('SUMMARY DATA'!H:H,'SUMMARY DATA'!$A:$A=$A725,'SUMMARY DATA'!$C:$C=$B725,'SUMMARY DATA'!$B:$B=""RWS"",'SUMMARY DATA'!$H:$H=$D725)),
  IF(
    OR(
      ISNUMBER(SEARCH(""CDM CASH DEPOSIT"",$C725)),
      ISNUMBER(S"&amp;"EARCH(""CASH DEPOSIT"",$C725))
    ),
    """",
    IFERROR(TEXTJOIN(CHAR(10),TRUE,FILTER('SUMMARY DATA'!H:H,'SUMMARY DATA'!$D:$D=$C725,'SUMMARY DATA'!$B:$B=""RWS"",'SUMMARY DATA'!$H:$H=$D725)),"""")
  )
)"),"")</f>
      </c>
      <c r="I725" s="18" t="str">
        <f>IFERROR(__xludf.DUMMYFUNCTION("IF(H725="""","""",
SUM(ARRAYFORMULA(VALUE(SPLIT(H725,CHAR(10)))))
)"),"")</f>
      </c>
      <c r="J725" s="17" t="str">
        <f>IFERROR(__xludf.DUMMYFUNCTION("IFERROR(
  TEXTJOIN(CHAR(10),TRUE,FILTER('SUMMARY DATA'!I:I,'SUMMARY DATA'!$A:$A=$A725,'SUMMARY DATA'!$C:$C=$B725,'SUMMARY DATA'!$B:$B=""RWS"")),
  IF(
    OR(
      ISNUMBER(SEARCH(""CDM CASH DEPOSIT"",$C725)),
      ISNUMBER(SEARCH(""CASH DEPOSIT"",$C72"&amp;"5)),
      COUNTIFS('SUMMARY DATA'!$D:$D,$C725,'SUMMARY DATA'!$B:$B,""RWS"")&lt;&gt;1
    ),
    """",
    IFERROR(TEXTJOIN(CHAR(10),TRUE,FILTER('SUMMARY DATA'!I:I,'SUMMARY DATA'!$D:$D=$C725,'SUMMARY DATA'!$B:$B=""RWS"")),"""")
  )
)"),"")</f>
      </c>
      <c r="K725" s="2"/>
      <c r="L725" s="2"/>
      <c r="M725" s="2"/>
      <c r="N725" s="2"/>
      <c r="O725" s="2"/>
      <c r="P725" s="2"/>
      <c r="Q725" s="2"/>
      <c r="R725" s="2"/>
      <c r="S725" s="2"/>
      <c r="T725" s="2"/>
      <c r="U725" s="2"/>
      <c r="V725" s="2"/>
      <c r="W725" s="2"/>
      <c r="X725" s="2"/>
      <c r="Y725" s="2"/>
      <c r="Z725" s="2"/>
      <c r="AA725" s="2"/>
      <c r="AB725" s="2"/>
    </row>
    <row r="726" spans="1:28" customHeight="true">
      <c r="A726" s="2" t="s">
        <v>926</v>
      </c>
      <c r="B726" s="15">
        <v>46028</v>
      </c>
      <c r="C726" s="2" t="s">
        <v>1161</v>
      </c>
      <c r="D726" s="3">
        <v>10</v>
      </c>
      <c r="E726" s="16" t="str">
        <f>IFERROR(__xludf.DUMMYFUNCTION("IFERROR(
  TEXTJOIN(CHAR(10),TRUE,FILTER('SUMMARY DATA'!E:E,'SUMMARY DATA'!$A:$A=$A726,'SUMMARY DATA'!$C:$C=$B726,'SUMMARY DATA'!$B:$B=""RWS"")),
  IF(
    OR(
      ISNUMBER(SEARCH(""CDM CASH DEPOSIT"",$C726)),
      ISNUMBER(SEARCH(""CASH DEPOSIT"",$C72"&amp;"6)),
      COUNTIFS('SUMMARY DATA'!$D:$D,$C726,'SUMMARY DATA'!$B:$B,""RWS"")&lt;&gt;1
    ),
    """",
    IFERROR(TEXTJOIN(CHAR(10),TRUE,FILTER('SUMMARY DATA'!E:E,'SUMMARY DATA'!$D:$D=$C726,'SUMMARY DATA'!$B:$B=""RWS"")),"""")
  )
)"),"")</f>
      </c>
      <c r="F726" s="17" t="str">
        <f>IFERROR(__xludf.DUMMYFUNCTION("IFERROR(
  TEXTJOIN(CHAR(10),TRUE,FILTER('SUMMARY DATA'!F:F,'SUMMARY DATA'!$A:$A=$A726,'SUMMARY DATA'!$C:$C=$B726,'SUMMARY DATA'!$B:$B=""RWS"")),
  IF(
    OR(
      ISNUMBER(SEARCH(""CDM CASH DEPOSIT"",$C726)),
      ISNUMBER(SEARCH(""CASH DEPOSIT"",$C72"&amp;"6)),
      COUNTIFS('SUMMARY DATA'!$D:$D,$C726,'SUMMARY DATA'!$B:$B,""RWS"")&lt;&gt;1
    ),
    """",
    IFERROR(TEXTJOIN(CHAR(10),TRUE,FILTER('SUMMARY DATA'!F:F,'SUMMARY DATA'!$D:$D=$C726,'SUMMARY DATA'!$B:$B=""RWS"")),"""")
  )
)"),"")</f>
      </c>
      <c r="G726" s="17" t="str">
        <f>IFERROR(__xludf.DUMMYFUNCTION("IFERROR(
  TEXTJOIN(CHAR(10),TRUE,FILTER('SUMMARY DATA'!G:G,'SUMMARY DATA'!$A:$A=$A726,'SUMMARY DATA'!$C:$C=$B726,'SUMMARY DATA'!$B:$B=""RWS"")),
  IF(
    OR(
      ISNUMBER(SEARCH(""CDM CASH DEPOSIT"",$C726)),
      ISNUMBER(SEARCH(""CASH DEPOSIT"",$C72"&amp;"6)),
      COUNTIFS('SUMMARY DATA'!$D:$D,$C726,'SUMMARY DATA'!$B:$B,""RWS"")&lt;&gt;1
    ),
    """",
    IFERROR(TEXTJOIN(CHAR(10),TRUE,FILTER('SUMMARY DATA'!G:G,'SUMMARY DATA'!$D:$D=$C726,'SUMMARY DATA'!$B:$B=""RWS"")),"""")
  )
)"),"")</f>
      </c>
      <c r="H726" s="18" t="str">
        <f>IFERROR(__xludf.DUMMYFUNCTION("IFERROR(
  TEXTJOIN(CHAR(10),TRUE,FILTER('SUMMARY DATA'!H:H,'SUMMARY DATA'!$A:$A=$A726,'SUMMARY DATA'!$C:$C=$B726,'SUMMARY DATA'!$B:$B=""RWS"",'SUMMARY DATA'!$H:$H=$D726)),
  IF(
    OR(
      ISNUMBER(SEARCH(""CDM CASH DEPOSIT"",$C726)),
      ISNUMBER(S"&amp;"EARCH(""CASH DEPOSIT"",$C726))
    ),
    """",
    IFERROR(TEXTJOIN(CHAR(10),TRUE,FILTER('SUMMARY DATA'!H:H,'SUMMARY DATA'!$D:$D=$C726,'SUMMARY DATA'!$B:$B=""RWS"",'SUMMARY DATA'!$H:$H=$D726)),"""")
  )
)"),"")</f>
      </c>
      <c r="I726" s="18" t="str">
        <f>IFERROR(__xludf.DUMMYFUNCTION("IF(H726="""","""",
SUM(ARRAYFORMULA(VALUE(SPLIT(H726,CHAR(10)))))
)"),"")</f>
      </c>
      <c r="J726" s="17" t="str">
        <f>IFERROR(__xludf.DUMMYFUNCTION("IFERROR(
  TEXTJOIN(CHAR(10),TRUE,FILTER('SUMMARY DATA'!I:I,'SUMMARY DATA'!$A:$A=$A726,'SUMMARY DATA'!$C:$C=$B726,'SUMMARY DATA'!$B:$B=""RWS"")),
  IF(
    OR(
      ISNUMBER(SEARCH(""CDM CASH DEPOSIT"",$C726)),
      ISNUMBER(SEARCH(""CASH DEPOSIT"",$C72"&amp;"6)),
      COUNTIFS('SUMMARY DATA'!$D:$D,$C726,'SUMMARY DATA'!$B:$B,""RWS"")&lt;&gt;1
    ),
    """",
    IFERROR(TEXTJOIN(CHAR(10),TRUE,FILTER('SUMMARY DATA'!I:I,'SUMMARY DATA'!$D:$D=$C726,'SUMMARY DATA'!$B:$B=""RWS"")),"""")
  )
)"),"")</f>
      </c>
      <c r="K726" s="2"/>
      <c r="L726" s="2"/>
      <c r="M726" s="2"/>
      <c r="N726" s="2"/>
      <c r="O726" s="2"/>
      <c r="P726" s="2"/>
      <c r="Q726" s="2"/>
      <c r="R726" s="2"/>
      <c r="S726" s="2"/>
      <c r="T726" s="2"/>
      <c r="U726" s="2"/>
      <c r="V726" s="2"/>
      <c r="W726" s="2"/>
      <c r="X726" s="2"/>
      <c r="Y726" s="2"/>
      <c r="Z726" s="2"/>
      <c r="AA726" s="2"/>
      <c r="AB726" s="2"/>
    </row>
    <row r="727" spans="1:28" customHeight="true">
      <c r="A727" s="2" t="s">
        <v>1162</v>
      </c>
      <c r="B727" s="15">
        <v>46028</v>
      </c>
      <c r="C727" s="2" t="s">
        <v>1163</v>
      </c>
      <c r="D727" s="3">
        <v>532</v>
      </c>
      <c r="E727" s="16" t="s">
        <v>2647</v>
      </c>
      <c r="F727" s="17" t="s">
        <v>2648</v>
      </c>
      <c r="G727" s="17" t="s">
        <v>2393</v>
      </c>
      <c r="H727" s="18">
        <v>532</v>
      </c>
      <c r="I727" s="18">
        <v>532</v>
      </c>
      <c r="J727" s="17" t="s">
        <v>2394</v>
      </c>
      <c r="K727" s="2" t="s">
        <v>2395</v>
      </c>
      <c r="L727" s="2"/>
      <c r="M727" s="2"/>
      <c r="N727" s="2"/>
      <c r="O727" s="2"/>
      <c r="P727" s="2"/>
      <c r="Q727" s="2"/>
      <c r="R727" s="2"/>
      <c r="S727" s="2"/>
      <c r="T727" s="2"/>
      <c r="U727" s="2"/>
      <c r="V727" s="2"/>
      <c r="W727" s="2"/>
      <c r="X727" s="2"/>
      <c r="Y727" s="2"/>
      <c r="Z727" s="2"/>
      <c r="AA727" s="2"/>
      <c r="AB727" s="2"/>
    </row>
    <row r="728" spans="1:28" customHeight="true">
      <c r="A728" s="2" t="s">
        <v>1164</v>
      </c>
      <c r="B728" s="15">
        <v>46028</v>
      </c>
      <c r="C728" s="2" t="s">
        <v>1165</v>
      </c>
      <c r="D728" s="3">
        <v>226.36</v>
      </c>
      <c r="E728" s="16" t="str">
        <f>IFERROR(__xludf.DUMMYFUNCTION("IFERROR(
  TEXTJOIN(CHAR(10),TRUE,FILTER('SUMMARY DATA'!E:E,'SUMMARY DATA'!$A:$A=$A728,'SUMMARY DATA'!$C:$C=$B728,'SUMMARY DATA'!$B:$B=""RWS"")),
  IF(
    OR(
      ISNUMBER(SEARCH(""CDM CASH DEPOSIT"",$C728)),
      ISNUMBER(SEARCH(""CASH DEPOSIT"",$C72"&amp;"8)),
      COUNTIFS('SUMMARY DATA'!$D:$D,$C728,'SUMMARY DATA'!$B:$B,""RWS"")&lt;&gt;1
    ),
    """",
    IFERROR(TEXTJOIN(CHAR(10),TRUE,FILTER('SUMMARY DATA'!E:E,'SUMMARY DATA'!$D:$D=$C728,'SUMMARY DATA'!$B:$B=""RWS"")),"""")
  )
)"),"")</f>
      </c>
      <c r="F728" s="17" t="str">
        <f>IFERROR(__xludf.DUMMYFUNCTION("IFERROR(
  TEXTJOIN(CHAR(10),TRUE,FILTER('SUMMARY DATA'!F:F,'SUMMARY DATA'!$A:$A=$A728,'SUMMARY DATA'!$C:$C=$B728,'SUMMARY DATA'!$B:$B=""RWS"")),
  IF(
    OR(
      ISNUMBER(SEARCH(""CDM CASH DEPOSIT"",$C728)),
      ISNUMBER(SEARCH(""CASH DEPOSIT"",$C72"&amp;"8)),
      COUNTIFS('SUMMARY DATA'!$D:$D,$C728,'SUMMARY DATA'!$B:$B,""RWS"")&lt;&gt;1
    ),
    """",
    IFERROR(TEXTJOIN(CHAR(10),TRUE,FILTER('SUMMARY DATA'!F:F,'SUMMARY DATA'!$D:$D=$C728,'SUMMARY DATA'!$B:$B=""RWS"")),"""")
  )
)"),"")</f>
      </c>
      <c r="G728" s="17" t="str">
        <f>IFERROR(__xludf.DUMMYFUNCTION("IFERROR(
  TEXTJOIN(CHAR(10),TRUE,FILTER('SUMMARY DATA'!G:G,'SUMMARY DATA'!$A:$A=$A728,'SUMMARY DATA'!$C:$C=$B728,'SUMMARY DATA'!$B:$B=""RWS"")),
  IF(
    OR(
      ISNUMBER(SEARCH(""CDM CASH DEPOSIT"",$C728)),
      ISNUMBER(SEARCH(""CASH DEPOSIT"",$C72"&amp;"8)),
      COUNTIFS('SUMMARY DATA'!$D:$D,$C728,'SUMMARY DATA'!$B:$B,""RWS"")&lt;&gt;1
    ),
    """",
    IFERROR(TEXTJOIN(CHAR(10),TRUE,FILTER('SUMMARY DATA'!G:G,'SUMMARY DATA'!$D:$D=$C728,'SUMMARY DATA'!$B:$B=""RWS"")),"""")
  )
)"),"")</f>
      </c>
      <c r="H728" s="18" t="str">
        <f>IFERROR(__xludf.DUMMYFUNCTION("IFERROR(
  TEXTJOIN(CHAR(10),TRUE,FILTER('SUMMARY DATA'!H:H,'SUMMARY DATA'!$A:$A=$A728,'SUMMARY DATA'!$C:$C=$B728,'SUMMARY DATA'!$B:$B=""RWS"",'SUMMARY DATA'!$H:$H=$D728)),
  IF(
    OR(
      ISNUMBER(SEARCH(""CDM CASH DEPOSIT"",$C728)),
      ISNUMBER(S"&amp;"EARCH(""CASH DEPOSIT"",$C728))
    ),
    """",
    IFERROR(TEXTJOIN(CHAR(10),TRUE,FILTER('SUMMARY DATA'!H:H,'SUMMARY DATA'!$D:$D=$C728,'SUMMARY DATA'!$B:$B=""RWS"",'SUMMARY DATA'!$H:$H=$D728)),"""")
  )
)"),"")</f>
      </c>
      <c r="I728" s="18" t="str">
        <f>IFERROR(__xludf.DUMMYFUNCTION("IF(H728="""","""",
SUM(ARRAYFORMULA(VALUE(SPLIT(H728,CHAR(10)))))
)"),"")</f>
      </c>
      <c r="J728" s="17" t="str">
        <f>IFERROR(__xludf.DUMMYFUNCTION("IFERROR(
  TEXTJOIN(CHAR(10),TRUE,FILTER('SUMMARY DATA'!I:I,'SUMMARY DATA'!$A:$A=$A728,'SUMMARY DATA'!$C:$C=$B728,'SUMMARY DATA'!$B:$B=""RWS"")),
  IF(
    OR(
      ISNUMBER(SEARCH(""CDM CASH DEPOSIT"",$C728)),
      ISNUMBER(SEARCH(""CASH DEPOSIT"",$C72"&amp;"8)),
      COUNTIFS('SUMMARY DATA'!$D:$D,$C728,'SUMMARY DATA'!$B:$B,""RWS"")&lt;&gt;1
    ),
    """",
    IFERROR(TEXTJOIN(CHAR(10),TRUE,FILTER('SUMMARY DATA'!I:I,'SUMMARY DATA'!$D:$D=$C728,'SUMMARY DATA'!$B:$B=""RWS"")),"""")
  )
)"),"")</f>
      </c>
      <c r="K728" s="2"/>
      <c r="L728" s="2"/>
      <c r="M728" s="2"/>
      <c r="N728" s="2"/>
      <c r="O728" s="2"/>
      <c r="P728" s="2"/>
      <c r="Q728" s="2"/>
      <c r="R728" s="2"/>
      <c r="S728" s="2"/>
      <c r="T728" s="2"/>
      <c r="U728" s="2"/>
      <c r="V728" s="2"/>
      <c r="W728" s="2"/>
      <c r="X728" s="2"/>
      <c r="Y728" s="2"/>
      <c r="Z728" s="2"/>
      <c r="AA728" s="2"/>
      <c r="AB728" s="2"/>
    </row>
    <row r="729" spans="1:28" customHeight="true">
      <c r="A729" s="2"/>
      <c r="B729" s="15">
        <v>46028</v>
      </c>
      <c r="C729" s="2" t="s">
        <v>1166</v>
      </c>
      <c r="D729" s="3">
        <v>100</v>
      </c>
      <c r="E729" s="16" t="str">
        <f>IFERROR(__xludf.DUMMYFUNCTION("IFERROR(
  TEXTJOIN(CHAR(10),TRUE,FILTER('SUMMARY DATA'!E:E,'SUMMARY DATA'!$A:$A=$A729,'SUMMARY DATA'!$C:$C=$B729,'SUMMARY DATA'!$B:$B=""RWS"")),
  IF(
    OR(
      ISNUMBER(SEARCH(""CDM CASH DEPOSIT"",$C729)),
      ISNUMBER(SEARCH(""CASH DEPOSIT"",$C72"&amp;"9)),
      COUNTIFS('SUMMARY DATA'!$D:$D,$C729,'SUMMARY DATA'!$B:$B,""RWS"")&lt;&gt;1
    ),
    """",
    IFERROR(TEXTJOIN(CHAR(10),TRUE,FILTER('SUMMARY DATA'!E:E,'SUMMARY DATA'!$D:$D=$C729,'SUMMARY DATA'!$B:$B=""RWS"")),"""")
  )
)"),"")</f>
      </c>
      <c r="F729" s="17" t="str">
        <f>IFERROR(__xludf.DUMMYFUNCTION("IFERROR(
  TEXTJOIN(CHAR(10),TRUE,FILTER('SUMMARY DATA'!F:F,'SUMMARY DATA'!$A:$A=$A729,'SUMMARY DATA'!$C:$C=$B729,'SUMMARY DATA'!$B:$B=""RWS"")),
  IF(
    OR(
      ISNUMBER(SEARCH(""CDM CASH DEPOSIT"",$C729)),
      ISNUMBER(SEARCH(""CASH DEPOSIT"",$C72"&amp;"9)),
      COUNTIFS('SUMMARY DATA'!$D:$D,$C729,'SUMMARY DATA'!$B:$B,""RWS"")&lt;&gt;1
    ),
    """",
    IFERROR(TEXTJOIN(CHAR(10),TRUE,FILTER('SUMMARY DATA'!F:F,'SUMMARY DATA'!$D:$D=$C729,'SUMMARY DATA'!$B:$B=""RWS"")),"""")
  )
)"),"")</f>
      </c>
      <c r="G729" s="17" t="str">
        <f>IFERROR(__xludf.DUMMYFUNCTION("IFERROR(
  TEXTJOIN(CHAR(10),TRUE,FILTER('SUMMARY DATA'!G:G,'SUMMARY DATA'!$A:$A=$A729,'SUMMARY DATA'!$C:$C=$B729,'SUMMARY DATA'!$B:$B=""RWS"")),
  IF(
    OR(
      ISNUMBER(SEARCH(""CDM CASH DEPOSIT"",$C729)),
      ISNUMBER(SEARCH(""CASH DEPOSIT"",$C72"&amp;"9)),
      COUNTIFS('SUMMARY DATA'!$D:$D,$C729,'SUMMARY DATA'!$B:$B,""RWS"")&lt;&gt;1
    ),
    """",
    IFERROR(TEXTJOIN(CHAR(10),TRUE,FILTER('SUMMARY DATA'!G:G,'SUMMARY DATA'!$D:$D=$C729,'SUMMARY DATA'!$B:$B=""RWS"")),"""")
  )
)"),"")</f>
      </c>
      <c r="H729" s="18" t="str">
        <f>IFERROR(__xludf.DUMMYFUNCTION("IFERROR(
  TEXTJOIN(CHAR(10),TRUE,FILTER('SUMMARY DATA'!H:H,'SUMMARY DATA'!$A:$A=$A729,'SUMMARY DATA'!$C:$C=$B729,'SUMMARY DATA'!$B:$B=""RWS"",'SUMMARY DATA'!$H:$H=$D729)),
  IF(
    OR(
      ISNUMBER(SEARCH(""CDM CASH DEPOSIT"",$C729)),
      ISNUMBER(S"&amp;"EARCH(""CASH DEPOSIT"",$C729))
    ),
    """",
    IFERROR(TEXTJOIN(CHAR(10),TRUE,FILTER('SUMMARY DATA'!H:H,'SUMMARY DATA'!$D:$D=$C729,'SUMMARY DATA'!$B:$B=""RWS"",'SUMMARY DATA'!$H:$H=$D729)),"""")
  )
)"),"")</f>
      </c>
      <c r="I729" s="18" t="str">
        <f>IFERROR(__xludf.DUMMYFUNCTION("IF(H729="""","""",
SUM(ARRAYFORMULA(VALUE(SPLIT(H729,CHAR(10)))))
)"),"")</f>
      </c>
      <c r="J729" s="17" t="str">
        <f>IFERROR(__xludf.DUMMYFUNCTION("IFERROR(
  TEXTJOIN(CHAR(10),TRUE,FILTER('SUMMARY DATA'!I:I,'SUMMARY DATA'!$A:$A=$A729,'SUMMARY DATA'!$C:$C=$B729,'SUMMARY DATA'!$B:$B=""RWS"")),
  IF(
    OR(
      ISNUMBER(SEARCH(""CDM CASH DEPOSIT"",$C729)),
      ISNUMBER(SEARCH(""CASH DEPOSIT"",$C72"&amp;"9)),
      COUNTIFS('SUMMARY DATA'!$D:$D,$C729,'SUMMARY DATA'!$B:$B,""RWS"")&lt;&gt;1
    ),
    """",
    IFERROR(TEXTJOIN(CHAR(10),TRUE,FILTER('SUMMARY DATA'!I:I,'SUMMARY DATA'!$D:$D=$C729,'SUMMARY DATA'!$B:$B=""RWS"")),"""")
  )
)"),"")</f>
      </c>
      <c r="K729" s="2"/>
      <c r="L729" s="2"/>
      <c r="M729" s="2"/>
      <c r="N729" s="2"/>
      <c r="O729" s="2"/>
      <c r="P729" s="2"/>
      <c r="Q729" s="2"/>
      <c r="R729" s="2"/>
      <c r="S729" s="2"/>
      <c r="T729" s="2"/>
      <c r="U729" s="2"/>
      <c r="V729" s="2"/>
      <c r="W729" s="2"/>
      <c r="X729" s="2"/>
      <c r="Y729" s="2"/>
      <c r="Z729" s="2"/>
      <c r="AA729" s="2"/>
      <c r="AB729" s="2"/>
    </row>
    <row r="730" spans="1:28" customHeight="true">
      <c r="A730" s="2"/>
      <c r="B730" s="15">
        <v>46028</v>
      </c>
      <c r="C730" s="2" t="s">
        <v>1167</v>
      </c>
      <c r="D730" s="3">
        <v>715.11</v>
      </c>
      <c r="E730" s="16" t="str">
        <f>IFERROR(__xludf.DUMMYFUNCTION("IFERROR(
  TEXTJOIN(CHAR(10),TRUE,FILTER('SUMMARY DATA'!E:E,'SUMMARY DATA'!$A:$A=$A730,'SUMMARY DATA'!$C:$C=$B730,'SUMMARY DATA'!$B:$B=""RWS"")),
  IF(
    OR(
      ISNUMBER(SEARCH(""CDM CASH DEPOSIT"",$C730)),
      ISNUMBER(SEARCH(""CASH DEPOSIT"",$C73"&amp;"0)),
      COUNTIFS('SUMMARY DATA'!$D:$D,$C730,'SUMMARY DATA'!$B:$B,""RWS"")&lt;&gt;1
    ),
    """",
    IFERROR(TEXTJOIN(CHAR(10),TRUE,FILTER('SUMMARY DATA'!E:E,'SUMMARY DATA'!$D:$D=$C730,'SUMMARY DATA'!$B:$B=""RWS"")),"""")
  )
)"),"")</f>
      </c>
      <c r="F730" s="17" t="str">
        <f>IFERROR(__xludf.DUMMYFUNCTION("IFERROR(
  TEXTJOIN(CHAR(10),TRUE,FILTER('SUMMARY DATA'!F:F,'SUMMARY DATA'!$A:$A=$A730,'SUMMARY DATA'!$C:$C=$B730,'SUMMARY DATA'!$B:$B=""RWS"")),
  IF(
    OR(
      ISNUMBER(SEARCH(""CDM CASH DEPOSIT"",$C730)),
      ISNUMBER(SEARCH(""CASH DEPOSIT"",$C73"&amp;"0)),
      COUNTIFS('SUMMARY DATA'!$D:$D,$C730,'SUMMARY DATA'!$B:$B,""RWS"")&lt;&gt;1
    ),
    """",
    IFERROR(TEXTJOIN(CHAR(10),TRUE,FILTER('SUMMARY DATA'!F:F,'SUMMARY DATA'!$D:$D=$C730,'SUMMARY DATA'!$B:$B=""RWS"")),"""")
  )
)"),"")</f>
      </c>
      <c r="G730" s="17" t="str">
        <f>IFERROR(__xludf.DUMMYFUNCTION("IFERROR(
  TEXTJOIN(CHAR(10),TRUE,FILTER('SUMMARY DATA'!G:G,'SUMMARY DATA'!$A:$A=$A730,'SUMMARY DATA'!$C:$C=$B730,'SUMMARY DATA'!$B:$B=""RWS"")),
  IF(
    OR(
      ISNUMBER(SEARCH(""CDM CASH DEPOSIT"",$C730)),
      ISNUMBER(SEARCH(""CASH DEPOSIT"",$C73"&amp;"0)),
      COUNTIFS('SUMMARY DATA'!$D:$D,$C730,'SUMMARY DATA'!$B:$B,""RWS"")&lt;&gt;1
    ),
    """",
    IFERROR(TEXTJOIN(CHAR(10),TRUE,FILTER('SUMMARY DATA'!G:G,'SUMMARY DATA'!$D:$D=$C730,'SUMMARY DATA'!$B:$B=""RWS"")),"""")
  )
)"),"")</f>
      </c>
      <c r="H730" s="18" t="str">
        <f>IFERROR(__xludf.DUMMYFUNCTION("IFERROR(
  TEXTJOIN(CHAR(10),TRUE,FILTER('SUMMARY DATA'!H:H,'SUMMARY DATA'!$A:$A=$A730,'SUMMARY DATA'!$C:$C=$B730,'SUMMARY DATA'!$B:$B=""RWS"",'SUMMARY DATA'!$H:$H=$D730)),
  IF(
    OR(
      ISNUMBER(SEARCH(""CDM CASH DEPOSIT"",$C730)),
      ISNUMBER(S"&amp;"EARCH(""CASH DEPOSIT"",$C730))
    ),
    """",
    IFERROR(TEXTJOIN(CHAR(10),TRUE,FILTER('SUMMARY DATA'!H:H,'SUMMARY DATA'!$D:$D=$C730,'SUMMARY DATA'!$B:$B=""RWS"",'SUMMARY DATA'!$H:$H=$D730)),"""")
  )
)"),"")</f>
      </c>
      <c r="I730" s="18" t="str">
        <f>IFERROR(__xludf.DUMMYFUNCTION("IF(H730="""","""",
SUM(ARRAYFORMULA(VALUE(SPLIT(H730,CHAR(10)))))
)"),"")</f>
      </c>
      <c r="J730" s="17" t="str">
        <f>IFERROR(__xludf.DUMMYFUNCTION("IFERROR(
  TEXTJOIN(CHAR(10),TRUE,FILTER('SUMMARY DATA'!I:I,'SUMMARY DATA'!$A:$A=$A730,'SUMMARY DATA'!$C:$C=$B730,'SUMMARY DATA'!$B:$B=""RWS"")),
  IF(
    OR(
      ISNUMBER(SEARCH(""CDM CASH DEPOSIT"",$C730)),
      ISNUMBER(SEARCH(""CASH DEPOSIT"",$C73"&amp;"0)),
      COUNTIFS('SUMMARY DATA'!$D:$D,$C730,'SUMMARY DATA'!$B:$B,""RWS"")&lt;&gt;1
    ),
    """",
    IFERROR(TEXTJOIN(CHAR(10),TRUE,FILTER('SUMMARY DATA'!I:I,'SUMMARY DATA'!$D:$D=$C730,'SUMMARY DATA'!$B:$B=""RWS"")),"""")
  )
)"),"")</f>
      </c>
      <c r="K730" s="2"/>
      <c r="L730" s="2"/>
      <c r="M730" s="2"/>
      <c r="N730" s="2"/>
      <c r="O730" s="2"/>
      <c r="P730" s="2"/>
      <c r="Q730" s="2"/>
      <c r="R730" s="2"/>
      <c r="S730" s="2"/>
      <c r="T730" s="2"/>
      <c r="U730" s="2"/>
      <c r="V730" s="2"/>
      <c r="W730" s="2"/>
      <c r="X730" s="2"/>
      <c r="Y730" s="2"/>
      <c r="Z730" s="2"/>
      <c r="AA730" s="2"/>
      <c r="AB730" s="2"/>
    </row>
    <row r="731" spans="1:28" customHeight="true">
      <c r="A731" s="2" t="s">
        <v>1168</v>
      </c>
      <c r="B731" s="15">
        <v>46028</v>
      </c>
      <c r="C731" s="2" t="s">
        <v>1169</v>
      </c>
      <c r="D731" s="3">
        <v>29</v>
      </c>
      <c r="E731" s="16" t="str">
        <f>IFERROR(__xludf.DUMMYFUNCTION("IFERROR(
  TEXTJOIN(CHAR(10),TRUE,FILTER('SUMMARY DATA'!E:E,'SUMMARY DATA'!$A:$A=$A731,'SUMMARY DATA'!$C:$C=$B731,'SUMMARY DATA'!$B:$B=""RWS"")),
  IF(
    OR(
      ISNUMBER(SEARCH(""CDM CASH DEPOSIT"",$C731)),
      ISNUMBER(SEARCH(""CASH DEPOSIT"",$C73"&amp;"1)),
      COUNTIFS('SUMMARY DATA'!$D:$D,$C731,'SUMMARY DATA'!$B:$B,""RWS"")&lt;&gt;1
    ),
    """",
    IFERROR(TEXTJOIN(CHAR(10),TRUE,FILTER('SUMMARY DATA'!E:E,'SUMMARY DATA'!$D:$D=$C731,'SUMMARY DATA'!$B:$B=""RWS"")),"""")
  )
)"),"")</f>
      </c>
      <c r="F731" s="17" t="str">
        <f>IFERROR(__xludf.DUMMYFUNCTION("IFERROR(
  TEXTJOIN(CHAR(10),TRUE,FILTER('SUMMARY DATA'!F:F,'SUMMARY DATA'!$A:$A=$A731,'SUMMARY DATA'!$C:$C=$B731,'SUMMARY DATA'!$B:$B=""RWS"")),
  IF(
    OR(
      ISNUMBER(SEARCH(""CDM CASH DEPOSIT"",$C731)),
      ISNUMBER(SEARCH(""CASH DEPOSIT"",$C73"&amp;"1)),
      COUNTIFS('SUMMARY DATA'!$D:$D,$C731,'SUMMARY DATA'!$B:$B,""RWS"")&lt;&gt;1
    ),
    """",
    IFERROR(TEXTJOIN(CHAR(10),TRUE,FILTER('SUMMARY DATA'!F:F,'SUMMARY DATA'!$D:$D=$C731,'SUMMARY DATA'!$B:$B=""RWS"")),"""")
  )
)"),"")</f>
      </c>
      <c r="G731" s="17" t="str">
        <f>IFERROR(__xludf.DUMMYFUNCTION("IFERROR(
  TEXTJOIN(CHAR(10),TRUE,FILTER('SUMMARY DATA'!G:G,'SUMMARY DATA'!$A:$A=$A731,'SUMMARY DATA'!$C:$C=$B731,'SUMMARY DATA'!$B:$B=""RWS"")),
  IF(
    OR(
      ISNUMBER(SEARCH(""CDM CASH DEPOSIT"",$C731)),
      ISNUMBER(SEARCH(""CASH DEPOSIT"",$C73"&amp;"1)),
      COUNTIFS('SUMMARY DATA'!$D:$D,$C731,'SUMMARY DATA'!$B:$B,""RWS"")&lt;&gt;1
    ),
    """",
    IFERROR(TEXTJOIN(CHAR(10),TRUE,FILTER('SUMMARY DATA'!G:G,'SUMMARY DATA'!$D:$D=$C731,'SUMMARY DATA'!$B:$B=""RWS"")),"""")
  )
)"),"")</f>
      </c>
      <c r="H731" s="18" t="str">
        <f>IFERROR(__xludf.DUMMYFUNCTION("IFERROR(
  TEXTJOIN(CHAR(10),TRUE,FILTER('SUMMARY DATA'!H:H,'SUMMARY DATA'!$A:$A=$A731,'SUMMARY DATA'!$C:$C=$B731,'SUMMARY DATA'!$B:$B=""RWS"",'SUMMARY DATA'!$H:$H=$D731)),
  IF(
    OR(
      ISNUMBER(SEARCH(""CDM CASH DEPOSIT"",$C731)),
      ISNUMBER(S"&amp;"EARCH(""CASH DEPOSIT"",$C731))
    ),
    """",
    IFERROR(TEXTJOIN(CHAR(10),TRUE,FILTER('SUMMARY DATA'!H:H,'SUMMARY DATA'!$D:$D=$C731,'SUMMARY DATA'!$B:$B=""RWS"",'SUMMARY DATA'!$H:$H=$D731)),"""")
  )
)"),"")</f>
      </c>
      <c r="I731" s="18" t="str">
        <f>IFERROR(__xludf.DUMMYFUNCTION("IF(H731="""","""",
SUM(ARRAYFORMULA(VALUE(SPLIT(H731,CHAR(10)))))
)"),"")</f>
      </c>
      <c r="J731" s="17" t="str">
        <f>IFERROR(__xludf.DUMMYFUNCTION("IFERROR(
  TEXTJOIN(CHAR(10),TRUE,FILTER('SUMMARY DATA'!I:I,'SUMMARY DATA'!$A:$A=$A731,'SUMMARY DATA'!$C:$C=$B731,'SUMMARY DATA'!$B:$B=""RWS"")),
  IF(
    OR(
      ISNUMBER(SEARCH(""CDM CASH DEPOSIT"",$C731)),
      ISNUMBER(SEARCH(""CASH DEPOSIT"",$C73"&amp;"1)),
      COUNTIFS('SUMMARY DATA'!$D:$D,$C731,'SUMMARY DATA'!$B:$B,""RWS"")&lt;&gt;1
    ),
    """",
    IFERROR(TEXTJOIN(CHAR(10),TRUE,FILTER('SUMMARY DATA'!I:I,'SUMMARY DATA'!$D:$D=$C731,'SUMMARY DATA'!$B:$B=""RWS"")),"""")
  )
)"),"")</f>
      </c>
      <c r="K731" s="2"/>
      <c r="L731" s="2"/>
      <c r="M731" s="2"/>
      <c r="N731" s="2"/>
      <c r="O731" s="2"/>
      <c r="P731" s="2"/>
      <c r="Q731" s="2"/>
      <c r="R731" s="2"/>
      <c r="S731" s="2"/>
      <c r="T731" s="2"/>
      <c r="U731" s="2"/>
      <c r="V731" s="2"/>
      <c r="W731" s="2"/>
      <c r="X731" s="2"/>
      <c r="Y731" s="2"/>
      <c r="Z731" s="2"/>
      <c r="AA731" s="2"/>
      <c r="AB731" s="2"/>
    </row>
    <row r="732" spans="1:28" customHeight="true">
      <c r="A732" s="2" t="s">
        <v>1170</v>
      </c>
      <c r="B732" s="15">
        <v>46028</v>
      </c>
      <c r="C732" s="2" t="s">
        <v>1171</v>
      </c>
      <c r="D732" s="3">
        <v>60.97</v>
      </c>
      <c r="E732" s="16" t="str">
        <f>IFERROR(__xludf.DUMMYFUNCTION("IFERROR(
  TEXTJOIN(CHAR(10),TRUE,FILTER('SUMMARY DATA'!E:E,'SUMMARY DATA'!$A:$A=$A732,'SUMMARY DATA'!$C:$C=$B732,'SUMMARY DATA'!$B:$B=""RWS"")),
  IF(
    OR(
      ISNUMBER(SEARCH(""CDM CASH DEPOSIT"",$C732)),
      ISNUMBER(SEARCH(""CASH DEPOSIT"",$C73"&amp;"2)),
      COUNTIFS('SUMMARY DATA'!$D:$D,$C732,'SUMMARY DATA'!$B:$B,""RWS"")&lt;&gt;1
    ),
    """",
    IFERROR(TEXTJOIN(CHAR(10),TRUE,FILTER('SUMMARY DATA'!E:E,'SUMMARY DATA'!$D:$D=$C732,'SUMMARY DATA'!$B:$B=""RWS"")),"""")
  )
)"),"")</f>
      </c>
      <c r="F732" s="17" t="str">
        <f>IFERROR(__xludf.DUMMYFUNCTION("IFERROR(
  TEXTJOIN(CHAR(10),TRUE,FILTER('SUMMARY DATA'!F:F,'SUMMARY DATA'!$A:$A=$A732,'SUMMARY DATA'!$C:$C=$B732,'SUMMARY DATA'!$B:$B=""RWS"")),
  IF(
    OR(
      ISNUMBER(SEARCH(""CDM CASH DEPOSIT"",$C732)),
      ISNUMBER(SEARCH(""CASH DEPOSIT"",$C73"&amp;"2)),
      COUNTIFS('SUMMARY DATA'!$D:$D,$C732,'SUMMARY DATA'!$B:$B,""RWS"")&lt;&gt;1
    ),
    """",
    IFERROR(TEXTJOIN(CHAR(10),TRUE,FILTER('SUMMARY DATA'!F:F,'SUMMARY DATA'!$D:$D=$C732,'SUMMARY DATA'!$B:$B=""RWS"")),"""")
  )
)"),"")</f>
      </c>
      <c r="G732" s="17" t="str">
        <f>IFERROR(__xludf.DUMMYFUNCTION("IFERROR(
  TEXTJOIN(CHAR(10),TRUE,FILTER('SUMMARY DATA'!G:G,'SUMMARY DATA'!$A:$A=$A732,'SUMMARY DATA'!$C:$C=$B732,'SUMMARY DATA'!$B:$B=""RWS"")),
  IF(
    OR(
      ISNUMBER(SEARCH(""CDM CASH DEPOSIT"",$C732)),
      ISNUMBER(SEARCH(""CASH DEPOSIT"",$C73"&amp;"2)),
      COUNTIFS('SUMMARY DATA'!$D:$D,$C732,'SUMMARY DATA'!$B:$B,""RWS"")&lt;&gt;1
    ),
    """",
    IFERROR(TEXTJOIN(CHAR(10),TRUE,FILTER('SUMMARY DATA'!G:G,'SUMMARY DATA'!$D:$D=$C732,'SUMMARY DATA'!$B:$B=""RWS"")),"""")
  )
)"),"")</f>
      </c>
      <c r="H732" s="18" t="str">
        <f>IFERROR(__xludf.DUMMYFUNCTION("IFERROR(
  TEXTJOIN(CHAR(10),TRUE,FILTER('SUMMARY DATA'!H:H,'SUMMARY DATA'!$A:$A=$A732,'SUMMARY DATA'!$C:$C=$B732,'SUMMARY DATA'!$B:$B=""RWS"",'SUMMARY DATA'!$H:$H=$D732)),
  IF(
    OR(
      ISNUMBER(SEARCH(""CDM CASH DEPOSIT"",$C732)),
      ISNUMBER(S"&amp;"EARCH(""CASH DEPOSIT"",$C732))
    ),
    """",
    IFERROR(TEXTJOIN(CHAR(10),TRUE,FILTER('SUMMARY DATA'!H:H,'SUMMARY DATA'!$D:$D=$C732,'SUMMARY DATA'!$B:$B=""RWS"",'SUMMARY DATA'!$H:$H=$D732)),"""")
  )
)"),"")</f>
      </c>
      <c r="I732" s="18" t="str">
        <f>IFERROR(__xludf.DUMMYFUNCTION("IF(H732="""","""",
SUM(ARRAYFORMULA(VALUE(SPLIT(H732,CHAR(10)))))
)"),"")</f>
      </c>
      <c r="J732" s="17" t="str">
        <f>IFERROR(__xludf.DUMMYFUNCTION("IFERROR(
  TEXTJOIN(CHAR(10),TRUE,FILTER('SUMMARY DATA'!I:I,'SUMMARY DATA'!$A:$A=$A732,'SUMMARY DATA'!$C:$C=$B732,'SUMMARY DATA'!$B:$B=""RWS"")),
  IF(
    OR(
      ISNUMBER(SEARCH(""CDM CASH DEPOSIT"",$C732)),
      ISNUMBER(SEARCH(""CASH DEPOSIT"",$C73"&amp;"2)),
      COUNTIFS('SUMMARY DATA'!$D:$D,$C732,'SUMMARY DATA'!$B:$B,""RWS"")&lt;&gt;1
    ),
    """",
    IFERROR(TEXTJOIN(CHAR(10),TRUE,FILTER('SUMMARY DATA'!I:I,'SUMMARY DATA'!$D:$D=$C732,'SUMMARY DATA'!$B:$B=""RWS"")),"""")
  )
)"),"")</f>
      </c>
      <c r="K732" s="2"/>
      <c r="L732" s="2"/>
      <c r="M732" s="2"/>
      <c r="N732" s="2"/>
      <c r="O732" s="2"/>
      <c r="P732" s="2"/>
      <c r="Q732" s="2"/>
      <c r="R732" s="2"/>
      <c r="S732" s="2"/>
      <c r="T732" s="2"/>
      <c r="U732" s="2"/>
      <c r="V732" s="2"/>
      <c r="W732" s="2"/>
      <c r="X732" s="2"/>
      <c r="Y732" s="2"/>
      <c r="Z732" s="2"/>
      <c r="AA732" s="2"/>
      <c r="AB732" s="2"/>
    </row>
    <row r="733" spans="1:28" customHeight="true">
      <c r="A733" s="2" t="s">
        <v>1172</v>
      </c>
      <c r="B733" s="15">
        <v>46028</v>
      </c>
      <c r="C733" s="2" t="s">
        <v>1173</v>
      </c>
      <c r="D733" s="3">
        <v>10</v>
      </c>
      <c r="E733" s="16" t="str">
        <f>IFERROR(__xludf.DUMMYFUNCTION("IFERROR(
  TEXTJOIN(CHAR(10),TRUE,FILTER('SUMMARY DATA'!E:E,'SUMMARY DATA'!$A:$A=$A733,'SUMMARY DATA'!$C:$C=$B733,'SUMMARY DATA'!$B:$B=""RWS"")),
  IF(
    OR(
      ISNUMBER(SEARCH(""CDM CASH DEPOSIT"",$C733)),
      ISNUMBER(SEARCH(""CASH DEPOSIT"",$C73"&amp;"3)),
      COUNTIFS('SUMMARY DATA'!$D:$D,$C733,'SUMMARY DATA'!$B:$B,""RWS"")&lt;&gt;1
    ),
    """",
    IFERROR(TEXTJOIN(CHAR(10),TRUE,FILTER('SUMMARY DATA'!E:E,'SUMMARY DATA'!$D:$D=$C733,'SUMMARY DATA'!$B:$B=""RWS"")),"""")
  )
)"),"")</f>
      </c>
      <c r="F733" s="17" t="str">
        <f>IFERROR(__xludf.DUMMYFUNCTION("IFERROR(
  TEXTJOIN(CHAR(10),TRUE,FILTER('SUMMARY DATA'!F:F,'SUMMARY DATA'!$A:$A=$A733,'SUMMARY DATA'!$C:$C=$B733,'SUMMARY DATA'!$B:$B=""RWS"")),
  IF(
    OR(
      ISNUMBER(SEARCH(""CDM CASH DEPOSIT"",$C733)),
      ISNUMBER(SEARCH(""CASH DEPOSIT"",$C73"&amp;"3)),
      COUNTIFS('SUMMARY DATA'!$D:$D,$C733,'SUMMARY DATA'!$B:$B,""RWS"")&lt;&gt;1
    ),
    """",
    IFERROR(TEXTJOIN(CHAR(10),TRUE,FILTER('SUMMARY DATA'!F:F,'SUMMARY DATA'!$D:$D=$C733,'SUMMARY DATA'!$B:$B=""RWS"")),"""")
  )
)"),"")</f>
      </c>
      <c r="G733" s="17" t="str">
        <f>IFERROR(__xludf.DUMMYFUNCTION("IFERROR(
  TEXTJOIN(CHAR(10),TRUE,FILTER('SUMMARY DATA'!G:G,'SUMMARY DATA'!$A:$A=$A733,'SUMMARY DATA'!$C:$C=$B733,'SUMMARY DATA'!$B:$B=""RWS"")),
  IF(
    OR(
      ISNUMBER(SEARCH(""CDM CASH DEPOSIT"",$C733)),
      ISNUMBER(SEARCH(""CASH DEPOSIT"",$C73"&amp;"3)),
      COUNTIFS('SUMMARY DATA'!$D:$D,$C733,'SUMMARY DATA'!$B:$B,""RWS"")&lt;&gt;1
    ),
    """",
    IFERROR(TEXTJOIN(CHAR(10),TRUE,FILTER('SUMMARY DATA'!G:G,'SUMMARY DATA'!$D:$D=$C733,'SUMMARY DATA'!$B:$B=""RWS"")),"""")
  )
)"),"")</f>
      </c>
      <c r="H733" s="18" t="str">
        <f>IFERROR(__xludf.DUMMYFUNCTION("IFERROR(
  TEXTJOIN(CHAR(10),TRUE,FILTER('SUMMARY DATA'!H:H,'SUMMARY DATA'!$A:$A=$A733,'SUMMARY DATA'!$C:$C=$B733,'SUMMARY DATA'!$B:$B=""RWS"",'SUMMARY DATA'!$H:$H=$D733)),
  IF(
    OR(
      ISNUMBER(SEARCH(""CDM CASH DEPOSIT"",$C733)),
      ISNUMBER(S"&amp;"EARCH(""CASH DEPOSIT"",$C733))
    ),
    """",
    IFERROR(TEXTJOIN(CHAR(10),TRUE,FILTER('SUMMARY DATA'!H:H,'SUMMARY DATA'!$D:$D=$C733,'SUMMARY DATA'!$B:$B=""RWS"",'SUMMARY DATA'!$H:$H=$D733)),"""")
  )
)"),"")</f>
      </c>
      <c r="I733" s="18" t="str">
        <f>IFERROR(__xludf.DUMMYFUNCTION("IF(H733="""","""",
SUM(ARRAYFORMULA(VALUE(SPLIT(H733,CHAR(10)))))
)"),"")</f>
      </c>
      <c r="J733" s="17" t="str">
        <f>IFERROR(__xludf.DUMMYFUNCTION("IFERROR(
  TEXTJOIN(CHAR(10),TRUE,FILTER('SUMMARY DATA'!I:I,'SUMMARY DATA'!$A:$A=$A733,'SUMMARY DATA'!$C:$C=$B733,'SUMMARY DATA'!$B:$B=""RWS"")),
  IF(
    OR(
      ISNUMBER(SEARCH(""CDM CASH DEPOSIT"",$C733)),
      ISNUMBER(SEARCH(""CASH DEPOSIT"",$C73"&amp;"3)),
      COUNTIFS('SUMMARY DATA'!$D:$D,$C733,'SUMMARY DATA'!$B:$B,""RWS"")&lt;&gt;1
    ),
    """",
    IFERROR(TEXTJOIN(CHAR(10),TRUE,FILTER('SUMMARY DATA'!I:I,'SUMMARY DATA'!$D:$D=$C733,'SUMMARY DATA'!$B:$B=""RWS"")),"""")
  )
)"),"")</f>
      </c>
      <c r="K733" s="2"/>
      <c r="L733" s="2"/>
      <c r="M733" s="2"/>
      <c r="N733" s="2"/>
      <c r="O733" s="2"/>
      <c r="P733" s="2"/>
      <c r="Q733" s="2"/>
      <c r="R733" s="2"/>
      <c r="S733" s="2"/>
      <c r="T733" s="2"/>
      <c r="U733" s="2"/>
      <c r="V733" s="2"/>
      <c r="W733" s="2"/>
      <c r="X733" s="2"/>
      <c r="Y733" s="2"/>
      <c r="Z733" s="2"/>
      <c r="AA733" s="2"/>
      <c r="AB733" s="2"/>
    </row>
    <row r="734" spans="1:28" customHeight="true">
      <c r="A734" s="2" t="s">
        <v>1174</v>
      </c>
      <c r="B734" s="15">
        <v>46027</v>
      </c>
      <c r="C734" s="2" t="s">
        <v>1175</v>
      </c>
      <c r="D734" s="3">
        <v>89.7</v>
      </c>
      <c r="E734" s="16" t="str">
        <f>IFERROR(__xludf.DUMMYFUNCTION("IFERROR(
  TEXTJOIN(CHAR(10),TRUE,FILTER('SUMMARY DATA'!E:E,'SUMMARY DATA'!$A:$A=$A734,'SUMMARY DATA'!$C:$C=$B734,'SUMMARY DATA'!$B:$B=""RWS"")),
  IF(
    OR(
      ISNUMBER(SEARCH(""CDM CASH DEPOSIT"",$C734)),
      ISNUMBER(SEARCH(""CASH DEPOSIT"",$C73"&amp;"4)),
      COUNTIFS('SUMMARY DATA'!$D:$D,$C734,'SUMMARY DATA'!$B:$B,""RWS"")&lt;&gt;1
    ),
    """",
    IFERROR(TEXTJOIN(CHAR(10),TRUE,FILTER('SUMMARY DATA'!E:E,'SUMMARY DATA'!$D:$D=$C734,'SUMMARY DATA'!$B:$B=""RWS"")),"""")
  )
)"),"")</f>
      </c>
      <c r="F734" s="17" t="str">
        <f>IFERROR(__xludf.DUMMYFUNCTION("IFERROR(
  TEXTJOIN(CHAR(10),TRUE,FILTER('SUMMARY DATA'!F:F,'SUMMARY DATA'!$A:$A=$A734,'SUMMARY DATA'!$C:$C=$B734,'SUMMARY DATA'!$B:$B=""RWS"")),
  IF(
    OR(
      ISNUMBER(SEARCH(""CDM CASH DEPOSIT"",$C734)),
      ISNUMBER(SEARCH(""CASH DEPOSIT"",$C73"&amp;"4)),
      COUNTIFS('SUMMARY DATA'!$D:$D,$C734,'SUMMARY DATA'!$B:$B,""RWS"")&lt;&gt;1
    ),
    """",
    IFERROR(TEXTJOIN(CHAR(10),TRUE,FILTER('SUMMARY DATA'!F:F,'SUMMARY DATA'!$D:$D=$C734,'SUMMARY DATA'!$B:$B=""RWS"")),"""")
  )
)"),"")</f>
      </c>
      <c r="G734" s="17" t="str">
        <f>IFERROR(__xludf.DUMMYFUNCTION("IFERROR(
  TEXTJOIN(CHAR(10),TRUE,FILTER('SUMMARY DATA'!G:G,'SUMMARY DATA'!$A:$A=$A734,'SUMMARY DATA'!$C:$C=$B734,'SUMMARY DATA'!$B:$B=""RWS"")),
  IF(
    OR(
      ISNUMBER(SEARCH(""CDM CASH DEPOSIT"",$C734)),
      ISNUMBER(SEARCH(""CASH DEPOSIT"",$C73"&amp;"4)),
      COUNTIFS('SUMMARY DATA'!$D:$D,$C734,'SUMMARY DATA'!$B:$B,""RWS"")&lt;&gt;1
    ),
    """",
    IFERROR(TEXTJOIN(CHAR(10),TRUE,FILTER('SUMMARY DATA'!G:G,'SUMMARY DATA'!$D:$D=$C734,'SUMMARY DATA'!$B:$B=""RWS"")),"""")
  )
)"),"")</f>
      </c>
      <c r="H734" s="18" t="str">
        <f>IFERROR(__xludf.DUMMYFUNCTION("IFERROR(
  TEXTJOIN(CHAR(10),TRUE,FILTER('SUMMARY DATA'!H:H,'SUMMARY DATA'!$A:$A=$A734,'SUMMARY DATA'!$C:$C=$B734,'SUMMARY DATA'!$B:$B=""RWS"",'SUMMARY DATA'!$H:$H=$D734)),
  IF(
    OR(
      ISNUMBER(SEARCH(""CDM CASH DEPOSIT"",$C734)),
      ISNUMBER(S"&amp;"EARCH(""CASH DEPOSIT"",$C734))
    ),
    """",
    IFERROR(TEXTJOIN(CHAR(10),TRUE,FILTER('SUMMARY DATA'!H:H,'SUMMARY DATA'!$D:$D=$C734,'SUMMARY DATA'!$B:$B=""RWS"",'SUMMARY DATA'!$H:$H=$D734)),"""")
  )
)"),"")</f>
      </c>
      <c r="I734" s="18" t="str">
        <f>IFERROR(__xludf.DUMMYFUNCTION("IF(H734="""","""",
SUM(ARRAYFORMULA(VALUE(SPLIT(H734,CHAR(10)))))
)"),"")</f>
      </c>
      <c r="J734" s="17" t="str">
        <f>IFERROR(__xludf.DUMMYFUNCTION("IFERROR(
  TEXTJOIN(CHAR(10),TRUE,FILTER('SUMMARY DATA'!I:I,'SUMMARY DATA'!$A:$A=$A734,'SUMMARY DATA'!$C:$C=$B734,'SUMMARY DATA'!$B:$B=""RWS"")),
  IF(
    OR(
      ISNUMBER(SEARCH(""CDM CASH DEPOSIT"",$C734)),
      ISNUMBER(SEARCH(""CASH DEPOSIT"",$C73"&amp;"4)),
      COUNTIFS('SUMMARY DATA'!$D:$D,$C734,'SUMMARY DATA'!$B:$B,""RWS"")&lt;&gt;1
    ),
    """",
    IFERROR(TEXTJOIN(CHAR(10),TRUE,FILTER('SUMMARY DATA'!I:I,'SUMMARY DATA'!$D:$D=$C734,'SUMMARY DATA'!$B:$B=""RWS"")),"""")
  )
)"),"")</f>
      </c>
      <c r="K734" s="2"/>
      <c r="L734" s="2"/>
      <c r="M734" s="2"/>
      <c r="N734" s="2"/>
      <c r="O734" s="2"/>
      <c r="P734" s="2"/>
      <c r="Q734" s="2"/>
      <c r="R734" s="2"/>
      <c r="S734" s="2"/>
      <c r="T734" s="2"/>
      <c r="U734" s="2"/>
      <c r="V734" s="2"/>
      <c r="W734" s="2"/>
      <c r="X734" s="2"/>
      <c r="Y734" s="2"/>
      <c r="Z734" s="2"/>
      <c r="AA734" s="2"/>
      <c r="AB734" s="2"/>
    </row>
    <row r="735" spans="1:28" customHeight="true">
      <c r="A735" s="2" t="s">
        <v>338</v>
      </c>
      <c r="B735" s="15">
        <v>46027</v>
      </c>
      <c r="C735" s="2" t="s">
        <v>1176</v>
      </c>
      <c r="D735" s="3">
        <v>15.99</v>
      </c>
      <c r="E735" s="16" t="s">
        <v>2457</v>
      </c>
      <c r="F735" s="17" t="s">
        <v>2649</v>
      </c>
      <c r="G735" s="17" t="s">
        <v>2393</v>
      </c>
      <c r="H735" s="18">
        <v>15.99</v>
      </c>
      <c r="I735" s="18">
        <v>15.99</v>
      </c>
      <c r="J735" s="17" t="s">
        <v>2394</v>
      </c>
      <c r="K735" s="2" t="s">
        <v>2395</v>
      </c>
      <c r="L735" s="2"/>
      <c r="M735" s="2"/>
      <c r="N735" s="2"/>
      <c r="O735" s="2"/>
      <c r="P735" s="2"/>
      <c r="Q735" s="2"/>
      <c r="R735" s="2"/>
      <c r="S735" s="2"/>
      <c r="T735" s="2"/>
      <c r="U735" s="2"/>
      <c r="V735" s="2"/>
      <c r="W735" s="2"/>
      <c r="X735" s="2"/>
      <c r="Y735" s="2"/>
      <c r="Z735" s="2"/>
      <c r="AA735" s="2"/>
      <c r="AB735" s="2"/>
    </row>
    <row r="736" spans="1:28" customHeight="true">
      <c r="A736" s="2" t="s">
        <v>1177</v>
      </c>
      <c r="B736" s="15">
        <v>46027</v>
      </c>
      <c r="C736" s="2" t="s">
        <v>1178</v>
      </c>
      <c r="D736" s="3">
        <v>216.72</v>
      </c>
      <c r="E736" s="16" t="s">
        <v>2444</v>
      </c>
      <c r="F736" s="17" t="s">
        <v>2650</v>
      </c>
      <c r="G736" s="17" t="s">
        <v>2393</v>
      </c>
      <c r="H736" s="18">
        <v>216.72</v>
      </c>
      <c r="I736" s="18">
        <v>216.72</v>
      </c>
      <c r="J736" s="17" t="s">
        <v>2394</v>
      </c>
      <c r="K736" s="2" t="s">
        <v>2395</v>
      </c>
      <c r="L736" s="2"/>
      <c r="M736" s="2"/>
      <c r="N736" s="2"/>
      <c r="O736" s="2"/>
      <c r="P736" s="2"/>
      <c r="Q736" s="2"/>
      <c r="R736" s="2"/>
      <c r="S736" s="2"/>
      <c r="T736" s="2"/>
      <c r="U736" s="2"/>
      <c r="V736" s="2"/>
      <c r="W736" s="2"/>
      <c r="X736" s="2"/>
      <c r="Y736" s="2"/>
      <c r="Z736" s="2"/>
      <c r="AA736" s="2"/>
      <c r="AB736" s="2"/>
    </row>
    <row r="737" spans="1:28" customHeight="true">
      <c r="A737" s="2" t="s">
        <v>1179</v>
      </c>
      <c r="B737" s="15">
        <v>46027</v>
      </c>
      <c r="C737" s="2" t="s">
        <v>1180</v>
      </c>
      <c r="D737" s="3">
        <v>167.31</v>
      </c>
      <c r="E737" s="16" t="str">
        <f>IFERROR(__xludf.DUMMYFUNCTION("IFERROR(
  TEXTJOIN(CHAR(10),TRUE,FILTER('SUMMARY DATA'!E:E,'SUMMARY DATA'!$A:$A=$A737,'SUMMARY DATA'!$C:$C=$B737,'SUMMARY DATA'!$B:$B=""RWS"")),
  IF(
    OR(
      ISNUMBER(SEARCH(""CDM CASH DEPOSIT"",$C737)),
      ISNUMBER(SEARCH(""CASH DEPOSIT"",$C73"&amp;"7)),
      COUNTIFS('SUMMARY DATA'!$D:$D,$C737,'SUMMARY DATA'!$B:$B,""RWS"")&lt;&gt;1
    ),
    """",
    IFERROR(TEXTJOIN(CHAR(10),TRUE,FILTER('SUMMARY DATA'!E:E,'SUMMARY DATA'!$D:$D=$C737,'SUMMARY DATA'!$B:$B=""RWS"")),"""")
  )
)"),"")</f>
      </c>
      <c r="F737" s="17" t="str">
        <f>IFERROR(__xludf.DUMMYFUNCTION("IFERROR(
  TEXTJOIN(CHAR(10),TRUE,FILTER('SUMMARY DATA'!F:F,'SUMMARY DATA'!$A:$A=$A737,'SUMMARY DATA'!$C:$C=$B737,'SUMMARY DATA'!$B:$B=""RWS"")),
  IF(
    OR(
      ISNUMBER(SEARCH(""CDM CASH DEPOSIT"",$C737)),
      ISNUMBER(SEARCH(""CASH DEPOSIT"",$C73"&amp;"7)),
      COUNTIFS('SUMMARY DATA'!$D:$D,$C737,'SUMMARY DATA'!$B:$B,""RWS"")&lt;&gt;1
    ),
    """",
    IFERROR(TEXTJOIN(CHAR(10),TRUE,FILTER('SUMMARY DATA'!F:F,'SUMMARY DATA'!$D:$D=$C737,'SUMMARY DATA'!$B:$B=""RWS"")),"""")
  )
)"),"")</f>
      </c>
      <c r="G737" s="17" t="str">
        <f>IFERROR(__xludf.DUMMYFUNCTION("IFERROR(
  TEXTJOIN(CHAR(10),TRUE,FILTER('SUMMARY DATA'!G:G,'SUMMARY DATA'!$A:$A=$A737,'SUMMARY DATA'!$C:$C=$B737,'SUMMARY DATA'!$B:$B=""RWS"")),
  IF(
    OR(
      ISNUMBER(SEARCH(""CDM CASH DEPOSIT"",$C737)),
      ISNUMBER(SEARCH(""CASH DEPOSIT"",$C73"&amp;"7)),
      COUNTIFS('SUMMARY DATA'!$D:$D,$C737,'SUMMARY DATA'!$B:$B,""RWS"")&lt;&gt;1
    ),
    """",
    IFERROR(TEXTJOIN(CHAR(10),TRUE,FILTER('SUMMARY DATA'!G:G,'SUMMARY DATA'!$D:$D=$C737,'SUMMARY DATA'!$B:$B=""RWS"")),"""")
  )
)"),"")</f>
      </c>
      <c r="H737" s="18" t="str">
        <f>IFERROR(__xludf.DUMMYFUNCTION("IFERROR(
  TEXTJOIN(CHAR(10),TRUE,FILTER('SUMMARY DATA'!H:H,'SUMMARY DATA'!$A:$A=$A737,'SUMMARY DATA'!$C:$C=$B737,'SUMMARY DATA'!$B:$B=""RWS"",'SUMMARY DATA'!$H:$H=$D737)),
  IF(
    OR(
      ISNUMBER(SEARCH(""CDM CASH DEPOSIT"",$C737)),
      ISNUMBER(S"&amp;"EARCH(""CASH DEPOSIT"",$C737))
    ),
    """",
    IFERROR(TEXTJOIN(CHAR(10),TRUE,FILTER('SUMMARY DATA'!H:H,'SUMMARY DATA'!$D:$D=$C737,'SUMMARY DATA'!$B:$B=""RWS"",'SUMMARY DATA'!$H:$H=$D737)),"""")
  )
)"),"")</f>
      </c>
      <c r="I737" s="18" t="str">
        <f>IFERROR(__xludf.DUMMYFUNCTION("IF(H737="""","""",
SUM(ARRAYFORMULA(VALUE(SPLIT(H737,CHAR(10)))))
)"),"")</f>
      </c>
      <c r="J737" s="17" t="str">
        <f>IFERROR(__xludf.DUMMYFUNCTION("IFERROR(
  TEXTJOIN(CHAR(10),TRUE,FILTER('SUMMARY DATA'!I:I,'SUMMARY DATA'!$A:$A=$A737,'SUMMARY DATA'!$C:$C=$B737,'SUMMARY DATA'!$B:$B=""RWS"")),
  IF(
    OR(
      ISNUMBER(SEARCH(""CDM CASH DEPOSIT"",$C737)),
      ISNUMBER(SEARCH(""CASH DEPOSIT"",$C73"&amp;"7)),
      COUNTIFS('SUMMARY DATA'!$D:$D,$C737,'SUMMARY DATA'!$B:$B,""RWS"")&lt;&gt;1
    ),
    """",
    IFERROR(TEXTJOIN(CHAR(10),TRUE,FILTER('SUMMARY DATA'!I:I,'SUMMARY DATA'!$D:$D=$C737,'SUMMARY DATA'!$B:$B=""RWS"")),"""")
  )
)"),"")</f>
      </c>
      <c r="K737" s="2"/>
      <c r="L737" s="2"/>
      <c r="M737" s="2"/>
      <c r="N737" s="2"/>
      <c r="O737" s="2"/>
      <c r="P737" s="2"/>
      <c r="Q737" s="2"/>
      <c r="R737" s="2"/>
      <c r="S737" s="2"/>
      <c r="T737" s="2"/>
      <c r="U737" s="2"/>
      <c r="V737" s="2"/>
      <c r="W737" s="2"/>
      <c r="X737" s="2"/>
      <c r="Y737" s="2"/>
      <c r="Z737" s="2"/>
      <c r="AA737" s="2"/>
      <c r="AB737" s="2"/>
    </row>
    <row r="738" spans="1:28" customHeight="true">
      <c r="A738" s="2" t="s">
        <v>1181</v>
      </c>
      <c r="B738" s="15">
        <v>46027</v>
      </c>
      <c r="C738" s="2" t="s">
        <v>48</v>
      </c>
      <c r="D738" s="3">
        <v>100</v>
      </c>
      <c r="E738" s="16" t="str">
        <f>IFERROR(__xludf.DUMMYFUNCTION("IFERROR(
  TEXTJOIN(CHAR(10),TRUE,FILTER('SUMMARY DATA'!E:E,'SUMMARY DATA'!$A:$A=$A738,'SUMMARY DATA'!$C:$C=$B738,'SUMMARY DATA'!$B:$B=""RWS"")),
  IF(
    OR(
      ISNUMBER(SEARCH(""CDM CASH DEPOSIT"",$C738)),
      ISNUMBER(SEARCH(""CASH DEPOSIT"",$C73"&amp;"8)),
      COUNTIFS('SUMMARY DATA'!$D:$D,$C738,'SUMMARY DATA'!$B:$B,""RWS"")&lt;&gt;1
    ),
    """",
    IFERROR(TEXTJOIN(CHAR(10),TRUE,FILTER('SUMMARY DATA'!E:E,'SUMMARY DATA'!$D:$D=$C738,'SUMMARY DATA'!$B:$B=""RWS"")),"""")
  )
)"),"")</f>
      </c>
      <c r="F738" s="17" t="str">
        <f>IFERROR(__xludf.DUMMYFUNCTION("IFERROR(
  TEXTJOIN(CHAR(10),TRUE,FILTER('SUMMARY DATA'!F:F,'SUMMARY DATA'!$A:$A=$A738,'SUMMARY DATA'!$C:$C=$B738,'SUMMARY DATA'!$B:$B=""RWS"")),
  IF(
    OR(
      ISNUMBER(SEARCH(""CDM CASH DEPOSIT"",$C738)),
      ISNUMBER(SEARCH(""CASH DEPOSIT"",$C73"&amp;"8)),
      COUNTIFS('SUMMARY DATA'!$D:$D,$C738,'SUMMARY DATA'!$B:$B,""RWS"")&lt;&gt;1
    ),
    """",
    IFERROR(TEXTJOIN(CHAR(10),TRUE,FILTER('SUMMARY DATA'!F:F,'SUMMARY DATA'!$D:$D=$C738,'SUMMARY DATA'!$B:$B=""RWS"")),"""")
  )
)"),"")</f>
      </c>
      <c r="G738" s="17" t="str">
        <f>IFERROR(__xludf.DUMMYFUNCTION("IFERROR(
  TEXTJOIN(CHAR(10),TRUE,FILTER('SUMMARY DATA'!G:G,'SUMMARY DATA'!$A:$A=$A738,'SUMMARY DATA'!$C:$C=$B738,'SUMMARY DATA'!$B:$B=""RWS"")),
  IF(
    OR(
      ISNUMBER(SEARCH(""CDM CASH DEPOSIT"",$C738)),
      ISNUMBER(SEARCH(""CASH DEPOSIT"",$C73"&amp;"8)),
      COUNTIFS('SUMMARY DATA'!$D:$D,$C738,'SUMMARY DATA'!$B:$B,""RWS"")&lt;&gt;1
    ),
    """",
    IFERROR(TEXTJOIN(CHAR(10),TRUE,FILTER('SUMMARY DATA'!G:G,'SUMMARY DATA'!$D:$D=$C738,'SUMMARY DATA'!$B:$B=""RWS"")),"""")
  )
)"),"")</f>
      </c>
      <c r="H738" s="18" t="str">
        <f>IFERROR(__xludf.DUMMYFUNCTION("IFERROR(
  TEXTJOIN(CHAR(10),TRUE,FILTER('SUMMARY DATA'!H:H,'SUMMARY DATA'!$A:$A=$A738,'SUMMARY DATA'!$C:$C=$B738,'SUMMARY DATA'!$B:$B=""RWS"",'SUMMARY DATA'!$H:$H=$D738)),
  IF(
    OR(
      ISNUMBER(SEARCH(""CDM CASH DEPOSIT"",$C738)),
      ISNUMBER(S"&amp;"EARCH(""CASH DEPOSIT"",$C738))
    ),
    """",
    IFERROR(TEXTJOIN(CHAR(10),TRUE,FILTER('SUMMARY DATA'!H:H,'SUMMARY DATA'!$D:$D=$C738,'SUMMARY DATA'!$B:$B=""RWS"",'SUMMARY DATA'!$H:$H=$D738)),"""")
  )
)"),"")</f>
      </c>
      <c r="I738" s="18" t="str">
        <f>IFERROR(__xludf.DUMMYFUNCTION("IF(H738="""","""",
SUM(ARRAYFORMULA(VALUE(SPLIT(H738,CHAR(10)))))
)"),"")</f>
      </c>
      <c r="J738" s="17" t="str">
        <f>IFERROR(__xludf.DUMMYFUNCTION("IFERROR(
  TEXTJOIN(CHAR(10),TRUE,FILTER('SUMMARY DATA'!I:I,'SUMMARY DATA'!$A:$A=$A738,'SUMMARY DATA'!$C:$C=$B738,'SUMMARY DATA'!$B:$B=""RWS"")),
  IF(
    OR(
      ISNUMBER(SEARCH(""CDM CASH DEPOSIT"",$C738)),
      ISNUMBER(SEARCH(""CASH DEPOSIT"",$C73"&amp;"8)),
      COUNTIFS('SUMMARY DATA'!$D:$D,$C738,'SUMMARY DATA'!$B:$B,""RWS"")&lt;&gt;1
    ),
    """",
    IFERROR(TEXTJOIN(CHAR(10),TRUE,FILTER('SUMMARY DATA'!I:I,'SUMMARY DATA'!$D:$D=$C738,'SUMMARY DATA'!$B:$B=""RWS"")),"""")
  )
)"),"")</f>
      </c>
      <c r="K738" s="2"/>
      <c r="L738" s="2"/>
      <c r="M738" s="2"/>
      <c r="N738" s="2"/>
      <c r="O738" s="2"/>
      <c r="P738" s="2"/>
      <c r="Q738" s="2"/>
      <c r="R738" s="2"/>
      <c r="S738" s="2"/>
      <c r="T738" s="2"/>
      <c r="U738" s="2"/>
      <c r="V738" s="2"/>
      <c r="W738" s="2"/>
      <c r="X738" s="2"/>
      <c r="Y738" s="2"/>
      <c r="Z738" s="2"/>
      <c r="AA738" s="2"/>
      <c r="AB738" s="2"/>
    </row>
    <row r="739" spans="1:28" customHeight="true">
      <c r="A739" s="2" t="s">
        <v>1182</v>
      </c>
      <c r="B739" s="15">
        <v>46027</v>
      </c>
      <c r="C739" s="2" t="s">
        <v>1183</v>
      </c>
      <c r="D739" s="3">
        <v>184.01</v>
      </c>
      <c r="E739" s="16" t="str">
        <f>IFERROR(__xludf.DUMMYFUNCTION("IFERROR(
  TEXTJOIN(CHAR(10),TRUE,FILTER('SUMMARY DATA'!E:E,'SUMMARY DATA'!$A:$A=$A739,'SUMMARY DATA'!$C:$C=$B739,'SUMMARY DATA'!$B:$B=""RWS"")),
  IF(
    OR(
      ISNUMBER(SEARCH(""CDM CASH DEPOSIT"",$C739)),
      ISNUMBER(SEARCH(""CASH DEPOSIT"",$C73"&amp;"9)),
      COUNTIFS('SUMMARY DATA'!$D:$D,$C739,'SUMMARY DATA'!$B:$B,""RWS"")&lt;&gt;1
    ),
    """",
    IFERROR(TEXTJOIN(CHAR(10),TRUE,FILTER('SUMMARY DATA'!E:E,'SUMMARY DATA'!$D:$D=$C739,'SUMMARY DATA'!$B:$B=""RWS"")),"""")
  )
)"),"")</f>
      </c>
      <c r="F739" s="17" t="str">
        <f>IFERROR(__xludf.DUMMYFUNCTION("IFERROR(
  TEXTJOIN(CHAR(10),TRUE,FILTER('SUMMARY DATA'!F:F,'SUMMARY DATA'!$A:$A=$A739,'SUMMARY DATA'!$C:$C=$B739,'SUMMARY DATA'!$B:$B=""RWS"")),
  IF(
    OR(
      ISNUMBER(SEARCH(""CDM CASH DEPOSIT"",$C739)),
      ISNUMBER(SEARCH(""CASH DEPOSIT"",$C73"&amp;"9)),
      COUNTIFS('SUMMARY DATA'!$D:$D,$C739,'SUMMARY DATA'!$B:$B,""RWS"")&lt;&gt;1
    ),
    """",
    IFERROR(TEXTJOIN(CHAR(10),TRUE,FILTER('SUMMARY DATA'!F:F,'SUMMARY DATA'!$D:$D=$C739,'SUMMARY DATA'!$B:$B=""RWS"")),"""")
  )
)"),"")</f>
      </c>
      <c r="G739" s="17" t="str">
        <f>IFERROR(__xludf.DUMMYFUNCTION("IFERROR(
  TEXTJOIN(CHAR(10),TRUE,FILTER('SUMMARY DATA'!G:G,'SUMMARY DATA'!$A:$A=$A739,'SUMMARY DATA'!$C:$C=$B739,'SUMMARY DATA'!$B:$B=""RWS"")),
  IF(
    OR(
      ISNUMBER(SEARCH(""CDM CASH DEPOSIT"",$C739)),
      ISNUMBER(SEARCH(""CASH DEPOSIT"",$C73"&amp;"9)),
      COUNTIFS('SUMMARY DATA'!$D:$D,$C739,'SUMMARY DATA'!$B:$B,""RWS"")&lt;&gt;1
    ),
    """",
    IFERROR(TEXTJOIN(CHAR(10),TRUE,FILTER('SUMMARY DATA'!G:G,'SUMMARY DATA'!$D:$D=$C739,'SUMMARY DATA'!$B:$B=""RWS"")),"""")
  )
)"),"")</f>
      </c>
      <c r="H739" s="18" t="str">
        <f>IFERROR(__xludf.DUMMYFUNCTION("IFERROR(
  TEXTJOIN(CHAR(10),TRUE,FILTER('SUMMARY DATA'!H:H,'SUMMARY DATA'!$A:$A=$A739,'SUMMARY DATA'!$C:$C=$B739,'SUMMARY DATA'!$B:$B=""RWS"",'SUMMARY DATA'!$H:$H=$D739)),
  IF(
    OR(
      ISNUMBER(SEARCH(""CDM CASH DEPOSIT"",$C739)),
      ISNUMBER(S"&amp;"EARCH(""CASH DEPOSIT"",$C739))
    ),
    """",
    IFERROR(TEXTJOIN(CHAR(10),TRUE,FILTER('SUMMARY DATA'!H:H,'SUMMARY DATA'!$D:$D=$C739,'SUMMARY DATA'!$B:$B=""RWS"",'SUMMARY DATA'!$H:$H=$D739)),"""")
  )
)"),"")</f>
      </c>
      <c r="I739" s="18" t="str">
        <f>IFERROR(__xludf.DUMMYFUNCTION("IF(H739="""","""",
SUM(ARRAYFORMULA(VALUE(SPLIT(H739,CHAR(10)))))
)"),"")</f>
      </c>
      <c r="J739" s="17" t="str">
        <f>IFERROR(__xludf.DUMMYFUNCTION("IFERROR(
  TEXTJOIN(CHAR(10),TRUE,FILTER('SUMMARY DATA'!I:I,'SUMMARY DATA'!$A:$A=$A739,'SUMMARY DATA'!$C:$C=$B739,'SUMMARY DATA'!$B:$B=""RWS"")),
  IF(
    OR(
      ISNUMBER(SEARCH(""CDM CASH DEPOSIT"",$C739)),
      ISNUMBER(SEARCH(""CASH DEPOSIT"",$C73"&amp;"9)),
      COUNTIFS('SUMMARY DATA'!$D:$D,$C739,'SUMMARY DATA'!$B:$B,""RWS"")&lt;&gt;1
    ),
    """",
    IFERROR(TEXTJOIN(CHAR(10),TRUE,FILTER('SUMMARY DATA'!I:I,'SUMMARY DATA'!$D:$D=$C739,'SUMMARY DATA'!$B:$B=""RWS"")),"""")
  )
)"),"")</f>
      </c>
      <c r="K739" s="2"/>
      <c r="L739" s="2"/>
      <c r="M739" s="2"/>
      <c r="N739" s="2"/>
      <c r="O739" s="2"/>
      <c r="P739" s="2"/>
      <c r="Q739" s="2"/>
      <c r="R739" s="2"/>
      <c r="S739" s="2"/>
      <c r="T739" s="2"/>
      <c r="U739" s="2"/>
      <c r="V739" s="2"/>
      <c r="W739" s="2"/>
      <c r="X739" s="2"/>
      <c r="Y739" s="2"/>
      <c r="Z739" s="2"/>
      <c r="AA739" s="2"/>
      <c r="AB739" s="2"/>
    </row>
    <row r="740" spans="1:28" customHeight="true">
      <c r="A740" s="2"/>
      <c r="B740" s="15">
        <v>46026</v>
      </c>
      <c r="C740" s="2" t="s">
        <v>1184</v>
      </c>
      <c r="D740" s="3">
        <v>168.98</v>
      </c>
      <c r="E740" s="16" t="str">
        <f>IFERROR(__xludf.DUMMYFUNCTION("IFERROR(
  TEXTJOIN(CHAR(10),TRUE,FILTER('SUMMARY DATA'!E:E,'SUMMARY DATA'!$A:$A=$A740,'SUMMARY DATA'!$C:$C=$B740,'SUMMARY DATA'!$B:$B=""RWS"")),
  IF(
    OR(
      ISNUMBER(SEARCH(""CDM CASH DEPOSIT"",$C740)),
      ISNUMBER(SEARCH(""CASH DEPOSIT"",$C74"&amp;"0)),
      COUNTIFS('SUMMARY DATA'!$D:$D,$C740,'SUMMARY DATA'!$B:$B,""RWS"")&lt;&gt;1
    ),
    """",
    IFERROR(TEXTJOIN(CHAR(10),TRUE,FILTER('SUMMARY DATA'!E:E,'SUMMARY DATA'!$D:$D=$C740,'SUMMARY DATA'!$B:$B=""RWS"")),"""")
  )
)"),"")</f>
      </c>
      <c r="F740" s="17" t="str">
        <f>IFERROR(__xludf.DUMMYFUNCTION("IFERROR(
  TEXTJOIN(CHAR(10),TRUE,FILTER('SUMMARY DATA'!F:F,'SUMMARY DATA'!$A:$A=$A740,'SUMMARY DATA'!$C:$C=$B740,'SUMMARY DATA'!$B:$B=""RWS"")),
  IF(
    OR(
      ISNUMBER(SEARCH(""CDM CASH DEPOSIT"",$C740)),
      ISNUMBER(SEARCH(""CASH DEPOSIT"",$C74"&amp;"0)),
      COUNTIFS('SUMMARY DATA'!$D:$D,$C740,'SUMMARY DATA'!$B:$B,""RWS"")&lt;&gt;1
    ),
    """",
    IFERROR(TEXTJOIN(CHAR(10),TRUE,FILTER('SUMMARY DATA'!F:F,'SUMMARY DATA'!$D:$D=$C740,'SUMMARY DATA'!$B:$B=""RWS"")),"""")
  )
)"),"")</f>
      </c>
      <c r="G740" s="17" t="str">
        <f>IFERROR(__xludf.DUMMYFUNCTION("IFERROR(
  TEXTJOIN(CHAR(10),TRUE,FILTER('SUMMARY DATA'!G:G,'SUMMARY DATA'!$A:$A=$A740,'SUMMARY DATA'!$C:$C=$B740,'SUMMARY DATA'!$B:$B=""RWS"")),
  IF(
    OR(
      ISNUMBER(SEARCH(""CDM CASH DEPOSIT"",$C740)),
      ISNUMBER(SEARCH(""CASH DEPOSIT"",$C74"&amp;"0)),
      COUNTIFS('SUMMARY DATA'!$D:$D,$C740,'SUMMARY DATA'!$B:$B,""RWS"")&lt;&gt;1
    ),
    """",
    IFERROR(TEXTJOIN(CHAR(10),TRUE,FILTER('SUMMARY DATA'!G:G,'SUMMARY DATA'!$D:$D=$C740,'SUMMARY DATA'!$B:$B=""RWS"")),"""")
  )
)"),"")</f>
      </c>
      <c r="H740" s="18" t="str">
        <f>IFERROR(__xludf.DUMMYFUNCTION("IFERROR(
  TEXTJOIN(CHAR(10),TRUE,FILTER('SUMMARY DATA'!H:H,'SUMMARY DATA'!$A:$A=$A740,'SUMMARY DATA'!$C:$C=$B740,'SUMMARY DATA'!$B:$B=""RWS"",'SUMMARY DATA'!$H:$H=$D740)),
  IF(
    OR(
      ISNUMBER(SEARCH(""CDM CASH DEPOSIT"",$C740)),
      ISNUMBER(S"&amp;"EARCH(""CASH DEPOSIT"",$C740))
    ),
    """",
    IFERROR(TEXTJOIN(CHAR(10),TRUE,FILTER('SUMMARY DATA'!H:H,'SUMMARY DATA'!$D:$D=$C740,'SUMMARY DATA'!$B:$B=""RWS"",'SUMMARY DATA'!$H:$H=$D740)),"""")
  )
)"),"")</f>
      </c>
      <c r="I740" s="18" t="str">
        <f>IFERROR(__xludf.DUMMYFUNCTION("IF(H740="""","""",
SUM(ARRAYFORMULA(VALUE(SPLIT(H740,CHAR(10)))))
)"),"")</f>
      </c>
      <c r="J740" s="17" t="str">
        <f>IFERROR(__xludf.DUMMYFUNCTION("IFERROR(
  TEXTJOIN(CHAR(10),TRUE,FILTER('SUMMARY DATA'!I:I,'SUMMARY DATA'!$A:$A=$A740,'SUMMARY DATA'!$C:$C=$B740,'SUMMARY DATA'!$B:$B=""RWS"")),
  IF(
    OR(
      ISNUMBER(SEARCH(""CDM CASH DEPOSIT"",$C740)),
      ISNUMBER(SEARCH(""CASH DEPOSIT"",$C74"&amp;"0)),
      COUNTIFS('SUMMARY DATA'!$D:$D,$C740,'SUMMARY DATA'!$B:$B,""RWS"")&lt;&gt;1
    ),
    """",
    IFERROR(TEXTJOIN(CHAR(10),TRUE,FILTER('SUMMARY DATA'!I:I,'SUMMARY DATA'!$D:$D=$C740,'SUMMARY DATA'!$B:$B=""RWS"")),"""")
  )
)"),"")</f>
      </c>
      <c r="K740" s="2"/>
      <c r="L740" s="2"/>
      <c r="M740" s="2"/>
      <c r="N740" s="2"/>
      <c r="O740" s="2"/>
      <c r="P740" s="2"/>
      <c r="Q740" s="2"/>
      <c r="R740" s="2"/>
      <c r="S740" s="2"/>
      <c r="T740" s="2"/>
      <c r="U740" s="2"/>
      <c r="V740" s="2"/>
      <c r="W740" s="2"/>
      <c r="X740" s="2"/>
      <c r="Y740" s="2"/>
      <c r="Z740" s="2"/>
      <c r="AA740" s="2"/>
      <c r="AB740" s="2"/>
    </row>
    <row r="741" spans="1:28" customHeight="true">
      <c r="A741" s="2" t="s">
        <v>1185</v>
      </c>
      <c r="B741" s="15">
        <v>46026</v>
      </c>
      <c r="C741" s="2" t="s">
        <v>1186</v>
      </c>
      <c r="D741" s="3">
        <v>156.57</v>
      </c>
      <c r="E741" s="16" t="s">
        <v>2651</v>
      </c>
      <c r="F741" s="17" t="s">
        <v>2652</v>
      </c>
      <c r="G741" s="17" t="s">
        <v>2393</v>
      </c>
      <c r="H741" s="18">
        <v>156.57</v>
      </c>
      <c r="I741" s="18">
        <v>156.57</v>
      </c>
      <c r="J741" s="17" t="s">
        <v>2546</v>
      </c>
      <c r="K741" s="2" t="s">
        <v>2395</v>
      </c>
      <c r="L741" s="2"/>
      <c r="M741" s="2"/>
      <c r="N741" s="2"/>
      <c r="O741" s="2"/>
      <c r="P741" s="2"/>
      <c r="Q741" s="2"/>
      <c r="R741" s="2"/>
      <c r="S741" s="2"/>
      <c r="T741" s="2"/>
      <c r="U741" s="2"/>
      <c r="V741" s="2"/>
      <c r="W741" s="2"/>
      <c r="X741" s="2"/>
      <c r="Y741" s="2"/>
      <c r="Z741" s="2"/>
      <c r="AA741" s="2"/>
      <c r="AB741" s="2"/>
    </row>
    <row r="742" spans="1:28" customHeight="true">
      <c r="A742" s="2" t="s">
        <v>1187</v>
      </c>
      <c r="B742" s="15">
        <v>46025</v>
      </c>
      <c r="C742" s="2" t="s">
        <v>1188</v>
      </c>
      <c r="D742" s="3">
        <v>131.97</v>
      </c>
      <c r="E742" s="16" t="str">
        <f>IFERROR(__xludf.DUMMYFUNCTION("IFERROR(
  TEXTJOIN(CHAR(10),TRUE,FILTER('SUMMARY DATA'!E:E,'SUMMARY DATA'!$A:$A=$A742,'SUMMARY DATA'!$C:$C=$B742,'SUMMARY DATA'!$B:$B=""RWS"")),
  IF(
    OR(
      ISNUMBER(SEARCH(""CDM CASH DEPOSIT"",$C742)),
      ISNUMBER(SEARCH(""CASH DEPOSIT"",$C74"&amp;"2)),
      COUNTIFS('SUMMARY DATA'!$D:$D,$C742,'SUMMARY DATA'!$B:$B,""RWS"")&lt;&gt;1
    ),
    """",
    IFERROR(TEXTJOIN(CHAR(10),TRUE,FILTER('SUMMARY DATA'!E:E,'SUMMARY DATA'!$D:$D=$C742,'SUMMARY DATA'!$B:$B=""RWS"")),"""")
  )
)"),"")</f>
      </c>
      <c r="F742" s="17" t="str">
        <f>IFERROR(__xludf.DUMMYFUNCTION("IFERROR(
  TEXTJOIN(CHAR(10),TRUE,FILTER('SUMMARY DATA'!F:F,'SUMMARY DATA'!$A:$A=$A742,'SUMMARY DATA'!$C:$C=$B742,'SUMMARY DATA'!$B:$B=""RWS"")),
  IF(
    OR(
      ISNUMBER(SEARCH(""CDM CASH DEPOSIT"",$C742)),
      ISNUMBER(SEARCH(""CASH DEPOSIT"",$C74"&amp;"2)),
      COUNTIFS('SUMMARY DATA'!$D:$D,$C742,'SUMMARY DATA'!$B:$B,""RWS"")&lt;&gt;1
    ),
    """",
    IFERROR(TEXTJOIN(CHAR(10),TRUE,FILTER('SUMMARY DATA'!F:F,'SUMMARY DATA'!$D:$D=$C742,'SUMMARY DATA'!$B:$B=""RWS"")),"""")
  )
)"),"")</f>
      </c>
      <c r="G742" s="17" t="str">
        <f>IFERROR(__xludf.DUMMYFUNCTION("IFERROR(
  TEXTJOIN(CHAR(10),TRUE,FILTER('SUMMARY DATA'!G:G,'SUMMARY DATA'!$A:$A=$A742,'SUMMARY DATA'!$C:$C=$B742,'SUMMARY DATA'!$B:$B=""RWS"")),
  IF(
    OR(
      ISNUMBER(SEARCH(""CDM CASH DEPOSIT"",$C742)),
      ISNUMBER(SEARCH(""CASH DEPOSIT"",$C74"&amp;"2)),
      COUNTIFS('SUMMARY DATA'!$D:$D,$C742,'SUMMARY DATA'!$B:$B,""RWS"")&lt;&gt;1
    ),
    """",
    IFERROR(TEXTJOIN(CHAR(10),TRUE,FILTER('SUMMARY DATA'!G:G,'SUMMARY DATA'!$D:$D=$C742,'SUMMARY DATA'!$B:$B=""RWS"")),"""")
  )
)"),"")</f>
      </c>
      <c r="H742" s="18" t="str">
        <f>IFERROR(__xludf.DUMMYFUNCTION("IFERROR(
  TEXTJOIN(CHAR(10),TRUE,FILTER('SUMMARY DATA'!H:H,'SUMMARY DATA'!$A:$A=$A742,'SUMMARY DATA'!$C:$C=$B742,'SUMMARY DATA'!$B:$B=""RWS"",'SUMMARY DATA'!$H:$H=$D742)),
  IF(
    OR(
      ISNUMBER(SEARCH(""CDM CASH DEPOSIT"",$C742)),
      ISNUMBER(S"&amp;"EARCH(""CASH DEPOSIT"",$C742))
    ),
    """",
    IFERROR(TEXTJOIN(CHAR(10),TRUE,FILTER('SUMMARY DATA'!H:H,'SUMMARY DATA'!$D:$D=$C742,'SUMMARY DATA'!$B:$B=""RWS"",'SUMMARY DATA'!$H:$H=$D742)),"""")
  )
)"),"")</f>
      </c>
      <c r="I742" s="18" t="str">
        <f>IFERROR(__xludf.DUMMYFUNCTION("IF(H742="""","""",
SUM(ARRAYFORMULA(VALUE(SPLIT(H742,CHAR(10)))))
)"),"")</f>
      </c>
      <c r="J742" s="17" t="str">
        <f>IFERROR(__xludf.DUMMYFUNCTION("IFERROR(
  TEXTJOIN(CHAR(10),TRUE,FILTER('SUMMARY DATA'!I:I,'SUMMARY DATA'!$A:$A=$A742,'SUMMARY DATA'!$C:$C=$B742,'SUMMARY DATA'!$B:$B=""RWS"")),
  IF(
    OR(
      ISNUMBER(SEARCH(""CDM CASH DEPOSIT"",$C742)),
      ISNUMBER(SEARCH(""CASH DEPOSIT"",$C74"&amp;"2)),
      COUNTIFS('SUMMARY DATA'!$D:$D,$C742,'SUMMARY DATA'!$B:$B,""RWS"")&lt;&gt;1
    ),
    """",
    IFERROR(TEXTJOIN(CHAR(10),TRUE,FILTER('SUMMARY DATA'!I:I,'SUMMARY DATA'!$D:$D=$C742,'SUMMARY DATA'!$B:$B=""RWS"")),"""")
  )
)"),"")</f>
      </c>
      <c r="K742" s="2"/>
      <c r="L742" s="2"/>
      <c r="M742" s="2"/>
      <c r="N742" s="2"/>
      <c r="O742" s="2"/>
      <c r="P742" s="2"/>
      <c r="Q742" s="2"/>
      <c r="R742" s="2"/>
      <c r="S742" s="2"/>
      <c r="T742" s="2"/>
      <c r="U742" s="2"/>
      <c r="V742" s="2"/>
      <c r="W742" s="2"/>
      <c r="X742" s="2"/>
      <c r="Y742" s="2"/>
      <c r="Z742" s="2"/>
      <c r="AA742" s="2"/>
      <c r="AB742" s="2"/>
    </row>
    <row r="743" spans="1:28" customHeight="true">
      <c r="A743" s="2"/>
      <c r="B743" s="15">
        <v>46025</v>
      </c>
      <c r="C743" s="2" t="s">
        <v>1072</v>
      </c>
      <c r="D743" s="3">
        <v>42.75</v>
      </c>
      <c r="E743" s="16" t="str">
        <f>IFERROR(__xludf.DUMMYFUNCTION("IFERROR(
  TEXTJOIN(CHAR(10),TRUE,FILTER('SUMMARY DATA'!E:E,'SUMMARY DATA'!$A:$A=$A743,'SUMMARY DATA'!$C:$C=$B743,'SUMMARY DATA'!$B:$B=""RWS"")),
  IF(
    OR(
      ISNUMBER(SEARCH(""CDM CASH DEPOSIT"",$C743)),
      ISNUMBER(SEARCH(""CASH DEPOSIT"",$C74"&amp;"3)),
      COUNTIFS('SUMMARY DATA'!$D:$D,$C743,'SUMMARY DATA'!$B:$B,""RWS"")&lt;&gt;1
    ),
    """",
    IFERROR(TEXTJOIN(CHAR(10),TRUE,FILTER('SUMMARY DATA'!E:E,'SUMMARY DATA'!$D:$D=$C743,'SUMMARY DATA'!$B:$B=""RWS"")),"""")
  )
)"),"")</f>
      </c>
      <c r="F743" s="17" t="str">
        <f>IFERROR(__xludf.DUMMYFUNCTION("IFERROR(
  TEXTJOIN(CHAR(10),TRUE,FILTER('SUMMARY DATA'!F:F,'SUMMARY DATA'!$A:$A=$A743,'SUMMARY DATA'!$C:$C=$B743,'SUMMARY DATA'!$B:$B=""RWS"")),
  IF(
    OR(
      ISNUMBER(SEARCH(""CDM CASH DEPOSIT"",$C743)),
      ISNUMBER(SEARCH(""CASH DEPOSIT"",$C74"&amp;"3)),
      COUNTIFS('SUMMARY DATA'!$D:$D,$C743,'SUMMARY DATA'!$B:$B,""RWS"")&lt;&gt;1
    ),
    """",
    IFERROR(TEXTJOIN(CHAR(10),TRUE,FILTER('SUMMARY DATA'!F:F,'SUMMARY DATA'!$D:$D=$C743,'SUMMARY DATA'!$B:$B=""RWS"")),"""")
  )
)"),"")</f>
      </c>
      <c r="G743" s="17" t="str">
        <f>IFERROR(__xludf.DUMMYFUNCTION("IFERROR(
  TEXTJOIN(CHAR(10),TRUE,FILTER('SUMMARY DATA'!G:G,'SUMMARY DATA'!$A:$A=$A743,'SUMMARY DATA'!$C:$C=$B743,'SUMMARY DATA'!$B:$B=""RWS"")),
  IF(
    OR(
      ISNUMBER(SEARCH(""CDM CASH DEPOSIT"",$C743)),
      ISNUMBER(SEARCH(""CASH DEPOSIT"",$C74"&amp;"3)),
      COUNTIFS('SUMMARY DATA'!$D:$D,$C743,'SUMMARY DATA'!$B:$B,""RWS"")&lt;&gt;1
    ),
    """",
    IFERROR(TEXTJOIN(CHAR(10),TRUE,FILTER('SUMMARY DATA'!G:G,'SUMMARY DATA'!$D:$D=$C743,'SUMMARY DATA'!$B:$B=""RWS"")),"""")
  )
)"),"")</f>
      </c>
      <c r="H743" s="18" t="str">
        <f>IFERROR(__xludf.DUMMYFUNCTION("IFERROR(
  TEXTJOIN(CHAR(10),TRUE,FILTER('SUMMARY DATA'!H:H,'SUMMARY DATA'!$A:$A=$A743,'SUMMARY DATA'!$C:$C=$B743,'SUMMARY DATA'!$B:$B=""RWS"",'SUMMARY DATA'!$H:$H=$D743)),
  IF(
    OR(
      ISNUMBER(SEARCH(""CDM CASH DEPOSIT"",$C743)),
      ISNUMBER(S"&amp;"EARCH(""CASH DEPOSIT"",$C743))
    ),
    """",
    IFERROR(TEXTJOIN(CHAR(10),TRUE,FILTER('SUMMARY DATA'!H:H,'SUMMARY DATA'!$D:$D=$C743,'SUMMARY DATA'!$B:$B=""RWS"",'SUMMARY DATA'!$H:$H=$D743)),"""")
  )
)"),"")</f>
      </c>
      <c r="I743" s="18" t="str">
        <f>IFERROR(__xludf.DUMMYFUNCTION("IF(H743="""","""",
SUM(ARRAYFORMULA(VALUE(SPLIT(H743,CHAR(10)))))
)"),"")</f>
      </c>
      <c r="J743" s="17" t="str">
        <f>IFERROR(__xludf.DUMMYFUNCTION("IFERROR(
  TEXTJOIN(CHAR(10),TRUE,FILTER('SUMMARY DATA'!I:I,'SUMMARY DATA'!$A:$A=$A743,'SUMMARY DATA'!$C:$C=$B743,'SUMMARY DATA'!$B:$B=""RWS"")),
  IF(
    OR(
      ISNUMBER(SEARCH(""CDM CASH DEPOSIT"",$C743)),
      ISNUMBER(SEARCH(""CASH DEPOSIT"",$C74"&amp;"3)),
      COUNTIFS('SUMMARY DATA'!$D:$D,$C743,'SUMMARY DATA'!$B:$B,""RWS"")&lt;&gt;1
    ),
    """",
    IFERROR(TEXTJOIN(CHAR(10),TRUE,FILTER('SUMMARY DATA'!I:I,'SUMMARY DATA'!$D:$D=$C743,'SUMMARY DATA'!$B:$B=""RWS"")),"""")
  )
)"),"")</f>
      </c>
      <c r="K743" s="2"/>
      <c r="L743" s="2"/>
      <c r="M743" s="2"/>
      <c r="N743" s="2"/>
      <c r="O743" s="2"/>
      <c r="P743" s="2"/>
      <c r="Q743" s="2"/>
      <c r="R743" s="2"/>
      <c r="S743" s="2"/>
      <c r="T743" s="2"/>
      <c r="U743" s="2"/>
      <c r="V743" s="2"/>
      <c r="W743" s="2"/>
      <c r="X743" s="2"/>
      <c r="Y743" s="2"/>
      <c r="Z743" s="2"/>
      <c r="AA743" s="2"/>
      <c r="AB743" s="2"/>
    </row>
    <row r="744" spans="1:28" customHeight="true">
      <c r="A744" s="2" t="s">
        <v>1189</v>
      </c>
      <c r="B744" s="15">
        <v>46025</v>
      </c>
      <c r="C744" s="2" t="s">
        <v>1190</v>
      </c>
      <c r="D744" s="3">
        <v>7.88</v>
      </c>
      <c r="E744" s="16" t="str">
        <f>IFERROR(__xludf.DUMMYFUNCTION("IFERROR(
  TEXTJOIN(CHAR(10),TRUE,FILTER('SUMMARY DATA'!E:E,'SUMMARY DATA'!$A:$A=$A744,'SUMMARY DATA'!$C:$C=$B744,'SUMMARY DATA'!$B:$B=""RWS"")),
  IF(
    OR(
      ISNUMBER(SEARCH(""CDM CASH DEPOSIT"",$C744)),
      ISNUMBER(SEARCH(""CASH DEPOSIT"",$C74"&amp;"4)),
      COUNTIFS('SUMMARY DATA'!$D:$D,$C744,'SUMMARY DATA'!$B:$B,""RWS"")&lt;&gt;1
    ),
    """",
    IFERROR(TEXTJOIN(CHAR(10),TRUE,FILTER('SUMMARY DATA'!E:E,'SUMMARY DATA'!$D:$D=$C744,'SUMMARY DATA'!$B:$B=""RWS"")),"""")
  )
)"),"")</f>
      </c>
      <c r="F744" s="17" t="str">
        <f>IFERROR(__xludf.DUMMYFUNCTION("IFERROR(
  TEXTJOIN(CHAR(10),TRUE,FILTER('SUMMARY DATA'!F:F,'SUMMARY DATA'!$A:$A=$A744,'SUMMARY DATA'!$C:$C=$B744,'SUMMARY DATA'!$B:$B=""RWS"")),
  IF(
    OR(
      ISNUMBER(SEARCH(""CDM CASH DEPOSIT"",$C744)),
      ISNUMBER(SEARCH(""CASH DEPOSIT"",$C74"&amp;"4)),
      COUNTIFS('SUMMARY DATA'!$D:$D,$C744,'SUMMARY DATA'!$B:$B,""RWS"")&lt;&gt;1
    ),
    """",
    IFERROR(TEXTJOIN(CHAR(10),TRUE,FILTER('SUMMARY DATA'!F:F,'SUMMARY DATA'!$D:$D=$C744,'SUMMARY DATA'!$B:$B=""RWS"")),"""")
  )
)"),"")</f>
      </c>
      <c r="G744" s="17" t="str">
        <f>IFERROR(__xludf.DUMMYFUNCTION("IFERROR(
  TEXTJOIN(CHAR(10),TRUE,FILTER('SUMMARY DATA'!G:G,'SUMMARY DATA'!$A:$A=$A744,'SUMMARY DATA'!$C:$C=$B744,'SUMMARY DATA'!$B:$B=""RWS"")),
  IF(
    OR(
      ISNUMBER(SEARCH(""CDM CASH DEPOSIT"",$C744)),
      ISNUMBER(SEARCH(""CASH DEPOSIT"",$C74"&amp;"4)),
      COUNTIFS('SUMMARY DATA'!$D:$D,$C744,'SUMMARY DATA'!$B:$B,""RWS"")&lt;&gt;1
    ),
    """",
    IFERROR(TEXTJOIN(CHAR(10),TRUE,FILTER('SUMMARY DATA'!G:G,'SUMMARY DATA'!$D:$D=$C744,'SUMMARY DATA'!$B:$B=""RWS"")),"""")
  )
)"),"")</f>
      </c>
      <c r="H744" s="18" t="str">
        <f>IFERROR(__xludf.DUMMYFUNCTION("IFERROR(
  TEXTJOIN(CHAR(10),TRUE,FILTER('SUMMARY DATA'!H:H,'SUMMARY DATA'!$A:$A=$A744,'SUMMARY DATA'!$C:$C=$B744,'SUMMARY DATA'!$B:$B=""RWS"",'SUMMARY DATA'!$H:$H=$D744)),
  IF(
    OR(
      ISNUMBER(SEARCH(""CDM CASH DEPOSIT"",$C744)),
      ISNUMBER(S"&amp;"EARCH(""CASH DEPOSIT"",$C744))
    ),
    """",
    IFERROR(TEXTJOIN(CHAR(10),TRUE,FILTER('SUMMARY DATA'!H:H,'SUMMARY DATA'!$D:$D=$C744,'SUMMARY DATA'!$B:$B=""RWS"",'SUMMARY DATA'!$H:$H=$D744)),"""")
  )
)"),"")</f>
      </c>
      <c r="I744" s="18" t="str">
        <f>IFERROR(__xludf.DUMMYFUNCTION("IF(H744="""","""",
SUM(ARRAYFORMULA(VALUE(SPLIT(H744,CHAR(10)))))
)"),"")</f>
      </c>
      <c r="J744" s="17" t="str">
        <f>IFERROR(__xludf.DUMMYFUNCTION("IFERROR(
  TEXTJOIN(CHAR(10),TRUE,FILTER('SUMMARY DATA'!I:I,'SUMMARY DATA'!$A:$A=$A744,'SUMMARY DATA'!$C:$C=$B744,'SUMMARY DATA'!$B:$B=""RWS"")),
  IF(
    OR(
      ISNUMBER(SEARCH(""CDM CASH DEPOSIT"",$C744)),
      ISNUMBER(SEARCH(""CASH DEPOSIT"",$C74"&amp;"4)),
      COUNTIFS('SUMMARY DATA'!$D:$D,$C744,'SUMMARY DATA'!$B:$B,""RWS"")&lt;&gt;1
    ),
    """",
    IFERROR(TEXTJOIN(CHAR(10),TRUE,FILTER('SUMMARY DATA'!I:I,'SUMMARY DATA'!$D:$D=$C744,'SUMMARY DATA'!$B:$B=""RWS"")),"""")
  )
)"),"")</f>
      </c>
      <c r="K744" s="2"/>
      <c r="L744" s="2"/>
      <c r="M744" s="2"/>
      <c r="N744" s="2"/>
      <c r="O744" s="2"/>
      <c r="P744" s="2"/>
      <c r="Q744" s="2"/>
      <c r="R744" s="2"/>
      <c r="S744" s="2"/>
      <c r="T744" s="2"/>
      <c r="U744" s="2"/>
      <c r="V744" s="2"/>
      <c r="W744" s="2"/>
      <c r="X744" s="2"/>
      <c r="Y744" s="2"/>
      <c r="Z744" s="2"/>
      <c r="AA744" s="2"/>
      <c r="AB744" s="2"/>
    </row>
    <row r="745" spans="1:28" customHeight="true">
      <c r="A745" s="2"/>
      <c r="B745" s="15">
        <v>46025</v>
      </c>
      <c r="C745" s="2" t="s">
        <v>1191</v>
      </c>
      <c r="D745" s="3">
        <v>4.99</v>
      </c>
      <c r="E745" s="16" t="str">
        <f>IFERROR(__xludf.DUMMYFUNCTION("IFERROR(
  TEXTJOIN(CHAR(10),TRUE,FILTER('SUMMARY DATA'!E:E,'SUMMARY DATA'!$A:$A=$A745,'SUMMARY DATA'!$C:$C=$B745,'SUMMARY DATA'!$B:$B=""RWS"")),
  IF(
    OR(
      ISNUMBER(SEARCH(""CDM CASH DEPOSIT"",$C745)),
      ISNUMBER(SEARCH(""CASH DEPOSIT"",$C74"&amp;"5)),
      COUNTIFS('SUMMARY DATA'!$D:$D,$C745,'SUMMARY DATA'!$B:$B,""RWS"")&lt;&gt;1
    ),
    """",
    IFERROR(TEXTJOIN(CHAR(10),TRUE,FILTER('SUMMARY DATA'!E:E,'SUMMARY DATA'!$D:$D=$C745,'SUMMARY DATA'!$B:$B=""RWS"")),"""")
  )
)"),"")</f>
      </c>
      <c r="F745" s="17" t="str">
        <f>IFERROR(__xludf.DUMMYFUNCTION("IFERROR(
  TEXTJOIN(CHAR(10),TRUE,FILTER('SUMMARY DATA'!F:F,'SUMMARY DATA'!$A:$A=$A745,'SUMMARY DATA'!$C:$C=$B745,'SUMMARY DATA'!$B:$B=""RWS"")),
  IF(
    OR(
      ISNUMBER(SEARCH(""CDM CASH DEPOSIT"",$C745)),
      ISNUMBER(SEARCH(""CASH DEPOSIT"",$C74"&amp;"5)),
      COUNTIFS('SUMMARY DATA'!$D:$D,$C745,'SUMMARY DATA'!$B:$B,""RWS"")&lt;&gt;1
    ),
    """",
    IFERROR(TEXTJOIN(CHAR(10),TRUE,FILTER('SUMMARY DATA'!F:F,'SUMMARY DATA'!$D:$D=$C745,'SUMMARY DATA'!$B:$B=""RWS"")),"""")
  )
)"),"")</f>
      </c>
      <c r="G745" s="17" t="str">
        <f>IFERROR(__xludf.DUMMYFUNCTION("IFERROR(
  TEXTJOIN(CHAR(10),TRUE,FILTER('SUMMARY DATA'!G:G,'SUMMARY DATA'!$A:$A=$A745,'SUMMARY DATA'!$C:$C=$B745,'SUMMARY DATA'!$B:$B=""RWS"")),
  IF(
    OR(
      ISNUMBER(SEARCH(""CDM CASH DEPOSIT"",$C745)),
      ISNUMBER(SEARCH(""CASH DEPOSIT"",$C74"&amp;"5)),
      COUNTIFS('SUMMARY DATA'!$D:$D,$C745,'SUMMARY DATA'!$B:$B,""RWS"")&lt;&gt;1
    ),
    """",
    IFERROR(TEXTJOIN(CHAR(10),TRUE,FILTER('SUMMARY DATA'!G:G,'SUMMARY DATA'!$D:$D=$C745,'SUMMARY DATA'!$B:$B=""RWS"")),"""")
  )
)"),"")</f>
      </c>
      <c r="H745" s="18" t="str">
        <f>IFERROR(__xludf.DUMMYFUNCTION("IFERROR(
  TEXTJOIN(CHAR(10),TRUE,FILTER('SUMMARY DATA'!H:H,'SUMMARY DATA'!$A:$A=$A745,'SUMMARY DATA'!$C:$C=$B745,'SUMMARY DATA'!$B:$B=""RWS"",'SUMMARY DATA'!$H:$H=$D745)),
  IF(
    OR(
      ISNUMBER(SEARCH(""CDM CASH DEPOSIT"",$C745)),
      ISNUMBER(S"&amp;"EARCH(""CASH DEPOSIT"",$C745))
    ),
    """",
    IFERROR(TEXTJOIN(CHAR(10),TRUE,FILTER('SUMMARY DATA'!H:H,'SUMMARY DATA'!$D:$D=$C745,'SUMMARY DATA'!$B:$B=""RWS"",'SUMMARY DATA'!$H:$H=$D745)),"""")
  )
)"),"")</f>
      </c>
      <c r="I745" s="18" t="str">
        <f>IFERROR(__xludf.DUMMYFUNCTION("IF(H745="""","""",
SUM(ARRAYFORMULA(VALUE(SPLIT(H745,CHAR(10)))))
)"),"")</f>
      </c>
      <c r="J745" s="17" t="str">
        <f>IFERROR(__xludf.DUMMYFUNCTION("IFERROR(
  TEXTJOIN(CHAR(10),TRUE,FILTER('SUMMARY DATA'!I:I,'SUMMARY DATA'!$A:$A=$A745,'SUMMARY DATA'!$C:$C=$B745,'SUMMARY DATA'!$B:$B=""RWS"")),
  IF(
    OR(
      ISNUMBER(SEARCH(""CDM CASH DEPOSIT"",$C745)),
      ISNUMBER(SEARCH(""CASH DEPOSIT"",$C74"&amp;"5)),
      COUNTIFS('SUMMARY DATA'!$D:$D,$C745,'SUMMARY DATA'!$B:$B,""RWS"")&lt;&gt;1
    ),
    """",
    IFERROR(TEXTJOIN(CHAR(10),TRUE,FILTER('SUMMARY DATA'!I:I,'SUMMARY DATA'!$D:$D=$C745,'SUMMARY DATA'!$B:$B=""RWS"")),"""")
  )
)"),"")</f>
      </c>
      <c r="K745" s="2"/>
      <c r="L745" s="2"/>
      <c r="M745" s="2"/>
      <c r="N745" s="2"/>
      <c r="O745" s="2"/>
      <c r="P745" s="2"/>
      <c r="Q745" s="2"/>
      <c r="R745" s="2"/>
      <c r="S745" s="2"/>
      <c r="T745" s="2"/>
      <c r="U745" s="2"/>
      <c r="V745" s="2"/>
      <c r="W745" s="2"/>
      <c r="X745" s="2"/>
      <c r="Y745" s="2"/>
      <c r="Z745" s="2"/>
      <c r="AA745" s="2"/>
      <c r="AB745" s="2"/>
    </row>
    <row r="746" spans="1:28" customHeight="true">
      <c r="A746" s="2" t="s">
        <v>1192</v>
      </c>
      <c r="B746" s="15">
        <v>46025</v>
      </c>
      <c r="C746" s="2" t="s">
        <v>1193</v>
      </c>
      <c r="D746" s="3">
        <v>32.12</v>
      </c>
      <c r="E746" s="16" t="str">
        <f>IFERROR(__xludf.DUMMYFUNCTION("IFERROR(
  TEXTJOIN(CHAR(10),TRUE,FILTER('SUMMARY DATA'!E:E,'SUMMARY DATA'!$A:$A=$A746,'SUMMARY DATA'!$C:$C=$B746,'SUMMARY DATA'!$B:$B=""RWS"")),
  IF(
    OR(
      ISNUMBER(SEARCH(""CDM CASH DEPOSIT"",$C746)),
      ISNUMBER(SEARCH(""CASH DEPOSIT"",$C74"&amp;"6)),
      COUNTIFS('SUMMARY DATA'!$D:$D,$C746,'SUMMARY DATA'!$B:$B,""RWS"")&lt;&gt;1
    ),
    """",
    IFERROR(TEXTJOIN(CHAR(10),TRUE,FILTER('SUMMARY DATA'!E:E,'SUMMARY DATA'!$D:$D=$C746,'SUMMARY DATA'!$B:$B=""RWS"")),"""")
  )
)"),"")</f>
      </c>
      <c r="F746" s="17" t="str">
        <f>IFERROR(__xludf.DUMMYFUNCTION("IFERROR(
  TEXTJOIN(CHAR(10),TRUE,FILTER('SUMMARY DATA'!F:F,'SUMMARY DATA'!$A:$A=$A746,'SUMMARY DATA'!$C:$C=$B746,'SUMMARY DATA'!$B:$B=""RWS"")),
  IF(
    OR(
      ISNUMBER(SEARCH(""CDM CASH DEPOSIT"",$C746)),
      ISNUMBER(SEARCH(""CASH DEPOSIT"",$C74"&amp;"6)),
      COUNTIFS('SUMMARY DATA'!$D:$D,$C746,'SUMMARY DATA'!$B:$B,""RWS"")&lt;&gt;1
    ),
    """",
    IFERROR(TEXTJOIN(CHAR(10),TRUE,FILTER('SUMMARY DATA'!F:F,'SUMMARY DATA'!$D:$D=$C746,'SUMMARY DATA'!$B:$B=""RWS"")),"""")
  )
)"),"")</f>
      </c>
      <c r="G746" s="17" t="str">
        <f>IFERROR(__xludf.DUMMYFUNCTION("IFERROR(
  TEXTJOIN(CHAR(10),TRUE,FILTER('SUMMARY DATA'!G:G,'SUMMARY DATA'!$A:$A=$A746,'SUMMARY DATA'!$C:$C=$B746,'SUMMARY DATA'!$B:$B=""RWS"")),
  IF(
    OR(
      ISNUMBER(SEARCH(""CDM CASH DEPOSIT"",$C746)),
      ISNUMBER(SEARCH(""CASH DEPOSIT"",$C74"&amp;"6)),
      COUNTIFS('SUMMARY DATA'!$D:$D,$C746,'SUMMARY DATA'!$B:$B,""RWS"")&lt;&gt;1
    ),
    """",
    IFERROR(TEXTJOIN(CHAR(10),TRUE,FILTER('SUMMARY DATA'!G:G,'SUMMARY DATA'!$D:$D=$C746,'SUMMARY DATA'!$B:$B=""RWS"")),"""")
  )
)"),"")</f>
      </c>
      <c r="H746" s="18" t="str">
        <f>IFERROR(__xludf.DUMMYFUNCTION("IFERROR(
  TEXTJOIN(CHAR(10),TRUE,FILTER('SUMMARY DATA'!H:H,'SUMMARY DATA'!$A:$A=$A746,'SUMMARY DATA'!$C:$C=$B746,'SUMMARY DATA'!$B:$B=""RWS"",'SUMMARY DATA'!$H:$H=$D746)),
  IF(
    OR(
      ISNUMBER(SEARCH(""CDM CASH DEPOSIT"",$C746)),
      ISNUMBER(S"&amp;"EARCH(""CASH DEPOSIT"",$C746))
    ),
    """",
    IFERROR(TEXTJOIN(CHAR(10),TRUE,FILTER('SUMMARY DATA'!H:H,'SUMMARY DATA'!$D:$D=$C746,'SUMMARY DATA'!$B:$B=""RWS"",'SUMMARY DATA'!$H:$H=$D746)),"""")
  )
)"),"")</f>
      </c>
      <c r="I746" s="18" t="str">
        <f>IFERROR(__xludf.DUMMYFUNCTION("IF(H746="""","""",
SUM(ARRAYFORMULA(VALUE(SPLIT(H746,CHAR(10)))))
)"),"")</f>
      </c>
      <c r="J746" s="17" t="str">
        <f>IFERROR(__xludf.DUMMYFUNCTION("IFERROR(
  TEXTJOIN(CHAR(10),TRUE,FILTER('SUMMARY DATA'!I:I,'SUMMARY DATA'!$A:$A=$A746,'SUMMARY DATA'!$C:$C=$B746,'SUMMARY DATA'!$B:$B=""RWS"")),
  IF(
    OR(
      ISNUMBER(SEARCH(""CDM CASH DEPOSIT"",$C746)),
      ISNUMBER(SEARCH(""CASH DEPOSIT"",$C74"&amp;"6)),
      COUNTIFS('SUMMARY DATA'!$D:$D,$C746,'SUMMARY DATA'!$B:$B,""RWS"")&lt;&gt;1
    ),
    """",
    IFERROR(TEXTJOIN(CHAR(10),TRUE,FILTER('SUMMARY DATA'!I:I,'SUMMARY DATA'!$D:$D=$C746,'SUMMARY DATA'!$B:$B=""RWS"")),"""")
  )
)"),"")</f>
      </c>
      <c r="K746" s="2"/>
      <c r="L746" s="2"/>
      <c r="M746" s="2"/>
      <c r="N746" s="2"/>
      <c r="O746" s="2"/>
      <c r="P746" s="2"/>
      <c r="Q746" s="2"/>
      <c r="R746" s="2"/>
      <c r="S746" s="2"/>
      <c r="T746" s="2"/>
      <c r="U746" s="2"/>
      <c r="V746" s="2"/>
      <c r="W746" s="2"/>
      <c r="X746" s="2"/>
      <c r="Y746" s="2"/>
      <c r="Z746" s="2"/>
      <c r="AA746" s="2"/>
      <c r="AB746" s="2"/>
    </row>
    <row r="747" spans="1:28" customHeight="true">
      <c r="A747" s="2" t="s">
        <v>1194</v>
      </c>
      <c r="B747" s="15">
        <v>46024</v>
      </c>
      <c r="C747" s="2" t="s">
        <v>1195</v>
      </c>
      <c r="D747" s="3">
        <v>40</v>
      </c>
      <c r="E747" s="16" t="s">
        <v>2457</v>
      </c>
      <c r="F747" s="17" t="s">
        <v>2653</v>
      </c>
      <c r="G747" s="17" t="s">
        <v>2393</v>
      </c>
      <c r="H747" s="18">
        <v>40</v>
      </c>
      <c r="I747" s="18">
        <v>40</v>
      </c>
      <c r="J747" s="17" t="s">
        <v>2394</v>
      </c>
      <c r="K747" s="2" t="s">
        <v>2395</v>
      </c>
      <c r="L747" s="2"/>
      <c r="M747" s="2"/>
      <c r="N747" s="2"/>
      <c r="O747" s="2"/>
      <c r="P747" s="2"/>
      <c r="Q747" s="2"/>
      <c r="R747" s="2"/>
      <c r="S747" s="2"/>
      <c r="T747" s="2"/>
      <c r="U747" s="2"/>
      <c r="V747" s="2"/>
      <c r="W747" s="2"/>
      <c r="X747" s="2"/>
      <c r="Y747" s="2"/>
      <c r="Z747" s="2"/>
      <c r="AA747" s="2"/>
      <c r="AB747" s="2"/>
    </row>
    <row r="748" spans="1:28" customHeight="true">
      <c r="A748" s="2" t="s">
        <v>1196</v>
      </c>
      <c r="B748" s="15">
        <v>46024</v>
      </c>
      <c r="C748" s="2" t="s">
        <v>1197</v>
      </c>
      <c r="D748" s="3">
        <v>357.55</v>
      </c>
      <c r="E748" s="16" t="s">
        <v>2654</v>
      </c>
      <c r="F748" s="17" t="s">
        <v>2655</v>
      </c>
      <c r="G748" s="17" t="s">
        <v>2393</v>
      </c>
      <c r="H748" s="18">
        <v>357.55</v>
      </c>
      <c r="I748" s="18">
        <v>357.55</v>
      </c>
      <c r="J748" s="17" t="s">
        <v>2394</v>
      </c>
      <c r="K748" s="2" t="s">
        <v>2395</v>
      </c>
      <c r="L748" s="2"/>
      <c r="M748" s="2"/>
      <c r="N748" s="2"/>
      <c r="O748" s="2"/>
      <c r="P748" s="2"/>
      <c r="Q748" s="2"/>
      <c r="R748" s="2"/>
      <c r="S748" s="2"/>
      <c r="T748" s="2"/>
      <c r="U748" s="2"/>
      <c r="V748" s="2"/>
      <c r="W748" s="2"/>
      <c r="X748" s="2"/>
      <c r="Y748" s="2"/>
      <c r="Z748" s="2"/>
      <c r="AA748" s="2"/>
      <c r="AB748" s="2"/>
    </row>
    <row r="749" spans="1:28" customHeight="true">
      <c r="A749" s="2" t="s">
        <v>1198</v>
      </c>
      <c r="B749" s="15">
        <v>46024</v>
      </c>
      <c r="C749" s="2" t="s">
        <v>1199</v>
      </c>
      <c r="D749" s="3">
        <v>81</v>
      </c>
      <c r="E749" s="16" t="str">
        <f>IFERROR(__xludf.DUMMYFUNCTION("IFERROR(
  TEXTJOIN(CHAR(10),TRUE,FILTER('SUMMARY DATA'!E:E,'SUMMARY DATA'!$A:$A=$A749,'SUMMARY DATA'!$C:$C=$B749,'SUMMARY DATA'!$B:$B=""RWS"")),
  IF(
    OR(
      ISNUMBER(SEARCH(""CDM CASH DEPOSIT"",$C749)),
      ISNUMBER(SEARCH(""CASH DEPOSIT"",$C74"&amp;"9)),
      COUNTIFS('SUMMARY DATA'!$D:$D,$C749,'SUMMARY DATA'!$B:$B,""RWS"")&lt;&gt;1
    ),
    """",
    IFERROR(TEXTJOIN(CHAR(10),TRUE,FILTER('SUMMARY DATA'!E:E,'SUMMARY DATA'!$D:$D=$C749,'SUMMARY DATA'!$B:$B=""RWS"")),"""")
  )
)"),"")</f>
      </c>
      <c r="F749" s="17" t="str">
        <f>IFERROR(__xludf.DUMMYFUNCTION("IFERROR(
  TEXTJOIN(CHAR(10),TRUE,FILTER('SUMMARY DATA'!F:F,'SUMMARY DATA'!$A:$A=$A749,'SUMMARY DATA'!$C:$C=$B749,'SUMMARY DATA'!$B:$B=""RWS"")),
  IF(
    OR(
      ISNUMBER(SEARCH(""CDM CASH DEPOSIT"",$C749)),
      ISNUMBER(SEARCH(""CASH DEPOSIT"",$C74"&amp;"9)),
      COUNTIFS('SUMMARY DATA'!$D:$D,$C749,'SUMMARY DATA'!$B:$B,""RWS"")&lt;&gt;1
    ),
    """",
    IFERROR(TEXTJOIN(CHAR(10),TRUE,FILTER('SUMMARY DATA'!F:F,'SUMMARY DATA'!$D:$D=$C749,'SUMMARY DATA'!$B:$B=""RWS"")),"""")
  )
)"),"")</f>
      </c>
      <c r="G749" s="17" t="str">
        <f>IFERROR(__xludf.DUMMYFUNCTION("IFERROR(
  TEXTJOIN(CHAR(10),TRUE,FILTER('SUMMARY DATA'!G:G,'SUMMARY DATA'!$A:$A=$A749,'SUMMARY DATA'!$C:$C=$B749,'SUMMARY DATA'!$B:$B=""RWS"")),
  IF(
    OR(
      ISNUMBER(SEARCH(""CDM CASH DEPOSIT"",$C749)),
      ISNUMBER(SEARCH(""CASH DEPOSIT"",$C74"&amp;"9)),
      COUNTIFS('SUMMARY DATA'!$D:$D,$C749,'SUMMARY DATA'!$B:$B,""RWS"")&lt;&gt;1
    ),
    """",
    IFERROR(TEXTJOIN(CHAR(10),TRUE,FILTER('SUMMARY DATA'!G:G,'SUMMARY DATA'!$D:$D=$C749,'SUMMARY DATA'!$B:$B=""RWS"")),"""")
  )
)"),"")</f>
      </c>
      <c r="H749" s="18" t="str">
        <f>IFERROR(__xludf.DUMMYFUNCTION("IFERROR(
  TEXTJOIN(CHAR(10),TRUE,FILTER('SUMMARY DATA'!H:H,'SUMMARY DATA'!$A:$A=$A749,'SUMMARY DATA'!$C:$C=$B749,'SUMMARY DATA'!$B:$B=""RWS"",'SUMMARY DATA'!$H:$H=$D749)),
  IF(
    OR(
      ISNUMBER(SEARCH(""CDM CASH DEPOSIT"",$C749)),
      ISNUMBER(S"&amp;"EARCH(""CASH DEPOSIT"",$C749))
    ),
    """",
    IFERROR(TEXTJOIN(CHAR(10),TRUE,FILTER('SUMMARY DATA'!H:H,'SUMMARY DATA'!$D:$D=$C749,'SUMMARY DATA'!$B:$B=""RWS"",'SUMMARY DATA'!$H:$H=$D749)),"""")
  )
)"),"")</f>
      </c>
      <c r="I749" s="18" t="str">
        <f>IFERROR(__xludf.DUMMYFUNCTION("IF(H749="""","""",
SUM(ARRAYFORMULA(VALUE(SPLIT(H749,CHAR(10)))))
)"),"")</f>
      </c>
      <c r="J749" s="17" t="str">
        <f>IFERROR(__xludf.DUMMYFUNCTION("IFERROR(
  TEXTJOIN(CHAR(10),TRUE,FILTER('SUMMARY DATA'!I:I,'SUMMARY DATA'!$A:$A=$A749,'SUMMARY DATA'!$C:$C=$B749,'SUMMARY DATA'!$B:$B=""RWS"")),
  IF(
    OR(
      ISNUMBER(SEARCH(""CDM CASH DEPOSIT"",$C749)),
      ISNUMBER(SEARCH(""CASH DEPOSIT"",$C74"&amp;"9)),
      COUNTIFS('SUMMARY DATA'!$D:$D,$C749,'SUMMARY DATA'!$B:$B,""RWS"")&lt;&gt;1
    ),
    """",
    IFERROR(TEXTJOIN(CHAR(10),TRUE,FILTER('SUMMARY DATA'!I:I,'SUMMARY DATA'!$D:$D=$C749,'SUMMARY DATA'!$B:$B=""RWS"")),"""")
  )
)"),"")</f>
      </c>
      <c r="K749" s="2"/>
      <c r="L749" s="2"/>
      <c r="M749" s="2"/>
      <c r="N749" s="2"/>
      <c r="O749" s="2"/>
      <c r="P749" s="2"/>
      <c r="Q749" s="2"/>
      <c r="R749" s="2"/>
      <c r="S749" s="2"/>
      <c r="T749" s="2"/>
      <c r="U749" s="2"/>
      <c r="V749" s="2"/>
      <c r="W749" s="2"/>
      <c r="X749" s="2"/>
      <c r="Y749" s="2"/>
      <c r="Z749" s="2"/>
      <c r="AA749" s="2"/>
      <c r="AB749" s="2"/>
    </row>
    <row r="750" spans="1:28" customHeight="true">
      <c r="A750" s="2" t="s">
        <v>1200</v>
      </c>
      <c r="B750" s="15">
        <v>46024</v>
      </c>
      <c r="C750" s="2" t="s">
        <v>1201</v>
      </c>
      <c r="D750" s="3">
        <v>25</v>
      </c>
      <c r="E750" s="16" t="str">
        <f>IFERROR(__xludf.DUMMYFUNCTION("IFERROR(
  TEXTJOIN(CHAR(10),TRUE,FILTER('SUMMARY DATA'!E:E,'SUMMARY DATA'!$A:$A=$A750,'SUMMARY DATA'!$C:$C=$B750,'SUMMARY DATA'!$B:$B=""RWS"")),
  IF(
    OR(
      ISNUMBER(SEARCH(""CDM CASH DEPOSIT"",$C750)),
      ISNUMBER(SEARCH(""CASH DEPOSIT"",$C75"&amp;"0)),
      COUNTIFS('SUMMARY DATA'!$D:$D,$C750,'SUMMARY DATA'!$B:$B,""RWS"")&lt;&gt;1
    ),
    """",
    IFERROR(TEXTJOIN(CHAR(10),TRUE,FILTER('SUMMARY DATA'!E:E,'SUMMARY DATA'!$D:$D=$C750,'SUMMARY DATA'!$B:$B=""RWS"")),"""")
  )
)"),"")</f>
      </c>
      <c r="F750" s="17" t="str">
        <f>IFERROR(__xludf.DUMMYFUNCTION("IFERROR(
  TEXTJOIN(CHAR(10),TRUE,FILTER('SUMMARY DATA'!F:F,'SUMMARY DATA'!$A:$A=$A750,'SUMMARY DATA'!$C:$C=$B750,'SUMMARY DATA'!$B:$B=""RWS"")),
  IF(
    OR(
      ISNUMBER(SEARCH(""CDM CASH DEPOSIT"",$C750)),
      ISNUMBER(SEARCH(""CASH DEPOSIT"",$C75"&amp;"0)),
      COUNTIFS('SUMMARY DATA'!$D:$D,$C750,'SUMMARY DATA'!$B:$B,""RWS"")&lt;&gt;1
    ),
    """",
    IFERROR(TEXTJOIN(CHAR(10),TRUE,FILTER('SUMMARY DATA'!F:F,'SUMMARY DATA'!$D:$D=$C750,'SUMMARY DATA'!$B:$B=""RWS"")),"""")
  )
)"),"")</f>
      </c>
      <c r="G750" s="17" t="str">
        <f>IFERROR(__xludf.DUMMYFUNCTION("IFERROR(
  TEXTJOIN(CHAR(10),TRUE,FILTER('SUMMARY DATA'!G:G,'SUMMARY DATA'!$A:$A=$A750,'SUMMARY DATA'!$C:$C=$B750,'SUMMARY DATA'!$B:$B=""RWS"")),
  IF(
    OR(
      ISNUMBER(SEARCH(""CDM CASH DEPOSIT"",$C750)),
      ISNUMBER(SEARCH(""CASH DEPOSIT"",$C75"&amp;"0)),
      COUNTIFS('SUMMARY DATA'!$D:$D,$C750,'SUMMARY DATA'!$B:$B,""RWS"")&lt;&gt;1
    ),
    """",
    IFERROR(TEXTJOIN(CHAR(10),TRUE,FILTER('SUMMARY DATA'!G:G,'SUMMARY DATA'!$D:$D=$C750,'SUMMARY DATA'!$B:$B=""RWS"")),"""")
  )
)"),"")</f>
      </c>
      <c r="H750" s="18" t="str">
        <f>IFERROR(__xludf.DUMMYFUNCTION("IFERROR(
  TEXTJOIN(CHAR(10),TRUE,FILTER('SUMMARY DATA'!H:H,'SUMMARY DATA'!$A:$A=$A750,'SUMMARY DATA'!$C:$C=$B750,'SUMMARY DATA'!$B:$B=""RWS"",'SUMMARY DATA'!$H:$H=$D750)),
  IF(
    OR(
      ISNUMBER(SEARCH(""CDM CASH DEPOSIT"",$C750)),
      ISNUMBER(S"&amp;"EARCH(""CASH DEPOSIT"",$C750))
    ),
    """",
    IFERROR(TEXTJOIN(CHAR(10),TRUE,FILTER('SUMMARY DATA'!H:H,'SUMMARY DATA'!$D:$D=$C750,'SUMMARY DATA'!$B:$B=""RWS"",'SUMMARY DATA'!$H:$H=$D750)),"""")
  )
)"),"")</f>
      </c>
      <c r="I750" s="18" t="str">
        <f>IFERROR(__xludf.DUMMYFUNCTION("IF(H750="""","""",
SUM(ARRAYFORMULA(VALUE(SPLIT(H750,CHAR(10)))))
)"),"")</f>
      </c>
      <c r="J750" s="17" t="str">
        <f>IFERROR(__xludf.DUMMYFUNCTION("IFERROR(
  TEXTJOIN(CHAR(10),TRUE,FILTER('SUMMARY DATA'!I:I,'SUMMARY DATA'!$A:$A=$A750,'SUMMARY DATA'!$C:$C=$B750,'SUMMARY DATA'!$B:$B=""RWS"")),
  IF(
    OR(
      ISNUMBER(SEARCH(""CDM CASH DEPOSIT"",$C750)),
      ISNUMBER(SEARCH(""CASH DEPOSIT"",$C75"&amp;"0)),
      COUNTIFS('SUMMARY DATA'!$D:$D,$C750,'SUMMARY DATA'!$B:$B,""RWS"")&lt;&gt;1
    ),
    """",
    IFERROR(TEXTJOIN(CHAR(10),TRUE,FILTER('SUMMARY DATA'!I:I,'SUMMARY DATA'!$D:$D=$C750,'SUMMARY DATA'!$B:$B=""RWS"")),"""")
  )
)"),"")</f>
      </c>
      <c r="K750" s="2"/>
      <c r="L750" s="2"/>
      <c r="M750" s="2"/>
      <c r="N750" s="2"/>
      <c r="O750" s="2"/>
      <c r="P750" s="2"/>
      <c r="Q750" s="2"/>
      <c r="R750" s="2"/>
      <c r="S750" s="2"/>
      <c r="T750" s="2"/>
      <c r="U750" s="2"/>
      <c r="V750" s="2"/>
      <c r="W750" s="2"/>
      <c r="X750" s="2"/>
      <c r="Y750" s="2"/>
      <c r="Z750" s="2"/>
      <c r="AA750" s="2"/>
      <c r="AB750" s="2"/>
    </row>
    <row r="751" spans="1:28" customHeight="true">
      <c r="A751" s="2" t="s">
        <v>1202</v>
      </c>
      <c r="B751" s="15">
        <v>46024</v>
      </c>
      <c r="C751" s="2" t="s">
        <v>1203</v>
      </c>
      <c r="D751" s="3">
        <v>209</v>
      </c>
      <c r="E751" s="16" t="s">
        <v>2457</v>
      </c>
      <c r="F751" s="17" t="s">
        <v>2656</v>
      </c>
      <c r="G751" s="17" t="s">
        <v>2393</v>
      </c>
      <c r="H751" s="18">
        <v>209</v>
      </c>
      <c r="I751" s="18">
        <v>209</v>
      </c>
      <c r="J751" s="17" t="s">
        <v>2394</v>
      </c>
      <c r="K751" s="2" t="s">
        <v>2395</v>
      </c>
      <c r="L751" s="2"/>
      <c r="M751" s="2"/>
      <c r="N751" s="2"/>
      <c r="O751" s="2"/>
      <c r="P751" s="2"/>
      <c r="Q751" s="2"/>
      <c r="R751" s="2"/>
      <c r="S751" s="2"/>
      <c r="T751" s="2"/>
      <c r="U751" s="2"/>
      <c r="V751" s="2"/>
      <c r="W751" s="2"/>
      <c r="X751" s="2"/>
      <c r="Y751" s="2"/>
      <c r="Z751" s="2"/>
      <c r="AA751" s="2"/>
      <c r="AB751" s="2"/>
    </row>
    <row r="752" spans="1:28" customHeight="true">
      <c r="A752" s="2"/>
      <c r="B752" s="15">
        <v>46024</v>
      </c>
      <c r="C752" s="2" t="s">
        <v>1204</v>
      </c>
      <c r="D752" s="3">
        <v>210</v>
      </c>
      <c r="E752" s="16" t="str">
        <f>IFERROR(__xludf.DUMMYFUNCTION("IFERROR(
  TEXTJOIN(CHAR(10),TRUE,FILTER('SUMMARY DATA'!E:E,'SUMMARY DATA'!$A:$A=$A752,'SUMMARY DATA'!$C:$C=$B752,'SUMMARY DATA'!$B:$B=""RWS"")),
  IF(
    OR(
      ISNUMBER(SEARCH(""CDM CASH DEPOSIT"",$C752)),
      ISNUMBER(SEARCH(""CASH DEPOSIT"",$C75"&amp;"2)),
      COUNTIFS('SUMMARY DATA'!$D:$D,$C752,'SUMMARY DATA'!$B:$B,""RWS"")&lt;&gt;1
    ),
    """",
    IFERROR(TEXTJOIN(CHAR(10),TRUE,FILTER('SUMMARY DATA'!E:E,'SUMMARY DATA'!$D:$D=$C752,'SUMMARY DATA'!$B:$B=""RWS"")),"""")
  )
)"),"")</f>
      </c>
      <c r="F752" s="17" t="str">
        <f>IFERROR(__xludf.DUMMYFUNCTION("IFERROR(
  TEXTJOIN(CHAR(10),TRUE,FILTER('SUMMARY DATA'!F:F,'SUMMARY DATA'!$A:$A=$A752,'SUMMARY DATA'!$C:$C=$B752,'SUMMARY DATA'!$B:$B=""RWS"")),
  IF(
    OR(
      ISNUMBER(SEARCH(""CDM CASH DEPOSIT"",$C752)),
      ISNUMBER(SEARCH(""CASH DEPOSIT"",$C75"&amp;"2)),
      COUNTIFS('SUMMARY DATA'!$D:$D,$C752,'SUMMARY DATA'!$B:$B,""RWS"")&lt;&gt;1
    ),
    """",
    IFERROR(TEXTJOIN(CHAR(10),TRUE,FILTER('SUMMARY DATA'!F:F,'SUMMARY DATA'!$D:$D=$C752,'SUMMARY DATA'!$B:$B=""RWS"")),"""")
  )
)"),"")</f>
      </c>
      <c r="G752" s="17" t="str">
        <f>IFERROR(__xludf.DUMMYFUNCTION("IFERROR(
  TEXTJOIN(CHAR(10),TRUE,FILTER('SUMMARY DATA'!G:G,'SUMMARY DATA'!$A:$A=$A752,'SUMMARY DATA'!$C:$C=$B752,'SUMMARY DATA'!$B:$B=""RWS"")),
  IF(
    OR(
      ISNUMBER(SEARCH(""CDM CASH DEPOSIT"",$C752)),
      ISNUMBER(SEARCH(""CASH DEPOSIT"",$C75"&amp;"2)),
      COUNTIFS('SUMMARY DATA'!$D:$D,$C752,'SUMMARY DATA'!$B:$B,""RWS"")&lt;&gt;1
    ),
    """",
    IFERROR(TEXTJOIN(CHAR(10),TRUE,FILTER('SUMMARY DATA'!G:G,'SUMMARY DATA'!$D:$D=$C752,'SUMMARY DATA'!$B:$B=""RWS"")),"""")
  )
)"),"")</f>
      </c>
      <c r="H752" s="18" t="str">
        <f>IFERROR(__xludf.DUMMYFUNCTION("IFERROR(
  TEXTJOIN(CHAR(10),TRUE,FILTER('SUMMARY DATA'!H:H,'SUMMARY DATA'!$A:$A=$A752,'SUMMARY DATA'!$C:$C=$B752,'SUMMARY DATA'!$B:$B=""RWS"",'SUMMARY DATA'!$H:$H=$D752)),
  IF(
    OR(
      ISNUMBER(SEARCH(""CDM CASH DEPOSIT"",$C752)),
      ISNUMBER(S"&amp;"EARCH(""CASH DEPOSIT"",$C752))
    ),
    """",
    IFERROR(TEXTJOIN(CHAR(10),TRUE,FILTER('SUMMARY DATA'!H:H,'SUMMARY DATA'!$D:$D=$C752,'SUMMARY DATA'!$B:$B=""RWS"",'SUMMARY DATA'!$H:$H=$D752)),"""")
  )
)"),"")</f>
      </c>
      <c r="I752" s="18" t="str">
        <f>IFERROR(__xludf.DUMMYFUNCTION("IF(H752="""","""",
SUM(ARRAYFORMULA(VALUE(SPLIT(H752,CHAR(10)))))
)"),"")</f>
      </c>
      <c r="J752" s="17" t="str">
        <f>IFERROR(__xludf.DUMMYFUNCTION("IFERROR(
  TEXTJOIN(CHAR(10),TRUE,FILTER('SUMMARY DATA'!I:I,'SUMMARY DATA'!$A:$A=$A752,'SUMMARY DATA'!$C:$C=$B752,'SUMMARY DATA'!$B:$B=""RWS"")),
  IF(
    OR(
      ISNUMBER(SEARCH(""CDM CASH DEPOSIT"",$C752)),
      ISNUMBER(SEARCH(""CASH DEPOSIT"",$C75"&amp;"2)),
      COUNTIFS('SUMMARY DATA'!$D:$D,$C752,'SUMMARY DATA'!$B:$B,""RWS"")&lt;&gt;1
    ),
    """",
    IFERROR(TEXTJOIN(CHAR(10),TRUE,FILTER('SUMMARY DATA'!I:I,'SUMMARY DATA'!$D:$D=$C752,'SUMMARY DATA'!$B:$B=""RWS"")),"""")
  )
)"),"")</f>
      </c>
      <c r="K752" s="2"/>
      <c r="L752" s="2"/>
      <c r="M752" s="2"/>
      <c r="N752" s="2"/>
      <c r="O752" s="2"/>
      <c r="P752" s="2"/>
      <c r="Q752" s="2"/>
      <c r="R752" s="2"/>
      <c r="S752" s="2"/>
      <c r="T752" s="2"/>
      <c r="U752" s="2"/>
      <c r="V752" s="2"/>
      <c r="W752" s="2"/>
      <c r="X752" s="2"/>
      <c r="Y752" s="2"/>
      <c r="Z752" s="2"/>
      <c r="AA752" s="2"/>
      <c r="AB752" s="2"/>
    </row>
    <row r="753" spans="1:28" customHeight="true">
      <c r="A753" s="2"/>
      <c r="B753" s="15">
        <v>46024</v>
      </c>
      <c r="C753" s="2" t="s">
        <v>1205</v>
      </c>
      <c r="D753" s="3">
        <v>19</v>
      </c>
      <c r="E753" s="16" t="str">
        <f>IFERROR(__xludf.DUMMYFUNCTION("IFERROR(
  TEXTJOIN(CHAR(10),TRUE,FILTER('SUMMARY DATA'!E:E,'SUMMARY DATA'!$A:$A=$A753,'SUMMARY DATA'!$C:$C=$B753,'SUMMARY DATA'!$B:$B=""RWS"")),
  IF(
    OR(
      ISNUMBER(SEARCH(""CDM CASH DEPOSIT"",$C753)),
      ISNUMBER(SEARCH(""CASH DEPOSIT"",$C75"&amp;"3)),
      COUNTIFS('SUMMARY DATA'!$D:$D,$C753,'SUMMARY DATA'!$B:$B,""RWS"")&lt;&gt;1
    ),
    """",
    IFERROR(TEXTJOIN(CHAR(10),TRUE,FILTER('SUMMARY DATA'!E:E,'SUMMARY DATA'!$D:$D=$C753,'SUMMARY DATA'!$B:$B=""RWS"")),"""")
  )
)"),"")</f>
      </c>
      <c r="F753" s="17" t="str">
        <f>IFERROR(__xludf.DUMMYFUNCTION("IFERROR(
  TEXTJOIN(CHAR(10),TRUE,FILTER('SUMMARY DATA'!F:F,'SUMMARY DATA'!$A:$A=$A753,'SUMMARY DATA'!$C:$C=$B753,'SUMMARY DATA'!$B:$B=""RWS"")),
  IF(
    OR(
      ISNUMBER(SEARCH(""CDM CASH DEPOSIT"",$C753)),
      ISNUMBER(SEARCH(""CASH DEPOSIT"",$C75"&amp;"3)),
      COUNTIFS('SUMMARY DATA'!$D:$D,$C753,'SUMMARY DATA'!$B:$B,""RWS"")&lt;&gt;1
    ),
    """",
    IFERROR(TEXTJOIN(CHAR(10),TRUE,FILTER('SUMMARY DATA'!F:F,'SUMMARY DATA'!$D:$D=$C753,'SUMMARY DATA'!$B:$B=""RWS"")),"""")
  )
)"),"")</f>
      </c>
      <c r="G753" s="17" t="str">
        <f>IFERROR(__xludf.DUMMYFUNCTION("IFERROR(
  TEXTJOIN(CHAR(10),TRUE,FILTER('SUMMARY DATA'!G:G,'SUMMARY DATA'!$A:$A=$A753,'SUMMARY DATA'!$C:$C=$B753,'SUMMARY DATA'!$B:$B=""RWS"")),
  IF(
    OR(
      ISNUMBER(SEARCH(""CDM CASH DEPOSIT"",$C753)),
      ISNUMBER(SEARCH(""CASH DEPOSIT"",$C75"&amp;"3)),
      COUNTIFS('SUMMARY DATA'!$D:$D,$C753,'SUMMARY DATA'!$B:$B,""RWS"")&lt;&gt;1
    ),
    """",
    IFERROR(TEXTJOIN(CHAR(10),TRUE,FILTER('SUMMARY DATA'!G:G,'SUMMARY DATA'!$D:$D=$C753,'SUMMARY DATA'!$B:$B=""RWS"")),"""")
  )
)"),"")</f>
      </c>
      <c r="H753" s="18" t="str">
        <f>IFERROR(__xludf.DUMMYFUNCTION("IFERROR(
  TEXTJOIN(CHAR(10),TRUE,FILTER('SUMMARY DATA'!H:H,'SUMMARY DATA'!$A:$A=$A753,'SUMMARY DATA'!$C:$C=$B753,'SUMMARY DATA'!$B:$B=""RWS"",'SUMMARY DATA'!$H:$H=$D753)),
  IF(
    OR(
      ISNUMBER(SEARCH(""CDM CASH DEPOSIT"",$C753)),
      ISNUMBER(S"&amp;"EARCH(""CASH DEPOSIT"",$C753))
    ),
    """",
    IFERROR(TEXTJOIN(CHAR(10),TRUE,FILTER('SUMMARY DATA'!H:H,'SUMMARY DATA'!$D:$D=$C753,'SUMMARY DATA'!$B:$B=""RWS"",'SUMMARY DATA'!$H:$H=$D753)),"""")
  )
)"),"")</f>
      </c>
      <c r="I753" s="18" t="str">
        <f>IFERROR(__xludf.DUMMYFUNCTION("IF(H753="""","""",
SUM(ARRAYFORMULA(VALUE(SPLIT(H753,CHAR(10)))))
)"),"")</f>
      </c>
      <c r="J753" s="17" t="str">
        <f>IFERROR(__xludf.DUMMYFUNCTION("IFERROR(
  TEXTJOIN(CHAR(10),TRUE,FILTER('SUMMARY DATA'!I:I,'SUMMARY DATA'!$A:$A=$A753,'SUMMARY DATA'!$C:$C=$B753,'SUMMARY DATA'!$B:$B=""RWS"")),
  IF(
    OR(
      ISNUMBER(SEARCH(""CDM CASH DEPOSIT"",$C753)),
      ISNUMBER(SEARCH(""CASH DEPOSIT"",$C75"&amp;"3)),
      COUNTIFS('SUMMARY DATA'!$D:$D,$C753,'SUMMARY DATA'!$B:$B,""RWS"")&lt;&gt;1
    ),
    """",
    IFERROR(TEXTJOIN(CHAR(10),TRUE,FILTER('SUMMARY DATA'!I:I,'SUMMARY DATA'!$D:$D=$C753,'SUMMARY DATA'!$B:$B=""RWS"")),"""")
  )
)"),"")</f>
      </c>
      <c r="K753" s="2"/>
      <c r="L753" s="2"/>
      <c r="M753" s="2"/>
      <c r="N753" s="2"/>
      <c r="O753" s="2"/>
      <c r="P753" s="2"/>
      <c r="Q753" s="2"/>
      <c r="R753" s="2"/>
      <c r="S753" s="2"/>
      <c r="T753" s="2"/>
      <c r="U753" s="2"/>
      <c r="V753" s="2"/>
      <c r="W753" s="2"/>
      <c r="X753" s="2"/>
      <c r="Y753" s="2"/>
      <c r="Z753" s="2"/>
      <c r="AA753" s="2"/>
      <c r="AB753" s="2"/>
    </row>
    <row r="754" spans="1:28" customHeight="true">
      <c r="A754" s="2" t="s">
        <v>1206</v>
      </c>
      <c r="B754" s="15">
        <v>46024</v>
      </c>
      <c r="C754" s="2" t="s">
        <v>1207</v>
      </c>
      <c r="D754" s="3">
        <v>173.68</v>
      </c>
      <c r="E754" s="16" t="str">
        <f>IFERROR(__xludf.DUMMYFUNCTION("IFERROR(
  TEXTJOIN(CHAR(10),TRUE,FILTER('SUMMARY DATA'!E:E,'SUMMARY DATA'!$A:$A=$A754,'SUMMARY DATA'!$C:$C=$B754,'SUMMARY DATA'!$B:$B=""RWS"")),
  IF(
    OR(
      ISNUMBER(SEARCH(""CDM CASH DEPOSIT"",$C754)),
      ISNUMBER(SEARCH(""CASH DEPOSIT"",$C75"&amp;"4)),
      COUNTIFS('SUMMARY DATA'!$D:$D,$C754,'SUMMARY DATA'!$B:$B,""RWS"")&lt;&gt;1
    ),
    """",
    IFERROR(TEXTJOIN(CHAR(10),TRUE,FILTER('SUMMARY DATA'!E:E,'SUMMARY DATA'!$D:$D=$C754,'SUMMARY DATA'!$B:$B=""RWS"")),"""")
  )
)"),"")</f>
      </c>
      <c r="F754" s="17" t="str">
        <f>IFERROR(__xludf.DUMMYFUNCTION("IFERROR(
  TEXTJOIN(CHAR(10),TRUE,FILTER('SUMMARY DATA'!F:F,'SUMMARY DATA'!$A:$A=$A754,'SUMMARY DATA'!$C:$C=$B754,'SUMMARY DATA'!$B:$B=""RWS"")),
  IF(
    OR(
      ISNUMBER(SEARCH(""CDM CASH DEPOSIT"",$C754)),
      ISNUMBER(SEARCH(""CASH DEPOSIT"",$C75"&amp;"4)),
      COUNTIFS('SUMMARY DATA'!$D:$D,$C754,'SUMMARY DATA'!$B:$B,""RWS"")&lt;&gt;1
    ),
    """",
    IFERROR(TEXTJOIN(CHAR(10),TRUE,FILTER('SUMMARY DATA'!F:F,'SUMMARY DATA'!$D:$D=$C754,'SUMMARY DATA'!$B:$B=""RWS"")),"""")
  )
)"),"")</f>
      </c>
      <c r="G754" s="17" t="str">
        <f>IFERROR(__xludf.DUMMYFUNCTION("IFERROR(
  TEXTJOIN(CHAR(10),TRUE,FILTER('SUMMARY DATA'!G:G,'SUMMARY DATA'!$A:$A=$A754,'SUMMARY DATA'!$C:$C=$B754,'SUMMARY DATA'!$B:$B=""RWS"")),
  IF(
    OR(
      ISNUMBER(SEARCH(""CDM CASH DEPOSIT"",$C754)),
      ISNUMBER(SEARCH(""CASH DEPOSIT"",$C75"&amp;"4)),
      COUNTIFS('SUMMARY DATA'!$D:$D,$C754,'SUMMARY DATA'!$B:$B,""RWS"")&lt;&gt;1
    ),
    """",
    IFERROR(TEXTJOIN(CHAR(10),TRUE,FILTER('SUMMARY DATA'!G:G,'SUMMARY DATA'!$D:$D=$C754,'SUMMARY DATA'!$B:$B=""RWS"")),"""")
  )
)"),"")</f>
      </c>
      <c r="H754" s="18" t="str">
        <f>IFERROR(__xludf.DUMMYFUNCTION("IFERROR(
  TEXTJOIN(CHAR(10),TRUE,FILTER('SUMMARY DATA'!H:H,'SUMMARY DATA'!$A:$A=$A754,'SUMMARY DATA'!$C:$C=$B754,'SUMMARY DATA'!$B:$B=""RWS"",'SUMMARY DATA'!$H:$H=$D754)),
  IF(
    OR(
      ISNUMBER(SEARCH(""CDM CASH DEPOSIT"",$C754)),
      ISNUMBER(S"&amp;"EARCH(""CASH DEPOSIT"",$C754))
    ),
    """",
    IFERROR(TEXTJOIN(CHAR(10),TRUE,FILTER('SUMMARY DATA'!H:H,'SUMMARY DATA'!$D:$D=$C754,'SUMMARY DATA'!$B:$B=""RWS"",'SUMMARY DATA'!$H:$H=$D754)),"""")
  )
)"),"")</f>
      </c>
      <c r="I754" s="18" t="str">
        <f>IFERROR(__xludf.DUMMYFUNCTION("IF(H754="""","""",
SUM(ARRAYFORMULA(VALUE(SPLIT(H754,CHAR(10)))))
)"),"")</f>
      </c>
      <c r="J754" s="17" t="str">
        <f>IFERROR(__xludf.DUMMYFUNCTION("IFERROR(
  TEXTJOIN(CHAR(10),TRUE,FILTER('SUMMARY DATA'!I:I,'SUMMARY DATA'!$A:$A=$A754,'SUMMARY DATA'!$C:$C=$B754,'SUMMARY DATA'!$B:$B=""RWS"")),
  IF(
    OR(
      ISNUMBER(SEARCH(""CDM CASH DEPOSIT"",$C754)),
      ISNUMBER(SEARCH(""CASH DEPOSIT"",$C75"&amp;"4)),
      COUNTIFS('SUMMARY DATA'!$D:$D,$C754,'SUMMARY DATA'!$B:$B,""RWS"")&lt;&gt;1
    ),
    """",
    IFERROR(TEXTJOIN(CHAR(10),TRUE,FILTER('SUMMARY DATA'!I:I,'SUMMARY DATA'!$D:$D=$C754,'SUMMARY DATA'!$B:$B=""RWS"")),"""")
  )
)"),"")</f>
      </c>
      <c r="K754" s="2"/>
      <c r="L754" s="2"/>
      <c r="M754" s="2"/>
      <c r="N754" s="2"/>
      <c r="O754" s="2"/>
      <c r="P754" s="2"/>
      <c r="Q754" s="2"/>
      <c r="R754" s="2"/>
      <c r="S754" s="2"/>
      <c r="T754" s="2"/>
      <c r="U754" s="2"/>
      <c r="V754" s="2"/>
      <c r="W754" s="2"/>
      <c r="X754" s="2"/>
      <c r="Y754" s="2"/>
      <c r="Z754" s="2"/>
      <c r="AA754" s="2"/>
      <c r="AB754" s="2"/>
    </row>
    <row r="755" spans="1:28" customHeight="true">
      <c r="A755" s="2" t="s">
        <v>1208</v>
      </c>
      <c r="B755" s="15">
        <v>46023</v>
      </c>
      <c r="C755" s="2" t="s">
        <v>1209</v>
      </c>
      <c r="D755" s="3">
        <v>1714</v>
      </c>
      <c r="E755" s="16" t="str">
        <f>IFERROR(__xludf.DUMMYFUNCTION("IFERROR(
  TEXTJOIN(CHAR(10),TRUE,FILTER('SUMMARY DATA'!E:E,'SUMMARY DATA'!$A:$A=$A755,'SUMMARY DATA'!$C:$C=$B755,'SUMMARY DATA'!$B:$B=""RWS"")),
  IF(
    OR(
      ISNUMBER(SEARCH(""CDM CASH DEPOSIT"",$C755)),
      ISNUMBER(SEARCH(""CASH DEPOSIT"",$C75"&amp;"5)),
      COUNTIFS('SUMMARY DATA'!$D:$D,$C755,'SUMMARY DATA'!$B:$B,""RWS"")&lt;&gt;1
    ),
    """",
    IFERROR(TEXTJOIN(CHAR(10),TRUE,FILTER('SUMMARY DATA'!E:E,'SUMMARY DATA'!$D:$D=$C755,'SUMMARY DATA'!$B:$B=""RWS"")),"""")
  )
)"),"")</f>
      </c>
      <c r="F755" s="17" t="str">
        <f>IFERROR(__xludf.DUMMYFUNCTION("IFERROR(
  TEXTJOIN(CHAR(10),TRUE,FILTER('SUMMARY DATA'!F:F,'SUMMARY DATA'!$A:$A=$A755,'SUMMARY DATA'!$C:$C=$B755,'SUMMARY DATA'!$B:$B=""RWS"")),
  IF(
    OR(
      ISNUMBER(SEARCH(""CDM CASH DEPOSIT"",$C755)),
      ISNUMBER(SEARCH(""CASH DEPOSIT"",$C75"&amp;"5)),
      COUNTIFS('SUMMARY DATA'!$D:$D,$C755,'SUMMARY DATA'!$B:$B,""RWS"")&lt;&gt;1
    ),
    """",
    IFERROR(TEXTJOIN(CHAR(10),TRUE,FILTER('SUMMARY DATA'!F:F,'SUMMARY DATA'!$D:$D=$C755,'SUMMARY DATA'!$B:$B=""RWS"")),"""")
  )
)"),"")</f>
      </c>
      <c r="G755" s="17" t="str">
        <f>IFERROR(__xludf.DUMMYFUNCTION("IFERROR(
  TEXTJOIN(CHAR(10),TRUE,FILTER('SUMMARY DATA'!G:G,'SUMMARY DATA'!$A:$A=$A755,'SUMMARY DATA'!$C:$C=$B755,'SUMMARY DATA'!$B:$B=""RWS"")),
  IF(
    OR(
      ISNUMBER(SEARCH(""CDM CASH DEPOSIT"",$C755)),
      ISNUMBER(SEARCH(""CASH DEPOSIT"",$C75"&amp;"5)),
      COUNTIFS('SUMMARY DATA'!$D:$D,$C755,'SUMMARY DATA'!$B:$B,""RWS"")&lt;&gt;1
    ),
    """",
    IFERROR(TEXTJOIN(CHAR(10),TRUE,FILTER('SUMMARY DATA'!G:G,'SUMMARY DATA'!$D:$D=$C755,'SUMMARY DATA'!$B:$B=""RWS"")),"""")
  )
)"),"")</f>
      </c>
      <c r="H755" s="18" t="str">
        <f>IFERROR(__xludf.DUMMYFUNCTION("IFERROR(
  TEXTJOIN(CHAR(10),TRUE,FILTER('SUMMARY DATA'!H:H,'SUMMARY DATA'!$A:$A=$A755,'SUMMARY DATA'!$C:$C=$B755,'SUMMARY DATA'!$B:$B=""RWS"",'SUMMARY DATA'!$H:$H=$D755)),
  IF(
    OR(
      ISNUMBER(SEARCH(""CDM CASH DEPOSIT"",$C755)),
      ISNUMBER(S"&amp;"EARCH(""CASH DEPOSIT"",$C755))
    ),
    """",
    IFERROR(TEXTJOIN(CHAR(10),TRUE,FILTER('SUMMARY DATA'!H:H,'SUMMARY DATA'!$D:$D=$C755,'SUMMARY DATA'!$B:$B=""RWS"",'SUMMARY DATA'!$H:$H=$D755)),"""")
  )
)"),"")</f>
      </c>
      <c r="I755" s="18" t="str">
        <f>IFERROR(__xludf.DUMMYFUNCTION("IF(H755="""","""",
SUM(ARRAYFORMULA(VALUE(SPLIT(H755,CHAR(10)))))
)"),"")</f>
      </c>
      <c r="J755" s="17" t="str">
        <f>IFERROR(__xludf.DUMMYFUNCTION("IFERROR(
  TEXTJOIN(CHAR(10),TRUE,FILTER('SUMMARY DATA'!I:I,'SUMMARY DATA'!$A:$A=$A755,'SUMMARY DATA'!$C:$C=$B755,'SUMMARY DATA'!$B:$B=""RWS"")),
  IF(
    OR(
      ISNUMBER(SEARCH(""CDM CASH DEPOSIT"",$C755)),
      ISNUMBER(SEARCH(""CASH DEPOSIT"",$C75"&amp;"5)),
      COUNTIFS('SUMMARY DATA'!$D:$D,$C755,'SUMMARY DATA'!$B:$B,""RWS"")&lt;&gt;1
    ),
    """",
    IFERROR(TEXTJOIN(CHAR(10),TRUE,FILTER('SUMMARY DATA'!I:I,'SUMMARY DATA'!$D:$D=$C755,'SUMMARY DATA'!$B:$B=""RWS"")),"""")
  )
)"),"")</f>
      </c>
      <c r="K755" s="2"/>
      <c r="L755" s="2"/>
      <c r="M755" s="2"/>
      <c r="N755" s="2"/>
      <c r="O755" s="2"/>
      <c r="P755" s="2"/>
      <c r="Q755" s="2"/>
      <c r="R755" s="2"/>
      <c r="S755" s="2"/>
      <c r="T755" s="2"/>
      <c r="U755" s="2"/>
      <c r="V755" s="2"/>
      <c r="W755" s="2"/>
      <c r="X755" s="2"/>
      <c r="Y755" s="2"/>
      <c r="Z755" s="2"/>
      <c r="AA755" s="2"/>
      <c r="AB755" s="2"/>
    </row>
    <row r="756" spans="1:28" customHeight="true">
      <c r="A756" s="2" t="s">
        <v>1210</v>
      </c>
      <c r="B756" s="15">
        <v>46023</v>
      </c>
      <c r="C756" s="2" t="s">
        <v>1211</v>
      </c>
      <c r="D756" s="3">
        <v>17.76</v>
      </c>
      <c r="E756" s="16" t="str">
        <f>IFERROR(__xludf.DUMMYFUNCTION("IFERROR(
  TEXTJOIN(CHAR(10),TRUE,FILTER('SUMMARY DATA'!E:E,'SUMMARY DATA'!$A:$A=$A756,'SUMMARY DATA'!$C:$C=$B756,'SUMMARY DATA'!$B:$B=""RWS"")),
  IF(
    OR(
      ISNUMBER(SEARCH(""CDM CASH DEPOSIT"",$C756)),
      ISNUMBER(SEARCH(""CASH DEPOSIT"",$C75"&amp;"6)),
      COUNTIFS('SUMMARY DATA'!$D:$D,$C756,'SUMMARY DATA'!$B:$B,""RWS"")&lt;&gt;1
    ),
    """",
    IFERROR(TEXTJOIN(CHAR(10),TRUE,FILTER('SUMMARY DATA'!E:E,'SUMMARY DATA'!$D:$D=$C756,'SUMMARY DATA'!$B:$B=""RWS"")),"""")
  )
)"),"")</f>
      </c>
      <c r="F756" s="17" t="str">
        <f>IFERROR(__xludf.DUMMYFUNCTION("IFERROR(
  TEXTJOIN(CHAR(10),TRUE,FILTER('SUMMARY DATA'!F:F,'SUMMARY DATA'!$A:$A=$A756,'SUMMARY DATA'!$C:$C=$B756,'SUMMARY DATA'!$B:$B=""RWS"")),
  IF(
    OR(
      ISNUMBER(SEARCH(""CDM CASH DEPOSIT"",$C756)),
      ISNUMBER(SEARCH(""CASH DEPOSIT"",$C75"&amp;"6)),
      COUNTIFS('SUMMARY DATA'!$D:$D,$C756,'SUMMARY DATA'!$B:$B,""RWS"")&lt;&gt;1
    ),
    """",
    IFERROR(TEXTJOIN(CHAR(10),TRUE,FILTER('SUMMARY DATA'!F:F,'SUMMARY DATA'!$D:$D=$C756,'SUMMARY DATA'!$B:$B=""RWS"")),"""")
  )
)"),"")</f>
      </c>
      <c r="G756" s="17" t="str">
        <f>IFERROR(__xludf.DUMMYFUNCTION("IFERROR(
  TEXTJOIN(CHAR(10),TRUE,FILTER('SUMMARY DATA'!G:G,'SUMMARY DATA'!$A:$A=$A756,'SUMMARY DATA'!$C:$C=$B756,'SUMMARY DATA'!$B:$B=""RWS"")),
  IF(
    OR(
      ISNUMBER(SEARCH(""CDM CASH DEPOSIT"",$C756)),
      ISNUMBER(SEARCH(""CASH DEPOSIT"",$C75"&amp;"6)),
      COUNTIFS('SUMMARY DATA'!$D:$D,$C756,'SUMMARY DATA'!$B:$B,""RWS"")&lt;&gt;1
    ),
    """",
    IFERROR(TEXTJOIN(CHAR(10),TRUE,FILTER('SUMMARY DATA'!G:G,'SUMMARY DATA'!$D:$D=$C756,'SUMMARY DATA'!$B:$B=""RWS"")),"""")
  )
)"),"")</f>
      </c>
      <c r="H756" s="18" t="str">
        <f>IFERROR(__xludf.DUMMYFUNCTION("IFERROR(
  TEXTJOIN(CHAR(10),TRUE,FILTER('SUMMARY DATA'!H:H,'SUMMARY DATA'!$A:$A=$A756,'SUMMARY DATA'!$C:$C=$B756,'SUMMARY DATA'!$B:$B=""RWS"",'SUMMARY DATA'!$H:$H=$D756)),
  IF(
    OR(
      ISNUMBER(SEARCH(""CDM CASH DEPOSIT"",$C756)),
      ISNUMBER(S"&amp;"EARCH(""CASH DEPOSIT"",$C756))
    ),
    """",
    IFERROR(TEXTJOIN(CHAR(10),TRUE,FILTER('SUMMARY DATA'!H:H,'SUMMARY DATA'!$D:$D=$C756,'SUMMARY DATA'!$B:$B=""RWS"",'SUMMARY DATA'!$H:$H=$D756)),"""")
  )
)"),"")</f>
      </c>
      <c r="I756" s="18" t="str">
        <f>IFERROR(__xludf.DUMMYFUNCTION("IF(H756="""","""",
SUM(ARRAYFORMULA(VALUE(SPLIT(H756,CHAR(10)))))
)"),"")</f>
      </c>
      <c r="J756" s="17" t="str">
        <f>IFERROR(__xludf.DUMMYFUNCTION("IFERROR(
  TEXTJOIN(CHAR(10),TRUE,FILTER('SUMMARY DATA'!I:I,'SUMMARY DATA'!$A:$A=$A756,'SUMMARY DATA'!$C:$C=$B756,'SUMMARY DATA'!$B:$B=""RWS"")),
  IF(
    OR(
      ISNUMBER(SEARCH(""CDM CASH DEPOSIT"",$C756)),
      ISNUMBER(SEARCH(""CASH DEPOSIT"",$C75"&amp;"6)),
      COUNTIFS('SUMMARY DATA'!$D:$D,$C756,'SUMMARY DATA'!$B:$B,""RWS"")&lt;&gt;1
    ),
    """",
    IFERROR(TEXTJOIN(CHAR(10),TRUE,FILTER('SUMMARY DATA'!I:I,'SUMMARY DATA'!$D:$D=$C756,'SUMMARY DATA'!$B:$B=""RWS"")),"""")
  )
)"),"")</f>
      </c>
      <c r="K756" s="2"/>
      <c r="L756" s="2"/>
      <c r="M756" s="2"/>
      <c r="N756" s="2"/>
      <c r="O756" s="2"/>
      <c r="P756" s="2"/>
      <c r="Q756" s="2"/>
      <c r="R756" s="2"/>
      <c r="S756" s="2"/>
      <c r="T756" s="2"/>
      <c r="U756" s="2"/>
      <c r="V756" s="2"/>
      <c r="W756" s="2"/>
      <c r="X756" s="2"/>
      <c r="Y756" s="2"/>
      <c r="Z756" s="2"/>
      <c r="AA756" s="2"/>
      <c r="AB756" s="2"/>
    </row>
    <row r="757" spans="1:28" customHeight="true">
      <c r="A757" s="2" t="s">
        <v>497</v>
      </c>
      <c r="B757" s="15">
        <v>46023</v>
      </c>
      <c r="C757" s="2" t="s">
        <v>498</v>
      </c>
      <c r="D757" s="3">
        <v>68</v>
      </c>
      <c r="E757" s="16" t="s">
        <v>2549</v>
      </c>
      <c r="F757" s="17" t="s">
        <v>2657</v>
      </c>
      <c r="G757" s="17" t="s">
        <v>2393</v>
      </c>
      <c r="H757" s="18">
        <v>68</v>
      </c>
      <c r="I757" s="18">
        <v>68</v>
      </c>
      <c r="J757" s="17" t="s">
        <v>2394</v>
      </c>
      <c r="K757" s="2" t="s">
        <v>2395</v>
      </c>
      <c r="L757" s="2"/>
      <c r="M757" s="2"/>
      <c r="N757" s="2"/>
      <c r="O757" s="2"/>
      <c r="P757" s="2"/>
      <c r="Q757" s="2"/>
      <c r="R757" s="2"/>
      <c r="S757" s="2"/>
      <c r="T757" s="2"/>
      <c r="U757" s="2"/>
      <c r="V757" s="2"/>
      <c r="W757" s="2"/>
      <c r="X757" s="2"/>
      <c r="Y757" s="2"/>
      <c r="Z757" s="2"/>
      <c r="AA757" s="2"/>
      <c r="AB757" s="2"/>
    </row>
    <row r="758" spans="1:28" customHeight="true">
      <c r="A758" s="2" t="s">
        <v>1212</v>
      </c>
      <c r="B758" s="15">
        <v>46023</v>
      </c>
      <c r="C758" s="2" t="s">
        <v>1213</v>
      </c>
      <c r="D758" s="3">
        <v>228.5</v>
      </c>
      <c r="E758" s="16" t="str">
        <f>IFERROR(__xludf.DUMMYFUNCTION("IFERROR(
  TEXTJOIN(CHAR(10),TRUE,FILTER('SUMMARY DATA'!E:E,'SUMMARY DATA'!$A:$A=$A758,'SUMMARY DATA'!$C:$C=$B758,'SUMMARY DATA'!$B:$B=""RWS"")),
  IF(
    OR(
      ISNUMBER(SEARCH(""CDM CASH DEPOSIT"",$C758)),
      ISNUMBER(SEARCH(""CASH DEPOSIT"",$C75"&amp;"8)),
      COUNTIFS('SUMMARY DATA'!$D:$D,$C758,'SUMMARY DATA'!$B:$B,""RWS"")&lt;&gt;1
    ),
    """",
    IFERROR(TEXTJOIN(CHAR(10),TRUE,FILTER('SUMMARY DATA'!E:E,'SUMMARY DATA'!$D:$D=$C758,'SUMMARY DATA'!$B:$B=""RWS"")),"""")
  )
)"),"")</f>
      </c>
      <c r="F758" s="17" t="str">
        <f>IFERROR(__xludf.DUMMYFUNCTION("IFERROR(
  TEXTJOIN(CHAR(10),TRUE,FILTER('SUMMARY DATA'!F:F,'SUMMARY DATA'!$A:$A=$A758,'SUMMARY DATA'!$C:$C=$B758,'SUMMARY DATA'!$B:$B=""RWS"")),
  IF(
    OR(
      ISNUMBER(SEARCH(""CDM CASH DEPOSIT"",$C758)),
      ISNUMBER(SEARCH(""CASH DEPOSIT"",$C75"&amp;"8)),
      COUNTIFS('SUMMARY DATA'!$D:$D,$C758,'SUMMARY DATA'!$B:$B,""RWS"")&lt;&gt;1
    ),
    """",
    IFERROR(TEXTJOIN(CHAR(10),TRUE,FILTER('SUMMARY DATA'!F:F,'SUMMARY DATA'!$D:$D=$C758,'SUMMARY DATA'!$B:$B=""RWS"")),"""")
  )
)"),"")</f>
      </c>
      <c r="G758" s="17" t="str">
        <f>IFERROR(__xludf.DUMMYFUNCTION("IFERROR(
  TEXTJOIN(CHAR(10),TRUE,FILTER('SUMMARY DATA'!G:G,'SUMMARY DATA'!$A:$A=$A758,'SUMMARY DATA'!$C:$C=$B758,'SUMMARY DATA'!$B:$B=""RWS"")),
  IF(
    OR(
      ISNUMBER(SEARCH(""CDM CASH DEPOSIT"",$C758)),
      ISNUMBER(SEARCH(""CASH DEPOSIT"",$C75"&amp;"8)),
      COUNTIFS('SUMMARY DATA'!$D:$D,$C758,'SUMMARY DATA'!$B:$B,""RWS"")&lt;&gt;1
    ),
    """",
    IFERROR(TEXTJOIN(CHAR(10),TRUE,FILTER('SUMMARY DATA'!G:G,'SUMMARY DATA'!$D:$D=$C758,'SUMMARY DATA'!$B:$B=""RWS"")),"""")
  )
)"),"")</f>
      </c>
      <c r="H758" s="18" t="str">
        <f>IFERROR(__xludf.DUMMYFUNCTION("IFERROR(
  TEXTJOIN(CHAR(10),TRUE,FILTER('SUMMARY DATA'!H:H,'SUMMARY DATA'!$A:$A=$A758,'SUMMARY DATA'!$C:$C=$B758,'SUMMARY DATA'!$B:$B=""RWS"",'SUMMARY DATA'!$H:$H=$D758)),
  IF(
    OR(
      ISNUMBER(SEARCH(""CDM CASH DEPOSIT"",$C758)),
      ISNUMBER(S"&amp;"EARCH(""CASH DEPOSIT"",$C758))
    ),
    """",
    IFERROR(TEXTJOIN(CHAR(10),TRUE,FILTER('SUMMARY DATA'!H:H,'SUMMARY DATA'!$D:$D=$C758,'SUMMARY DATA'!$B:$B=""RWS"",'SUMMARY DATA'!$H:$H=$D758)),"""")
  )
)"),"")</f>
      </c>
      <c r="I758" s="18" t="str">
        <f>IFERROR(__xludf.DUMMYFUNCTION("IF(H758="""","""",
SUM(ARRAYFORMULA(VALUE(SPLIT(H758,CHAR(10)))))
)"),"")</f>
      </c>
      <c r="J758" s="17" t="str">
        <f>IFERROR(__xludf.DUMMYFUNCTION("IFERROR(
  TEXTJOIN(CHAR(10),TRUE,FILTER('SUMMARY DATA'!I:I,'SUMMARY DATA'!$A:$A=$A758,'SUMMARY DATA'!$C:$C=$B758,'SUMMARY DATA'!$B:$B=""RWS"")),
  IF(
    OR(
      ISNUMBER(SEARCH(""CDM CASH DEPOSIT"",$C758)),
      ISNUMBER(SEARCH(""CASH DEPOSIT"",$C75"&amp;"8)),
      COUNTIFS('SUMMARY DATA'!$D:$D,$C758,'SUMMARY DATA'!$B:$B,""RWS"")&lt;&gt;1
    ),
    """",
    IFERROR(TEXTJOIN(CHAR(10),TRUE,FILTER('SUMMARY DATA'!I:I,'SUMMARY DATA'!$D:$D=$C758,'SUMMARY DATA'!$B:$B=""RWS"")),"""")
  )
)"),"")</f>
      </c>
      <c r="K758" s="2"/>
      <c r="L758" s="2"/>
      <c r="M758" s="2"/>
      <c r="N758" s="2"/>
      <c r="O758" s="2"/>
      <c r="P758" s="2"/>
      <c r="Q758" s="2"/>
      <c r="R758" s="2"/>
      <c r="S758" s="2"/>
      <c r="T758" s="2"/>
      <c r="U758" s="2"/>
      <c r="V758" s="2"/>
      <c r="W758" s="2"/>
      <c r="X758" s="2"/>
      <c r="Y758" s="2"/>
      <c r="Z758" s="2"/>
      <c r="AA758" s="2"/>
      <c r="AB758" s="2"/>
    </row>
    <row r="759" spans="1:28" customHeight="true">
      <c r="A759" s="2" t="s">
        <v>1214</v>
      </c>
      <c r="B759" s="15">
        <v>46023</v>
      </c>
      <c r="C759" s="2" t="s">
        <v>1215</v>
      </c>
      <c r="D759" s="3">
        <v>250</v>
      </c>
      <c r="E759" s="16" t="str">
        <f>IFERROR(__xludf.DUMMYFUNCTION("IFERROR(
  TEXTJOIN(CHAR(10),TRUE,FILTER('SUMMARY DATA'!E:E,'SUMMARY DATA'!$A:$A=$A759,'SUMMARY DATA'!$C:$C=$B759,'SUMMARY DATA'!$B:$B=""RWS"")),
  IF(
    OR(
      ISNUMBER(SEARCH(""CDM CASH DEPOSIT"",$C759)),
      ISNUMBER(SEARCH(""CASH DEPOSIT"",$C75"&amp;"9)),
      COUNTIFS('SUMMARY DATA'!$D:$D,$C759,'SUMMARY DATA'!$B:$B,""RWS"")&lt;&gt;1
    ),
    """",
    IFERROR(TEXTJOIN(CHAR(10),TRUE,FILTER('SUMMARY DATA'!E:E,'SUMMARY DATA'!$D:$D=$C759,'SUMMARY DATA'!$B:$B=""RWS"")),"""")
  )
)"),"")</f>
      </c>
      <c r="F759" s="17" t="str">
        <f>IFERROR(__xludf.DUMMYFUNCTION("IFERROR(
  TEXTJOIN(CHAR(10),TRUE,FILTER('SUMMARY DATA'!F:F,'SUMMARY DATA'!$A:$A=$A759,'SUMMARY DATA'!$C:$C=$B759,'SUMMARY DATA'!$B:$B=""RWS"")),
  IF(
    OR(
      ISNUMBER(SEARCH(""CDM CASH DEPOSIT"",$C759)),
      ISNUMBER(SEARCH(""CASH DEPOSIT"",$C75"&amp;"9)),
      COUNTIFS('SUMMARY DATA'!$D:$D,$C759,'SUMMARY DATA'!$B:$B,""RWS"")&lt;&gt;1
    ),
    """",
    IFERROR(TEXTJOIN(CHAR(10),TRUE,FILTER('SUMMARY DATA'!F:F,'SUMMARY DATA'!$D:$D=$C759,'SUMMARY DATA'!$B:$B=""RWS"")),"""")
  )
)"),"")</f>
      </c>
      <c r="G759" s="17" t="str">
        <f>IFERROR(__xludf.DUMMYFUNCTION("IFERROR(
  TEXTJOIN(CHAR(10),TRUE,FILTER('SUMMARY DATA'!G:G,'SUMMARY DATA'!$A:$A=$A759,'SUMMARY DATA'!$C:$C=$B759,'SUMMARY DATA'!$B:$B=""RWS"")),
  IF(
    OR(
      ISNUMBER(SEARCH(""CDM CASH DEPOSIT"",$C759)),
      ISNUMBER(SEARCH(""CASH DEPOSIT"",$C75"&amp;"9)),
      COUNTIFS('SUMMARY DATA'!$D:$D,$C759,'SUMMARY DATA'!$B:$B,""RWS"")&lt;&gt;1
    ),
    """",
    IFERROR(TEXTJOIN(CHAR(10),TRUE,FILTER('SUMMARY DATA'!G:G,'SUMMARY DATA'!$D:$D=$C759,'SUMMARY DATA'!$B:$B=""RWS"")),"""")
  )
)"),"")</f>
      </c>
      <c r="H759" s="18" t="str">
        <f>IFERROR(__xludf.DUMMYFUNCTION("IFERROR(
  TEXTJOIN(CHAR(10),TRUE,FILTER('SUMMARY DATA'!H:H,'SUMMARY DATA'!$A:$A=$A759,'SUMMARY DATA'!$C:$C=$B759,'SUMMARY DATA'!$B:$B=""RWS"",'SUMMARY DATA'!$H:$H=$D759)),
  IF(
    OR(
      ISNUMBER(SEARCH(""CDM CASH DEPOSIT"",$C759)),
      ISNUMBER(S"&amp;"EARCH(""CASH DEPOSIT"",$C759))
    ),
    """",
    IFERROR(TEXTJOIN(CHAR(10),TRUE,FILTER('SUMMARY DATA'!H:H,'SUMMARY DATA'!$D:$D=$C759,'SUMMARY DATA'!$B:$B=""RWS"",'SUMMARY DATA'!$H:$H=$D759)),"""")
  )
)"),"")</f>
      </c>
      <c r="I759" s="18" t="str">
        <f>IFERROR(__xludf.DUMMYFUNCTION("IF(H759="""","""",
SUM(ARRAYFORMULA(VALUE(SPLIT(H759,CHAR(10)))))
)"),"")</f>
      </c>
      <c r="J759" s="17" t="str">
        <f>IFERROR(__xludf.DUMMYFUNCTION("IFERROR(
  TEXTJOIN(CHAR(10),TRUE,FILTER('SUMMARY DATA'!I:I,'SUMMARY DATA'!$A:$A=$A759,'SUMMARY DATA'!$C:$C=$B759,'SUMMARY DATA'!$B:$B=""RWS"")),
  IF(
    OR(
      ISNUMBER(SEARCH(""CDM CASH DEPOSIT"",$C759)),
      ISNUMBER(SEARCH(""CASH DEPOSIT"",$C75"&amp;"9)),
      COUNTIFS('SUMMARY DATA'!$D:$D,$C759,'SUMMARY DATA'!$B:$B,""RWS"")&lt;&gt;1
    ),
    """",
    IFERROR(TEXTJOIN(CHAR(10),TRUE,FILTER('SUMMARY DATA'!I:I,'SUMMARY DATA'!$D:$D=$C759,'SUMMARY DATA'!$B:$B=""RWS"")),"""")
  )
)"),"")</f>
      </c>
      <c r="K759" s="2"/>
      <c r="L759" s="2"/>
      <c r="M759" s="2"/>
      <c r="N759" s="2"/>
      <c r="O759" s="2"/>
      <c r="P759" s="2"/>
      <c r="Q759" s="2"/>
      <c r="R759" s="2"/>
      <c r="S759" s="2"/>
      <c r="T759" s="2"/>
      <c r="U759" s="2"/>
      <c r="V759" s="2"/>
      <c r="W759" s="2"/>
      <c r="X759" s="2"/>
      <c r="Y759" s="2"/>
      <c r="Z759" s="2"/>
      <c r="AA759" s="2"/>
      <c r="AB759" s="2"/>
    </row>
    <row r="760" spans="1:28" customHeight="true">
      <c r="A760" s="2" t="s">
        <v>1216</v>
      </c>
      <c r="B760" s="15">
        <v>46023</v>
      </c>
      <c r="C760" s="2" t="s">
        <v>1217</v>
      </c>
      <c r="D760" s="3">
        <v>6</v>
      </c>
      <c r="E760" s="16" t="str">
        <f>IFERROR(__xludf.DUMMYFUNCTION("IFERROR(
  TEXTJOIN(CHAR(10),TRUE,FILTER('SUMMARY DATA'!E:E,'SUMMARY DATA'!$A:$A=$A760,'SUMMARY DATA'!$C:$C=$B760,'SUMMARY DATA'!$B:$B=""RWS"")),
  IF(
    OR(
      ISNUMBER(SEARCH(""CDM CASH DEPOSIT"",$C760)),
      ISNUMBER(SEARCH(""CASH DEPOSIT"",$C76"&amp;"0)),
      COUNTIFS('SUMMARY DATA'!$D:$D,$C760,'SUMMARY DATA'!$B:$B,""RWS"")&lt;&gt;1
    ),
    """",
    IFERROR(TEXTJOIN(CHAR(10),TRUE,FILTER('SUMMARY DATA'!E:E,'SUMMARY DATA'!$D:$D=$C760,'SUMMARY DATA'!$B:$B=""RWS"")),"""")
  )
)"),"")</f>
      </c>
      <c r="F760" s="17" t="str">
        <f>IFERROR(__xludf.DUMMYFUNCTION("IFERROR(
  TEXTJOIN(CHAR(10),TRUE,FILTER('SUMMARY DATA'!F:F,'SUMMARY DATA'!$A:$A=$A760,'SUMMARY DATA'!$C:$C=$B760,'SUMMARY DATA'!$B:$B=""RWS"")),
  IF(
    OR(
      ISNUMBER(SEARCH(""CDM CASH DEPOSIT"",$C760)),
      ISNUMBER(SEARCH(""CASH DEPOSIT"",$C76"&amp;"0)),
      COUNTIFS('SUMMARY DATA'!$D:$D,$C760,'SUMMARY DATA'!$B:$B,""RWS"")&lt;&gt;1
    ),
    """",
    IFERROR(TEXTJOIN(CHAR(10),TRUE,FILTER('SUMMARY DATA'!F:F,'SUMMARY DATA'!$D:$D=$C760,'SUMMARY DATA'!$B:$B=""RWS"")),"""")
  )
)"),"")</f>
      </c>
      <c r="G760" s="17" t="str">
        <f>IFERROR(__xludf.DUMMYFUNCTION("IFERROR(
  TEXTJOIN(CHAR(10),TRUE,FILTER('SUMMARY DATA'!G:G,'SUMMARY DATA'!$A:$A=$A760,'SUMMARY DATA'!$C:$C=$B760,'SUMMARY DATA'!$B:$B=""RWS"")),
  IF(
    OR(
      ISNUMBER(SEARCH(""CDM CASH DEPOSIT"",$C760)),
      ISNUMBER(SEARCH(""CASH DEPOSIT"",$C76"&amp;"0)),
      COUNTIFS('SUMMARY DATA'!$D:$D,$C760,'SUMMARY DATA'!$B:$B,""RWS"")&lt;&gt;1
    ),
    """",
    IFERROR(TEXTJOIN(CHAR(10),TRUE,FILTER('SUMMARY DATA'!G:G,'SUMMARY DATA'!$D:$D=$C760,'SUMMARY DATA'!$B:$B=""RWS"")),"""")
  )
)"),"")</f>
      </c>
      <c r="H760" s="18" t="str">
        <f>IFERROR(__xludf.DUMMYFUNCTION("IFERROR(
  TEXTJOIN(CHAR(10),TRUE,FILTER('SUMMARY DATA'!H:H,'SUMMARY DATA'!$A:$A=$A760,'SUMMARY DATA'!$C:$C=$B760,'SUMMARY DATA'!$B:$B=""RWS"",'SUMMARY DATA'!$H:$H=$D760)),
  IF(
    OR(
      ISNUMBER(SEARCH(""CDM CASH DEPOSIT"",$C760)),
      ISNUMBER(S"&amp;"EARCH(""CASH DEPOSIT"",$C760))
    ),
    """",
    IFERROR(TEXTJOIN(CHAR(10),TRUE,FILTER('SUMMARY DATA'!H:H,'SUMMARY DATA'!$D:$D=$C760,'SUMMARY DATA'!$B:$B=""RWS"",'SUMMARY DATA'!$H:$H=$D760)),"""")
  )
)"),"")</f>
      </c>
      <c r="I760" s="18" t="str">
        <f>IFERROR(__xludf.DUMMYFUNCTION("IF(H760="""","""",
SUM(ARRAYFORMULA(VALUE(SPLIT(H760,CHAR(10)))))
)"),"")</f>
      </c>
      <c r="J760" s="17" t="str">
        <f>IFERROR(__xludf.DUMMYFUNCTION("IFERROR(
  TEXTJOIN(CHAR(10),TRUE,FILTER('SUMMARY DATA'!I:I,'SUMMARY DATA'!$A:$A=$A760,'SUMMARY DATA'!$C:$C=$B760,'SUMMARY DATA'!$B:$B=""RWS"")),
  IF(
    OR(
      ISNUMBER(SEARCH(""CDM CASH DEPOSIT"",$C760)),
      ISNUMBER(SEARCH(""CASH DEPOSIT"",$C76"&amp;"0)),
      COUNTIFS('SUMMARY DATA'!$D:$D,$C760,'SUMMARY DATA'!$B:$B,""RWS"")&lt;&gt;1
    ),
    """",
    IFERROR(TEXTJOIN(CHAR(10),TRUE,FILTER('SUMMARY DATA'!I:I,'SUMMARY DATA'!$D:$D=$C760,'SUMMARY DATA'!$B:$B=""RWS"")),"""")
  )
)"),"")</f>
      </c>
      <c r="K760" s="2"/>
      <c r="L760" s="2"/>
      <c r="M760" s="2"/>
      <c r="N760" s="2"/>
      <c r="O760" s="2"/>
      <c r="P760" s="2"/>
      <c r="Q760" s="2"/>
      <c r="R760" s="2"/>
      <c r="S760" s="2"/>
      <c r="T760" s="2"/>
      <c r="U760" s="2"/>
      <c r="V760" s="2"/>
      <c r="W760" s="2"/>
      <c r="X760" s="2"/>
      <c r="Y760" s="2"/>
      <c r="Z760" s="2"/>
      <c r="AA760" s="2"/>
      <c r="AB760" s="2"/>
    </row>
    <row r="761" spans="1:28" customHeight="true">
      <c r="A761" s="2"/>
      <c r="B761" s="15">
        <v>46023</v>
      </c>
      <c r="C761" s="2" t="s">
        <v>1218</v>
      </c>
      <c r="D761" s="3">
        <v>119.95</v>
      </c>
      <c r="E761" s="16" t="str">
        <f>IFERROR(__xludf.DUMMYFUNCTION("IFERROR(
  TEXTJOIN(CHAR(10),TRUE,FILTER('SUMMARY DATA'!E:E,'SUMMARY DATA'!$A:$A=$A761,'SUMMARY DATA'!$C:$C=$B761,'SUMMARY DATA'!$B:$B=""RWS"")),
  IF(
    OR(
      ISNUMBER(SEARCH(""CDM CASH DEPOSIT"",$C761)),
      ISNUMBER(SEARCH(""CASH DEPOSIT"",$C76"&amp;"1)),
      COUNTIFS('SUMMARY DATA'!$D:$D,$C761,'SUMMARY DATA'!$B:$B,""RWS"")&lt;&gt;1
    ),
    """",
    IFERROR(TEXTJOIN(CHAR(10),TRUE,FILTER('SUMMARY DATA'!E:E,'SUMMARY DATA'!$D:$D=$C761,'SUMMARY DATA'!$B:$B=""RWS"")),"""")
  )
)"),"")</f>
      </c>
      <c r="F761" s="17" t="str">
        <f>IFERROR(__xludf.DUMMYFUNCTION("IFERROR(
  TEXTJOIN(CHAR(10),TRUE,FILTER('SUMMARY DATA'!F:F,'SUMMARY DATA'!$A:$A=$A761,'SUMMARY DATA'!$C:$C=$B761,'SUMMARY DATA'!$B:$B=""RWS"")),
  IF(
    OR(
      ISNUMBER(SEARCH(""CDM CASH DEPOSIT"",$C761)),
      ISNUMBER(SEARCH(""CASH DEPOSIT"",$C76"&amp;"1)),
      COUNTIFS('SUMMARY DATA'!$D:$D,$C761,'SUMMARY DATA'!$B:$B,""RWS"")&lt;&gt;1
    ),
    """",
    IFERROR(TEXTJOIN(CHAR(10),TRUE,FILTER('SUMMARY DATA'!F:F,'SUMMARY DATA'!$D:$D=$C761,'SUMMARY DATA'!$B:$B=""RWS"")),"""")
  )
)"),"")</f>
      </c>
      <c r="G761" s="17" t="str">
        <f>IFERROR(__xludf.DUMMYFUNCTION("IFERROR(
  TEXTJOIN(CHAR(10),TRUE,FILTER('SUMMARY DATA'!G:G,'SUMMARY DATA'!$A:$A=$A761,'SUMMARY DATA'!$C:$C=$B761,'SUMMARY DATA'!$B:$B=""RWS"")),
  IF(
    OR(
      ISNUMBER(SEARCH(""CDM CASH DEPOSIT"",$C761)),
      ISNUMBER(SEARCH(""CASH DEPOSIT"",$C76"&amp;"1)),
      COUNTIFS('SUMMARY DATA'!$D:$D,$C761,'SUMMARY DATA'!$B:$B,""RWS"")&lt;&gt;1
    ),
    """",
    IFERROR(TEXTJOIN(CHAR(10),TRUE,FILTER('SUMMARY DATA'!G:G,'SUMMARY DATA'!$D:$D=$C761,'SUMMARY DATA'!$B:$B=""RWS"")),"""")
  )
)"),"")</f>
      </c>
      <c r="H761" s="18" t="str">
        <f>IFERROR(__xludf.DUMMYFUNCTION("IFERROR(
  TEXTJOIN(CHAR(10),TRUE,FILTER('SUMMARY DATA'!H:H,'SUMMARY DATA'!$A:$A=$A761,'SUMMARY DATA'!$C:$C=$B761,'SUMMARY DATA'!$B:$B=""RWS"",'SUMMARY DATA'!$H:$H=$D761)),
  IF(
    OR(
      ISNUMBER(SEARCH(""CDM CASH DEPOSIT"",$C761)),
      ISNUMBER(S"&amp;"EARCH(""CASH DEPOSIT"",$C761))
    ),
    """",
    IFERROR(TEXTJOIN(CHAR(10),TRUE,FILTER('SUMMARY DATA'!H:H,'SUMMARY DATA'!$D:$D=$C761,'SUMMARY DATA'!$B:$B=""RWS"",'SUMMARY DATA'!$H:$H=$D761)),"""")
  )
)"),"")</f>
      </c>
      <c r="I761" s="18" t="str">
        <f>IFERROR(__xludf.DUMMYFUNCTION("IF(H761="""","""",
SUM(ARRAYFORMULA(VALUE(SPLIT(H761,CHAR(10)))))
)"),"")</f>
      </c>
      <c r="J761" s="17" t="str">
        <f>IFERROR(__xludf.DUMMYFUNCTION("IFERROR(
  TEXTJOIN(CHAR(10),TRUE,FILTER('SUMMARY DATA'!I:I,'SUMMARY DATA'!$A:$A=$A761,'SUMMARY DATA'!$C:$C=$B761,'SUMMARY DATA'!$B:$B=""RWS"")),
  IF(
    OR(
      ISNUMBER(SEARCH(""CDM CASH DEPOSIT"",$C761)),
      ISNUMBER(SEARCH(""CASH DEPOSIT"",$C76"&amp;"1)),
      COUNTIFS('SUMMARY DATA'!$D:$D,$C761,'SUMMARY DATA'!$B:$B,""RWS"")&lt;&gt;1
    ),
    """",
    IFERROR(TEXTJOIN(CHAR(10),TRUE,FILTER('SUMMARY DATA'!I:I,'SUMMARY DATA'!$D:$D=$C761,'SUMMARY DATA'!$B:$B=""RWS"")),"""")
  )
)"),"")</f>
      </c>
      <c r="K761" s="2"/>
      <c r="L761" s="2"/>
      <c r="M761" s="2"/>
      <c r="N761" s="2"/>
      <c r="O761" s="2"/>
      <c r="P761" s="2"/>
      <c r="Q761" s="2"/>
      <c r="R761" s="2"/>
      <c r="S761" s="2"/>
      <c r="T761" s="2"/>
      <c r="U761" s="2"/>
      <c r="V761" s="2"/>
      <c r="W761" s="2"/>
      <c r="X761" s="2"/>
      <c r="Y761" s="2"/>
      <c r="Z761" s="2"/>
      <c r="AA761" s="2"/>
      <c r="AB761" s="2"/>
    </row>
    <row r="762" spans="1:28" customHeight="true">
      <c r="A762" s="2" t="s">
        <v>1219</v>
      </c>
      <c r="B762" s="15">
        <v>46023</v>
      </c>
      <c r="C762" s="2" t="s">
        <v>1220</v>
      </c>
      <c r="D762" s="3">
        <v>100</v>
      </c>
      <c r="E762" s="16" t="str">
        <f>IFERROR(__xludf.DUMMYFUNCTION("IFERROR(
  TEXTJOIN(CHAR(10),TRUE,FILTER('SUMMARY DATA'!E:E,'SUMMARY DATA'!$A:$A=$A762,'SUMMARY DATA'!$C:$C=$B762,'SUMMARY DATA'!$B:$B=""RWS"")),
  IF(
    OR(
      ISNUMBER(SEARCH(""CDM CASH DEPOSIT"",$C762)),
      ISNUMBER(SEARCH(""CASH DEPOSIT"",$C76"&amp;"2)),
      COUNTIFS('SUMMARY DATA'!$D:$D,$C762,'SUMMARY DATA'!$B:$B,""RWS"")&lt;&gt;1
    ),
    """",
    IFERROR(TEXTJOIN(CHAR(10),TRUE,FILTER('SUMMARY DATA'!E:E,'SUMMARY DATA'!$D:$D=$C762,'SUMMARY DATA'!$B:$B=""RWS"")),"""")
  )
)"),"")</f>
      </c>
      <c r="F762" s="17" t="str">
        <f>IFERROR(__xludf.DUMMYFUNCTION("IFERROR(
  TEXTJOIN(CHAR(10),TRUE,FILTER('SUMMARY DATA'!F:F,'SUMMARY DATA'!$A:$A=$A762,'SUMMARY DATA'!$C:$C=$B762,'SUMMARY DATA'!$B:$B=""RWS"")),
  IF(
    OR(
      ISNUMBER(SEARCH(""CDM CASH DEPOSIT"",$C762)),
      ISNUMBER(SEARCH(""CASH DEPOSIT"",$C76"&amp;"2)),
      COUNTIFS('SUMMARY DATA'!$D:$D,$C762,'SUMMARY DATA'!$B:$B,""RWS"")&lt;&gt;1
    ),
    """",
    IFERROR(TEXTJOIN(CHAR(10),TRUE,FILTER('SUMMARY DATA'!F:F,'SUMMARY DATA'!$D:$D=$C762,'SUMMARY DATA'!$B:$B=""RWS"")),"""")
  )
)"),"")</f>
      </c>
      <c r="G762" s="17" t="str">
        <f>IFERROR(__xludf.DUMMYFUNCTION("IFERROR(
  TEXTJOIN(CHAR(10),TRUE,FILTER('SUMMARY DATA'!G:G,'SUMMARY DATA'!$A:$A=$A762,'SUMMARY DATA'!$C:$C=$B762,'SUMMARY DATA'!$B:$B=""RWS"")),
  IF(
    OR(
      ISNUMBER(SEARCH(""CDM CASH DEPOSIT"",$C762)),
      ISNUMBER(SEARCH(""CASH DEPOSIT"",$C76"&amp;"2)),
      COUNTIFS('SUMMARY DATA'!$D:$D,$C762,'SUMMARY DATA'!$B:$B,""RWS"")&lt;&gt;1
    ),
    """",
    IFERROR(TEXTJOIN(CHAR(10),TRUE,FILTER('SUMMARY DATA'!G:G,'SUMMARY DATA'!$D:$D=$C762,'SUMMARY DATA'!$B:$B=""RWS"")),"""")
  )
)"),"")</f>
      </c>
      <c r="H762" s="18" t="str">
        <f>IFERROR(__xludf.DUMMYFUNCTION("IFERROR(
  TEXTJOIN(CHAR(10),TRUE,FILTER('SUMMARY DATA'!H:H,'SUMMARY DATA'!$A:$A=$A762,'SUMMARY DATA'!$C:$C=$B762,'SUMMARY DATA'!$B:$B=""RWS"",'SUMMARY DATA'!$H:$H=$D762)),
  IF(
    OR(
      ISNUMBER(SEARCH(""CDM CASH DEPOSIT"",$C762)),
      ISNUMBER(S"&amp;"EARCH(""CASH DEPOSIT"",$C762))
    ),
    """",
    IFERROR(TEXTJOIN(CHAR(10),TRUE,FILTER('SUMMARY DATA'!H:H,'SUMMARY DATA'!$D:$D=$C762,'SUMMARY DATA'!$B:$B=""RWS"",'SUMMARY DATA'!$H:$H=$D762)),"""")
  )
)"),"")</f>
      </c>
      <c r="I762" s="18" t="str">
        <f>IFERROR(__xludf.DUMMYFUNCTION("IF(H762="""","""",
SUM(ARRAYFORMULA(VALUE(SPLIT(H762,CHAR(10)))))
)"),"")</f>
      </c>
      <c r="J762" s="17" t="str">
        <f>IFERROR(__xludf.DUMMYFUNCTION("IFERROR(
  TEXTJOIN(CHAR(10),TRUE,FILTER('SUMMARY DATA'!I:I,'SUMMARY DATA'!$A:$A=$A762,'SUMMARY DATA'!$C:$C=$B762,'SUMMARY DATA'!$B:$B=""RWS"")),
  IF(
    OR(
      ISNUMBER(SEARCH(""CDM CASH DEPOSIT"",$C762)),
      ISNUMBER(SEARCH(""CASH DEPOSIT"",$C76"&amp;"2)),
      COUNTIFS('SUMMARY DATA'!$D:$D,$C762,'SUMMARY DATA'!$B:$B,""RWS"")&lt;&gt;1
    ),
    """",
    IFERROR(TEXTJOIN(CHAR(10),TRUE,FILTER('SUMMARY DATA'!I:I,'SUMMARY DATA'!$D:$D=$C762,'SUMMARY DATA'!$B:$B=""RWS"")),"""")
  )
)"),"")</f>
      </c>
      <c r="K762" s="2"/>
      <c r="L762" s="2"/>
      <c r="M762" s="2"/>
      <c r="N762" s="2"/>
      <c r="O762" s="2"/>
      <c r="P762" s="2"/>
      <c r="Q762" s="2"/>
      <c r="R762" s="2"/>
      <c r="S762" s="2"/>
      <c r="T762" s="2"/>
      <c r="U762" s="2"/>
      <c r="V762" s="2"/>
      <c r="W762" s="2"/>
      <c r="X762" s="2"/>
      <c r="Y762" s="2"/>
      <c r="Z762" s="2"/>
      <c r="AA762" s="2"/>
      <c r="AB762" s="2"/>
    </row>
    <row r="763" spans="1:28" customHeight="true">
      <c r="A763" s="2"/>
      <c r="B763" s="15">
        <v>46023</v>
      </c>
      <c r="C763" s="2" t="s">
        <v>1221</v>
      </c>
      <c r="D763" s="3">
        <v>40</v>
      </c>
      <c r="E763" s="16" t="str">
        <f>IFERROR(__xludf.DUMMYFUNCTION("IFERROR(
  TEXTJOIN(CHAR(10),TRUE,FILTER('SUMMARY DATA'!E:E,'SUMMARY DATA'!$A:$A=$A763,'SUMMARY DATA'!$C:$C=$B763,'SUMMARY DATA'!$B:$B=""RWS"")),
  IF(
    OR(
      ISNUMBER(SEARCH(""CDM CASH DEPOSIT"",$C763)),
      ISNUMBER(SEARCH(""CASH DEPOSIT"",$C76"&amp;"3)),
      COUNTIFS('SUMMARY DATA'!$D:$D,$C763,'SUMMARY DATA'!$B:$B,""RWS"")&lt;&gt;1
    ),
    """",
    IFERROR(TEXTJOIN(CHAR(10),TRUE,FILTER('SUMMARY DATA'!E:E,'SUMMARY DATA'!$D:$D=$C763,'SUMMARY DATA'!$B:$B=""RWS"")),"""")
  )
)"),"")</f>
      </c>
      <c r="F763" s="17" t="str">
        <f>IFERROR(__xludf.DUMMYFUNCTION("IFERROR(
  TEXTJOIN(CHAR(10),TRUE,FILTER('SUMMARY DATA'!F:F,'SUMMARY DATA'!$A:$A=$A763,'SUMMARY DATA'!$C:$C=$B763,'SUMMARY DATA'!$B:$B=""RWS"")),
  IF(
    OR(
      ISNUMBER(SEARCH(""CDM CASH DEPOSIT"",$C763)),
      ISNUMBER(SEARCH(""CASH DEPOSIT"",$C76"&amp;"3)),
      COUNTIFS('SUMMARY DATA'!$D:$D,$C763,'SUMMARY DATA'!$B:$B,""RWS"")&lt;&gt;1
    ),
    """",
    IFERROR(TEXTJOIN(CHAR(10),TRUE,FILTER('SUMMARY DATA'!F:F,'SUMMARY DATA'!$D:$D=$C763,'SUMMARY DATA'!$B:$B=""RWS"")),"""")
  )
)"),"")</f>
      </c>
      <c r="G763" s="17" t="str">
        <f>IFERROR(__xludf.DUMMYFUNCTION("IFERROR(
  TEXTJOIN(CHAR(10),TRUE,FILTER('SUMMARY DATA'!G:G,'SUMMARY DATA'!$A:$A=$A763,'SUMMARY DATA'!$C:$C=$B763,'SUMMARY DATA'!$B:$B=""RWS"")),
  IF(
    OR(
      ISNUMBER(SEARCH(""CDM CASH DEPOSIT"",$C763)),
      ISNUMBER(SEARCH(""CASH DEPOSIT"",$C76"&amp;"3)),
      COUNTIFS('SUMMARY DATA'!$D:$D,$C763,'SUMMARY DATA'!$B:$B,""RWS"")&lt;&gt;1
    ),
    """",
    IFERROR(TEXTJOIN(CHAR(10),TRUE,FILTER('SUMMARY DATA'!G:G,'SUMMARY DATA'!$D:$D=$C763,'SUMMARY DATA'!$B:$B=""RWS"")),"""")
  )
)"),"")</f>
      </c>
      <c r="H763" s="18" t="str">
        <f>IFERROR(__xludf.DUMMYFUNCTION("IFERROR(
  TEXTJOIN(CHAR(10),TRUE,FILTER('SUMMARY DATA'!H:H,'SUMMARY DATA'!$A:$A=$A763,'SUMMARY DATA'!$C:$C=$B763,'SUMMARY DATA'!$B:$B=""RWS"",'SUMMARY DATA'!$H:$H=$D763)),
  IF(
    OR(
      ISNUMBER(SEARCH(""CDM CASH DEPOSIT"",$C763)),
      ISNUMBER(S"&amp;"EARCH(""CASH DEPOSIT"",$C763))
    ),
    """",
    IFERROR(TEXTJOIN(CHAR(10),TRUE,FILTER('SUMMARY DATA'!H:H,'SUMMARY DATA'!$D:$D=$C763,'SUMMARY DATA'!$B:$B=""RWS"",'SUMMARY DATA'!$H:$H=$D763)),"""")
  )
)"),"")</f>
      </c>
      <c r="I763" s="18" t="str">
        <f>IFERROR(__xludf.DUMMYFUNCTION("IF(H763="""","""",
SUM(ARRAYFORMULA(VALUE(SPLIT(H763,CHAR(10)))))
)"),"")</f>
      </c>
      <c r="J763" s="17" t="str">
        <f>IFERROR(__xludf.DUMMYFUNCTION("IFERROR(
  TEXTJOIN(CHAR(10),TRUE,FILTER('SUMMARY DATA'!I:I,'SUMMARY DATA'!$A:$A=$A763,'SUMMARY DATA'!$C:$C=$B763,'SUMMARY DATA'!$B:$B=""RWS"")),
  IF(
    OR(
      ISNUMBER(SEARCH(""CDM CASH DEPOSIT"",$C763)),
      ISNUMBER(SEARCH(""CASH DEPOSIT"",$C76"&amp;"3)),
      COUNTIFS('SUMMARY DATA'!$D:$D,$C763,'SUMMARY DATA'!$B:$B,""RWS"")&lt;&gt;1
    ),
    """",
    IFERROR(TEXTJOIN(CHAR(10),TRUE,FILTER('SUMMARY DATA'!I:I,'SUMMARY DATA'!$D:$D=$C763,'SUMMARY DATA'!$B:$B=""RWS"")),"""")
  )
)"),"")</f>
      </c>
      <c r="K763" s="2"/>
      <c r="L763" s="2"/>
      <c r="M763" s="2"/>
      <c r="N763" s="2"/>
      <c r="O763" s="2"/>
      <c r="P763" s="2"/>
      <c r="Q763" s="2"/>
      <c r="R763" s="2"/>
      <c r="S763" s="2"/>
      <c r="T763" s="2"/>
      <c r="U763" s="2"/>
      <c r="V763" s="2"/>
      <c r="W763" s="2"/>
      <c r="X763" s="2"/>
      <c r="Y763" s="2"/>
      <c r="Z763" s="2"/>
      <c r="AA763" s="2"/>
      <c r="AB763" s="2"/>
    </row>
    <row r="764" spans="1:28" customHeight="true">
      <c r="A764" s="2" t="s">
        <v>1222</v>
      </c>
      <c r="B764" s="15">
        <v>46054</v>
      </c>
      <c r="C764" s="2" t="s">
        <v>1223</v>
      </c>
      <c r="D764" s="3">
        <v>86.68</v>
      </c>
      <c r="E764" s="16" t="str">
        <f>IFERROR(__xludf.DUMMYFUNCTION("IFERROR(
  TEXTJOIN(CHAR(10),TRUE,FILTER('SUMMARY DATA'!E:E,'SUMMARY DATA'!$A:$A=$A764,'SUMMARY DATA'!$C:$C=$B764,'SUMMARY DATA'!$B:$B=""RWS"")),
  IF(
    OR(
      ISNUMBER(SEARCH(""CDM CASH DEPOSIT"",$C764)),
      ISNUMBER(SEARCH(""CASH DEPOSIT"",$C76"&amp;"4)),
      COUNTIFS('SUMMARY DATA'!$D:$D,$C764,'SUMMARY DATA'!$B:$B,""RWS"")&lt;&gt;1
    ),
    """",
    IFERROR(TEXTJOIN(CHAR(10),TRUE,FILTER('SUMMARY DATA'!E:E,'SUMMARY DATA'!$D:$D=$C764,'SUMMARY DATA'!$B:$B=""RWS"")),"""")
  )
)"),"")</f>
      </c>
      <c r="F764" s="17" t="str">
        <f>IFERROR(__xludf.DUMMYFUNCTION("IFERROR(
  TEXTJOIN(CHAR(10),TRUE,FILTER('SUMMARY DATA'!F:F,'SUMMARY DATA'!$A:$A=$A764,'SUMMARY DATA'!$C:$C=$B764,'SUMMARY DATA'!$B:$B=""RWS"")),
  IF(
    OR(
      ISNUMBER(SEARCH(""CDM CASH DEPOSIT"",$C764)),
      ISNUMBER(SEARCH(""CASH DEPOSIT"",$C76"&amp;"4)),
      COUNTIFS('SUMMARY DATA'!$D:$D,$C764,'SUMMARY DATA'!$B:$B,""RWS"")&lt;&gt;1
    ),
    """",
    IFERROR(TEXTJOIN(CHAR(10),TRUE,FILTER('SUMMARY DATA'!F:F,'SUMMARY DATA'!$D:$D=$C764,'SUMMARY DATA'!$B:$B=""RWS"")),"""")
  )
)"),"")</f>
      </c>
      <c r="G764" s="17" t="str">
        <f>IFERROR(__xludf.DUMMYFUNCTION("IFERROR(
  TEXTJOIN(CHAR(10),TRUE,FILTER('SUMMARY DATA'!G:G,'SUMMARY DATA'!$A:$A=$A764,'SUMMARY DATA'!$C:$C=$B764,'SUMMARY DATA'!$B:$B=""RWS"")),
  IF(
    OR(
      ISNUMBER(SEARCH(""CDM CASH DEPOSIT"",$C764)),
      ISNUMBER(SEARCH(""CASH DEPOSIT"",$C76"&amp;"4)),
      COUNTIFS('SUMMARY DATA'!$D:$D,$C764,'SUMMARY DATA'!$B:$B,""RWS"")&lt;&gt;1
    ),
    """",
    IFERROR(TEXTJOIN(CHAR(10),TRUE,FILTER('SUMMARY DATA'!G:G,'SUMMARY DATA'!$D:$D=$C764,'SUMMARY DATA'!$B:$B=""RWS"")),"""")
  )
)"),"")</f>
      </c>
      <c r="H764" s="18" t="str">
        <f>IFERROR(__xludf.DUMMYFUNCTION("IFERROR(
  TEXTJOIN(CHAR(10),TRUE,FILTER('SUMMARY DATA'!H:H,'SUMMARY DATA'!$A:$A=$A764,'SUMMARY DATA'!$C:$C=$B764,'SUMMARY DATA'!$B:$B=""RWS"",'SUMMARY DATA'!$H:$H=$D764)),
  IF(
    OR(
      ISNUMBER(SEARCH(""CDM CASH DEPOSIT"",$C764)),
      ISNUMBER(S"&amp;"EARCH(""CASH DEPOSIT"",$C764))
    ),
    """",
    IFERROR(TEXTJOIN(CHAR(10),TRUE,FILTER('SUMMARY DATA'!H:H,'SUMMARY DATA'!$D:$D=$C764,'SUMMARY DATA'!$B:$B=""RWS"",'SUMMARY DATA'!$H:$H=$D764)),"""")
  )
)"),"")</f>
      </c>
      <c r="I764" s="18" t="str">
        <f>IFERROR(__xludf.DUMMYFUNCTION("IF(H764="""","""",
SUM(ARRAYFORMULA(VALUE(SPLIT(H764,CHAR(10)))))
)"),"")</f>
      </c>
      <c r="J764" s="17" t="str">
        <f>IFERROR(__xludf.DUMMYFUNCTION("IFERROR(
  TEXTJOIN(CHAR(10),TRUE,FILTER('SUMMARY DATA'!I:I,'SUMMARY DATA'!$A:$A=$A764,'SUMMARY DATA'!$C:$C=$B764,'SUMMARY DATA'!$B:$B=""RWS"")),
  IF(
    OR(
      ISNUMBER(SEARCH(""CDM CASH DEPOSIT"",$C764)),
      ISNUMBER(SEARCH(""CASH DEPOSIT"",$C76"&amp;"4)),
      COUNTIFS('SUMMARY DATA'!$D:$D,$C764,'SUMMARY DATA'!$B:$B,""RWS"")&lt;&gt;1
    ),
    """",
    IFERROR(TEXTJOIN(CHAR(10),TRUE,FILTER('SUMMARY DATA'!I:I,'SUMMARY DATA'!$D:$D=$C764,'SUMMARY DATA'!$B:$B=""RWS"")),"""")
  )
)"),"")</f>
      </c>
      <c r="K764" s="2"/>
      <c r="L764" s="2"/>
      <c r="M764" s="2"/>
      <c r="N764" s="2"/>
      <c r="O764" s="2"/>
      <c r="P764" s="2"/>
      <c r="Q764" s="2"/>
      <c r="R764" s="2"/>
      <c r="S764" s="2"/>
      <c r="T764" s="2"/>
      <c r="U764" s="2"/>
      <c r="V764" s="2"/>
      <c r="W764" s="2"/>
      <c r="X764" s="2"/>
      <c r="Y764" s="2"/>
      <c r="Z764" s="2"/>
      <c r="AA764" s="2"/>
      <c r="AB764" s="2"/>
    </row>
    <row r="765" spans="1:28" customHeight="true">
      <c r="A765" s="2" t="s">
        <v>1224</v>
      </c>
      <c r="B765" s="15">
        <v>46054</v>
      </c>
      <c r="C765" s="2" t="s">
        <v>1225</v>
      </c>
      <c r="D765" s="3">
        <v>39</v>
      </c>
      <c r="E765" s="16" t="s">
        <v>2658</v>
      </c>
      <c r="F765" s="17" t="s">
        <v>2659</v>
      </c>
      <c r="G765" s="17" t="s">
        <v>2393</v>
      </c>
      <c r="H765" s="18">
        <v>39</v>
      </c>
      <c r="I765" s="18">
        <v>39</v>
      </c>
      <c r="J765" s="17" t="s">
        <v>2394</v>
      </c>
      <c r="K765" s="2" t="s">
        <v>2395</v>
      </c>
      <c r="L765" s="2"/>
      <c r="M765" s="2"/>
      <c r="N765" s="2"/>
      <c r="O765" s="2"/>
      <c r="P765" s="2"/>
      <c r="Q765" s="2"/>
      <c r="R765" s="2"/>
      <c r="S765" s="2"/>
      <c r="T765" s="2"/>
      <c r="U765" s="2"/>
      <c r="V765" s="2"/>
      <c r="W765" s="2"/>
      <c r="X765" s="2"/>
      <c r="Y765" s="2"/>
      <c r="Z765" s="2"/>
      <c r="AA765" s="2"/>
      <c r="AB765" s="2"/>
    </row>
    <row r="766" spans="1:28" customHeight="true">
      <c r="A766" s="2"/>
      <c r="B766" s="15">
        <v>46054</v>
      </c>
      <c r="C766" s="2" t="s">
        <v>1226</v>
      </c>
      <c r="D766" s="3">
        <v>168.66</v>
      </c>
      <c r="E766" s="16" t="str">
        <f>IFERROR(__xludf.DUMMYFUNCTION("IFERROR(
  TEXTJOIN(CHAR(10),TRUE,FILTER('SUMMARY DATA'!E:E,'SUMMARY DATA'!$A:$A=$A766,'SUMMARY DATA'!$C:$C=$B766,'SUMMARY DATA'!$B:$B=""RWS"")),
  IF(
    OR(
      ISNUMBER(SEARCH(""CDM CASH DEPOSIT"",$C766)),
      ISNUMBER(SEARCH(""CASH DEPOSIT"",$C76"&amp;"6)),
      COUNTIFS('SUMMARY DATA'!$D:$D,$C766,'SUMMARY DATA'!$B:$B,""RWS"")&lt;&gt;1
    ),
    """",
    IFERROR(TEXTJOIN(CHAR(10),TRUE,FILTER('SUMMARY DATA'!E:E,'SUMMARY DATA'!$D:$D=$C766,'SUMMARY DATA'!$B:$B=""RWS"")),"""")
  )
)"),"")</f>
      </c>
      <c r="F766" s="17" t="str">
        <f>IFERROR(__xludf.DUMMYFUNCTION("IFERROR(
  TEXTJOIN(CHAR(10),TRUE,FILTER('SUMMARY DATA'!F:F,'SUMMARY DATA'!$A:$A=$A766,'SUMMARY DATA'!$C:$C=$B766,'SUMMARY DATA'!$B:$B=""RWS"")),
  IF(
    OR(
      ISNUMBER(SEARCH(""CDM CASH DEPOSIT"",$C766)),
      ISNUMBER(SEARCH(""CASH DEPOSIT"",$C76"&amp;"6)),
      COUNTIFS('SUMMARY DATA'!$D:$D,$C766,'SUMMARY DATA'!$B:$B,""RWS"")&lt;&gt;1
    ),
    """",
    IFERROR(TEXTJOIN(CHAR(10),TRUE,FILTER('SUMMARY DATA'!F:F,'SUMMARY DATA'!$D:$D=$C766,'SUMMARY DATA'!$B:$B=""RWS"")),"""")
  )
)"),"")</f>
      </c>
      <c r="G766" s="17" t="str">
        <f>IFERROR(__xludf.DUMMYFUNCTION("IFERROR(
  TEXTJOIN(CHAR(10),TRUE,FILTER('SUMMARY DATA'!G:G,'SUMMARY DATA'!$A:$A=$A766,'SUMMARY DATA'!$C:$C=$B766,'SUMMARY DATA'!$B:$B=""RWS"")),
  IF(
    OR(
      ISNUMBER(SEARCH(""CDM CASH DEPOSIT"",$C766)),
      ISNUMBER(SEARCH(""CASH DEPOSIT"",$C76"&amp;"6)),
      COUNTIFS('SUMMARY DATA'!$D:$D,$C766,'SUMMARY DATA'!$B:$B,""RWS"")&lt;&gt;1
    ),
    """",
    IFERROR(TEXTJOIN(CHAR(10),TRUE,FILTER('SUMMARY DATA'!G:G,'SUMMARY DATA'!$D:$D=$C766,'SUMMARY DATA'!$B:$B=""RWS"")),"""")
  )
)"),"")</f>
      </c>
      <c r="H766" s="18" t="str">
        <f>IFERROR(__xludf.DUMMYFUNCTION("IFERROR(
  TEXTJOIN(CHAR(10),TRUE,FILTER('SUMMARY DATA'!H:H,'SUMMARY DATA'!$A:$A=$A766,'SUMMARY DATA'!$C:$C=$B766,'SUMMARY DATA'!$B:$B=""RWS"",'SUMMARY DATA'!$H:$H=$D766)),
  IF(
    OR(
      ISNUMBER(SEARCH(""CDM CASH DEPOSIT"",$C766)),
      ISNUMBER(S"&amp;"EARCH(""CASH DEPOSIT"",$C766))
    ),
    """",
    IFERROR(TEXTJOIN(CHAR(10),TRUE,FILTER('SUMMARY DATA'!H:H,'SUMMARY DATA'!$D:$D=$C766,'SUMMARY DATA'!$B:$B=""RWS"",'SUMMARY DATA'!$H:$H=$D766)),"""")
  )
)"),"")</f>
      </c>
      <c r="I766" s="18" t="str">
        <f>IFERROR(__xludf.DUMMYFUNCTION("IF(H766="""","""",
SUM(ARRAYFORMULA(VALUE(SPLIT(H766,CHAR(10)))))
)"),"")</f>
      </c>
      <c r="J766" s="17" t="str">
        <f>IFERROR(__xludf.DUMMYFUNCTION("IFERROR(
  TEXTJOIN(CHAR(10),TRUE,FILTER('SUMMARY DATA'!I:I,'SUMMARY DATA'!$A:$A=$A766,'SUMMARY DATA'!$C:$C=$B766,'SUMMARY DATA'!$B:$B=""RWS"")),
  IF(
    OR(
      ISNUMBER(SEARCH(""CDM CASH DEPOSIT"",$C766)),
      ISNUMBER(SEARCH(""CASH DEPOSIT"",$C76"&amp;"6)),
      COUNTIFS('SUMMARY DATA'!$D:$D,$C766,'SUMMARY DATA'!$B:$B,""RWS"")&lt;&gt;1
    ),
    """",
    IFERROR(TEXTJOIN(CHAR(10),TRUE,FILTER('SUMMARY DATA'!I:I,'SUMMARY DATA'!$D:$D=$C766,'SUMMARY DATA'!$B:$B=""RWS"")),"""")
  )
)"),"")</f>
      </c>
      <c r="K766" s="2"/>
      <c r="L766" s="2"/>
      <c r="M766" s="2"/>
      <c r="N766" s="2"/>
      <c r="O766" s="2"/>
      <c r="P766" s="2"/>
      <c r="Q766" s="2"/>
      <c r="R766" s="2"/>
      <c r="S766" s="2"/>
      <c r="T766" s="2"/>
      <c r="U766" s="2"/>
      <c r="V766" s="2"/>
      <c r="W766" s="2"/>
      <c r="X766" s="2"/>
      <c r="Y766" s="2"/>
      <c r="Z766" s="2"/>
      <c r="AA766" s="2"/>
      <c r="AB766" s="2"/>
    </row>
    <row r="767" spans="1:28" customHeight="true">
      <c r="A767" s="2" t="s">
        <v>1227</v>
      </c>
      <c r="B767" s="15">
        <v>46054</v>
      </c>
      <c r="C767" s="2" t="s">
        <v>1228</v>
      </c>
      <c r="D767" s="3">
        <v>888</v>
      </c>
      <c r="E767" s="16" t="str">
        <f>IFERROR(__xludf.DUMMYFUNCTION("IFERROR(
  TEXTJOIN(CHAR(10),TRUE,FILTER('SUMMARY DATA'!E:E,'SUMMARY DATA'!$A:$A=$A767,'SUMMARY DATA'!$C:$C=$B767,'SUMMARY DATA'!$B:$B=""RWS"")),
  IF(
    OR(
      ISNUMBER(SEARCH(""CDM CASH DEPOSIT"",$C767)),
      ISNUMBER(SEARCH(""CASH DEPOSIT"",$C76"&amp;"7)),
      COUNTIFS('SUMMARY DATA'!$D:$D,$C767,'SUMMARY DATA'!$B:$B,""RWS"")&lt;&gt;1
    ),
    """",
    IFERROR(TEXTJOIN(CHAR(10),TRUE,FILTER('SUMMARY DATA'!E:E,'SUMMARY DATA'!$D:$D=$C767,'SUMMARY DATA'!$B:$B=""RWS"")),"""")
  )
)"),"")</f>
      </c>
      <c r="F767" s="17" t="str">
        <f>IFERROR(__xludf.DUMMYFUNCTION("IFERROR(
  TEXTJOIN(CHAR(10),TRUE,FILTER('SUMMARY DATA'!F:F,'SUMMARY DATA'!$A:$A=$A767,'SUMMARY DATA'!$C:$C=$B767,'SUMMARY DATA'!$B:$B=""RWS"")),
  IF(
    OR(
      ISNUMBER(SEARCH(""CDM CASH DEPOSIT"",$C767)),
      ISNUMBER(SEARCH(""CASH DEPOSIT"",$C76"&amp;"7)),
      COUNTIFS('SUMMARY DATA'!$D:$D,$C767,'SUMMARY DATA'!$B:$B,""RWS"")&lt;&gt;1
    ),
    """",
    IFERROR(TEXTJOIN(CHAR(10),TRUE,FILTER('SUMMARY DATA'!F:F,'SUMMARY DATA'!$D:$D=$C767,'SUMMARY DATA'!$B:$B=""RWS"")),"""")
  )
)"),"")</f>
      </c>
      <c r="G767" s="17" t="str">
        <f>IFERROR(__xludf.DUMMYFUNCTION("IFERROR(
  TEXTJOIN(CHAR(10),TRUE,FILTER('SUMMARY DATA'!G:G,'SUMMARY DATA'!$A:$A=$A767,'SUMMARY DATA'!$C:$C=$B767,'SUMMARY DATA'!$B:$B=""RWS"")),
  IF(
    OR(
      ISNUMBER(SEARCH(""CDM CASH DEPOSIT"",$C767)),
      ISNUMBER(SEARCH(""CASH DEPOSIT"",$C76"&amp;"7)),
      COUNTIFS('SUMMARY DATA'!$D:$D,$C767,'SUMMARY DATA'!$B:$B,""RWS"")&lt;&gt;1
    ),
    """",
    IFERROR(TEXTJOIN(CHAR(10),TRUE,FILTER('SUMMARY DATA'!G:G,'SUMMARY DATA'!$D:$D=$C767,'SUMMARY DATA'!$B:$B=""RWS"")),"""")
  )
)"),"")</f>
      </c>
      <c r="H767" s="18" t="str">
        <f>IFERROR(__xludf.DUMMYFUNCTION("IFERROR(
  TEXTJOIN(CHAR(10),TRUE,FILTER('SUMMARY DATA'!H:H,'SUMMARY DATA'!$A:$A=$A767,'SUMMARY DATA'!$C:$C=$B767,'SUMMARY DATA'!$B:$B=""RWS"",'SUMMARY DATA'!$H:$H=$D767)),
  IF(
    OR(
      ISNUMBER(SEARCH(""CDM CASH DEPOSIT"",$C767)),
      ISNUMBER(S"&amp;"EARCH(""CASH DEPOSIT"",$C767))
    ),
    """",
    IFERROR(TEXTJOIN(CHAR(10),TRUE,FILTER('SUMMARY DATA'!H:H,'SUMMARY DATA'!$D:$D=$C767,'SUMMARY DATA'!$B:$B=""RWS"",'SUMMARY DATA'!$H:$H=$D767)),"""")
  )
)"),"")</f>
      </c>
      <c r="I767" s="18" t="str">
        <f>IFERROR(__xludf.DUMMYFUNCTION("IF(H767="""","""",
SUM(ARRAYFORMULA(VALUE(SPLIT(H767,CHAR(10)))))
)"),"")</f>
      </c>
      <c r="J767" s="17" t="str">
        <f>IFERROR(__xludf.DUMMYFUNCTION("IFERROR(
  TEXTJOIN(CHAR(10),TRUE,FILTER('SUMMARY DATA'!I:I,'SUMMARY DATA'!$A:$A=$A767,'SUMMARY DATA'!$C:$C=$B767,'SUMMARY DATA'!$B:$B=""RWS"")),
  IF(
    OR(
      ISNUMBER(SEARCH(""CDM CASH DEPOSIT"",$C767)),
      ISNUMBER(SEARCH(""CASH DEPOSIT"",$C76"&amp;"7)),
      COUNTIFS('SUMMARY DATA'!$D:$D,$C767,'SUMMARY DATA'!$B:$B,""RWS"")&lt;&gt;1
    ),
    """",
    IFERROR(TEXTJOIN(CHAR(10),TRUE,FILTER('SUMMARY DATA'!I:I,'SUMMARY DATA'!$D:$D=$C767,'SUMMARY DATA'!$B:$B=""RWS"")),"""")
  )
)"),"")</f>
      </c>
      <c r="K767" s="2"/>
      <c r="L767" s="2"/>
      <c r="M767" s="2"/>
      <c r="N767" s="2"/>
      <c r="O767" s="2"/>
      <c r="P767" s="2"/>
      <c r="Q767" s="2"/>
      <c r="R767" s="2"/>
      <c r="S767" s="2"/>
      <c r="T767" s="2"/>
      <c r="U767" s="2"/>
      <c r="V767" s="2"/>
      <c r="W767" s="2"/>
      <c r="X767" s="2"/>
      <c r="Y767" s="2"/>
      <c r="Z767" s="2"/>
      <c r="AA767" s="2"/>
      <c r="AB767" s="2"/>
    </row>
    <row r="768" spans="1:28" customHeight="true">
      <c r="A768" s="2" t="s">
        <v>1229</v>
      </c>
      <c r="B768" s="15">
        <v>46054</v>
      </c>
      <c r="C768" s="2" t="s">
        <v>1230</v>
      </c>
      <c r="D768" s="3">
        <v>16.88</v>
      </c>
      <c r="E768" s="16" t="str">
        <f>IFERROR(__xludf.DUMMYFUNCTION("IFERROR(
  TEXTJOIN(CHAR(10),TRUE,FILTER('SUMMARY DATA'!E:E,'SUMMARY DATA'!$A:$A=$A768,'SUMMARY DATA'!$C:$C=$B768,'SUMMARY DATA'!$B:$B=""RWS"")),
  IF(
    OR(
      ISNUMBER(SEARCH(""CDM CASH DEPOSIT"",$C768)),
      ISNUMBER(SEARCH(""CASH DEPOSIT"",$C76"&amp;"8)),
      COUNTIFS('SUMMARY DATA'!$D:$D,$C768,'SUMMARY DATA'!$B:$B,""RWS"")&lt;&gt;1
    ),
    """",
    IFERROR(TEXTJOIN(CHAR(10),TRUE,FILTER('SUMMARY DATA'!E:E,'SUMMARY DATA'!$D:$D=$C768,'SUMMARY DATA'!$B:$B=""RWS"")),"""")
  )
)"),"")</f>
      </c>
      <c r="F768" s="17" t="str">
        <f>IFERROR(__xludf.DUMMYFUNCTION("IFERROR(
  TEXTJOIN(CHAR(10),TRUE,FILTER('SUMMARY DATA'!F:F,'SUMMARY DATA'!$A:$A=$A768,'SUMMARY DATA'!$C:$C=$B768,'SUMMARY DATA'!$B:$B=""RWS"")),
  IF(
    OR(
      ISNUMBER(SEARCH(""CDM CASH DEPOSIT"",$C768)),
      ISNUMBER(SEARCH(""CASH DEPOSIT"",$C76"&amp;"8)),
      COUNTIFS('SUMMARY DATA'!$D:$D,$C768,'SUMMARY DATA'!$B:$B,""RWS"")&lt;&gt;1
    ),
    """",
    IFERROR(TEXTJOIN(CHAR(10),TRUE,FILTER('SUMMARY DATA'!F:F,'SUMMARY DATA'!$D:$D=$C768,'SUMMARY DATA'!$B:$B=""RWS"")),"""")
  )
)"),"")</f>
      </c>
      <c r="G768" s="17" t="str">
        <f>IFERROR(__xludf.DUMMYFUNCTION("IFERROR(
  TEXTJOIN(CHAR(10),TRUE,FILTER('SUMMARY DATA'!G:G,'SUMMARY DATA'!$A:$A=$A768,'SUMMARY DATA'!$C:$C=$B768,'SUMMARY DATA'!$B:$B=""RWS"")),
  IF(
    OR(
      ISNUMBER(SEARCH(""CDM CASH DEPOSIT"",$C768)),
      ISNUMBER(SEARCH(""CASH DEPOSIT"",$C76"&amp;"8)),
      COUNTIFS('SUMMARY DATA'!$D:$D,$C768,'SUMMARY DATA'!$B:$B,""RWS"")&lt;&gt;1
    ),
    """",
    IFERROR(TEXTJOIN(CHAR(10),TRUE,FILTER('SUMMARY DATA'!G:G,'SUMMARY DATA'!$D:$D=$C768,'SUMMARY DATA'!$B:$B=""RWS"")),"""")
  )
)"),"")</f>
      </c>
      <c r="H768" s="18" t="str">
        <f>IFERROR(__xludf.DUMMYFUNCTION("IFERROR(
  TEXTJOIN(CHAR(10),TRUE,FILTER('SUMMARY DATA'!H:H,'SUMMARY DATA'!$A:$A=$A768,'SUMMARY DATA'!$C:$C=$B768,'SUMMARY DATA'!$B:$B=""RWS"",'SUMMARY DATA'!$H:$H=$D768)),
  IF(
    OR(
      ISNUMBER(SEARCH(""CDM CASH DEPOSIT"",$C768)),
      ISNUMBER(S"&amp;"EARCH(""CASH DEPOSIT"",$C768))
    ),
    """",
    IFERROR(TEXTJOIN(CHAR(10),TRUE,FILTER('SUMMARY DATA'!H:H,'SUMMARY DATA'!$D:$D=$C768,'SUMMARY DATA'!$B:$B=""RWS"",'SUMMARY DATA'!$H:$H=$D768)),"""")
  )
)"),"")</f>
      </c>
      <c r="I768" s="18" t="str">
        <f>IFERROR(__xludf.DUMMYFUNCTION("IF(H768="""","""",
SUM(ARRAYFORMULA(VALUE(SPLIT(H768,CHAR(10)))))
)"),"")</f>
      </c>
      <c r="J768" s="17" t="str">
        <f>IFERROR(__xludf.DUMMYFUNCTION("IFERROR(
  TEXTJOIN(CHAR(10),TRUE,FILTER('SUMMARY DATA'!I:I,'SUMMARY DATA'!$A:$A=$A768,'SUMMARY DATA'!$C:$C=$B768,'SUMMARY DATA'!$B:$B=""RWS"")),
  IF(
    OR(
      ISNUMBER(SEARCH(""CDM CASH DEPOSIT"",$C768)),
      ISNUMBER(SEARCH(""CASH DEPOSIT"",$C76"&amp;"8)),
      COUNTIFS('SUMMARY DATA'!$D:$D,$C768,'SUMMARY DATA'!$B:$B,""RWS"")&lt;&gt;1
    ),
    """",
    IFERROR(TEXTJOIN(CHAR(10),TRUE,FILTER('SUMMARY DATA'!I:I,'SUMMARY DATA'!$D:$D=$C768,'SUMMARY DATA'!$B:$B=""RWS"")),"""")
  )
)"),"")</f>
      </c>
      <c r="K768" s="2"/>
      <c r="L768" s="2"/>
      <c r="M768" s="2"/>
      <c r="N768" s="2"/>
      <c r="O768" s="2"/>
      <c r="P768" s="2"/>
      <c r="Q768" s="2"/>
      <c r="R768" s="2"/>
      <c r="S768" s="2"/>
      <c r="T768" s="2"/>
      <c r="U768" s="2"/>
      <c r="V768" s="2"/>
      <c r="W768" s="2"/>
      <c r="X768" s="2"/>
      <c r="Y768" s="2"/>
      <c r="Z768" s="2"/>
      <c r="AA768" s="2"/>
      <c r="AB768" s="2"/>
    </row>
    <row r="769" spans="1:28" customHeight="true">
      <c r="A769" s="2"/>
      <c r="B769" s="15">
        <v>46055</v>
      </c>
      <c r="C769" s="2" t="s">
        <v>1231</v>
      </c>
      <c r="D769" s="3">
        <v>10</v>
      </c>
      <c r="E769" s="16" t="str">
        <f>IFERROR(__xludf.DUMMYFUNCTION("IFERROR(
  TEXTJOIN(CHAR(10),TRUE,FILTER('SUMMARY DATA'!E:E,'SUMMARY DATA'!$A:$A=$A769,'SUMMARY DATA'!$C:$C=$B769,'SUMMARY DATA'!$B:$B=""RWS"")),
  IF(
    OR(
      ISNUMBER(SEARCH(""CDM CASH DEPOSIT"",$C769)),
      ISNUMBER(SEARCH(""CASH DEPOSIT"",$C76"&amp;"9)),
      COUNTIFS('SUMMARY DATA'!$D:$D,$C769,'SUMMARY DATA'!$B:$B,""RWS"")&lt;&gt;1
    ),
    """",
    IFERROR(TEXTJOIN(CHAR(10),TRUE,FILTER('SUMMARY DATA'!E:E,'SUMMARY DATA'!$D:$D=$C769,'SUMMARY DATA'!$B:$B=""RWS"")),"""")
  )
)"),"")</f>
      </c>
      <c r="F769" s="17" t="str">
        <f>IFERROR(__xludf.DUMMYFUNCTION("IFERROR(
  TEXTJOIN(CHAR(10),TRUE,FILTER('SUMMARY DATA'!F:F,'SUMMARY DATA'!$A:$A=$A769,'SUMMARY DATA'!$C:$C=$B769,'SUMMARY DATA'!$B:$B=""RWS"")),
  IF(
    OR(
      ISNUMBER(SEARCH(""CDM CASH DEPOSIT"",$C769)),
      ISNUMBER(SEARCH(""CASH DEPOSIT"",$C76"&amp;"9)),
      COUNTIFS('SUMMARY DATA'!$D:$D,$C769,'SUMMARY DATA'!$B:$B,""RWS"")&lt;&gt;1
    ),
    """",
    IFERROR(TEXTJOIN(CHAR(10),TRUE,FILTER('SUMMARY DATA'!F:F,'SUMMARY DATA'!$D:$D=$C769,'SUMMARY DATA'!$B:$B=""RWS"")),"""")
  )
)"),"")</f>
      </c>
      <c r="G769" s="17" t="str">
        <f>IFERROR(__xludf.DUMMYFUNCTION("IFERROR(
  TEXTJOIN(CHAR(10),TRUE,FILTER('SUMMARY DATA'!G:G,'SUMMARY DATA'!$A:$A=$A769,'SUMMARY DATA'!$C:$C=$B769,'SUMMARY DATA'!$B:$B=""RWS"")),
  IF(
    OR(
      ISNUMBER(SEARCH(""CDM CASH DEPOSIT"",$C769)),
      ISNUMBER(SEARCH(""CASH DEPOSIT"",$C76"&amp;"9)),
      COUNTIFS('SUMMARY DATA'!$D:$D,$C769,'SUMMARY DATA'!$B:$B,""RWS"")&lt;&gt;1
    ),
    """",
    IFERROR(TEXTJOIN(CHAR(10),TRUE,FILTER('SUMMARY DATA'!G:G,'SUMMARY DATA'!$D:$D=$C769,'SUMMARY DATA'!$B:$B=""RWS"")),"""")
  )
)"),"")</f>
      </c>
      <c r="H769" s="18" t="str">
        <f>IFERROR(__xludf.DUMMYFUNCTION("IFERROR(
  TEXTJOIN(CHAR(10),TRUE,FILTER('SUMMARY DATA'!H:H,'SUMMARY DATA'!$A:$A=$A769,'SUMMARY DATA'!$C:$C=$B769,'SUMMARY DATA'!$B:$B=""RWS"",'SUMMARY DATA'!$H:$H=$D769)),
  IF(
    OR(
      ISNUMBER(SEARCH(""CDM CASH DEPOSIT"",$C769)),
      ISNUMBER(S"&amp;"EARCH(""CASH DEPOSIT"",$C769))
    ),
    """",
    IFERROR(TEXTJOIN(CHAR(10),TRUE,FILTER('SUMMARY DATA'!H:H,'SUMMARY DATA'!$D:$D=$C769,'SUMMARY DATA'!$B:$B=""RWS"",'SUMMARY DATA'!$H:$H=$D769)),"""")
  )
)"),"")</f>
      </c>
      <c r="I769" s="18" t="str">
        <f>IFERROR(__xludf.DUMMYFUNCTION("IF(H769="""","""",
SUM(ARRAYFORMULA(VALUE(SPLIT(H769,CHAR(10)))))
)"),"")</f>
      </c>
      <c r="J769" s="17" t="str">
        <f>IFERROR(__xludf.DUMMYFUNCTION("IFERROR(
  TEXTJOIN(CHAR(10),TRUE,FILTER('SUMMARY DATA'!I:I,'SUMMARY DATA'!$A:$A=$A769,'SUMMARY DATA'!$C:$C=$B769,'SUMMARY DATA'!$B:$B=""RWS"")),
  IF(
    OR(
      ISNUMBER(SEARCH(""CDM CASH DEPOSIT"",$C769)),
      ISNUMBER(SEARCH(""CASH DEPOSIT"",$C76"&amp;"9)),
      COUNTIFS('SUMMARY DATA'!$D:$D,$C769,'SUMMARY DATA'!$B:$B,""RWS"")&lt;&gt;1
    ),
    """",
    IFERROR(TEXTJOIN(CHAR(10),TRUE,FILTER('SUMMARY DATA'!I:I,'SUMMARY DATA'!$D:$D=$C769,'SUMMARY DATA'!$B:$B=""RWS"")),"""")
  )
)"),"")</f>
      </c>
      <c r="K769" s="2"/>
      <c r="L769" s="2"/>
      <c r="M769" s="2"/>
      <c r="N769" s="2"/>
      <c r="O769" s="2"/>
      <c r="P769" s="2"/>
      <c r="Q769" s="2"/>
      <c r="R769" s="2"/>
      <c r="S769" s="2"/>
      <c r="T769" s="2"/>
      <c r="U769" s="2"/>
      <c r="V769" s="2"/>
      <c r="W769" s="2"/>
      <c r="X769" s="2"/>
      <c r="Y769" s="2"/>
      <c r="Z769" s="2"/>
      <c r="AA769" s="2"/>
      <c r="AB769" s="2"/>
    </row>
    <row r="770" spans="1:28" customHeight="true">
      <c r="A770" s="2" t="s">
        <v>1232</v>
      </c>
      <c r="B770" s="15">
        <v>46055</v>
      </c>
      <c r="C770" s="2" t="s">
        <v>1233</v>
      </c>
      <c r="D770" s="3">
        <v>1888</v>
      </c>
      <c r="E770" s="16" t="str">
        <f>IFERROR(__xludf.DUMMYFUNCTION("IFERROR(
  TEXTJOIN(CHAR(10),TRUE,FILTER('SUMMARY DATA'!E:E,'SUMMARY DATA'!$A:$A=$A770,'SUMMARY DATA'!$C:$C=$B770,'SUMMARY DATA'!$B:$B=""RWS"")),
  IF(
    OR(
      ISNUMBER(SEARCH(""CDM CASH DEPOSIT"",$C770)),
      ISNUMBER(SEARCH(""CASH DEPOSIT"",$C77"&amp;"0)),
      COUNTIFS('SUMMARY DATA'!$D:$D,$C770,'SUMMARY DATA'!$B:$B,""RWS"")&lt;&gt;1
    ),
    """",
    IFERROR(TEXTJOIN(CHAR(10),TRUE,FILTER('SUMMARY DATA'!E:E,'SUMMARY DATA'!$D:$D=$C770,'SUMMARY DATA'!$B:$B=""RWS"")),"""")
  )
)"),"")</f>
      </c>
      <c r="F770" s="17" t="str">
        <f>IFERROR(__xludf.DUMMYFUNCTION("IFERROR(
  TEXTJOIN(CHAR(10),TRUE,FILTER('SUMMARY DATA'!F:F,'SUMMARY DATA'!$A:$A=$A770,'SUMMARY DATA'!$C:$C=$B770,'SUMMARY DATA'!$B:$B=""RWS"")),
  IF(
    OR(
      ISNUMBER(SEARCH(""CDM CASH DEPOSIT"",$C770)),
      ISNUMBER(SEARCH(""CASH DEPOSIT"",$C77"&amp;"0)),
      COUNTIFS('SUMMARY DATA'!$D:$D,$C770,'SUMMARY DATA'!$B:$B,""RWS"")&lt;&gt;1
    ),
    """",
    IFERROR(TEXTJOIN(CHAR(10),TRUE,FILTER('SUMMARY DATA'!F:F,'SUMMARY DATA'!$D:$D=$C770,'SUMMARY DATA'!$B:$B=""RWS"")),"""")
  )
)"),"")</f>
      </c>
      <c r="G770" s="17" t="str">
        <f>IFERROR(__xludf.DUMMYFUNCTION("IFERROR(
  TEXTJOIN(CHAR(10),TRUE,FILTER('SUMMARY DATA'!G:G,'SUMMARY DATA'!$A:$A=$A770,'SUMMARY DATA'!$C:$C=$B770,'SUMMARY DATA'!$B:$B=""RWS"")),
  IF(
    OR(
      ISNUMBER(SEARCH(""CDM CASH DEPOSIT"",$C770)),
      ISNUMBER(SEARCH(""CASH DEPOSIT"",$C77"&amp;"0)),
      COUNTIFS('SUMMARY DATA'!$D:$D,$C770,'SUMMARY DATA'!$B:$B,""RWS"")&lt;&gt;1
    ),
    """",
    IFERROR(TEXTJOIN(CHAR(10),TRUE,FILTER('SUMMARY DATA'!G:G,'SUMMARY DATA'!$D:$D=$C770,'SUMMARY DATA'!$B:$B=""RWS"")),"""")
  )
)"),"")</f>
      </c>
      <c r="H770" s="18" t="str">
        <f>IFERROR(__xludf.DUMMYFUNCTION("IFERROR(
  TEXTJOIN(CHAR(10),TRUE,FILTER('SUMMARY DATA'!H:H,'SUMMARY DATA'!$A:$A=$A770,'SUMMARY DATA'!$C:$C=$B770,'SUMMARY DATA'!$B:$B=""RWS"",'SUMMARY DATA'!$H:$H=$D770)),
  IF(
    OR(
      ISNUMBER(SEARCH(""CDM CASH DEPOSIT"",$C770)),
      ISNUMBER(S"&amp;"EARCH(""CASH DEPOSIT"",$C770))
    ),
    """",
    IFERROR(TEXTJOIN(CHAR(10),TRUE,FILTER('SUMMARY DATA'!H:H,'SUMMARY DATA'!$D:$D=$C770,'SUMMARY DATA'!$B:$B=""RWS"",'SUMMARY DATA'!$H:$H=$D770)),"""")
  )
)"),"")</f>
      </c>
      <c r="I770" s="18" t="str">
        <f>IFERROR(__xludf.DUMMYFUNCTION("IF(H770="""","""",
SUM(ARRAYFORMULA(VALUE(SPLIT(H770,CHAR(10)))))
)"),"")</f>
      </c>
      <c r="J770" s="17" t="str">
        <f>IFERROR(__xludf.DUMMYFUNCTION("IFERROR(
  TEXTJOIN(CHAR(10),TRUE,FILTER('SUMMARY DATA'!I:I,'SUMMARY DATA'!$A:$A=$A770,'SUMMARY DATA'!$C:$C=$B770,'SUMMARY DATA'!$B:$B=""RWS"")),
  IF(
    OR(
      ISNUMBER(SEARCH(""CDM CASH DEPOSIT"",$C770)),
      ISNUMBER(SEARCH(""CASH DEPOSIT"",$C77"&amp;"0)),
      COUNTIFS('SUMMARY DATA'!$D:$D,$C770,'SUMMARY DATA'!$B:$B,""RWS"")&lt;&gt;1
    ),
    """",
    IFERROR(TEXTJOIN(CHAR(10),TRUE,FILTER('SUMMARY DATA'!I:I,'SUMMARY DATA'!$D:$D=$C770,'SUMMARY DATA'!$B:$B=""RWS"")),"""")
  )
)"),"")</f>
      </c>
      <c r="K770" s="2"/>
      <c r="L770" s="2"/>
      <c r="M770" s="2"/>
      <c r="N770" s="2"/>
      <c r="O770" s="2"/>
      <c r="P770" s="2"/>
      <c r="Q770" s="2"/>
      <c r="R770" s="2"/>
      <c r="S770" s="2"/>
      <c r="T770" s="2"/>
      <c r="U770" s="2"/>
      <c r="V770" s="2"/>
      <c r="W770" s="2"/>
      <c r="X770" s="2"/>
      <c r="Y770" s="2"/>
      <c r="Z770" s="2"/>
      <c r="AA770" s="2"/>
      <c r="AB770" s="2"/>
    </row>
    <row r="771" spans="1:28" customHeight="true">
      <c r="A771" s="2" t="s">
        <v>1234</v>
      </c>
      <c r="B771" s="15">
        <v>46055</v>
      </c>
      <c r="C771" s="2" t="s">
        <v>1235</v>
      </c>
      <c r="D771" s="3">
        <v>75</v>
      </c>
      <c r="E771" s="16" t="s">
        <v>2411</v>
      </c>
      <c r="F771" s="17" t="s">
        <v>2660</v>
      </c>
      <c r="G771" s="17" t="s">
        <v>2393</v>
      </c>
      <c r="H771" s="18">
        <v>75</v>
      </c>
      <c r="I771" s="18">
        <v>75</v>
      </c>
      <c r="J771" s="17" t="s">
        <v>2394</v>
      </c>
      <c r="K771" s="2" t="s">
        <v>2395</v>
      </c>
      <c r="L771" s="2"/>
      <c r="M771" s="2"/>
      <c r="N771" s="2"/>
      <c r="O771" s="2"/>
      <c r="P771" s="2"/>
      <c r="Q771" s="2"/>
      <c r="R771" s="2"/>
      <c r="S771" s="2"/>
      <c r="T771" s="2"/>
      <c r="U771" s="2"/>
      <c r="V771" s="2"/>
      <c r="W771" s="2"/>
      <c r="X771" s="2"/>
      <c r="Y771" s="2"/>
      <c r="Z771" s="2"/>
      <c r="AA771" s="2"/>
      <c r="AB771" s="2"/>
    </row>
    <row r="772" spans="1:28" customHeight="true">
      <c r="A772" s="2" t="s">
        <v>1236</v>
      </c>
      <c r="B772" s="15">
        <v>46055</v>
      </c>
      <c r="C772" s="2" t="s">
        <v>1237</v>
      </c>
      <c r="D772" s="3">
        <v>168</v>
      </c>
      <c r="E772" s="16" t="s">
        <v>2504</v>
      </c>
      <c r="F772" s="17" t="s">
        <v>2661</v>
      </c>
      <c r="G772" s="17" t="s">
        <v>2393</v>
      </c>
      <c r="H772" s="18">
        <v>168</v>
      </c>
      <c r="I772" s="18">
        <v>168</v>
      </c>
      <c r="J772" s="17" t="s">
        <v>2394</v>
      </c>
      <c r="K772" s="2" t="s">
        <v>2395</v>
      </c>
      <c r="L772" s="2"/>
      <c r="M772" s="2"/>
      <c r="N772" s="2"/>
      <c r="O772" s="2"/>
      <c r="P772" s="2"/>
      <c r="Q772" s="2"/>
      <c r="R772" s="2"/>
      <c r="S772" s="2"/>
      <c r="T772" s="2"/>
      <c r="U772" s="2"/>
      <c r="V772" s="2"/>
      <c r="W772" s="2"/>
      <c r="X772" s="2"/>
      <c r="Y772" s="2"/>
      <c r="Z772" s="2"/>
      <c r="AA772" s="2"/>
      <c r="AB772" s="2"/>
    </row>
    <row r="773" spans="1:28" customHeight="true">
      <c r="A773" s="2" t="s">
        <v>1238</v>
      </c>
      <c r="B773" s="15">
        <v>46055</v>
      </c>
      <c r="C773" s="2" t="s">
        <v>1239</v>
      </c>
      <c r="D773" s="3">
        <v>1</v>
      </c>
      <c r="E773" s="16" t="str">
        <f>IFERROR(__xludf.DUMMYFUNCTION("IFERROR(
  TEXTJOIN(CHAR(10),TRUE,FILTER('SUMMARY DATA'!E:E,'SUMMARY DATA'!$A:$A=$A773,'SUMMARY DATA'!$C:$C=$B773,'SUMMARY DATA'!$B:$B=""RWS"")),
  IF(
    OR(
      ISNUMBER(SEARCH(""CDM CASH DEPOSIT"",$C773)),
      ISNUMBER(SEARCH(""CASH DEPOSIT"",$C77"&amp;"3)),
      COUNTIFS('SUMMARY DATA'!$D:$D,$C773,'SUMMARY DATA'!$B:$B,""RWS"")&lt;&gt;1
    ),
    """",
    IFERROR(TEXTJOIN(CHAR(10),TRUE,FILTER('SUMMARY DATA'!E:E,'SUMMARY DATA'!$D:$D=$C773,'SUMMARY DATA'!$B:$B=""RWS"")),"""")
  )
)"),"")</f>
      </c>
      <c r="F773" s="17" t="str">
        <f>IFERROR(__xludf.DUMMYFUNCTION("IFERROR(
  TEXTJOIN(CHAR(10),TRUE,FILTER('SUMMARY DATA'!F:F,'SUMMARY DATA'!$A:$A=$A773,'SUMMARY DATA'!$C:$C=$B773,'SUMMARY DATA'!$B:$B=""RWS"")),
  IF(
    OR(
      ISNUMBER(SEARCH(""CDM CASH DEPOSIT"",$C773)),
      ISNUMBER(SEARCH(""CASH DEPOSIT"",$C77"&amp;"3)),
      COUNTIFS('SUMMARY DATA'!$D:$D,$C773,'SUMMARY DATA'!$B:$B,""RWS"")&lt;&gt;1
    ),
    """",
    IFERROR(TEXTJOIN(CHAR(10),TRUE,FILTER('SUMMARY DATA'!F:F,'SUMMARY DATA'!$D:$D=$C773,'SUMMARY DATA'!$B:$B=""RWS"")),"""")
  )
)"),"")</f>
      </c>
      <c r="G773" s="17" t="str">
        <f>IFERROR(__xludf.DUMMYFUNCTION("IFERROR(
  TEXTJOIN(CHAR(10),TRUE,FILTER('SUMMARY DATA'!G:G,'SUMMARY DATA'!$A:$A=$A773,'SUMMARY DATA'!$C:$C=$B773,'SUMMARY DATA'!$B:$B=""RWS"")),
  IF(
    OR(
      ISNUMBER(SEARCH(""CDM CASH DEPOSIT"",$C773)),
      ISNUMBER(SEARCH(""CASH DEPOSIT"",$C77"&amp;"3)),
      COUNTIFS('SUMMARY DATA'!$D:$D,$C773,'SUMMARY DATA'!$B:$B,""RWS"")&lt;&gt;1
    ),
    """",
    IFERROR(TEXTJOIN(CHAR(10),TRUE,FILTER('SUMMARY DATA'!G:G,'SUMMARY DATA'!$D:$D=$C773,'SUMMARY DATA'!$B:$B=""RWS"")),"""")
  )
)"),"")</f>
      </c>
      <c r="H773" s="18" t="str">
        <f>IFERROR(__xludf.DUMMYFUNCTION("IFERROR(
  TEXTJOIN(CHAR(10),TRUE,FILTER('SUMMARY DATA'!H:H,'SUMMARY DATA'!$A:$A=$A773,'SUMMARY DATA'!$C:$C=$B773,'SUMMARY DATA'!$B:$B=""RWS"",'SUMMARY DATA'!$H:$H=$D773)),
  IF(
    OR(
      ISNUMBER(SEARCH(""CDM CASH DEPOSIT"",$C773)),
      ISNUMBER(S"&amp;"EARCH(""CASH DEPOSIT"",$C773))
    ),
    """",
    IFERROR(TEXTJOIN(CHAR(10),TRUE,FILTER('SUMMARY DATA'!H:H,'SUMMARY DATA'!$D:$D=$C773,'SUMMARY DATA'!$B:$B=""RWS"",'SUMMARY DATA'!$H:$H=$D773)),"""")
  )
)"),"")</f>
      </c>
      <c r="I773" s="18" t="str">
        <f>IFERROR(__xludf.DUMMYFUNCTION("IF(H773="""","""",
SUM(ARRAYFORMULA(VALUE(SPLIT(H773,CHAR(10)))))
)"),"")</f>
      </c>
      <c r="J773" s="17" t="str">
        <f>IFERROR(__xludf.DUMMYFUNCTION("IFERROR(
  TEXTJOIN(CHAR(10),TRUE,FILTER('SUMMARY DATA'!I:I,'SUMMARY DATA'!$A:$A=$A773,'SUMMARY DATA'!$C:$C=$B773,'SUMMARY DATA'!$B:$B=""RWS"")),
  IF(
    OR(
      ISNUMBER(SEARCH(""CDM CASH DEPOSIT"",$C773)),
      ISNUMBER(SEARCH(""CASH DEPOSIT"",$C77"&amp;"3)),
      COUNTIFS('SUMMARY DATA'!$D:$D,$C773,'SUMMARY DATA'!$B:$B,""RWS"")&lt;&gt;1
    ),
    """",
    IFERROR(TEXTJOIN(CHAR(10),TRUE,FILTER('SUMMARY DATA'!I:I,'SUMMARY DATA'!$D:$D=$C773,'SUMMARY DATA'!$B:$B=""RWS"")),"""")
  )
)"),"")</f>
      </c>
      <c r="K773" s="2"/>
      <c r="L773" s="2"/>
      <c r="M773" s="2"/>
      <c r="N773" s="2"/>
      <c r="O773" s="2"/>
      <c r="P773" s="2"/>
      <c r="Q773" s="2"/>
      <c r="R773" s="2"/>
      <c r="S773" s="2"/>
      <c r="T773" s="2"/>
      <c r="U773" s="2"/>
      <c r="V773" s="2"/>
      <c r="W773" s="2"/>
      <c r="X773" s="2"/>
      <c r="Y773" s="2"/>
      <c r="Z773" s="2"/>
      <c r="AA773" s="2"/>
      <c r="AB773" s="2"/>
    </row>
    <row r="774" spans="1:28" customHeight="true">
      <c r="A774" s="2" t="s">
        <v>1240</v>
      </c>
      <c r="B774" s="15">
        <v>46055</v>
      </c>
      <c r="C774" s="2" t="s">
        <v>1241</v>
      </c>
      <c r="D774" s="3">
        <v>1668.71</v>
      </c>
      <c r="E774" s="16" t="str">
        <f>IFERROR(__xludf.DUMMYFUNCTION("IFERROR(
  TEXTJOIN(CHAR(10),TRUE,FILTER('SUMMARY DATA'!E:E,'SUMMARY DATA'!$A:$A=$A774,'SUMMARY DATA'!$C:$C=$B774,'SUMMARY DATA'!$B:$B=""RWS"")),
  IF(
    OR(
      ISNUMBER(SEARCH(""CDM CASH DEPOSIT"",$C774)),
      ISNUMBER(SEARCH(""CASH DEPOSIT"",$C77"&amp;"4)),
      COUNTIFS('SUMMARY DATA'!$D:$D,$C774,'SUMMARY DATA'!$B:$B,""RWS"")&lt;&gt;1
    ),
    """",
    IFERROR(TEXTJOIN(CHAR(10),TRUE,FILTER('SUMMARY DATA'!E:E,'SUMMARY DATA'!$D:$D=$C774,'SUMMARY DATA'!$B:$B=""RWS"")),"""")
  )
)"),"")</f>
      </c>
      <c r="F774" s="17" t="str">
        <f>IFERROR(__xludf.DUMMYFUNCTION("IFERROR(
  TEXTJOIN(CHAR(10),TRUE,FILTER('SUMMARY DATA'!F:F,'SUMMARY DATA'!$A:$A=$A774,'SUMMARY DATA'!$C:$C=$B774,'SUMMARY DATA'!$B:$B=""RWS"")),
  IF(
    OR(
      ISNUMBER(SEARCH(""CDM CASH DEPOSIT"",$C774)),
      ISNUMBER(SEARCH(""CASH DEPOSIT"",$C77"&amp;"4)),
      COUNTIFS('SUMMARY DATA'!$D:$D,$C774,'SUMMARY DATA'!$B:$B,""RWS"")&lt;&gt;1
    ),
    """",
    IFERROR(TEXTJOIN(CHAR(10),TRUE,FILTER('SUMMARY DATA'!F:F,'SUMMARY DATA'!$D:$D=$C774,'SUMMARY DATA'!$B:$B=""RWS"")),"""")
  )
)"),"")</f>
      </c>
      <c r="G774" s="17" t="str">
        <f>IFERROR(__xludf.DUMMYFUNCTION("IFERROR(
  TEXTJOIN(CHAR(10),TRUE,FILTER('SUMMARY DATA'!G:G,'SUMMARY DATA'!$A:$A=$A774,'SUMMARY DATA'!$C:$C=$B774,'SUMMARY DATA'!$B:$B=""RWS"")),
  IF(
    OR(
      ISNUMBER(SEARCH(""CDM CASH DEPOSIT"",$C774)),
      ISNUMBER(SEARCH(""CASH DEPOSIT"",$C77"&amp;"4)),
      COUNTIFS('SUMMARY DATA'!$D:$D,$C774,'SUMMARY DATA'!$B:$B,""RWS"")&lt;&gt;1
    ),
    """",
    IFERROR(TEXTJOIN(CHAR(10),TRUE,FILTER('SUMMARY DATA'!G:G,'SUMMARY DATA'!$D:$D=$C774,'SUMMARY DATA'!$B:$B=""RWS"")),"""")
  )
)"),"")</f>
      </c>
      <c r="H774" s="18" t="str">
        <f>IFERROR(__xludf.DUMMYFUNCTION("IFERROR(
  TEXTJOIN(CHAR(10),TRUE,FILTER('SUMMARY DATA'!H:H,'SUMMARY DATA'!$A:$A=$A774,'SUMMARY DATA'!$C:$C=$B774,'SUMMARY DATA'!$B:$B=""RWS"",'SUMMARY DATA'!$H:$H=$D774)),
  IF(
    OR(
      ISNUMBER(SEARCH(""CDM CASH DEPOSIT"",$C774)),
      ISNUMBER(S"&amp;"EARCH(""CASH DEPOSIT"",$C774))
    ),
    """",
    IFERROR(TEXTJOIN(CHAR(10),TRUE,FILTER('SUMMARY DATA'!H:H,'SUMMARY DATA'!$D:$D=$C774,'SUMMARY DATA'!$B:$B=""RWS"",'SUMMARY DATA'!$H:$H=$D774)),"""")
  )
)"),"")</f>
      </c>
      <c r="I774" s="18" t="str">
        <f>IFERROR(__xludf.DUMMYFUNCTION("IF(H774="""","""",
SUM(ARRAYFORMULA(VALUE(SPLIT(H774,CHAR(10)))))
)"),"")</f>
      </c>
      <c r="J774" s="17" t="str">
        <f>IFERROR(__xludf.DUMMYFUNCTION("IFERROR(
  TEXTJOIN(CHAR(10),TRUE,FILTER('SUMMARY DATA'!I:I,'SUMMARY DATA'!$A:$A=$A774,'SUMMARY DATA'!$C:$C=$B774,'SUMMARY DATA'!$B:$B=""RWS"")),
  IF(
    OR(
      ISNUMBER(SEARCH(""CDM CASH DEPOSIT"",$C774)),
      ISNUMBER(SEARCH(""CASH DEPOSIT"",$C77"&amp;"4)),
      COUNTIFS('SUMMARY DATA'!$D:$D,$C774,'SUMMARY DATA'!$B:$B,""RWS"")&lt;&gt;1
    ),
    """",
    IFERROR(TEXTJOIN(CHAR(10),TRUE,FILTER('SUMMARY DATA'!I:I,'SUMMARY DATA'!$D:$D=$C774,'SUMMARY DATA'!$B:$B=""RWS"")),"""")
  )
)"),"")</f>
      </c>
      <c r="K774" s="2"/>
      <c r="L774" s="2"/>
      <c r="M774" s="2"/>
      <c r="N774" s="2"/>
      <c r="O774" s="2"/>
      <c r="P774" s="2"/>
      <c r="Q774" s="2"/>
      <c r="R774" s="2"/>
      <c r="S774" s="2"/>
      <c r="T774" s="2"/>
      <c r="U774" s="2"/>
      <c r="V774" s="2"/>
      <c r="W774" s="2"/>
      <c r="X774" s="2"/>
      <c r="Y774" s="2"/>
      <c r="Z774" s="2"/>
      <c r="AA774" s="2"/>
      <c r="AB774" s="2"/>
    </row>
    <row r="775" spans="1:28" customHeight="true">
      <c r="A775" s="2" t="s">
        <v>1242</v>
      </c>
      <c r="B775" s="15">
        <v>46055</v>
      </c>
      <c r="C775" s="2" t="s">
        <v>1243</v>
      </c>
      <c r="D775" s="3">
        <v>239.05</v>
      </c>
      <c r="E775" s="16" t="s">
        <v>2662</v>
      </c>
      <c r="F775" s="17" t="s">
        <v>2663</v>
      </c>
      <c r="G775" s="17" t="s">
        <v>2393</v>
      </c>
      <c r="H775" s="18">
        <v>239.05</v>
      </c>
      <c r="I775" s="18">
        <v>239.05</v>
      </c>
      <c r="J775" s="17" t="s">
        <v>2394</v>
      </c>
      <c r="K775" s="2" t="s">
        <v>2395</v>
      </c>
      <c r="L775" s="2"/>
      <c r="M775" s="2"/>
      <c r="N775" s="2"/>
      <c r="O775" s="2"/>
      <c r="P775" s="2"/>
      <c r="Q775" s="2"/>
      <c r="R775" s="2"/>
      <c r="S775" s="2"/>
      <c r="T775" s="2"/>
      <c r="U775" s="2"/>
      <c r="V775" s="2"/>
      <c r="W775" s="2"/>
      <c r="X775" s="2"/>
      <c r="Y775" s="2"/>
      <c r="Z775" s="2"/>
      <c r="AA775" s="2"/>
      <c r="AB775" s="2"/>
    </row>
    <row r="776" spans="1:28" customHeight="true">
      <c r="A776" s="2" t="s">
        <v>1244</v>
      </c>
      <c r="B776" s="15">
        <v>46055</v>
      </c>
      <c r="C776" s="2" t="s">
        <v>1245</v>
      </c>
      <c r="D776" s="3">
        <v>66.76</v>
      </c>
      <c r="E776" s="16" t="str">
        <f>IFERROR(__xludf.DUMMYFUNCTION("IFERROR(
  TEXTJOIN(CHAR(10),TRUE,FILTER('SUMMARY DATA'!E:E,'SUMMARY DATA'!$A:$A=$A776,'SUMMARY DATA'!$C:$C=$B776,'SUMMARY DATA'!$B:$B=""RWS"")),
  IF(
    OR(
      ISNUMBER(SEARCH(""CDM CASH DEPOSIT"",$C776)),
      ISNUMBER(SEARCH(""CASH DEPOSIT"",$C77"&amp;"6)),
      COUNTIFS('SUMMARY DATA'!$D:$D,$C776,'SUMMARY DATA'!$B:$B,""RWS"")&lt;&gt;1
    ),
    """",
    IFERROR(TEXTJOIN(CHAR(10),TRUE,FILTER('SUMMARY DATA'!E:E,'SUMMARY DATA'!$D:$D=$C776,'SUMMARY DATA'!$B:$B=""RWS"")),"""")
  )
)"),"")</f>
      </c>
      <c r="F776" s="17" t="str">
        <f>IFERROR(__xludf.DUMMYFUNCTION("IFERROR(
  TEXTJOIN(CHAR(10),TRUE,FILTER('SUMMARY DATA'!F:F,'SUMMARY DATA'!$A:$A=$A776,'SUMMARY DATA'!$C:$C=$B776,'SUMMARY DATA'!$B:$B=""RWS"")),
  IF(
    OR(
      ISNUMBER(SEARCH(""CDM CASH DEPOSIT"",$C776)),
      ISNUMBER(SEARCH(""CASH DEPOSIT"",$C77"&amp;"6)),
      COUNTIFS('SUMMARY DATA'!$D:$D,$C776,'SUMMARY DATA'!$B:$B,""RWS"")&lt;&gt;1
    ),
    """",
    IFERROR(TEXTJOIN(CHAR(10),TRUE,FILTER('SUMMARY DATA'!F:F,'SUMMARY DATA'!$D:$D=$C776,'SUMMARY DATA'!$B:$B=""RWS"")),"""")
  )
)"),"")</f>
      </c>
      <c r="G776" s="17" t="str">
        <f>IFERROR(__xludf.DUMMYFUNCTION("IFERROR(
  TEXTJOIN(CHAR(10),TRUE,FILTER('SUMMARY DATA'!G:G,'SUMMARY DATA'!$A:$A=$A776,'SUMMARY DATA'!$C:$C=$B776,'SUMMARY DATA'!$B:$B=""RWS"")),
  IF(
    OR(
      ISNUMBER(SEARCH(""CDM CASH DEPOSIT"",$C776)),
      ISNUMBER(SEARCH(""CASH DEPOSIT"",$C77"&amp;"6)),
      COUNTIFS('SUMMARY DATA'!$D:$D,$C776,'SUMMARY DATA'!$B:$B,""RWS"")&lt;&gt;1
    ),
    """",
    IFERROR(TEXTJOIN(CHAR(10),TRUE,FILTER('SUMMARY DATA'!G:G,'SUMMARY DATA'!$D:$D=$C776,'SUMMARY DATA'!$B:$B=""RWS"")),"""")
  )
)"),"")</f>
      </c>
      <c r="H776" s="18" t="str">
        <f>IFERROR(__xludf.DUMMYFUNCTION("IFERROR(
  TEXTJOIN(CHAR(10),TRUE,FILTER('SUMMARY DATA'!H:H,'SUMMARY DATA'!$A:$A=$A776,'SUMMARY DATA'!$C:$C=$B776,'SUMMARY DATA'!$B:$B=""RWS"",'SUMMARY DATA'!$H:$H=$D776)),
  IF(
    OR(
      ISNUMBER(SEARCH(""CDM CASH DEPOSIT"",$C776)),
      ISNUMBER(S"&amp;"EARCH(""CASH DEPOSIT"",$C776))
    ),
    """",
    IFERROR(TEXTJOIN(CHAR(10),TRUE,FILTER('SUMMARY DATA'!H:H,'SUMMARY DATA'!$D:$D=$C776,'SUMMARY DATA'!$B:$B=""RWS"",'SUMMARY DATA'!$H:$H=$D776)),"""")
  )
)"),"")</f>
      </c>
      <c r="I776" s="18" t="str">
        <f>IFERROR(__xludf.DUMMYFUNCTION("IF(H776="""","""",
SUM(ARRAYFORMULA(VALUE(SPLIT(H776,CHAR(10)))))
)"),"")</f>
      </c>
      <c r="J776" s="17" t="str">
        <f>IFERROR(__xludf.DUMMYFUNCTION("IFERROR(
  TEXTJOIN(CHAR(10),TRUE,FILTER('SUMMARY DATA'!I:I,'SUMMARY DATA'!$A:$A=$A776,'SUMMARY DATA'!$C:$C=$B776,'SUMMARY DATA'!$B:$B=""RWS"")),
  IF(
    OR(
      ISNUMBER(SEARCH(""CDM CASH DEPOSIT"",$C776)),
      ISNUMBER(SEARCH(""CASH DEPOSIT"",$C77"&amp;"6)),
      COUNTIFS('SUMMARY DATA'!$D:$D,$C776,'SUMMARY DATA'!$B:$B,""RWS"")&lt;&gt;1
    ),
    """",
    IFERROR(TEXTJOIN(CHAR(10),TRUE,FILTER('SUMMARY DATA'!I:I,'SUMMARY DATA'!$D:$D=$C776,'SUMMARY DATA'!$B:$B=""RWS"")),"""")
  )
)"),"")</f>
      </c>
      <c r="K776" s="2"/>
      <c r="L776" s="2"/>
      <c r="M776" s="2"/>
      <c r="N776" s="2"/>
      <c r="O776" s="2"/>
      <c r="P776" s="2"/>
      <c r="Q776" s="2"/>
      <c r="R776" s="2"/>
      <c r="S776" s="2"/>
      <c r="T776" s="2"/>
      <c r="U776" s="2"/>
      <c r="V776" s="2"/>
      <c r="W776" s="2"/>
      <c r="X776" s="2"/>
      <c r="Y776" s="2"/>
      <c r="Z776" s="2"/>
      <c r="AA776" s="2"/>
      <c r="AB776" s="2"/>
    </row>
    <row r="777" spans="1:28" customHeight="true">
      <c r="A777" s="2" t="s">
        <v>1246</v>
      </c>
      <c r="B777" s="15">
        <v>46055</v>
      </c>
      <c r="C777" s="2" t="s">
        <v>1247</v>
      </c>
      <c r="D777" s="3">
        <v>503.8</v>
      </c>
      <c r="E777" s="16" t="s">
        <v>2512</v>
      </c>
      <c r="F777" s="17" t="s">
        <v>2664</v>
      </c>
      <c r="G777" s="17" t="s">
        <v>2393</v>
      </c>
      <c r="H777" s="18">
        <v>503.8</v>
      </c>
      <c r="I777" s="18">
        <v>503.8</v>
      </c>
      <c r="J777" s="17" t="s">
        <v>2394</v>
      </c>
      <c r="K777" s="2" t="s">
        <v>2395</v>
      </c>
      <c r="L777" s="2"/>
      <c r="M777" s="2"/>
      <c r="N777" s="2"/>
      <c r="O777" s="2"/>
      <c r="P777" s="2"/>
      <c r="Q777" s="2"/>
      <c r="R777" s="2"/>
      <c r="S777" s="2"/>
      <c r="T777" s="2"/>
      <c r="U777" s="2"/>
      <c r="V777" s="2"/>
      <c r="W777" s="2"/>
      <c r="X777" s="2"/>
      <c r="Y777" s="2"/>
      <c r="Z777" s="2"/>
      <c r="AA777" s="2"/>
      <c r="AB777" s="2"/>
    </row>
    <row r="778" spans="1:28" customHeight="true">
      <c r="A778" s="2"/>
      <c r="B778" s="15">
        <v>46056</v>
      </c>
      <c r="C778" s="2" t="s">
        <v>1248</v>
      </c>
      <c r="D778" s="3">
        <v>169</v>
      </c>
      <c r="E778" s="16" t="str">
        <f>IFERROR(__xludf.DUMMYFUNCTION("IFERROR(
  TEXTJOIN(CHAR(10),TRUE,FILTER('SUMMARY DATA'!E:E,'SUMMARY DATA'!$A:$A=$A778,'SUMMARY DATA'!$C:$C=$B778,'SUMMARY DATA'!$B:$B=""RWS"")),
  IF(
    OR(
      ISNUMBER(SEARCH(""CDM CASH DEPOSIT"",$C778)),
      ISNUMBER(SEARCH(""CASH DEPOSIT"",$C77"&amp;"8)),
      COUNTIFS('SUMMARY DATA'!$D:$D,$C778,'SUMMARY DATA'!$B:$B,""RWS"")&lt;&gt;1
    ),
    """",
    IFERROR(TEXTJOIN(CHAR(10),TRUE,FILTER('SUMMARY DATA'!E:E,'SUMMARY DATA'!$D:$D=$C778,'SUMMARY DATA'!$B:$B=""RWS"")),"""")
  )
)"),"")</f>
      </c>
      <c r="F778" s="17" t="str">
        <f>IFERROR(__xludf.DUMMYFUNCTION("IFERROR(
  TEXTJOIN(CHAR(10),TRUE,FILTER('SUMMARY DATA'!F:F,'SUMMARY DATA'!$A:$A=$A778,'SUMMARY DATA'!$C:$C=$B778,'SUMMARY DATA'!$B:$B=""RWS"")),
  IF(
    OR(
      ISNUMBER(SEARCH(""CDM CASH DEPOSIT"",$C778)),
      ISNUMBER(SEARCH(""CASH DEPOSIT"",$C77"&amp;"8)),
      COUNTIFS('SUMMARY DATA'!$D:$D,$C778,'SUMMARY DATA'!$B:$B,""RWS"")&lt;&gt;1
    ),
    """",
    IFERROR(TEXTJOIN(CHAR(10),TRUE,FILTER('SUMMARY DATA'!F:F,'SUMMARY DATA'!$D:$D=$C778,'SUMMARY DATA'!$B:$B=""RWS"")),"""")
  )
)"),"")</f>
      </c>
      <c r="G778" s="17" t="str">
        <f>IFERROR(__xludf.DUMMYFUNCTION("IFERROR(
  TEXTJOIN(CHAR(10),TRUE,FILTER('SUMMARY DATA'!G:G,'SUMMARY DATA'!$A:$A=$A778,'SUMMARY DATA'!$C:$C=$B778,'SUMMARY DATA'!$B:$B=""RWS"")),
  IF(
    OR(
      ISNUMBER(SEARCH(""CDM CASH DEPOSIT"",$C778)),
      ISNUMBER(SEARCH(""CASH DEPOSIT"",$C77"&amp;"8)),
      COUNTIFS('SUMMARY DATA'!$D:$D,$C778,'SUMMARY DATA'!$B:$B,""RWS"")&lt;&gt;1
    ),
    """",
    IFERROR(TEXTJOIN(CHAR(10),TRUE,FILTER('SUMMARY DATA'!G:G,'SUMMARY DATA'!$D:$D=$C778,'SUMMARY DATA'!$B:$B=""RWS"")),"""")
  )
)"),"")</f>
      </c>
      <c r="H778" s="18" t="str">
        <f>IFERROR(__xludf.DUMMYFUNCTION("IFERROR(
  TEXTJOIN(CHAR(10),TRUE,FILTER('SUMMARY DATA'!H:H,'SUMMARY DATA'!$A:$A=$A778,'SUMMARY DATA'!$C:$C=$B778,'SUMMARY DATA'!$B:$B=""RWS"",'SUMMARY DATA'!$H:$H=$D778)),
  IF(
    OR(
      ISNUMBER(SEARCH(""CDM CASH DEPOSIT"",$C778)),
      ISNUMBER(S"&amp;"EARCH(""CASH DEPOSIT"",$C778))
    ),
    """",
    IFERROR(TEXTJOIN(CHAR(10),TRUE,FILTER('SUMMARY DATA'!H:H,'SUMMARY DATA'!$D:$D=$C778,'SUMMARY DATA'!$B:$B=""RWS"",'SUMMARY DATA'!$H:$H=$D778)),"""")
  )
)"),"")</f>
      </c>
      <c r="I778" s="18" t="str">
        <f>IFERROR(__xludf.DUMMYFUNCTION("IF(H778="""","""",
SUM(ARRAYFORMULA(VALUE(SPLIT(H778,CHAR(10)))))
)"),"")</f>
      </c>
      <c r="J778" s="17" t="str">
        <f>IFERROR(__xludf.DUMMYFUNCTION("IFERROR(
  TEXTJOIN(CHAR(10),TRUE,FILTER('SUMMARY DATA'!I:I,'SUMMARY DATA'!$A:$A=$A778,'SUMMARY DATA'!$C:$C=$B778,'SUMMARY DATA'!$B:$B=""RWS"")),
  IF(
    OR(
      ISNUMBER(SEARCH(""CDM CASH DEPOSIT"",$C778)),
      ISNUMBER(SEARCH(""CASH DEPOSIT"",$C77"&amp;"8)),
      COUNTIFS('SUMMARY DATA'!$D:$D,$C778,'SUMMARY DATA'!$B:$B,""RWS"")&lt;&gt;1
    ),
    """",
    IFERROR(TEXTJOIN(CHAR(10),TRUE,FILTER('SUMMARY DATA'!I:I,'SUMMARY DATA'!$D:$D=$C778,'SUMMARY DATA'!$B:$B=""RWS"")),"""")
  )
)"),"")</f>
      </c>
      <c r="K778" s="2"/>
      <c r="L778" s="2"/>
      <c r="M778" s="2"/>
      <c r="N778" s="2"/>
      <c r="O778" s="2"/>
      <c r="P778" s="2"/>
      <c r="Q778" s="2"/>
      <c r="R778" s="2"/>
      <c r="S778" s="2"/>
      <c r="T778" s="2"/>
      <c r="U778" s="2"/>
      <c r="V778" s="2"/>
      <c r="W778" s="2"/>
      <c r="X778" s="2"/>
      <c r="Y778" s="2"/>
      <c r="Z778" s="2"/>
      <c r="AA778" s="2"/>
      <c r="AB778" s="2"/>
    </row>
    <row r="779" spans="1:28" customHeight="true">
      <c r="A779" s="2"/>
      <c r="B779" s="15">
        <v>46056</v>
      </c>
      <c r="C779" s="2" t="s">
        <v>1249</v>
      </c>
      <c r="D779" s="3">
        <v>395.92</v>
      </c>
      <c r="E779" s="16" t="str">
        <f>IFERROR(__xludf.DUMMYFUNCTION("IFERROR(
  TEXTJOIN(CHAR(10),TRUE,FILTER('SUMMARY DATA'!E:E,'SUMMARY DATA'!$A:$A=$A779,'SUMMARY DATA'!$C:$C=$B779,'SUMMARY DATA'!$B:$B=""RWS"")),
  IF(
    OR(
      ISNUMBER(SEARCH(""CDM CASH DEPOSIT"",$C779)),
      ISNUMBER(SEARCH(""CASH DEPOSIT"",$C77"&amp;"9)),
      COUNTIFS('SUMMARY DATA'!$D:$D,$C779,'SUMMARY DATA'!$B:$B,""RWS"")&lt;&gt;1
    ),
    """",
    IFERROR(TEXTJOIN(CHAR(10),TRUE,FILTER('SUMMARY DATA'!E:E,'SUMMARY DATA'!$D:$D=$C779,'SUMMARY DATA'!$B:$B=""RWS"")),"""")
  )
)"),"")</f>
      </c>
      <c r="F779" s="17" t="str">
        <f>IFERROR(__xludf.DUMMYFUNCTION("IFERROR(
  TEXTJOIN(CHAR(10),TRUE,FILTER('SUMMARY DATA'!F:F,'SUMMARY DATA'!$A:$A=$A779,'SUMMARY DATA'!$C:$C=$B779,'SUMMARY DATA'!$B:$B=""RWS"")),
  IF(
    OR(
      ISNUMBER(SEARCH(""CDM CASH DEPOSIT"",$C779)),
      ISNUMBER(SEARCH(""CASH DEPOSIT"",$C77"&amp;"9)),
      COUNTIFS('SUMMARY DATA'!$D:$D,$C779,'SUMMARY DATA'!$B:$B,""RWS"")&lt;&gt;1
    ),
    """",
    IFERROR(TEXTJOIN(CHAR(10),TRUE,FILTER('SUMMARY DATA'!F:F,'SUMMARY DATA'!$D:$D=$C779,'SUMMARY DATA'!$B:$B=""RWS"")),"""")
  )
)"),"")</f>
      </c>
      <c r="G779" s="17" t="str">
        <f>IFERROR(__xludf.DUMMYFUNCTION("IFERROR(
  TEXTJOIN(CHAR(10),TRUE,FILTER('SUMMARY DATA'!G:G,'SUMMARY DATA'!$A:$A=$A779,'SUMMARY DATA'!$C:$C=$B779,'SUMMARY DATA'!$B:$B=""RWS"")),
  IF(
    OR(
      ISNUMBER(SEARCH(""CDM CASH DEPOSIT"",$C779)),
      ISNUMBER(SEARCH(""CASH DEPOSIT"",$C77"&amp;"9)),
      COUNTIFS('SUMMARY DATA'!$D:$D,$C779,'SUMMARY DATA'!$B:$B,""RWS"")&lt;&gt;1
    ),
    """",
    IFERROR(TEXTJOIN(CHAR(10),TRUE,FILTER('SUMMARY DATA'!G:G,'SUMMARY DATA'!$D:$D=$C779,'SUMMARY DATA'!$B:$B=""RWS"")),"""")
  )
)"),"")</f>
      </c>
      <c r="H779" s="18" t="str">
        <f>IFERROR(__xludf.DUMMYFUNCTION("IFERROR(
  TEXTJOIN(CHAR(10),TRUE,FILTER('SUMMARY DATA'!H:H,'SUMMARY DATA'!$A:$A=$A779,'SUMMARY DATA'!$C:$C=$B779,'SUMMARY DATA'!$B:$B=""RWS"",'SUMMARY DATA'!$H:$H=$D779)),
  IF(
    OR(
      ISNUMBER(SEARCH(""CDM CASH DEPOSIT"",$C779)),
      ISNUMBER(S"&amp;"EARCH(""CASH DEPOSIT"",$C779))
    ),
    """",
    IFERROR(TEXTJOIN(CHAR(10),TRUE,FILTER('SUMMARY DATA'!H:H,'SUMMARY DATA'!$D:$D=$C779,'SUMMARY DATA'!$B:$B=""RWS"",'SUMMARY DATA'!$H:$H=$D779)),"""")
  )
)"),"")</f>
      </c>
      <c r="I779" s="18" t="str">
        <f>IFERROR(__xludf.DUMMYFUNCTION("IF(H779="""","""",
SUM(ARRAYFORMULA(VALUE(SPLIT(H779,CHAR(10)))))
)"),"")</f>
      </c>
      <c r="J779" s="17" t="str">
        <f>IFERROR(__xludf.DUMMYFUNCTION("IFERROR(
  TEXTJOIN(CHAR(10),TRUE,FILTER('SUMMARY DATA'!I:I,'SUMMARY DATA'!$A:$A=$A779,'SUMMARY DATA'!$C:$C=$B779,'SUMMARY DATA'!$B:$B=""RWS"")),
  IF(
    OR(
      ISNUMBER(SEARCH(""CDM CASH DEPOSIT"",$C779)),
      ISNUMBER(SEARCH(""CASH DEPOSIT"",$C77"&amp;"9)),
      COUNTIFS('SUMMARY DATA'!$D:$D,$C779,'SUMMARY DATA'!$B:$B,""RWS"")&lt;&gt;1
    ),
    """",
    IFERROR(TEXTJOIN(CHAR(10),TRUE,FILTER('SUMMARY DATA'!I:I,'SUMMARY DATA'!$D:$D=$C779,'SUMMARY DATA'!$B:$B=""RWS"")),"""")
  )
)"),"")</f>
      </c>
      <c r="K779" s="2"/>
      <c r="L779" s="2"/>
      <c r="M779" s="2"/>
      <c r="N779" s="2"/>
      <c r="O779" s="2"/>
      <c r="P779" s="2"/>
      <c r="Q779" s="2"/>
      <c r="R779" s="2"/>
      <c r="S779" s="2"/>
      <c r="T779" s="2"/>
      <c r="U779" s="2"/>
      <c r="V779" s="2"/>
      <c r="W779" s="2"/>
      <c r="X779" s="2"/>
      <c r="Y779" s="2"/>
      <c r="Z779" s="2"/>
      <c r="AA779" s="2"/>
      <c r="AB779" s="2"/>
    </row>
    <row r="780" spans="1:28" customHeight="true">
      <c r="A780" s="2"/>
      <c r="B780" s="15">
        <v>46056</v>
      </c>
      <c r="C780" s="2" t="s">
        <v>48</v>
      </c>
      <c r="D780" s="3">
        <v>60</v>
      </c>
      <c r="E780" s="16" t="str">
        <f>IFERROR(__xludf.DUMMYFUNCTION("IFERROR(
  TEXTJOIN(CHAR(10),TRUE,FILTER('SUMMARY DATA'!E:E,'SUMMARY DATA'!$A:$A=$A780,'SUMMARY DATA'!$C:$C=$B780,'SUMMARY DATA'!$B:$B=""RWS"")),
  IF(
    OR(
      ISNUMBER(SEARCH(""CDM CASH DEPOSIT"",$C780)),
      ISNUMBER(SEARCH(""CASH DEPOSIT"",$C78"&amp;"0)),
      COUNTIFS('SUMMARY DATA'!$D:$D,$C780,'SUMMARY DATA'!$B:$B,""RWS"")&lt;&gt;1
    ),
    """",
    IFERROR(TEXTJOIN(CHAR(10),TRUE,FILTER('SUMMARY DATA'!E:E,'SUMMARY DATA'!$D:$D=$C780,'SUMMARY DATA'!$B:$B=""RWS"")),"""")
  )
)"),"")</f>
      </c>
      <c r="F780" s="17" t="str">
        <f>IFERROR(__xludf.DUMMYFUNCTION("IFERROR(
  TEXTJOIN(CHAR(10),TRUE,FILTER('SUMMARY DATA'!F:F,'SUMMARY DATA'!$A:$A=$A780,'SUMMARY DATA'!$C:$C=$B780,'SUMMARY DATA'!$B:$B=""RWS"")),
  IF(
    OR(
      ISNUMBER(SEARCH(""CDM CASH DEPOSIT"",$C780)),
      ISNUMBER(SEARCH(""CASH DEPOSIT"",$C78"&amp;"0)),
      COUNTIFS('SUMMARY DATA'!$D:$D,$C780,'SUMMARY DATA'!$B:$B,""RWS"")&lt;&gt;1
    ),
    """",
    IFERROR(TEXTJOIN(CHAR(10),TRUE,FILTER('SUMMARY DATA'!F:F,'SUMMARY DATA'!$D:$D=$C780,'SUMMARY DATA'!$B:$B=""RWS"")),"""")
  )
)"),"")</f>
      </c>
      <c r="G780" s="17" t="str">
        <f>IFERROR(__xludf.DUMMYFUNCTION("IFERROR(
  TEXTJOIN(CHAR(10),TRUE,FILTER('SUMMARY DATA'!G:G,'SUMMARY DATA'!$A:$A=$A780,'SUMMARY DATA'!$C:$C=$B780,'SUMMARY DATA'!$B:$B=""RWS"")),
  IF(
    OR(
      ISNUMBER(SEARCH(""CDM CASH DEPOSIT"",$C780)),
      ISNUMBER(SEARCH(""CASH DEPOSIT"",$C78"&amp;"0)),
      COUNTIFS('SUMMARY DATA'!$D:$D,$C780,'SUMMARY DATA'!$B:$B,""RWS"")&lt;&gt;1
    ),
    """",
    IFERROR(TEXTJOIN(CHAR(10),TRUE,FILTER('SUMMARY DATA'!G:G,'SUMMARY DATA'!$D:$D=$C780,'SUMMARY DATA'!$B:$B=""RWS"")),"""")
  )
)"),"")</f>
      </c>
      <c r="H780" s="18" t="str">
        <f>IFERROR(__xludf.DUMMYFUNCTION("IFERROR(
  TEXTJOIN(CHAR(10),TRUE,FILTER('SUMMARY DATA'!H:H,'SUMMARY DATA'!$A:$A=$A780,'SUMMARY DATA'!$C:$C=$B780,'SUMMARY DATA'!$B:$B=""RWS"",'SUMMARY DATA'!$H:$H=$D780)),
  IF(
    OR(
      ISNUMBER(SEARCH(""CDM CASH DEPOSIT"",$C780)),
      ISNUMBER(S"&amp;"EARCH(""CASH DEPOSIT"",$C780))
    ),
    """",
    IFERROR(TEXTJOIN(CHAR(10),TRUE,FILTER('SUMMARY DATA'!H:H,'SUMMARY DATA'!$D:$D=$C780,'SUMMARY DATA'!$B:$B=""RWS"",'SUMMARY DATA'!$H:$H=$D780)),"""")
  )
)"),"")</f>
      </c>
      <c r="I780" s="18" t="str">
        <f>IFERROR(__xludf.DUMMYFUNCTION("IF(H780="""","""",
SUM(ARRAYFORMULA(VALUE(SPLIT(H780,CHAR(10)))))
)"),"")</f>
      </c>
      <c r="J780" s="17" t="str">
        <f>IFERROR(__xludf.DUMMYFUNCTION("IFERROR(
  TEXTJOIN(CHAR(10),TRUE,FILTER('SUMMARY DATA'!I:I,'SUMMARY DATA'!$A:$A=$A780,'SUMMARY DATA'!$C:$C=$B780,'SUMMARY DATA'!$B:$B=""RWS"")),
  IF(
    OR(
      ISNUMBER(SEARCH(""CDM CASH DEPOSIT"",$C780)),
      ISNUMBER(SEARCH(""CASH DEPOSIT"",$C78"&amp;"0)),
      COUNTIFS('SUMMARY DATA'!$D:$D,$C780,'SUMMARY DATA'!$B:$B,""RWS"")&lt;&gt;1
    ),
    """",
    IFERROR(TEXTJOIN(CHAR(10),TRUE,FILTER('SUMMARY DATA'!I:I,'SUMMARY DATA'!$D:$D=$C780,'SUMMARY DATA'!$B:$B=""RWS"")),"""")
  )
)"),"")</f>
      </c>
      <c r="K780" s="2"/>
      <c r="L780" s="2"/>
      <c r="M780" s="2"/>
      <c r="N780" s="2"/>
      <c r="O780" s="2"/>
      <c r="P780" s="2"/>
      <c r="Q780" s="2"/>
      <c r="R780" s="2"/>
      <c r="S780" s="2"/>
      <c r="T780" s="2"/>
      <c r="U780" s="2"/>
      <c r="V780" s="2"/>
      <c r="W780" s="2"/>
      <c r="X780" s="2"/>
      <c r="Y780" s="2"/>
      <c r="Z780" s="2"/>
      <c r="AA780" s="2"/>
      <c r="AB780" s="2"/>
    </row>
    <row r="781" spans="1:28" customHeight="true">
      <c r="A781" s="2" t="s">
        <v>1250</v>
      </c>
      <c r="B781" s="15">
        <v>46056</v>
      </c>
      <c r="C781" s="2" t="s">
        <v>1251</v>
      </c>
      <c r="D781" s="3">
        <v>134.71</v>
      </c>
      <c r="E781" s="16" t="s">
        <v>2504</v>
      </c>
      <c r="F781" s="17" t="s">
        <v>2665</v>
      </c>
      <c r="G781" s="17" t="s">
        <v>2393</v>
      </c>
      <c r="H781" s="18">
        <v>134.71</v>
      </c>
      <c r="I781" s="18">
        <v>134.71</v>
      </c>
      <c r="J781" s="17" t="s">
        <v>2394</v>
      </c>
      <c r="K781" s="2" t="s">
        <v>2395</v>
      </c>
      <c r="L781" s="2"/>
      <c r="M781" s="2"/>
      <c r="N781" s="2"/>
      <c r="O781" s="2"/>
      <c r="P781" s="2"/>
      <c r="Q781" s="2"/>
      <c r="R781" s="2"/>
      <c r="S781" s="2"/>
      <c r="T781" s="2"/>
      <c r="U781" s="2"/>
      <c r="V781" s="2"/>
      <c r="W781" s="2"/>
      <c r="X781" s="2"/>
      <c r="Y781" s="2"/>
      <c r="Z781" s="2"/>
      <c r="AA781" s="2"/>
      <c r="AB781" s="2"/>
    </row>
    <row r="782" spans="1:28" customHeight="true">
      <c r="A782" s="2" t="s">
        <v>1252</v>
      </c>
      <c r="B782" s="15">
        <v>46056</v>
      </c>
      <c r="C782" s="2" t="s">
        <v>1253</v>
      </c>
      <c r="D782" s="3">
        <v>38</v>
      </c>
      <c r="E782" s="16" t="str">
        <f>IFERROR(__xludf.DUMMYFUNCTION("IFERROR(
  TEXTJOIN(CHAR(10),TRUE,FILTER('SUMMARY DATA'!E:E,'SUMMARY DATA'!$A:$A=$A782,'SUMMARY DATA'!$C:$C=$B782,'SUMMARY DATA'!$B:$B=""RWS"")),
  IF(
    OR(
      ISNUMBER(SEARCH(""CDM CASH DEPOSIT"",$C782)),
      ISNUMBER(SEARCH(""CASH DEPOSIT"",$C78"&amp;"2)),
      COUNTIFS('SUMMARY DATA'!$D:$D,$C782,'SUMMARY DATA'!$B:$B,""RWS"")&lt;&gt;1
    ),
    """",
    IFERROR(TEXTJOIN(CHAR(10),TRUE,FILTER('SUMMARY DATA'!E:E,'SUMMARY DATA'!$D:$D=$C782,'SUMMARY DATA'!$B:$B=""RWS"")),"""")
  )
)"),"")</f>
      </c>
      <c r="F782" s="17" t="str">
        <f>IFERROR(__xludf.DUMMYFUNCTION("IFERROR(
  TEXTJOIN(CHAR(10),TRUE,FILTER('SUMMARY DATA'!F:F,'SUMMARY DATA'!$A:$A=$A782,'SUMMARY DATA'!$C:$C=$B782,'SUMMARY DATA'!$B:$B=""RWS"")),
  IF(
    OR(
      ISNUMBER(SEARCH(""CDM CASH DEPOSIT"",$C782)),
      ISNUMBER(SEARCH(""CASH DEPOSIT"",$C78"&amp;"2)),
      COUNTIFS('SUMMARY DATA'!$D:$D,$C782,'SUMMARY DATA'!$B:$B,""RWS"")&lt;&gt;1
    ),
    """",
    IFERROR(TEXTJOIN(CHAR(10),TRUE,FILTER('SUMMARY DATA'!F:F,'SUMMARY DATA'!$D:$D=$C782,'SUMMARY DATA'!$B:$B=""RWS"")),"""")
  )
)"),"")</f>
      </c>
      <c r="G782" s="17" t="str">
        <f>IFERROR(__xludf.DUMMYFUNCTION("IFERROR(
  TEXTJOIN(CHAR(10),TRUE,FILTER('SUMMARY DATA'!G:G,'SUMMARY DATA'!$A:$A=$A782,'SUMMARY DATA'!$C:$C=$B782,'SUMMARY DATA'!$B:$B=""RWS"")),
  IF(
    OR(
      ISNUMBER(SEARCH(""CDM CASH DEPOSIT"",$C782)),
      ISNUMBER(SEARCH(""CASH DEPOSIT"",$C78"&amp;"2)),
      COUNTIFS('SUMMARY DATA'!$D:$D,$C782,'SUMMARY DATA'!$B:$B,""RWS"")&lt;&gt;1
    ),
    """",
    IFERROR(TEXTJOIN(CHAR(10),TRUE,FILTER('SUMMARY DATA'!G:G,'SUMMARY DATA'!$D:$D=$C782,'SUMMARY DATA'!$B:$B=""RWS"")),"""")
  )
)"),"")</f>
      </c>
      <c r="H782" s="18" t="str">
        <f>IFERROR(__xludf.DUMMYFUNCTION("IFERROR(
  TEXTJOIN(CHAR(10),TRUE,FILTER('SUMMARY DATA'!H:H,'SUMMARY DATA'!$A:$A=$A782,'SUMMARY DATA'!$C:$C=$B782,'SUMMARY DATA'!$B:$B=""RWS"",'SUMMARY DATA'!$H:$H=$D782)),
  IF(
    OR(
      ISNUMBER(SEARCH(""CDM CASH DEPOSIT"",$C782)),
      ISNUMBER(S"&amp;"EARCH(""CASH DEPOSIT"",$C782))
    ),
    """",
    IFERROR(TEXTJOIN(CHAR(10),TRUE,FILTER('SUMMARY DATA'!H:H,'SUMMARY DATA'!$D:$D=$C782,'SUMMARY DATA'!$B:$B=""RWS"",'SUMMARY DATA'!$H:$H=$D782)),"""")
  )
)"),"")</f>
      </c>
      <c r="I782" s="18" t="str">
        <f>IFERROR(__xludf.DUMMYFUNCTION("IF(H782="""","""",
SUM(ARRAYFORMULA(VALUE(SPLIT(H782,CHAR(10)))))
)"),"")</f>
      </c>
      <c r="J782" s="17" t="str">
        <f>IFERROR(__xludf.DUMMYFUNCTION("IFERROR(
  TEXTJOIN(CHAR(10),TRUE,FILTER('SUMMARY DATA'!I:I,'SUMMARY DATA'!$A:$A=$A782,'SUMMARY DATA'!$C:$C=$B782,'SUMMARY DATA'!$B:$B=""RWS"")),
  IF(
    OR(
      ISNUMBER(SEARCH(""CDM CASH DEPOSIT"",$C782)),
      ISNUMBER(SEARCH(""CASH DEPOSIT"",$C78"&amp;"2)),
      COUNTIFS('SUMMARY DATA'!$D:$D,$C782,'SUMMARY DATA'!$B:$B,""RWS"")&lt;&gt;1
    ),
    """",
    IFERROR(TEXTJOIN(CHAR(10),TRUE,FILTER('SUMMARY DATA'!I:I,'SUMMARY DATA'!$D:$D=$C782,'SUMMARY DATA'!$B:$B=""RWS"")),"""")
  )
)"),"")</f>
      </c>
      <c r="K782" s="2"/>
      <c r="L782" s="2"/>
      <c r="M782" s="2"/>
      <c r="N782" s="2"/>
      <c r="O782" s="2"/>
      <c r="P782" s="2"/>
      <c r="Q782" s="2"/>
      <c r="R782" s="2"/>
      <c r="S782" s="2"/>
      <c r="T782" s="2"/>
      <c r="U782" s="2"/>
      <c r="V782" s="2"/>
      <c r="W782" s="2"/>
      <c r="X782" s="2"/>
      <c r="Y782" s="2"/>
      <c r="Z782" s="2"/>
      <c r="AA782" s="2"/>
      <c r="AB782" s="2"/>
    </row>
    <row r="783" spans="1:28" customHeight="true">
      <c r="A783" s="2" t="s">
        <v>1254</v>
      </c>
      <c r="B783" s="15">
        <v>46056</v>
      </c>
      <c r="C783" s="2" t="s">
        <v>1255</v>
      </c>
      <c r="D783" s="3">
        <v>36</v>
      </c>
      <c r="E783" s="16" t="str">
        <f>IFERROR(__xludf.DUMMYFUNCTION("IFERROR(
  TEXTJOIN(CHAR(10),TRUE,FILTER('SUMMARY DATA'!E:E,'SUMMARY DATA'!$A:$A=$A783,'SUMMARY DATA'!$C:$C=$B783,'SUMMARY DATA'!$B:$B=""RWS"")),
  IF(
    OR(
      ISNUMBER(SEARCH(""CDM CASH DEPOSIT"",$C783)),
      ISNUMBER(SEARCH(""CASH DEPOSIT"",$C78"&amp;"3)),
      COUNTIFS('SUMMARY DATA'!$D:$D,$C783,'SUMMARY DATA'!$B:$B,""RWS"")&lt;&gt;1
    ),
    """",
    IFERROR(TEXTJOIN(CHAR(10),TRUE,FILTER('SUMMARY DATA'!E:E,'SUMMARY DATA'!$D:$D=$C783,'SUMMARY DATA'!$B:$B=""RWS"")),"""")
  )
)"),"")</f>
      </c>
      <c r="F783" s="17" t="str">
        <f>IFERROR(__xludf.DUMMYFUNCTION("IFERROR(
  TEXTJOIN(CHAR(10),TRUE,FILTER('SUMMARY DATA'!F:F,'SUMMARY DATA'!$A:$A=$A783,'SUMMARY DATA'!$C:$C=$B783,'SUMMARY DATA'!$B:$B=""RWS"")),
  IF(
    OR(
      ISNUMBER(SEARCH(""CDM CASH DEPOSIT"",$C783)),
      ISNUMBER(SEARCH(""CASH DEPOSIT"",$C78"&amp;"3)),
      COUNTIFS('SUMMARY DATA'!$D:$D,$C783,'SUMMARY DATA'!$B:$B,""RWS"")&lt;&gt;1
    ),
    """",
    IFERROR(TEXTJOIN(CHAR(10),TRUE,FILTER('SUMMARY DATA'!F:F,'SUMMARY DATA'!$D:$D=$C783,'SUMMARY DATA'!$B:$B=""RWS"")),"""")
  )
)"),"")</f>
      </c>
      <c r="G783" s="17" t="str">
        <f>IFERROR(__xludf.DUMMYFUNCTION("IFERROR(
  TEXTJOIN(CHAR(10),TRUE,FILTER('SUMMARY DATA'!G:G,'SUMMARY DATA'!$A:$A=$A783,'SUMMARY DATA'!$C:$C=$B783,'SUMMARY DATA'!$B:$B=""RWS"")),
  IF(
    OR(
      ISNUMBER(SEARCH(""CDM CASH DEPOSIT"",$C783)),
      ISNUMBER(SEARCH(""CASH DEPOSIT"",$C78"&amp;"3)),
      COUNTIFS('SUMMARY DATA'!$D:$D,$C783,'SUMMARY DATA'!$B:$B,""RWS"")&lt;&gt;1
    ),
    """",
    IFERROR(TEXTJOIN(CHAR(10),TRUE,FILTER('SUMMARY DATA'!G:G,'SUMMARY DATA'!$D:$D=$C783,'SUMMARY DATA'!$B:$B=""RWS"")),"""")
  )
)"),"")</f>
      </c>
      <c r="H783" s="18" t="str">
        <f>IFERROR(__xludf.DUMMYFUNCTION("IFERROR(
  TEXTJOIN(CHAR(10),TRUE,FILTER('SUMMARY DATA'!H:H,'SUMMARY DATA'!$A:$A=$A783,'SUMMARY DATA'!$C:$C=$B783,'SUMMARY DATA'!$B:$B=""RWS"",'SUMMARY DATA'!$H:$H=$D783)),
  IF(
    OR(
      ISNUMBER(SEARCH(""CDM CASH DEPOSIT"",$C783)),
      ISNUMBER(S"&amp;"EARCH(""CASH DEPOSIT"",$C783))
    ),
    """",
    IFERROR(TEXTJOIN(CHAR(10),TRUE,FILTER('SUMMARY DATA'!H:H,'SUMMARY DATA'!$D:$D=$C783,'SUMMARY DATA'!$B:$B=""RWS"",'SUMMARY DATA'!$H:$H=$D783)),"""")
  )
)"),"")</f>
      </c>
      <c r="I783" s="18" t="str">
        <f>IFERROR(__xludf.DUMMYFUNCTION("IF(H783="""","""",
SUM(ARRAYFORMULA(VALUE(SPLIT(H783,CHAR(10)))))
)"),"")</f>
      </c>
      <c r="J783" s="17" t="str">
        <f>IFERROR(__xludf.DUMMYFUNCTION("IFERROR(
  TEXTJOIN(CHAR(10),TRUE,FILTER('SUMMARY DATA'!I:I,'SUMMARY DATA'!$A:$A=$A783,'SUMMARY DATA'!$C:$C=$B783,'SUMMARY DATA'!$B:$B=""RWS"")),
  IF(
    OR(
      ISNUMBER(SEARCH(""CDM CASH DEPOSIT"",$C783)),
      ISNUMBER(SEARCH(""CASH DEPOSIT"",$C78"&amp;"3)),
      COUNTIFS('SUMMARY DATA'!$D:$D,$C783,'SUMMARY DATA'!$B:$B,""RWS"")&lt;&gt;1
    ),
    """",
    IFERROR(TEXTJOIN(CHAR(10),TRUE,FILTER('SUMMARY DATA'!I:I,'SUMMARY DATA'!$D:$D=$C783,'SUMMARY DATA'!$B:$B=""RWS"")),"""")
  )
)"),"")</f>
      </c>
      <c r="K783" s="2"/>
      <c r="L783" s="2"/>
      <c r="M783" s="2"/>
      <c r="N783" s="2"/>
      <c r="O783" s="2"/>
      <c r="P783" s="2"/>
      <c r="Q783" s="2"/>
      <c r="R783" s="2"/>
      <c r="S783" s="2"/>
      <c r="T783" s="2"/>
      <c r="U783" s="2"/>
      <c r="V783" s="2"/>
      <c r="W783" s="2"/>
      <c r="X783" s="2"/>
      <c r="Y783" s="2"/>
      <c r="Z783" s="2"/>
      <c r="AA783" s="2"/>
      <c r="AB783" s="2"/>
    </row>
    <row r="784" spans="1:28" customHeight="true">
      <c r="A784" s="2" t="s">
        <v>1256</v>
      </c>
      <c r="B784" s="15">
        <v>46056</v>
      </c>
      <c r="C784" s="2" t="s">
        <v>1257</v>
      </c>
      <c r="D784" s="3">
        <v>38.64</v>
      </c>
      <c r="E784" s="16" t="s">
        <v>2512</v>
      </c>
      <c r="F784" s="17" t="s">
        <v>2666</v>
      </c>
      <c r="G784" s="17" t="s">
        <v>2393</v>
      </c>
      <c r="H784" s="18">
        <v>38.64</v>
      </c>
      <c r="I784" s="18">
        <v>38.64</v>
      </c>
      <c r="J784" s="17" t="s">
        <v>2394</v>
      </c>
      <c r="K784" s="2" t="s">
        <v>2395</v>
      </c>
      <c r="L784" s="2"/>
      <c r="M784" s="2"/>
      <c r="N784" s="2"/>
      <c r="O784" s="2"/>
      <c r="P784" s="2"/>
      <c r="Q784" s="2"/>
      <c r="R784" s="2"/>
      <c r="S784" s="2"/>
      <c r="T784" s="2"/>
      <c r="U784" s="2"/>
      <c r="V784" s="2"/>
      <c r="W784" s="2"/>
      <c r="X784" s="2"/>
      <c r="Y784" s="2"/>
      <c r="Z784" s="2"/>
      <c r="AA784" s="2"/>
      <c r="AB784" s="2"/>
    </row>
    <row r="785" spans="1:28" customHeight="true">
      <c r="A785" s="2"/>
      <c r="B785" s="15">
        <v>46056</v>
      </c>
      <c r="C785" s="2" t="s">
        <v>1258</v>
      </c>
      <c r="D785" s="3">
        <v>19.88</v>
      </c>
      <c r="E785" s="16" t="str">
        <f>IFERROR(__xludf.DUMMYFUNCTION("IFERROR(
  TEXTJOIN(CHAR(10),TRUE,FILTER('SUMMARY DATA'!E:E,'SUMMARY DATA'!$A:$A=$A785,'SUMMARY DATA'!$C:$C=$B785,'SUMMARY DATA'!$B:$B=""RWS"")),
  IF(
    OR(
      ISNUMBER(SEARCH(""CDM CASH DEPOSIT"",$C785)),
      ISNUMBER(SEARCH(""CASH DEPOSIT"",$C78"&amp;"5)),
      COUNTIFS('SUMMARY DATA'!$D:$D,$C785,'SUMMARY DATA'!$B:$B,""RWS"")&lt;&gt;1
    ),
    """",
    IFERROR(TEXTJOIN(CHAR(10),TRUE,FILTER('SUMMARY DATA'!E:E,'SUMMARY DATA'!$D:$D=$C785,'SUMMARY DATA'!$B:$B=""RWS"")),"""")
  )
)"),"")</f>
      </c>
      <c r="F785" s="17" t="str">
        <f>IFERROR(__xludf.DUMMYFUNCTION("IFERROR(
  TEXTJOIN(CHAR(10),TRUE,FILTER('SUMMARY DATA'!F:F,'SUMMARY DATA'!$A:$A=$A785,'SUMMARY DATA'!$C:$C=$B785,'SUMMARY DATA'!$B:$B=""RWS"")),
  IF(
    OR(
      ISNUMBER(SEARCH(""CDM CASH DEPOSIT"",$C785)),
      ISNUMBER(SEARCH(""CASH DEPOSIT"",$C78"&amp;"5)),
      COUNTIFS('SUMMARY DATA'!$D:$D,$C785,'SUMMARY DATA'!$B:$B,""RWS"")&lt;&gt;1
    ),
    """",
    IFERROR(TEXTJOIN(CHAR(10),TRUE,FILTER('SUMMARY DATA'!F:F,'SUMMARY DATA'!$D:$D=$C785,'SUMMARY DATA'!$B:$B=""RWS"")),"""")
  )
)"),"")</f>
      </c>
      <c r="G785" s="17" t="str">
        <f>IFERROR(__xludf.DUMMYFUNCTION("IFERROR(
  TEXTJOIN(CHAR(10),TRUE,FILTER('SUMMARY DATA'!G:G,'SUMMARY DATA'!$A:$A=$A785,'SUMMARY DATA'!$C:$C=$B785,'SUMMARY DATA'!$B:$B=""RWS"")),
  IF(
    OR(
      ISNUMBER(SEARCH(""CDM CASH DEPOSIT"",$C785)),
      ISNUMBER(SEARCH(""CASH DEPOSIT"",$C78"&amp;"5)),
      COUNTIFS('SUMMARY DATA'!$D:$D,$C785,'SUMMARY DATA'!$B:$B,""RWS"")&lt;&gt;1
    ),
    """",
    IFERROR(TEXTJOIN(CHAR(10),TRUE,FILTER('SUMMARY DATA'!G:G,'SUMMARY DATA'!$D:$D=$C785,'SUMMARY DATA'!$B:$B=""RWS"")),"""")
  )
)"),"")</f>
      </c>
      <c r="H785" s="18" t="str">
        <f>IFERROR(__xludf.DUMMYFUNCTION("IFERROR(
  TEXTJOIN(CHAR(10),TRUE,FILTER('SUMMARY DATA'!H:H,'SUMMARY DATA'!$A:$A=$A785,'SUMMARY DATA'!$C:$C=$B785,'SUMMARY DATA'!$B:$B=""RWS"",'SUMMARY DATA'!$H:$H=$D785)),
  IF(
    OR(
      ISNUMBER(SEARCH(""CDM CASH DEPOSIT"",$C785)),
      ISNUMBER(S"&amp;"EARCH(""CASH DEPOSIT"",$C785))
    ),
    """",
    IFERROR(TEXTJOIN(CHAR(10),TRUE,FILTER('SUMMARY DATA'!H:H,'SUMMARY DATA'!$D:$D=$C785,'SUMMARY DATA'!$B:$B=""RWS"",'SUMMARY DATA'!$H:$H=$D785)),"""")
  )
)"),"")</f>
      </c>
      <c r="I785" s="18" t="str">
        <f>IFERROR(__xludf.DUMMYFUNCTION("IF(H785="""","""",
SUM(ARRAYFORMULA(VALUE(SPLIT(H785,CHAR(10)))))
)"),"")</f>
      </c>
      <c r="J785" s="17" t="str">
        <f>IFERROR(__xludf.DUMMYFUNCTION("IFERROR(
  TEXTJOIN(CHAR(10),TRUE,FILTER('SUMMARY DATA'!I:I,'SUMMARY DATA'!$A:$A=$A785,'SUMMARY DATA'!$C:$C=$B785,'SUMMARY DATA'!$B:$B=""RWS"")),
  IF(
    OR(
      ISNUMBER(SEARCH(""CDM CASH DEPOSIT"",$C785)),
      ISNUMBER(SEARCH(""CASH DEPOSIT"",$C78"&amp;"5)),
      COUNTIFS('SUMMARY DATA'!$D:$D,$C785,'SUMMARY DATA'!$B:$B,""RWS"")&lt;&gt;1
    ),
    """",
    IFERROR(TEXTJOIN(CHAR(10),TRUE,FILTER('SUMMARY DATA'!I:I,'SUMMARY DATA'!$D:$D=$C785,'SUMMARY DATA'!$B:$B=""RWS"")),"""")
  )
)"),"")</f>
      </c>
      <c r="K785" s="2"/>
      <c r="L785" s="2"/>
      <c r="M785" s="2"/>
      <c r="N785" s="2"/>
      <c r="O785" s="2"/>
      <c r="P785" s="2"/>
      <c r="Q785" s="2"/>
      <c r="R785" s="2"/>
      <c r="S785" s="2"/>
      <c r="T785" s="2"/>
      <c r="U785" s="2"/>
      <c r="V785" s="2"/>
      <c r="W785" s="2"/>
      <c r="X785" s="2"/>
      <c r="Y785" s="2"/>
      <c r="Z785" s="2"/>
      <c r="AA785" s="2"/>
      <c r="AB785" s="2"/>
    </row>
    <row r="786" spans="1:28" customHeight="true">
      <c r="A786" s="2"/>
      <c r="B786" s="15">
        <v>46057</v>
      </c>
      <c r="C786" s="2" t="s">
        <v>1259</v>
      </c>
      <c r="D786" s="3">
        <v>0.03</v>
      </c>
      <c r="E786" s="16" t="str">
        <f>IFERROR(__xludf.DUMMYFUNCTION("IFERROR(
  TEXTJOIN(CHAR(10),TRUE,FILTER('SUMMARY DATA'!E:E,'SUMMARY DATA'!$A:$A=$A786,'SUMMARY DATA'!$C:$C=$B786,'SUMMARY DATA'!$B:$B=""RWS"")),
  IF(
    OR(
      ISNUMBER(SEARCH(""CDM CASH DEPOSIT"",$C786)),
      ISNUMBER(SEARCH(""CASH DEPOSIT"",$C78"&amp;"6)),
      COUNTIFS('SUMMARY DATA'!$D:$D,$C786,'SUMMARY DATA'!$B:$B,""RWS"")&lt;&gt;1
    ),
    """",
    IFERROR(TEXTJOIN(CHAR(10),TRUE,FILTER('SUMMARY DATA'!E:E,'SUMMARY DATA'!$D:$D=$C786,'SUMMARY DATA'!$B:$B=""RWS"")),"""")
  )
)"),"")</f>
      </c>
      <c r="F786" s="17" t="str">
        <f>IFERROR(__xludf.DUMMYFUNCTION("IFERROR(
  TEXTJOIN(CHAR(10),TRUE,FILTER('SUMMARY DATA'!F:F,'SUMMARY DATA'!$A:$A=$A786,'SUMMARY DATA'!$C:$C=$B786,'SUMMARY DATA'!$B:$B=""RWS"")),
  IF(
    OR(
      ISNUMBER(SEARCH(""CDM CASH DEPOSIT"",$C786)),
      ISNUMBER(SEARCH(""CASH DEPOSIT"",$C78"&amp;"6)),
      COUNTIFS('SUMMARY DATA'!$D:$D,$C786,'SUMMARY DATA'!$B:$B,""RWS"")&lt;&gt;1
    ),
    """",
    IFERROR(TEXTJOIN(CHAR(10),TRUE,FILTER('SUMMARY DATA'!F:F,'SUMMARY DATA'!$D:$D=$C786,'SUMMARY DATA'!$B:$B=""RWS"")),"""")
  )
)"),"")</f>
      </c>
      <c r="G786" s="17" t="str">
        <f>IFERROR(__xludf.DUMMYFUNCTION("IFERROR(
  TEXTJOIN(CHAR(10),TRUE,FILTER('SUMMARY DATA'!G:G,'SUMMARY DATA'!$A:$A=$A786,'SUMMARY DATA'!$C:$C=$B786,'SUMMARY DATA'!$B:$B=""RWS"")),
  IF(
    OR(
      ISNUMBER(SEARCH(""CDM CASH DEPOSIT"",$C786)),
      ISNUMBER(SEARCH(""CASH DEPOSIT"",$C78"&amp;"6)),
      COUNTIFS('SUMMARY DATA'!$D:$D,$C786,'SUMMARY DATA'!$B:$B,""RWS"")&lt;&gt;1
    ),
    """",
    IFERROR(TEXTJOIN(CHAR(10),TRUE,FILTER('SUMMARY DATA'!G:G,'SUMMARY DATA'!$D:$D=$C786,'SUMMARY DATA'!$B:$B=""RWS"")),"""")
  )
)"),"")</f>
      </c>
      <c r="H786" s="18" t="str">
        <f>IFERROR(__xludf.DUMMYFUNCTION("IFERROR(
  TEXTJOIN(CHAR(10),TRUE,FILTER('SUMMARY DATA'!H:H,'SUMMARY DATA'!$A:$A=$A786,'SUMMARY DATA'!$C:$C=$B786,'SUMMARY DATA'!$B:$B=""RWS"",'SUMMARY DATA'!$H:$H=$D786)),
  IF(
    OR(
      ISNUMBER(SEARCH(""CDM CASH DEPOSIT"",$C786)),
      ISNUMBER(S"&amp;"EARCH(""CASH DEPOSIT"",$C786))
    ),
    """",
    IFERROR(TEXTJOIN(CHAR(10),TRUE,FILTER('SUMMARY DATA'!H:H,'SUMMARY DATA'!$D:$D=$C786,'SUMMARY DATA'!$B:$B=""RWS"",'SUMMARY DATA'!$H:$H=$D786)),"""")
  )
)"),"")</f>
      </c>
      <c r="I786" s="18" t="str">
        <f>IFERROR(__xludf.DUMMYFUNCTION("IF(H786="""","""",
SUM(ARRAYFORMULA(VALUE(SPLIT(H786,CHAR(10)))))
)"),"")</f>
      </c>
      <c r="J786" s="17" t="str">
        <f>IFERROR(__xludf.DUMMYFUNCTION("IFERROR(
  TEXTJOIN(CHAR(10),TRUE,FILTER('SUMMARY DATA'!I:I,'SUMMARY DATA'!$A:$A=$A786,'SUMMARY DATA'!$C:$C=$B786,'SUMMARY DATA'!$B:$B=""RWS"")),
  IF(
    OR(
      ISNUMBER(SEARCH(""CDM CASH DEPOSIT"",$C786)),
      ISNUMBER(SEARCH(""CASH DEPOSIT"",$C78"&amp;"6)),
      COUNTIFS('SUMMARY DATA'!$D:$D,$C786,'SUMMARY DATA'!$B:$B,""RWS"")&lt;&gt;1
    ),
    """",
    IFERROR(TEXTJOIN(CHAR(10),TRUE,FILTER('SUMMARY DATA'!I:I,'SUMMARY DATA'!$D:$D=$C786,'SUMMARY DATA'!$B:$B=""RWS"")),"""")
  )
)"),"")</f>
      </c>
      <c r="K786" s="2"/>
      <c r="L786" s="2"/>
      <c r="M786" s="2"/>
      <c r="N786" s="2"/>
      <c r="O786" s="2"/>
      <c r="P786" s="2"/>
      <c r="Q786" s="2"/>
      <c r="R786" s="2"/>
      <c r="S786" s="2"/>
      <c r="T786" s="2"/>
      <c r="U786" s="2"/>
      <c r="V786" s="2"/>
      <c r="W786" s="2"/>
      <c r="X786" s="2"/>
      <c r="Y786" s="2"/>
      <c r="Z786" s="2"/>
      <c r="AA786" s="2"/>
      <c r="AB786" s="2"/>
    </row>
    <row r="787" spans="1:28" customHeight="true">
      <c r="A787" s="2" t="s">
        <v>1260</v>
      </c>
      <c r="B787" s="15">
        <v>46057</v>
      </c>
      <c r="C787" s="2" t="s">
        <v>1261</v>
      </c>
      <c r="D787" s="3">
        <v>17</v>
      </c>
      <c r="E787" s="16" t="s">
        <v>2667</v>
      </c>
      <c r="F787" s="17" t="s">
        <v>2668</v>
      </c>
      <c r="G787" s="17" t="s">
        <v>2393</v>
      </c>
      <c r="H787" s="18">
        <v>17</v>
      </c>
      <c r="I787" s="18">
        <v>17</v>
      </c>
      <c r="J787" s="17" t="s">
        <v>2394</v>
      </c>
      <c r="K787" s="2" t="s">
        <v>2395</v>
      </c>
      <c r="L787" s="2"/>
      <c r="M787" s="2"/>
      <c r="N787" s="2"/>
      <c r="O787" s="2"/>
      <c r="P787" s="2"/>
      <c r="Q787" s="2"/>
      <c r="R787" s="2"/>
      <c r="S787" s="2"/>
      <c r="T787" s="2"/>
      <c r="U787" s="2"/>
      <c r="V787" s="2"/>
      <c r="W787" s="2"/>
      <c r="X787" s="2"/>
      <c r="Y787" s="2"/>
      <c r="Z787" s="2"/>
      <c r="AA787" s="2"/>
      <c r="AB787" s="2"/>
    </row>
    <row r="788" spans="1:28" customHeight="true">
      <c r="A788" s="2" t="s">
        <v>1262</v>
      </c>
      <c r="B788" s="15">
        <v>46057</v>
      </c>
      <c r="C788" s="2" t="s">
        <v>1263</v>
      </c>
      <c r="D788" s="3">
        <v>175.97</v>
      </c>
      <c r="E788" s="16" t="str">
        <f>IFERROR(__xludf.DUMMYFUNCTION("IFERROR(
  TEXTJOIN(CHAR(10),TRUE,FILTER('SUMMARY DATA'!E:E,'SUMMARY DATA'!$A:$A=$A788,'SUMMARY DATA'!$C:$C=$B788,'SUMMARY DATA'!$B:$B=""RWS"")),
  IF(
    OR(
      ISNUMBER(SEARCH(""CDM CASH DEPOSIT"",$C788)),
      ISNUMBER(SEARCH(""CASH DEPOSIT"",$C78"&amp;"8)),
      COUNTIFS('SUMMARY DATA'!$D:$D,$C788,'SUMMARY DATA'!$B:$B,""RWS"")&lt;&gt;1
    ),
    """",
    IFERROR(TEXTJOIN(CHAR(10),TRUE,FILTER('SUMMARY DATA'!E:E,'SUMMARY DATA'!$D:$D=$C788,'SUMMARY DATA'!$B:$B=""RWS"")),"""")
  )
)"),"")</f>
      </c>
      <c r="F788" s="17" t="str">
        <f>IFERROR(__xludf.DUMMYFUNCTION("IFERROR(
  TEXTJOIN(CHAR(10),TRUE,FILTER('SUMMARY DATA'!F:F,'SUMMARY DATA'!$A:$A=$A788,'SUMMARY DATA'!$C:$C=$B788,'SUMMARY DATA'!$B:$B=""RWS"")),
  IF(
    OR(
      ISNUMBER(SEARCH(""CDM CASH DEPOSIT"",$C788)),
      ISNUMBER(SEARCH(""CASH DEPOSIT"",$C78"&amp;"8)),
      COUNTIFS('SUMMARY DATA'!$D:$D,$C788,'SUMMARY DATA'!$B:$B,""RWS"")&lt;&gt;1
    ),
    """",
    IFERROR(TEXTJOIN(CHAR(10),TRUE,FILTER('SUMMARY DATA'!F:F,'SUMMARY DATA'!$D:$D=$C788,'SUMMARY DATA'!$B:$B=""RWS"")),"""")
  )
)"),"")</f>
      </c>
      <c r="G788" s="17" t="str">
        <f>IFERROR(__xludf.DUMMYFUNCTION("IFERROR(
  TEXTJOIN(CHAR(10),TRUE,FILTER('SUMMARY DATA'!G:G,'SUMMARY DATA'!$A:$A=$A788,'SUMMARY DATA'!$C:$C=$B788,'SUMMARY DATA'!$B:$B=""RWS"")),
  IF(
    OR(
      ISNUMBER(SEARCH(""CDM CASH DEPOSIT"",$C788)),
      ISNUMBER(SEARCH(""CASH DEPOSIT"",$C78"&amp;"8)),
      COUNTIFS('SUMMARY DATA'!$D:$D,$C788,'SUMMARY DATA'!$B:$B,""RWS"")&lt;&gt;1
    ),
    """",
    IFERROR(TEXTJOIN(CHAR(10),TRUE,FILTER('SUMMARY DATA'!G:G,'SUMMARY DATA'!$D:$D=$C788,'SUMMARY DATA'!$B:$B=""RWS"")),"""")
  )
)"),"")</f>
      </c>
      <c r="H788" s="18" t="str">
        <f>IFERROR(__xludf.DUMMYFUNCTION("IFERROR(
  TEXTJOIN(CHAR(10),TRUE,FILTER('SUMMARY DATA'!H:H,'SUMMARY DATA'!$A:$A=$A788,'SUMMARY DATA'!$C:$C=$B788,'SUMMARY DATA'!$B:$B=""RWS"",'SUMMARY DATA'!$H:$H=$D788)),
  IF(
    OR(
      ISNUMBER(SEARCH(""CDM CASH DEPOSIT"",$C788)),
      ISNUMBER(S"&amp;"EARCH(""CASH DEPOSIT"",$C788))
    ),
    """",
    IFERROR(TEXTJOIN(CHAR(10),TRUE,FILTER('SUMMARY DATA'!H:H,'SUMMARY DATA'!$D:$D=$C788,'SUMMARY DATA'!$B:$B=""RWS"",'SUMMARY DATA'!$H:$H=$D788)),"""")
  )
)"),"")</f>
      </c>
      <c r="I788" s="18" t="str">
        <f>IFERROR(__xludf.DUMMYFUNCTION("IF(H788="""","""",
SUM(ARRAYFORMULA(VALUE(SPLIT(H788,CHAR(10)))))
)"),"")</f>
      </c>
      <c r="J788" s="17" t="str">
        <f>IFERROR(__xludf.DUMMYFUNCTION("IFERROR(
  TEXTJOIN(CHAR(10),TRUE,FILTER('SUMMARY DATA'!I:I,'SUMMARY DATA'!$A:$A=$A788,'SUMMARY DATA'!$C:$C=$B788,'SUMMARY DATA'!$B:$B=""RWS"")),
  IF(
    OR(
      ISNUMBER(SEARCH(""CDM CASH DEPOSIT"",$C788)),
      ISNUMBER(SEARCH(""CASH DEPOSIT"",$C78"&amp;"8)),
      COUNTIFS('SUMMARY DATA'!$D:$D,$C788,'SUMMARY DATA'!$B:$B,""RWS"")&lt;&gt;1
    ),
    """",
    IFERROR(TEXTJOIN(CHAR(10),TRUE,FILTER('SUMMARY DATA'!I:I,'SUMMARY DATA'!$D:$D=$C788,'SUMMARY DATA'!$B:$B=""RWS"")),"""")
  )
)"),"")</f>
      </c>
      <c r="K788" s="2"/>
      <c r="L788" s="2"/>
      <c r="M788" s="2"/>
      <c r="N788" s="2"/>
      <c r="O788" s="2"/>
      <c r="P788" s="2"/>
      <c r="Q788" s="2"/>
      <c r="R788" s="2"/>
      <c r="S788" s="2"/>
      <c r="T788" s="2"/>
      <c r="U788" s="2"/>
      <c r="V788" s="2"/>
      <c r="W788" s="2"/>
      <c r="X788" s="2"/>
      <c r="Y788" s="2"/>
      <c r="Z788" s="2"/>
      <c r="AA788" s="2"/>
      <c r="AB788" s="2"/>
    </row>
    <row r="789" spans="1:28" customHeight="true">
      <c r="A789" s="2" t="s">
        <v>1264</v>
      </c>
      <c r="B789" s="15">
        <v>46057</v>
      </c>
      <c r="C789" s="2" t="s">
        <v>1265</v>
      </c>
      <c r="D789" s="3">
        <v>148</v>
      </c>
      <c r="E789" s="16" t="str">
        <f>IFERROR(__xludf.DUMMYFUNCTION("IFERROR(
  TEXTJOIN(CHAR(10),TRUE,FILTER('SUMMARY DATA'!E:E,'SUMMARY DATA'!$A:$A=$A789,'SUMMARY DATA'!$C:$C=$B789,'SUMMARY DATA'!$B:$B=""RWS"")),
  IF(
    OR(
      ISNUMBER(SEARCH(""CDM CASH DEPOSIT"",$C789)),
      ISNUMBER(SEARCH(""CASH DEPOSIT"",$C78"&amp;"9)),
      COUNTIFS('SUMMARY DATA'!$D:$D,$C789,'SUMMARY DATA'!$B:$B,""RWS"")&lt;&gt;1
    ),
    """",
    IFERROR(TEXTJOIN(CHAR(10),TRUE,FILTER('SUMMARY DATA'!E:E,'SUMMARY DATA'!$D:$D=$C789,'SUMMARY DATA'!$B:$B=""RWS"")),"""")
  )
)"),"")</f>
      </c>
      <c r="F789" s="17" t="str">
        <f>IFERROR(__xludf.DUMMYFUNCTION("IFERROR(
  TEXTJOIN(CHAR(10),TRUE,FILTER('SUMMARY DATA'!F:F,'SUMMARY DATA'!$A:$A=$A789,'SUMMARY DATA'!$C:$C=$B789,'SUMMARY DATA'!$B:$B=""RWS"")),
  IF(
    OR(
      ISNUMBER(SEARCH(""CDM CASH DEPOSIT"",$C789)),
      ISNUMBER(SEARCH(""CASH DEPOSIT"",$C78"&amp;"9)),
      COUNTIFS('SUMMARY DATA'!$D:$D,$C789,'SUMMARY DATA'!$B:$B,""RWS"")&lt;&gt;1
    ),
    """",
    IFERROR(TEXTJOIN(CHAR(10),TRUE,FILTER('SUMMARY DATA'!F:F,'SUMMARY DATA'!$D:$D=$C789,'SUMMARY DATA'!$B:$B=""RWS"")),"""")
  )
)"),"")</f>
      </c>
      <c r="G789" s="17" t="str">
        <f>IFERROR(__xludf.DUMMYFUNCTION("IFERROR(
  TEXTJOIN(CHAR(10),TRUE,FILTER('SUMMARY DATA'!G:G,'SUMMARY DATA'!$A:$A=$A789,'SUMMARY DATA'!$C:$C=$B789,'SUMMARY DATA'!$B:$B=""RWS"")),
  IF(
    OR(
      ISNUMBER(SEARCH(""CDM CASH DEPOSIT"",$C789)),
      ISNUMBER(SEARCH(""CASH DEPOSIT"",$C78"&amp;"9)),
      COUNTIFS('SUMMARY DATA'!$D:$D,$C789,'SUMMARY DATA'!$B:$B,""RWS"")&lt;&gt;1
    ),
    """",
    IFERROR(TEXTJOIN(CHAR(10),TRUE,FILTER('SUMMARY DATA'!G:G,'SUMMARY DATA'!$D:$D=$C789,'SUMMARY DATA'!$B:$B=""RWS"")),"""")
  )
)"),"")</f>
      </c>
      <c r="H789" s="18" t="str">
        <f>IFERROR(__xludf.DUMMYFUNCTION("IFERROR(
  TEXTJOIN(CHAR(10),TRUE,FILTER('SUMMARY DATA'!H:H,'SUMMARY DATA'!$A:$A=$A789,'SUMMARY DATA'!$C:$C=$B789,'SUMMARY DATA'!$B:$B=""RWS"",'SUMMARY DATA'!$H:$H=$D789)),
  IF(
    OR(
      ISNUMBER(SEARCH(""CDM CASH DEPOSIT"",$C789)),
      ISNUMBER(S"&amp;"EARCH(""CASH DEPOSIT"",$C789))
    ),
    """",
    IFERROR(TEXTJOIN(CHAR(10),TRUE,FILTER('SUMMARY DATA'!H:H,'SUMMARY DATA'!$D:$D=$C789,'SUMMARY DATA'!$B:$B=""RWS"",'SUMMARY DATA'!$H:$H=$D789)),"""")
  )
)"),"")</f>
      </c>
      <c r="I789" s="18" t="str">
        <f>IFERROR(__xludf.DUMMYFUNCTION("IF(H789="""","""",
SUM(ARRAYFORMULA(VALUE(SPLIT(H789,CHAR(10)))))
)"),"")</f>
      </c>
      <c r="J789" s="17" t="str">
        <f>IFERROR(__xludf.DUMMYFUNCTION("IFERROR(
  TEXTJOIN(CHAR(10),TRUE,FILTER('SUMMARY DATA'!I:I,'SUMMARY DATA'!$A:$A=$A789,'SUMMARY DATA'!$C:$C=$B789,'SUMMARY DATA'!$B:$B=""RWS"")),
  IF(
    OR(
      ISNUMBER(SEARCH(""CDM CASH DEPOSIT"",$C789)),
      ISNUMBER(SEARCH(""CASH DEPOSIT"",$C78"&amp;"9)),
      COUNTIFS('SUMMARY DATA'!$D:$D,$C789,'SUMMARY DATA'!$B:$B,""RWS"")&lt;&gt;1
    ),
    """",
    IFERROR(TEXTJOIN(CHAR(10),TRUE,FILTER('SUMMARY DATA'!I:I,'SUMMARY DATA'!$D:$D=$C789,'SUMMARY DATA'!$B:$B=""RWS"")),"""")
  )
)"),"")</f>
      </c>
      <c r="K789" s="2"/>
      <c r="L789" s="2"/>
      <c r="M789" s="2"/>
      <c r="N789" s="2"/>
      <c r="O789" s="2"/>
      <c r="P789" s="2"/>
      <c r="Q789" s="2"/>
      <c r="R789" s="2"/>
      <c r="S789" s="2"/>
      <c r="T789" s="2"/>
      <c r="U789" s="2"/>
      <c r="V789" s="2"/>
      <c r="W789" s="2"/>
      <c r="X789" s="2"/>
      <c r="Y789" s="2"/>
      <c r="Z789" s="2"/>
      <c r="AA789" s="2"/>
      <c r="AB789" s="2"/>
    </row>
    <row r="790" spans="1:28" customHeight="true">
      <c r="A790" s="2" t="s">
        <v>1266</v>
      </c>
      <c r="B790" s="15">
        <v>46058</v>
      </c>
      <c r="C790" s="2" t="s">
        <v>1267</v>
      </c>
      <c r="D790" s="3">
        <v>67.96</v>
      </c>
      <c r="E790" s="16" t="s">
        <v>2667</v>
      </c>
      <c r="F790" s="17" t="s">
        <v>2669</v>
      </c>
      <c r="G790" s="17" t="s">
        <v>2393</v>
      </c>
      <c r="H790" s="18">
        <v>67.96</v>
      </c>
      <c r="I790" s="18">
        <v>67.96</v>
      </c>
      <c r="J790" s="17" t="s">
        <v>2394</v>
      </c>
      <c r="K790" s="2" t="s">
        <v>2395</v>
      </c>
      <c r="L790" s="2"/>
      <c r="M790" s="2"/>
      <c r="N790" s="2"/>
      <c r="O790" s="2"/>
      <c r="P790" s="2"/>
      <c r="Q790" s="2"/>
      <c r="R790" s="2"/>
      <c r="S790" s="2"/>
      <c r="T790" s="2"/>
      <c r="U790" s="2"/>
      <c r="V790" s="2"/>
      <c r="W790" s="2"/>
      <c r="X790" s="2"/>
      <c r="Y790" s="2"/>
      <c r="Z790" s="2"/>
      <c r="AA790" s="2"/>
      <c r="AB790" s="2"/>
    </row>
    <row r="791" spans="1:28" customHeight="true">
      <c r="A791" s="2" t="s">
        <v>1268</v>
      </c>
      <c r="B791" s="15">
        <v>46058</v>
      </c>
      <c r="C791" s="2" t="s">
        <v>1269</v>
      </c>
      <c r="D791" s="3">
        <v>39.98</v>
      </c>
      <c r="E791" s="16" t="s">
        <v>2670</v>
      </c>
      <c r="F791" s="17" t="s">
        <v>2671</v>
      </c>
      <c r="G791" s="17" t="s">
        <v>2393</v>
      </c>
      <c r="H791" s="18">
        <v>39.98</v>
      </c>
      <c r="I791" s="18">
        <v>39.98</v>
      </c>
      <c r="J791" s="17" t="s">
        <v>2394</v>
      </c>
      <c r="K791" s="2" t="s">
        <v>2395</v>
      </c>
      <c r="L791" s="2"/>
      <c r="M791" s="2"/>
      <c r="N791" s="2"/>
      <c r="O791" s="2"/>
      <c r="P791" s="2"/>
      <c r="Q791" s="2"/>
      <c r="R791" s="2"/>
      <c r="S791" s="2"/>
      <c r="T791" s="2"/>
      <c r="U791" s="2"/>
      <c r="V791" s="2"/>
      <c r="W791" s="2"/>
      <c r="X791" s="2"/>
      <c r="Y791" s="2"/>
      <c r="Z791" s="2"/>
      <c r="AA791" s="2"/>
      <c r="AB791" s="2"/>
    </row>
    <row r="792" spans="1:28" customHeight="true">
      <c r="A792" s="2" t="s">
        <v>1270</v>
      </c>
      <c r="B792" s="15">
        <v>46058</v>
      </c>
      <c r="C792" s="2" t="s">
        <v>1271</v>
      </c>
      <c r="D792" s="3">
        <v>205.95</v>
      </c>
      <c r="E792" s="16" t="str">
        <f>IFERROR(__xludf.DUMMYFUNCTION("IFERROR(
  TEXTJOIN(CHAR(10),TRUE,FILTER('SUMMARY DATA'!E:E,'SUMMARY DATA'!$A:$A=$A792,'SUMMARY DATA'!$C:$C=$B792,'SUMMARY DATA'!$B:$B=""RWS"")),
  IF(
    OR(
      ISNUMBER(SEARCH(""CDM CASH DEPOSIT"",$C792)),
      ISNUMBER(SEARCH(""CASH DEPOSIT"",$C79"&amp;"2)),
      COUNTIFS('SUMMARY DATA'!$D:$D,$C792,'SUMMARY DATA'!$B:$B,""RWS"")&lt;&gt;1
    ),
    """",
    IFERROR(TEXTJOIN(CHAR(10),TRUE,FILTER('SUMMARY DATA'!E:E,'SUMMARY DATA'!$D:$D=$C792,'SUMMARY DATA'!$B:$B=""RWS"")),"""")
  )
)"),"")</f>
      </c>
      <c r="F792" s="17" t="str">
        <f>IFERROR(__xludf.DUMMYFUNCTION("IFERROR(
  TEXTJOIN(CHAR(10),TRUE,FILTER('SUMMARY DATA'!F:F,'SUMMARY DATA'!$A:$A=$A792,'SUMMARY DATA'!$C:$C=$B792,'SUMMARY DATA'!$B:$B=""RWS"")),
  IF(
    OR(
      ISNUMBER(SEARCH(""CDM CASH DEPOSIT"",$C792)),
      ISNUMBER(SEARCH(""CASH DEPOSIT"",$C79"&amp;"2)),
      COUNTIFS('SUMMARY DATA'!$D:$D,$C792,'SUMMARY DATA'!$B:$B,""RWS"")&lt;&gt;1
    ),
    """",
    IFERROR(TEXTJOIN(CHAR(10),TRUE,FILTER('SUMMARY DATA'!F:F,'SUMMARY DATA'!$D:$D=$C792,'SUMMARY DATA'!$B:$B=""RWS"")),"""")
  )
)"),"")</f>
      </c>
      <c r="G792" s="17" t="str">
        <f>IFERROR(__xludf.DUMMYFUNCTION("IFERROR(
  TEXTJOIN(CHAR(10),TRUE,FILTER('SUMMARY DATA'!G:G,'SUMMARY DATA'!$A:$A=$A792,'SUMMARY DATA'!$C:$C=$B792,'SUMMARY DATA'!$B:$B=""RWS"")),
  IF(
    OR(
      ISNUMBER(SEARCH(""CDM CASH DEPOSIT"",$C792)),
      ISNUMBER(SEARCH(""CASH DEPOSIT"",$C79"&amp;"2)),
      COUNTIFS('SUMMARY DATA'!$D:$D,$C792,'SUMMARY DATA'!$B:$B,""RWS"")&lt;&gt;1
    ),
    """",
    IFERROR(TEXTJOIN(CHAR(10),TRUE,FILTER('SUMMARY DATA'!G:G,'SUMMARY DATA'!$D:$D=$C792,'SUMMARY DATA'!$B:$B=""RWS"")),"""")
  )
)"),"")</f>
      </c>
      <c r="H792" s="18" t="str">
        <f>IFERROR(__xludf.DUMMYFUNCTION("IFERROR(
  TEXTJOIN(CHAR(10),TRUE,FILTER('SUMMARY DATA'!H:H,'SUMMARY DATA'!$A:$A=$A792,'SUMMARY DATA'!$C:$C=$B792,'SUMMARY DATA'!$B:$B=""RWS"",'SUMMARY DATA'!$H:$H=$D792)),
  IF(
    OR(
      ISNUMBER(SEARCH(""CDM CASH DEPOSIT"",$C792)),
      ISNUMBER(S"&amp;"EARCH(""CASH DEPOSIT"",$C792))
    ),
    """",
    IFERROR(TEXTJOIN(CHAR(10),TRUE,FILTER('SUMMARY DATA'!H:H,'SUMMARY DATA'!$D:$D=$C792,'SUMMARY DATA'!$B:$B=""RWS"",'SUMMARY DATA'!$H:$H=$D792)),"""")
  )
)"),"")</f>
      </c>
      <c r="I792" s="18" t="str">
        <f>IFERROR(__xludf.DUMMYFUNCTION("IF(H792="""","""",
SUM(ARRAYFORMULA(VALUE(SPLIT(H792,CHAR(10)))))
)"),"")</f>
      </c>
      <c r="J792" s="17" t="str">
        <f>IFERROR(__xludf.DUMMYFUNCTION("IFERROR(
  TEXTJOIN(CHAR(10),TRUE,FILTER('SUMMARY DATA'!I:I,'SUMMARY DATA'!$A:$A=$A792,'SUMMARY DATA'!$C:$C=$B792,'SUMMARY DATA'!$B:$B=""RWS"")),
  IF(
    OR(
      ISNUMBER(SEARCH(""CDM CASH DEPOSIT"",$C792)),
      ISNUMBER(SEARCH(""CASH DEPOSIT"",$C79"&amp;"2)),
      COUNTIFS('SUMMARY DATA'!$D:$D,$C792,'SUMMARY DATA'!$B:$B,""RWS"")&lt;&gt;1
    ),
    """",
    IFERROR(TEXTJOIN(CHAR(10),TRUE,FILTER('SUMMARY DATA'!I:I,'SUMMARY DATA'!$D:$D=$C792,'SUMMARY DATA'!$B:$B=""RWS"")),"""")
  )
)"),"")</f>
      </c>
      <c r="K792" s="2"/>
      <c r="L792" s="2"/>
      <c r="M792" s="2"/>
      <c r="N792" s="2"/>
      <c r="O792" s="2"/>
      <c r="P792" s="2"/>
      <c r="Q792" s="2"/>
      <c r="R792" s="2"/>
      <c r="S792" s="2"/>
      <c r="T792" s="2"/>
      <c r="U792" s="2"/>
      <c r="V792" s="2"/>
      <c r="W792" s="2"/>
      <c r="X792" s="2"/>
      <c r="Y792" s="2"/>
      <c r="Z792" s="2"/>
      <c r="AA792" s="2"/>
      <c r="AB792" s="2"/>
    </row>
    <row r="793" spans="1:28" customHeight="true">
      <c r="A793" s="2"/>
      <c r="B793" s="15">
        <v>46058</v>
      </c>
      <c r="C793" s="2" t="s">
        <v>1272</v>
      </c>
      <c r="D793" s="3">
        <v>30</v>
      </c>
      <c r="E793" s="16" t="str">
        <f>IFERROR(__xludf.DUMMYFUNCTION("IFERROR(
  TEXTJOIN(CHAR(10),TRUE,FILTER('SUMMARY DATA'!E:E,'SUMMARY DATA'!$A:$A=$A793,'SUMMARY DATA'!$C:$C=$B793,'SUMMARY DATA'!$B:$B=""RWS"")),
  IF(
    OR(
      ISNUMBER(SEARCH(""CDM CASH DEPOSIT"",$C793)),
      ISNUMBER(SEARCH(""CASH DEPOSIT"",$C79"&amp;"3)),
      COUNTIFS('SUMMARY DATA'!$D:$D,$C793,'SUMMARY DATA'!$B:$B,""RWS"")&lt;&gt;1
    ),
    """",
    IFERROR(TEXTJOIN(CHAR(10),TRUE,FILTER('SUMMARY DATA'!E:E,'SUMMARY DATA'!$D:$D=$C793,'SUMMARY DATA'!$B:$B=""RWS"")),"""")
  )
)"),"")</f>
      </c>
      <c r="F793" s="17" t="str">
        <f>IFERROR(__xludf.DUMMYFUNCTION("IFERROR(
  TEXTJOIN(CHAR(10),TRUE,FILTER('SUMMARY DATA'!F:F,'SUMMARY DATA'!$A:$A=$A793,'SUMMARY DATA'!$C:$C=$B793,'SUMMARY DATA'!$B:$B=""RWS"")),
  IF(
    OR(
      ISNUMBER(SEARCH(""CDM CASH DEPOSIT"",$C793)),
      ISNUMBER(SEARCH(""CASH DEPOSIT"",$C79"&amp;"3)),
      COUNTIFS('SUMMARY DATA'!$D:$D,$C793,'SUMMARY DATA'!$B:$B,""RWS"")&lt;&gt;1
    ),
    """",
    IFERROR(TEXTJOIN(CHAR(10),TRUE,FILTER('SUMMARY DATA'!F:F,'SUMMARY DATA'!$D:$D=$C793,'SUMMARY DATA'!$B:$B=""RWS"")),"""")
  )
)"),"")</f>
      </c>
      <c r="G793" s="17" t="str">
        <f>IFERROR(__xludf.DUMMYFUNCTION("IFERROR(
  TEXTJOIN(CHAR(10),TRUE,FILTER('SUMMARY DATA'!G:G,'SUMMARY DATA'!$A:$A=$A793,'SUMMARY DATA'!$C:$C=$B793,'SUMMARY DATA'!$B:$B=""RWS"")),
  IF(
    OR(
      ISNUMBER(SEARCH(""CDM CASH DEPOSIT"",$C793)),
      ISNUMBER(SEARCH(""CASH DEPOSIT"",$C79"&amp;"3)),
      COUNTIFS('SUMMARY DATA'!$D:$D,$C793,'SUMMARY DATA'!$B:$B,""RWS"")&lt;&gt;1
    ),
    """",
    IFERROR(TEXTJOIN(CHAR(10),TRUE,FILTER('SUMMARY DATA'!G:G,'SUMMARY DATA'!$D:$D=$C793,'SUMMARY DATA'!$B:$B=""RWS"")),"""")
  )
)"),"")</f>
      </c>
      <c r="H793" s="18" t="str">
        <f>IFERROR(__xludf.DUMMYFUNCTION("IFERROR(
  TEXTJOIN(CHAR(10),TRUE,FILTER('SUMMARY DATA'!H:H,'SUMMARY DATA'!$A:$A=$A793,'SUMMARY DATA'!$C:$C=$B793,'SUMMARY DATA'!$B:$B=""RWS"",'SUMMARY DATA'!$H:$H=$D793)),
  IF(
    OR(
      ISNUMBER(SEARCH(""CDM CASH DEPOSIT"",$C793)),
      ISNUMBER(S"&amp;"EARCH(""CASH DEPOSIT"",$C793))
    ),
    """",
    IFERROR(TEXTJOIN(CHAR(10),TRUE,FILTER('SUMMARY DATA'!H:H,'SUMMARY DATA'!$D:$D=$C793,'SUMMARY DATA'!$B:$B=""RWS"",'SUMMARY DATA'!$H:$H=$D793)),"""")
  )
)"),"")</f>
      </c>
      <c r="I793" s="18" t="str">
        <f>IFERROR(__xludf.DUMMYFUNCTION("IF(H793="""","""",
SUM(ARRAYFORMULA(VALUE(SPLIT(H793,CHAR(10)))))
)"),"")</f>
      </c>
      <c r="J793" s="17" t="str">
        <f>IFERROR(__xludf.DUMMYFUNCTION("IFERROR(
  TEXTJOIN(CHAR(10),TRUE,FILTER('SUMMARY DATA'!I:I,'SUMMARY DATA'!$A:$A=$A793,'SUMMARY DATA'!$C:$C=$B793,'SUMMARY DATA'!$B:$B=""RWS"")),
  IF(
    OR(
      ISNUMBER(SEARCH(""CDM CASH DEPOSIT"",$C793)),
      ISNUMBER(SEARCH(""CASH DEPOSIT"",$C79"&amp;"3)),
      COUNTIFS('SUMMARY DATA'!$D:$D,$C793,'SUMMARY DATA'!$B:$B,""RWS"")&lt;&gt;1
    ),
    """",
    IFERROR(TEXTJOIN(CHAR(10),TRUE,FILTER('SUMMARY DATA'!I:I,'SUMMARY DATA'!$D:$D=$C793,'SUMMARY DATA'!$B:$B=""RWS"")),"""")
  )
)"),"")</f>
      </c>
      <c r="K793" s="2"/>
      <c r="L793" s="2"/>
      <c r="M793" s="2"/>
      <c r="N793" s="2"/>
      <c r="O793" s="2"/>
      <c r="P793" s="2"/>
      <c r="Q793" s="2"/>
      <c r="R793" s="2"/>
      <c r="S793" s="2"/>
      <c r="T793" s="2"/>
      <c r="U793" s="2"/>
      <c r="V793" s="2"/>
      <c r="W793" s="2"/>
      <c r="X793" s="2"/>
      <c r="Y793" s="2"/>
      <c r="Z793" s="2"/>
      <c r="AA793" s="2"/>
      <c r="AB793" s="2"/>
    </row>
    <row r="794" spans="1:28" customHeight="true">
      <c r="A794" s="2" t="s">
        <v>1273</v>
      </c>
      <c r="B794" s="15">
        <v>46059</v>
      </c>
      <c r="C794" s="2" t="s">
        <v>1274</v>
      </c>
      <c r="D794" s="3">
        <v>29.98</v>
      </c>
      <c r="E794" s="16" t="s">
        <v>2667</v>
      </c>
      <c r="F794" s="17" t="s">
        <v>2672</v>
      </c>
      <c r="G794" s="17" t="s">
        <v>2393</v>
      </c>
      <c r="H794" s="18">
        <v>29.98</v>
      </c>
      <c r="I794" s="18">
        <v>29.98</v>
      </c>
      <c r="J794" s="17" t="s">
        <v>2394</v>
      </c>
      <c r="K794" s="2" t="s">
        <v>2395</v>
      </c>
      <c r="L794" s="2"/>
      <c r="M794" s="2"/>
      <c r="N794" s="2"/>
      <c r="O794" s="2"/>
      <c r="P794" s="2"/>
      <c r="Q794" s="2"/>
      <c r="R794" s="2"/>
      <c r="S794" s="2"/>
      <c r="T794" s="2"/>
      <c r="U794" s="2"/>
      <c r="V794" s="2"/>
      <c r="W794" s="2"/>
      <c r="X794" s="2"/>
      <c r="Y794" s="2"/>
      <c r="Z794" s="2"/>
      <c r="AA794" s="2"/>
      <c r="AB794" s="2"/>
    </row>
    <row r="795" spans="1:28" customHeight="true">
      <c r="A795" s="2" t="s">
        <v>1275</v>
      </c>
      <c r="B795" s="15">
        <v>46059</v>
      </c>
      <c r="C795" s="2" t="s">
        <v>1276</v>
      </c>
      <c r="D795" s="3">
        <v>514.7</v>
      </c>
      <c r="E795" s="16" t="str">
        <f>IFERROR(__xludf.DUMMYFUNCTION("IFERROR(
  TEXTJOIN(CHAR(10),TRUE,FILTER('SUMMARY DATA'!E:E,'SUMMARY DATA'!$A:$A=$A795,'SUMMARY DATA'!$C:$C=$B795,'SUMMARY DATA'!$B:$B=""RWS"")),
  IF(
    OR(
      ISNUMBER(SEARCH(""CDM CASH DEPOSIT"",$C795)),
      ISNUMBER(SEARCH(""CASH DEPOSIT"",$C79"&amp;"5)),
      COUNTIFS('SUMMARY DATA'!$D:$D,$C795,'SUMMARY DATA'!$B:$B,""RWS"")&lt;&gt;1
    ),
    """",
    IFERROR(TEXTJOIN(CHAR(10),TRUE,FILTER('SUMMARY DATA'!E:E,'SUMMARY DATA'!$D:$D=$C795,'SUMMARY DATA'!$B:$B=""RWS"")),"""")
  )
)"),"")</f>
      </c>
      <c r="F795" s="17" t="str">
        <f>IFERROR(__xludf.DUMMYFUNCTION("IFERROR(
  TEXTJOIN(CHAR(10),TRUE,FILTER('SUMMARY DATA'!F:F,'SUMMARY DATA'!$A:$A=$A795,'SUMMARY DATA'!$C:$C=$B795,'SUMMARY DATA'!$B:$B=""RWS"")),
  IF(
    OR(
      ISNUMBER(SEARCH(""CDM CASH DEPOSIT"",$C795)),
      ISNUMBER(SEARCH(""CASH DEPOSIT"",$C79"&amp;"5)),
      COUNTIFS('SUMMARY DATA'!$D:$D,$C795,'SUMMARY DATA'!$B:$B,""RWS"")&lt;&gt;1
    ),
    """",
    IFERROR(TEXTJOIN(CHAR(10),TRUE,FILTER('SUMMARY DATA'!F:F,'SUMMARY DATA'!$D:$D=$C795,'SUMMARY DATA'!$B:$B=""RWS"")),"""")
  )
)"),"")</f>
      </c>
      <c r="G795" s="17" t="str">
        <f>IFERROR(__xludf.DUMMYFUNCTION("IFERROR(
  TEXTJOIN(CHAR(10),TRUE,FILTER('SUMMARY DATA'!G:G,'SUMMARY DATA'!$A:$A=$A795,'SUMMARY DATA'!$C:$C=$B795,'SUMMARY DATA'!$B:$B=""RWS"")),
  IF(
    OR(
      ISNUMBER(SEARCH(""CDM CASH DEPOSIT"",$C795)),
      ISNUMBER(SEARCH(""CASH DEPOSIT"",$C79"&amp;"5)),
      COUNTIFS('SUMMARY DATA'!$D:$D,$C795,'SUMMARY DATA'!$B:$B,""RWS"")&lt;&gt;1
    ),
    """",
    IFERROR(TEXTJOIN(CHAR(10),TRUE,FILTER('SUMMARY DATA'!G:G,'SUMMARY DATA'!$D:$D=$C795,'SUMMARY DATA'!$B:$B=""RWS"")),"""")
  )
)"),"")</f>
      </c>
      <c r="H795" s="18" t="str">
        <f>IFERROR(__xludf.DUMMYFUNCTION("IFERROR(
  TEXTJOIN(CHAR(10),TRUE,FILTER('SUMMARY DATA'!H:H,'SUMMARY DATA'!$A:$A=$A795,'SUMMARY DATA'!$C:$C=$B795,'SUMMARY DATA'!$B:$B=""RWS"",'SUMMARY DATA'!$H:$H=$D795)),
  IF(
    OR(
      ISNUMBER(SEARCH(""CDM CASH DEPOSIT"",$C795)),
      ISNUMBER(S"&amp;"EARCH(""CASH DEPOSIT"",$C795))
    ),
    """",
    IFERROR(TEXTJOIN(CHAR(10),TRUE,FILTER('SUMMARY DATA'!H:H,'SUMMARY DATA'!$D:$D=$C795,'SUMMARY DATA'!$B:$B=""RWS"",'SUMMARY DATA'!$H:$H=$D795)),"""")
  )
)"),"")</f>
      </c>
      <c r="I795" s="18" t="str">
        <f>IFERROR(__xludf.DUMMYFUNCTION("IF(H795="""","""",
SUM(ARRAYFORMULA(VALUE(SPLIT(H795,CHAR(10)))))
)"),"")</f>
      </c>
      <c r="J795" s="17" t="str">
        <f>IFERROR(__xludf.DUMMYFUNCTION("IFERROR(
  TEXTJOIN(CHAR(10),TRUE,FILTER('SUMMARY DATA'!I:I,'SUMMARY DATA'!$A:$A=$A795,'SUMMARY DATA'!$C:$C=$B795,'SUMMARY DATA'!$B:$B=""RWS"")),
  IF(
    OR(
      ISNUMBER(SEARCH(""CDM CASH DEPOSIT"",$C795)),
      ISNUMBER(SEARCH(""CASH DEPOSIT"",$C79"&amp;"5)),
      COUNTIFS('SUMMARY DATA'!$D:$D,$C795,'SUMMARY DATA'!$B:$B,""RWS"")&lt;&gt;1
    ),
    """",
    IFERROR(TEXTJOIN(CHAR(10),TRUE,FILTER('SUMMARY DATA'!I:I,'SUMMARY DATA'!$D:$D=$C795,'SUMMARY DATA'!$B:$B=""RWS"")),"""")
  )
)"),"")</f>
      </c>
      <c r="K795" s="2"/>
      <c r="L795" s="2"/>
      <c r="M795" s="2"/>
      <c r="N795" s="2"/>
      <c r="O795" s="2"/>
      <c r="P795" s="2"/>
      <c r="Q795" s="2"/>
      <c r="R795" s="2"/>
      <c r="S795" s="2"/>
      <c r="T795" s="2"/>
      <c r="U795" s="2"/>
      <c r="V795" s="2"/>
      <c r="W795" s="2"/>
      <c r="X795" s="2"/>
      <c r="Y795" s="2"/>
      <c r="Z795" s="2"/>
      <c r="AA795" s="2"/>
      <c r="AB795" s="2"/>
    </row>
    <row r="796" spans="1:28" customHeight="true">
      <c r="A796" s="2" t="s">
        <v>1277</v>
      </c>
      <c r="B796" s="15">
        <v>46059</v>
      </c>
      <c r="C796" s="2" t="s">
        <v>1278</v>
      </c>
      <c r="D796" s="3">
        <v>10</v>
      </c>
      <c r="E796" s="16" t="s">
        <v>2504</v>
      </c>
      <c r="F796" s="17" t="s">
        <v>2673</v>
      </c>
      <c r="G796" s="17" t="s">
        <v>2393</v>
      </c>
      <c r="H796" s="18">
        <v>10</v>
      </c>
      <c r="I796" s="18">
        <v>10</v>
      </c>
      <c r="J796" s="17" t="s">
        <v>2394</v>
      </c>
      <c r="K796" s="2" t="s">
        <v>2395</v>
      </c>
      <c r="L796" s="2"/>
      <c r="M796" s="2"/>
      <c r="N796" s="2"/>
      <c r="O796" s="2"/>
      <c r="P796" s="2"/>
      <c r="Q796" s="2"/>
      <c r="R796" s="2"/>
      <c r="S796" s="2"/>
      <c r="T796" s="2"/>
      <c r="U796" s="2"/>
      <c r="V796" s="2"/>
      <c r="W796" s="2"/>
      <c r="X796" s="2"/>
      <c r="Y796" s="2"/>
      <c r="Z796" s="2"/>
      <c r="AA796" s="2"/>
      <c r="AB796" s="2"/>
    </row>
    <row r="797" spans="1:28" customHeight="true">
      <c r="A797" s="2" t="s">
        <v>1279</v>
      </c>
      <c r="B797" s="15">
        <v>46060</v>
      </c>
      <c r="C797" s="2" t="s">
        <v>1280</v>
      </c>
      <c r="D797" s="3">
        <v>487.98</v>
      </c>
      <c r="E797" s="16" t="s">
        <v>2674</v>
      </c>
      <c r="F797" s="17" t="s">
        <v>2675</v>
      </c>
      <c r="G797" s="17" t="s">
        <v>2393</v>
      </c>
      <c r="H797" s="18">
        <v>487.98</v>
      </c>
      <c r="I797" s="18">
        <v>487.98</v>
      </c>
      <c r="J797" s="17" t="s">
        <v>2394</v>
      </c>
      <c r="K797" s="2" t="s">
        <v>2395</v>
      </c>
      <c r="L797" s="2"/>
      <c r="M797" s="2"/>
      <c r="N797" s="2"/>
      <c r="O797" s="2"/>
      <c r="P797" s="2"/>
      <c r="Q797" s="2"/>
      <c r="R797" s="2"/>
      <c r="S797" s="2"/>
      <c r="T797" s="2"/>
      <c r="U797" s="2"/>
      <c r="V797" s="2"/>
      <c r="W797" s="2"/>
      <c r="X797" s="2"/>
      <c r="Y797" s="2"/>
      <c r="Z797" s="2"/>
      <c r="AA797" s="2"/>
      <c r="AB797" s="2"/>
    </row>
    <row r="798" spans="1:28" customHeight="true">
      <c r="A798" s="2" t="s">
        <v>1281</v>
      </c>
      <c r="B798" s="15">
        <v>46060</v>
      </c>
      <c r="C798" s="2" t="s">
        <v>1282</v>
      </c>
      <c r="D798" s="3">
        <v>16.88</v>
      </c>
      <c r="E798" s="16" t="s">
        <v>2572</v>
      </c>
      <c r="F798" s="17" t="s">
        <v>2676</v>
      </c>
      <c r="G798" s="17" t="s">
        <v>2393</v>
      </c>
      <c r="H798" s="18">
        <v>16.88</v>
      </c>
      <c r="I798" s="18">
        <v>16.88</v>
      </c>
      <c r="J798" s="17" t="s">
        <v>2394</v>
      </c>
      <c r="K798" s="2" t="s">
        <v>2395</v>
      </c>
      <c r="L798" s="2"/>
      <c r="M798" s="2"/>
      <c r="N798" s="2"/>
      <c r="O798" s="2"/>
      <c r="P798" s="2"/>
      <c r="Q798" s="2"/>
      <c r="R798" s="2"/>
      <c r="S798" s="2"/>
      <c r="T798" s="2"/>
      <c r="U798" s="2"/>
      <c r="V798" s="2"/>
      <c r="W798" s="2"/>
      <c r="X798" s="2"/>
      <c r="Y798" s="2"/>
      <c r="Z798" s="2"/>
      <c r="AA798" s="2"/>
      <c r="AB798" s="2"/>
    </row>
    <row r="799" spans="1:28" customHeight="true">
      <c r="A799" s="2" t="s">
        <v>1149</v>
      </c>
      <c r="B799" s="15">
        <v>46060</v>
      </c>
      <c r="C799" s="2" t="s">
        <v>1150</v>
      </c>
      <c r="D799" s="3">
        <v>50.1</v>
      </c>
      <c r="E799" s="16" t="s">
        <v>2677</v>
      </c>
      <c r="F799" s="17" t="s">
        <v>2678</v>
      </c>
      <c r="G799" s="17" t="s">
        <v>2393</v>
      </c>
      <c r="H799" s="18">
        <v>50.1</v>
      </c>
      <c r="I799" s="18">
        <v>50.1</v>
      </c>
      <c r="J799" s="17" t="s">
        <v>2394</v>
      </c>
      <c r="K799" s="2" t="s">
        <v>2395</v>
      </c>
      <c r="L799" s="2"/>
      <c r="M799" s="2"/>
      <c r="N799" s="2"/>
      <c r="O799" s="2"/>
      <c r="P799" s="2"/>
      <c r="Q799" s="2"/>
      <c r="R799" s="2"/>
      <c r="S799" s="2"/>
      <c r="T799" s="2"/>
      <c r="U799" s="2"/>
      <c r="V799" s="2"/>
      <c r="W799" s="2"/>
      <c r="X799" s="2"/>
      <c r="Y799" s="2"/>
      <c r="Z799" s="2"/>
      <c r="AA799" s="2"/>
      <c r="AB799" s="2"/>
    </row>
    <row r="800" spans="1:28" customHeight="true">
      <c r="A800" s="2" t="s">
        <v>545</v>
      </c>
      <c r="B800" s="15">
        <v>46060</v>
      </c>
      <c r="C800" s="2" t="s">
        <v>546</v>
      </c>
      <c r="D800" s="3">
        <v>109.06</v>
      </c>
      <c r="E800" s="16" t="str">
        <f>IFERROR(__xludf.DUMMYFUNCTION("IFERROR(
  TEXTJOIN(CHAR(10),TRUE,FILTER('SUMMARY DATA'!E:E,'SUMMARY DATA'!$A:$A=$A800,'SUMMARY DATA'!$C:$C=$B800,'SUMMARY DATA'!$B:$B=""RWS"")),
  IF(
    OR(
      ISNUMBER(SEARCH(""CDM CASH DEPOSIT"",$C800)),
      ISNUMBER(SEARCH(""CASH DEPOSIT"",$C80"&amp;"0)),
      COUNTIFS('SUMMARY DATA'!$D:$D,$C800,'SUMMARY DATA'!$B:$B,""RWS"")&lt;&gt;1
    ),
    """",
    IFERROR(TEXTJOIN(CHAR(10),TRUE,FILTER('SUMMARY DATA'!E:E,'SUMMARY DATA'!$D:$D=$C800,'SUMMARY DATA'!$B:$B=""RWS"")),"""")
  )
)"),"")</f>
      </c>
      <c r="F800" s="17" t="str">
        <f>IFERROR(__xludf.DUMMYFUNCTION("IFERROR(
  TEXTJOIN(CHAR(10),TRUE,FILTER('SUMMARY DATA'!F:F,'SUMMARY DATA'!$A:$A=$A800,'SUMMARY DATA'!$C:$C=$B800,'SUMMARY DATA'!$B:$B=""RWS"")),
  IF(
    OR(
      ISNUMBER(SEARCH(""CDM CASH DEPOSIT"",$C800)),
      ISNUMBER(SEARCH(""CASH DEPOSIT"",$C80"&amp;"0)),
      COUNTIFS('SUMMARY DATA'!$D:$D,$C800,'SUMMARY DATA'!$B:$B,""RWS"")&lt;&gt;1
    ),
    """",
    IFERROR(TEXTJOIN(CHAR(10),TRUE,FILTER('SUMMARY DATA'!F:F,'SUMMARY DATA'!$D:$D=$C800,'SUMMARY DATA'!$B:$B=""RWS"")),"""")
  )
)"),"")</f>
      </c>
      <c r="G800" s="17" t="str">
        <f>IFERROR(__xludf.DUMMYFUNCTION("IFERROR(
  TEXTJOIN(CHAR(10),TRUE,FILTER('SUMMARY DATA'!G:G,'SUMMARY DATA'!$A:$A=$A800,'SUMMARY DATA'!$C:$C=$B800,'SUMMARY DATA'!$B:$B=""RWS"")),
  IF(
    OR(
      ISNUMBER(SEARCH(""CDM CASH DEPOSIT"",$C800)),
      ISNUMBER(SEARCH(""CASH DEPOSIT"",$C80"&amp;"0)),
      COUNTIFS('SUMMARY DATA'!$D:$D,$C800,'SUMMARY DATA'!$B:$B,""RWS"")&lt;&gt;1
    ),
    """",
    IFERROR(TEXTJOIN(CHAR(10),TRUE,FILTER('SUMMARY DATA'!G:G,'SUMMARY DATA'!$D:$D=$C800,'SUMMARY DATA'!$B:$B=""RWS"")),"""")
  )
)"),"")</f>
      </c>
      <c r="H800" s="18" t="str">
        <f>IFERROR(__xludf.DUMMYFUNCTION("IFERROR(
  TEXTJOIN(CHAR(10),TRUE,FILTER('SUMMARY DATA'!H:H,'SUMMARY DATA'!$A:$A=$A800,'SUMMARY DATA'!$C:$C=$B800,'SUMMARY DATA'!$B:$B=""RWS"",'SUMMARY DATA'!$H:$H=$D800)),
  IF(
    OR(
      ISNUMBER(SEARCH(""CDM CASH DEPOSIT"",$C800)),
      ISNUMBER(S"&amp;"EARCH(""CASH DEPOSIT"",$C800))
    ),
    """",
    IFERROR(TEXTJOIN(CHAR(10),TRUE,FILTER('SUMMARY DATA'!H:H,'SUMMARY DATA'!$D:$D=$C800,'SUMMARY DATA'!$B:$B=""RWS"",'SUMMARY DATA'!$H:$H=$D800)),"""")
  )
)"),"")</f>
      </c>
      <c r="I800" s="18" t="str">
        <f>IFERROR(__xludf.DUMMYFUNCTION("IF(H800="""","""",
SUM(ARRAYFORMULA(VALUE(SPLIT(H800,CHAR(10)))))
)"),"")</f>
      </c>
      <c r="J800" s="17" t="str">
        <f>IFERROR(__xludf.DUMMYFUNCTION("IFERROR(
  TEXTJOIN(CHAR(10),TRUE,FILTER('SUMMARY DATA'!I:I,'SUMMARY DATA'!$A:$A=$A800,'SUMMARY DATA'!$C:$C=$B800,'SUMMARY DATA'!$B:$B=""RWS"")),
  IF(
    OR(
      ISNUMBER(SEARCH(""CDM CASH DEPOSIT"",$C800)),
      ISNUMBER(SEARCH(""CASH DEPOSIT"",$C80"&amp;"0)),
      COUNTIFS('SUMMARY DATA'!$D:$D,$C800,'SUMMARY DATA'!$B:$B,""RWS"")&lt;&gt;1
    ),
    """",
    IFERROR(TEXTJOIN(CHAR(10),TRUE,FILTER('SUMMARY DATA'!I:I,'SUMMARY DATA'!$D:$D=$C800,'SUMMARY DATA'!$B:$B=""RWS"")),"""")
  )
)"),"")</f>
      </c>
      <c r="K800" s="2"/>
      <c r="L800" s="2"/>
      <c r="M800" s="2"/>
      <c r="N800" s="2"/>
      <c r="O800" s="2"/>
      <c r="P800" s="2"/>
      <c r="Q800" s="2"/>
      <c r="R800" s="2"/>
      <c r="S800" s="2"/>
      <c r="T800" s="2"/>
      <c r="U800" s="2"/>
      <c r="V800" s="2"/>
      <c r="W800" s="2"/>
      <c r="X800" s="2"/>
      <c r="Y800" s="2"/>
      <c r="Z800" s="2"/>
      <c r="AA800" s="2"/>
      <c r="AB800" s="2"/>
    </row>
    <row r="801" spans="1:28" customHeight="true">
      <c r="A801" s="2" t="s">
        <v>1283</v>
      </c>
      <c r="B801" s="15">
        <v>46061</v>
      </c>
      <c r="C801" s="2" t="s">
        <v>1284</v>
      </c>
      <c r="D801" s="3">
        <v>99</v>
      </c>
      <c r="E801" s="16" t="s">
        <v>2679</v>
      </c>
      <c r="F801" s="17" t="s">
        <v>2680</v>
      </c>
      <c r="G801" s="17" t="s">
        <v>2393</v>
      </c>
      <c r="H801" s="18">
        <v>99</v>
      </c>
      <c r="I801" s="18">
        <v>99</v>
      </c>
      <c r="J801" s="17" t="s">
        <v>2394</v>
      </c>
      <c r="K801" s="2" t="s">
        <v>2395</v>
      </c>
      <c r="L801" s="2"/>
      <c r="M801" s="2"/>
      <c r="N801" s="2"/>
      <c r="O801" s="2"/>
      <c r="P801" s="2"/>
      <c r="Q801" s="2"/>
      <c r="R801" s="2"/>
      <c r="S801" s="2"/>
      <c r="T801" s="2"/>
      <c r="U801" s="2"/>
      <c r="V801" s="2"/>
      <c r="W801" s="2"/>
      <c r="X801" s="2"/>
      <c r="Y801" s="2"/>
      <c r="Z801" s="2"/>
      <c r="AA801" s="2"/>
      <c r="AB801" s="2"/>
    </row>
    <row r="802" spans="1:28" customHeight="true">
      <c r="A802" s="2"/>
      <c r="B802" s="15">
        <v>46061</v>
      </c>
      <c r="C802" s="2" t="s">
        <v>1285</v>
      </c>
      <c r="D802" s="3">
        <v>17.76</v>
      </c>
      <c r="E802" s="16" t="str">
        <f>IFERROR(__xludf.DUMMYFUNCTION("IFERROR(
  TEXTJOIN(CHAR(10),TRUE,FILTER('SUMMARY DATA'!E:E,'SUMMARY DATA'!$A:$A=$A802,'SUMMARY DATA'!$C:$C=$B802,'SUMMARY DATA'!$B:$B=""RWS"")),
  IF(
    OR(
      ISNUMBER(SEARCH(""CDM CASH DEPOSIT"",$C802)),
      ISNUMBER(SEARCH(""CASH DEPOSIT"",$C80"&amp;"2)),
      COUNTIFS('SUMMARY DATA'!$D:$D,$C802,'SUMMARY DATA'!$B:$B,""RWS"")&lt;&gt;1
    ),
    """",
    IFERROR(TEXTJOIN(CHAR(10),TRUE,FILTER('SUMMARY DATA'!E:E,'SUMMARY DATA'!$D:$D=$C802,'SUMMARY DATA'!$B:$B=""RWS"")),"""")
  )
)"),"")</f>
      </c>
      <c r="F802" s="17" t="str">
        <f>IFERROR(__xludf.DUMMYFUNCTION("IFERROR(
  TEXTJOIN(CHAR(10),TRUE,FILTER('SUMMARY DATA'!F:F,'SUMMARY DATA'!$A:$A=$A802,'SUMMARY DATA'!$C:$C=$B802,'SUMMARY DATA'!$B:$B=""RWS"")),
  IF(
    OR(
      ISNUMBER(SEARCH(""CDM CASH DEPOSIT"",$C802)),
      ISNUMBER(SEARCH(""CASH DEPOSIT"",$C80"&amp;"2)),
      COUNTIFS('SUMMARY DATA'!$D:$D,$C802,'SUMMARY DATA'!$B:$B,""RWS"")&lt;&gt;1
    ),
    """",
    IFERROR(TEXTJOIN(CHAR(10),TRUE,FILTER('SUMMARY DATA'!F:F,'SUMMARY DATA'!$D:$D=$C802,'SUMMARY DATA'!$B:$B=""RWS"")),"""")
  )
)"),"")</f>
      </c>
      <c r="G802" s="17" t="str">
        <f>IFERROR(__xludf.DUMMYFUNCTION("IFERROR(
  TEXTJOIN(CHAR(10),TRUE,FILTER('SUMMARY DATA'!G:G,'SUMMARY DATA'!$A:$A=$A802,'SUMMARY DATA'!$C:$C=$B802,'SUMMARY DATA'!$B:$B=""RWS"")),
  IF(
    OR(
      ISNUMBER(SEARCH(""CDM CASH DEPOSIT"",$C802)),
      ISNUMBER(SEARCH(""CASH DEPOSIT"",$C80"&amp;"2)),
      COUNTIFS('SUMMARY DATA'!$D:$D,$C802,'SUMMARY DATA'!$B:$B,""RWS"")&lt;&gt;1
    ),
    """",
    IFERROR(TEXTJOIN(CHAR(10),TRUE,FILTER('SUMMARY DATA'!G:G,'SUMMARY DATA'!$D:$D=$C802,'SUMMARY DATA'!$B:$B=""RWS"")),"""")
  )
)"),"")</f>
      </c>
      <c r="H802" s="18" t="str">
        <f>IFERROR(__xludf.DUMMYFUNCTION("IFERROR(
  TEXTJOIN(CHAR(10),TRUE,FILTER('SUMMARY DATA'!H:H,'SUMMARY DATA'!$A:$A=$A802,'SUMMARY DATA'!$C:$C=$B802,'SUMMARY DATA'!$B:$B=""RWS"",'SUMMARY DATA'!$H:$H=$D802)),
  IF(
    OR(
      ISNUMBER(SEARCH(""CDM CASH DEPOSIT"",$C802)),
      ISNUMBER(S"&amp;"EARCH(""CASH DEPOSIT"",$C802))
    ),
    """",
    IFERROR(TEXTJOIN(CHAR(10),TRUE,FILTER('SUMMARY DATA'!H:H,'SUMMARY DATA'!$D:$D=$C802,'SUMMARY DATA'!$B:$B=""RWS"",'SUMMARY DATA'!$H:$H=$D802)),"""")
  )
)"),"")</f>
      </c>
      <c r="I802" s="18" t="str">
        <f>IFERROR(__xludf.DUMMYFUNCTION("IF(H802="""","""",
SUM(ARRAYFORMULA(VALUE(SPLIT(H802,CHAR(10)))))
)"),"")</f>
      </c>
      <c r="J802" s="17" t="str">
        <f>IFERROR(__xludf.DUMMYFUNCTION("IFERROR(
  TEXTJOIN(CHAR(10),TRUE,FILTER('SUMMARY DATA'!I:I,'SUMMARY DATA'!$A:$A=$A802,'SUMMARY DATA'!$C:$C=$B802,'SUMMARY DATA'!$B:$B=""RWS"")),
  IF(
    OR(
      ISNUMBER(SEARCH(""CDM CASH DEPOSIT"",$C802)),
      ISNUMBER(SEARCH(""CASH DEPOSIT"",$C80"&amp;"2)),
      COUNTIFS('SUMMARY DATA'!$D:$D,$C802,'SUMMARY DATA'!$B:$B,""RWS"")&lt;&gt;1
    ),
    """",
    IFERROR(TEXTJOIN(CHAR(10),TRUE,FILTER('SUMMARY DATA'!I:I,'SUMMARY DATA'!$D:$D=$C802,'SUMMARY DATA'!$B:$B=""RWS"")),"""")
  )
)"),"")</f>
      </c>
      <c r="K802" s="2"/>
      <c r="L802" s="2"/>
      <c r="M802" s="2"/>
      <c r="N802" s="2"/>
      <c r="O802" s="2"/>
      <c r="P802" s="2"/>
      <c r="Q802" s="2"/>
      <c r="R802" s="2"/>
      <c r="S802" s="2"/>
      <c r="T802" s="2"/>
      <c r="U802" s="2"/>
      <c r="V802" s="2"/>
      <c r="W802" s="2"/>
      <c r="X802" s="2"/>
      <c r="Y802" s="2"/>
      <c r="Z802" s="2"/>
      <c r="AA802" s="2"/>
      <c r="AB802" s="2"/>
    </row>
    <row r="803" spans="1:28" customHeight="true">
      <c r="A803" s="2" t="s">
        <v>1286</v>
      </c>
      <c r="B803" s="15">
        <v>46061</v>
      </c>
      <c r="C803" s="2" t="s">
        <v>1287</v>
      </c>
      <c r="D803" s="3">
        <v>40</v>
      </c>
      <c r="E803" s="16" t="s">
        <v>2667</v>
      </c>
      <c r="F803" s="17" t="s">
        <v>2681</v>
      </c>
      <c r="G803" s="17" t="s">
        <v>2393</v>
      </c>
      <c r="H803" s="18">
        <v>40</v>
      </c>
      <c r="I803" s="18">
        <v>40</v>
      </c>
      <c r="J803" s="17" t="s">
        <v>2394</v>
      </c>
      <c r="K803" s="2" t="s">
        <v>2395</v>
      </c>
      <c r="L803" s="2"/>
      <c r="M803" s="2"/>
      <c r="N803" s="2"/>
      <c r="O803" s="2"/>
      <c r="P803" s="2"/>
      <c r="Q803" s="2"/>
      <c r="R803" s="2"/>
      <c r="S803" s="2"/>
      <c r="T803" s="2"/>
      <c r="U803" s="2"/>
      <c r="V803" s="2"/>
      <c r="W803" s="2"/>
      <c r="X803" s="2"/>
      <c r="Y803" s="2"/>
      <c r="Z803" s="2"/>
      <c r="AA803" s="2"/>
      <c r="AB803" s="2"/>
    </row>
    <row r="804" spans="1:28" customHeight="true">
      <c r="A804" s="2"/>
      <c r="B804" s="15">
        <v>46061</v>
      </c>
      <c r="C804" s="2" t="s">
        <v>997</v>
      </c>
      <c r="D804" s="3">
        <v>15</v>
      </c>
      <c r="E804" s="16" t="str">
        <f>IFERROR(__xludf.DUMMYFUNCTION("IFERROR(
  TEXTJOIN(CHAR(10),TRUE,FILTER('SUMMARY DATA'!E:E,'SUMMARY DATA'!$A:$A=$A804,'SUMMARY DATA'!$C:$C=$B804,'SUMMARY DATA'!$B:$B=""RWS"")),
  IF(
    OR(
      ISNUMBER(SEARCH(""CDM CASH DEPOSIT"",$C804)),
      ISNUMBER(SEARCH(""CASH DEPOSIT"",$C80"&amp;"4)),
      COUNTIFS('SUMMARY DATA'!$D:$D,$C804,'SUMMARY DATA'!$B:$B,""RWS"")&lt;&gt;1
    ),
    """",
    IFERROR(TEXTJOIN(CHAR(10),TRUE,FILTER('SUMMARY DATA'!E:E,'SUMMARY DATA'!$D:$D=$C804,'SUMMARY DATA'!$B:$B=""RWS"")),"""")
  )
)"),"")</f>
      </c>
      <c r="F804" s="17" t="str">
        <f>IFERROR(__xludf.DUMMYFUNCTION("IFERROR(
  TEXTJOIN(CHAR(10),TRUE,FILTER('SUMMARY DATA'!F:F,'SUMMARY DATA'!$A:$A=$A804,'SUMMARY DATA'!$C:$C=$B804,'SUMMARY DATA'!$B:$B=""RWS"")),
  IF(
    OR(
      ISNUMBER(SEARCH(""CDM CASH DEPOSIT"",$C804)),
      ISNUMBER(SEARCH(""CASH DEPOSIT"",$C80"&amp;"4)),
      COUNTIFS('SUMMARY DATA'!$D:$D,$C804,'SUMMARY DATA'!$B:$B,""RWS"")&lt;&gt;1
    ),
    """",
    IFERROR(TEXTJOIN(CHAR(10),TRUE,FILTER('SUMMARY DATA'!F:F,'SUMMARY DATA'!$D:$D=$C804,'SUMMARY DATA'!$B:$B=""RWS"")),"""")
  )
)"),"")</f>
      </c>
      <c r="G804" s="17" t="str">
        <f>IFERROR(__xludf.DUMMYFUNCTION("IFERROR(
  TEXTJOIN(CHAR(10),TRUE,FILTER('SUMMARY DATA'!G:G,'SUMMARY DATA'!$A:$A=$A804,'SUMMARY DATA'!$C:$C=$B804,'SUMMARY DATA'!$B:$B=""RWS"")),
  IF(
    OR(
      ISNUMBER(SEARCH(""CDM CASH DEPOSIT"",$C804)),
      ISNUMBER(SEARCH(""CASH DEPOSIT"",$C80"&amp;"4)),
      COUNTIFS('SUMMARY DATA'!$D:$D,$C804,'SUMMARY DATA'!$B:$B,""RWS"")&lt;&gt;1
    ),
    """",
    IFERROR(TEXTJOIN(CHAR(10),TRUE,FILTER('SUMMARY DATA'!G:G,'SUMMARY DATA'!$D:$D=$C804,'SUMMARY DATA'!$B:$B=""RWS"")),"""")
  )
)"),"")</f>
      </c>
      <c r="H804" s="18" t="str">
        <f>IFERROR(__xludf.DUMMYFUNCTION("IFERROR(
  TEXTJOIN(CHAR(10),TRUE,FILTER('SUMMARY DATA'!H:H,'SUMMARY DATA'!$A:$A=$A804,'SUMMARY DATA'!$C:$C=$B804,'SUMMARY DATA'!$B:$B=""RWS"",'SUMMARY DATA'!$H:$H=$D804)),
  IF(
    OR(
      ISNUMBER(SEARCH(""CDM CASH DEPOSIT"",$C804)),
      ISNUMBER(S"&amp;"EARCH(""CASH DEPOSIT"",$C804))
    ),
    """",
    IFERROR(TEXTJOIN(CHAR(10),TRUE,FILTER('SUMMARY DATA'!H:H,'SUMMARY DATA'!$D:$D=$C804,'SUMMARY DATA'!$B:$B=""RWS"",'SUMMARY DATA'!$H:$H=$D804)),"""")
  )
)"),"")</f>
      </c>
      <c r="I804" s="18" t="str">
        <f>IFERROR(__xludf.DUMMYFUNCTION("IF(H804="""","""",
SUM(ARRAYFORMULA(VALUE(SPLIT(H804,CHAR(10)))))
)"),"")</f>
      </c>
      <c r="J804" s="17" t="str">
        <f>IFERROR(__xludf.DUMMYFUNCTION("IFERROR(
  TEXTJOIN(CHAR(10),TRUE,FILTER('SUMMARY DATA'!I:I,'SUMMARY DATA'!$A:$A=$A804,'SUMMARY DATA'!$C:$C=$B804,'SUMMARY DATA'!$B:$B=""RWS"")),
  IF(
    OR(
      ISNUMBER(SEARCH(""CDM CASH DEPOSIT"",$C804)),
      ISNUMBER(SEARCH(""CASH DEPOSIT"",$C80"&amp;"4)),
      COUNTIFS('SUMMARY DATA'!$D:$D,$C804,'SUMMARY DATA'!$B:$B,""RWS"")&lt;&gt;1
    ),
    """",
    IFERROR(TEXTJOIN(CHAR(10),TRUE,FILTER('SUMMARY DATA'!I:I,'SUMMARY DATA'!$D:$D=$C804,'SUMMARY DATA'!$B:$B=""RWS"")),"""")
  )
)"),"")</f>
      </c>
      <c r="K804" s="2"/>
      <c r="L804" s="2"/>
      <c r="M804" s="2"/>
      <c r="N804" s="2"/>
      <c r="O804" s="2"/>
      <c r="P804" s="2"/>
      <c r="Q804" s="2"/>
      <c r="R804" s="2"/>
      <c r="S804" s="2"/>
      <c r="T804" s="2"/>
      <c r="U804" s="2"/>
      <c r="V804" s="2"/>
      <c r="W804" s="2"/>
      <c r="X804" s="2"/>
      <c r="Y804" s="2"/>
      <c r="Z804" s="2"/>
      <c r="AA804" s="2"/>
      <c r="AB804" s="2"/>
    </row>
    <row r="805" spans="1:28" customHeight="true">
      <c r="A805" s="2" t="s">
        <v>1288</v>
      </c>
      <c r="B805" s="15">
        <v>46062</v>
      </c>
      <c r="C805" s="2" t="s">
        <v>1289</v>
      </c>
      <c r="D805" s="3">
        <v>171</v>
      </c>
      <c r="E805" s="16" t="s">
        <v>2667</v>
      </c>
      <c r="F805" s="17" t="s">
        <v>2682</v>
      </c>
      <c r="G805" s="17" t="s">
        <v>2393</v>
      </c>
      <c r="H805" s="18">
        <v>171</v>
      </c>
      <c r="I805" s="18">
        <v>171</v>
      </c>
      <c r="J805" s="17" t="s">
        <v>2394</v>
      </c>
      <c r="K805" s="2" t="s">
        <v>2395</v>
      </c>
      <c r="L805" s="2"/>
      <c r="M805" s="2"/>
      <c r="N805" s="2"/>
      <c r="O805" s="2"/>
      <c r="P805" s="2"/>
      <c r="Q805" s="2"/>
      <c r="R805" s="2"/>
      <c r="S805" s="2"/>
      <c r="T805" s="2"/>
      <c r="U805" s="2"/>
      <c r="V805" s="2"/>
      <c r="W805" s="2"/>
      <c r="X805" s="2"/>
      <c r="Y805" s="2"/>
      <c r="Z805" s="2"/>
      <c r="AA805" s="2"/>
      <c r="AB805" s="2"/>
    </row>
    <row r="806" spans="1:28" customHeight="true">
      <c r="A806" s="2" t="s">
        <v>1232</v>
      </c>
      <c r="B806" s="15">
        <v>46062</v>
      </c>
      <c r="C806" s="2" t="s">
        <v>1233</v>
      </c>
      <c r="D806" s="3">
        <v>8</v>
      </c>
      <c r="E806" s="16" t="s">
        <v>2674</v>
      </c>
      <c r="F806" s="17" t="s">
        <v>2683</v>
      </c>
      <c r="G806" s="17" t="s">
        <v>2393</v>
      </c>
      <c r="H806" s="18">
        <v>8</v>
      </c>
      <c r="I806" s="18">
        <v>8</v>
      </c>
      <c r="J806" s="17" t="s">
        <v>2394</v>
      </c>
      <c r="K806" s="2" t="s">
        <v>2395</v>
      </c>
      <c r="L806" s="2"/>
      <c r="M806" s="2"/>
      <c r="N806" s="2"/>
      <c r="O806" s="2"/>
      <c r="P806" s="2"/>
      <c r="Q806" s="2"/>
      <c r="R806" s="2"/>
      <c r="S806" s="2"/>
      <c r="T806" s="2"/>
      <c r="U806" s="2"/>
      <c r="V806" s="2"/>
      <c r="W806" s="2"/>
      <c r="X806" s="2"/>
      <c r="Y806" s="2"/>
      <c r="Z806" s="2"/>
      <c r="AA806" s="2"/>
      <c r="AB806" s="2"/>
    </row>
    <row r="807" spans="1:28" customHeight="true">
      <c r="A807" s="2" t="s">
        <v>1290</v>
      </c>
      <c r="B807" s="15">
        <v>46062</v>
      </c>
      <c r="C807" s="2" t="s">
        <v>1291</v>
      </c>
      <c r="D807" s="3">
        <v>99</v>
      </c>
      <c r="E807" s="16" t="s">
        <v>2667</v>
      </c>
      <c r="F807" s="17" t="s">
        <v>2684</v>
      </c>
      <c r="G807" s="17" t="s">
        <v>2393</v>
      </c>
      <c r="H807" s="18">
        <v>99</v>
      </c>
      <c r="I807" s="18">
        <v>99</v>
      </c>
      <c r="J807" s="17" t="s">
        <v>2394</v>
      </c>
      <c r="K807" s="2" t="s">
        <v>2395</v>
      </c>
      <c r="L807" s="2"/>
      <c r="M807" s="2"/>
      <c r="N807" s="2"/>
      <c r="O807" s="2"/>
      <c r="P807" s="2"/>
      <c r="Q807" s="2"/>
      <c r="R807" s="2"/>
      <c r="S807" s="2"/>
      <c r="T807" s="2"/>
      <c r="U807" s="2"/>
      <c r="V807" s="2"/>
      <c r="W807" s="2"/>
      <c r="X807" s="2"/>
      <c r="Y807" s="2"/>
      <c r="Z807" s="2"/>
      <c r="AA807" s="2"/>
      <c r="AB807" s="2"/>
    </row>
    <row r="808" spans="1:28" customHeight="true">
      <c r="A808" s="2" t="s">
        <v>1292</v>
      </c>
      <c r="B808" s="15">
        <v>46062</v>
      </c>
      <c r="C808" s="2" t="s">
        <v>760</v>
      </c>
      <c r="D808" s="3">
        <v>118</v>
      </c>
      <c r="E808" s="16" t="s">
        <v>2674</v>
      </c>
      <c r="F808" s="17" t="s">
        <v>2685</v>
      </c>
      <c r="G808" s="17" t="s">
        <v>2393</v>
      </c>
      <c r="H808" s="18">
        <v>118</v>
      </c>
      <c r="I808" s="18">
        <v>118</v>
      </c>
      <c r="J808" s="17" t="s">
        <v>2394</v>
      </c>
      <c r="K808" s="2" t="s">
        <v>2395</v>
      </c>
      <c r="L808" s="2"/>
      <c r="M808" s="2"/>
      <c r="N808" s="2"/>
      <c r="O808" s="2"/>
      <c r="P808" s="2"/>
      <c r="Q808" s="2"/>
      <c r="R808" s="2"/>
      <c r="S808" s="2"/>
      <c r="T808" s="2"/>
      <c r="U808" s="2"/>
      <c r="V808" s="2"/>
      <c r="W808" s="2"/>
      <c r="X808" s="2"/>
      <c r="Y808" s="2"/>
      <c r="Z808" s="2"/>
      <c r="AA808" s="2"/>
      <c r="AB808" s="2"/>
    </row>
    <row r="809" spans="1:28" customHeight="true">
      <c r="A809" s="2" t="s">
        <v>1293</v>
      </c>
      <c r="B809" s="15">
        <v>46063</v>
      </c>
      <c r="C809" s="2" t="s">
        <v>1294</v>
      </c>
      <c r="D809" s="3">
        <v>43</v>
      </c>
      <c r="E809" s="16" t="s">
        <v>2658</v>
      </c>
      <c r="F809" s="17" t="s">
        <v>2686</v>
      </c>
      <c r="G809" s="17" t="s">
        <v>2393</v>
      </c>
      <c r="H809" s="18">
        <v>43</v>
      </c>
      <c r="I809" s="18">
        <v>43</v>
      </c>
      <c r="J809" s="17" t="s">
        <v>2394</v>
      </c>
      <c r="K809" s="2" t="s">
        <v>2395</v>
      </c>
      <c r="L809" s="2"/>
      <c r="M809" s="2"/>
      <c r="N809" s="2"/>
      <c r="O809" s="2"/>
      <c r="P809" s="2"/>
      <c r="Q809" s="2"/>
      <c r="R809" s="2"/>
      <c r="S809" s="2"/>
      <c r="T809" s="2"/>
      <c r="U809" s="2"/>
      <c r="V809" s="2"/>
      <c r="W809" s="2"/>
      <c r="X809" s="2"/>
      <c r="Y809" s="2"/>
      <c r="Z809" s="2"/>
      <c r="AA809" s="2"/>
      <c r="AB809" s="2"/>
    </row>
    <row r="810" spans="1:28" customHeight="true">
      <c r="A810" s="2" t="s">
        <v>1295</v>
      </c>
      <c r="B810" s="15">
        <v>46063</v>
      </c>
      <c r="C810" s="2" t="s">
        <v>1296</v>
      </c>
      <c r="D810" s="3">
        <v>25.98</v>
      </c>
      <c r="E810" s="16" t="s">
        <v>2654</v>
      </c>
      <c r="F810" s="17" t="s">
        <v>2687</v>
      </c>
      <c r="G810" s="17" t="s">
        <v>2393</v>
      </c>
      <c r="H810" s="18">
        <v>25.98</v>
      </c>
      <c r="I810" s="18">
        <v>25.98</v>
      </c>
      <c r="J810" s="17" t="s">
        <v>2394</v>
      </c>
      <c r="K810" s="2" t="s">
        <v>2395</v>
      </c>
      <c r="L810" s="2"/>
      <c r="M810" s="2"/>
      <c r="N810" s="2"/>
      <c r="O810" s="2"/>
      <c r="P810" s="2"/>
      <c r="Q810" s="2"/>
      <c r="R810" s="2"/>
      <c r="S810" s="2"/>
      <c r="T810" s="2"/>
      <c r="U810" s="2"/>
      <c r="V810" s="2"/>
      <c r="W810" s="2"/>
      <c r="X810" s="2"/>
      <c r="Y810" s="2"/>
      <c r="Z810" s="2"/>
      <c r="AA810" s="2"/>
      <c r="AB810" s="2"/>
    </row>
    <row r="811" spans="1:28" customHeight="true">
      <c r="A811" s="2"/>
      <c r="B811" s="15">
        <v>46063</v>
      </c>
      <c r="C811" s="2" t="s">
        <v>97</v>
      </c>
      <c r="D811" s="3">
        <v>672.85</v>
      </c>
      <c r="E811" s="16" t="str">
        <f>IFERROR(__xludf.DUMMYFUNCTION("IFERROR(
  TEXTJOIN(CHAR(10),TRUE,FILTER('SUMMARY DATA'!E:E,'SUMMARY DATA'!$A:$A=$A811,'SUMMARY DATA'!$C:$C=$B811,'SUMMARY DATA'!$B:$B=""RWS"")),
  IF(
    OR(
      ISNUMBER(SEARCH(""CDM CASH DEPOSIT"",$C811)),
      ISNUMBER(SEARCH(""CASH DEPOSIT"",$C81"&amp;"1)),
      COUNTIFS('SUMMARY DATA'!$D:$D,$C811,'SUMMARY DATA'!$B:$B,""RWS"")&lt;&gt;1
    ),
    """",
    IFERROR(TEXTJOIN(CHAR(10),TRUE,FILTER('SUMMARY DATA'!E:E,'SUMMARY DATA'!$D:$D=$C811,'SUMMARY DATA'!$B:$B=""RWS"")),"""")
  )
)"),"")</f>
      </c>
      <c r="F811" s="17" t="str">
        <f>IFERROR(__xludf.DUMMYFUNCTION("IFERROR(
  TEXTJOIN(CHAR(10),TRUE,FILTER('SUMMARY DATA'!F:F,'SUMMARY DATA'!$A:$A=$A811,'SUMMARY DATA'!$C:$C=$B811,'SUMMARY DATA'!$B:$B=""RWS"")),
  IF(
    OR(
      ISNUMBER(SEARCH(""CDM CASH DEPOSIT"",$C811)),
      ISNUMBER(SEARCH(""CASH DEPOSIT"",$C81"&amp;"1)),
      COUNTIFS('SUMMARY DATA'!$D:$D,$C811,'SUMMARY DATA'!$B:$B,""RWS"")&lt;&gt;1
    ),
    """",
    IFERROR(TEXTJOIN(CHAR(10),TRUE,FILTER('SUMMARY DATA'!F:F,'SUMMARY DATA'!$D:$D=$C811,'SUMMARY DATA'!$B:$B=""RWS"")),"""")
  )
)"),"")</f>
      </c>
      <c r="G811" s="17" t="str">
        <f>IFERROR(__xludf.DUMMYFUNCTION("IFERROR(
  TEXTJOIN(CHAR(10),TRUE,FILTER('SUMMARY DATA'!G:G,'SUMMARY DATA'!$A:$A=$A811,'SUMMARY DATA'!$C:$C=$B811,'SUMMARY DATA'!$B:$B=""RWS"")),
  IF(
    OR(
      ISNUMBER(SEARCH(""CDM CASH DEPOSIT"",$C811)),
      ISNUMBER(SEARCH(""CASH DEPOSIT"",$C81"&amp;"1)),
      COUNTIFS('SUMMARY DATA'!$D:$D,$C811,'SUMMARY DATA'!$B:$B,""RWS"")&lt;&gt;1
    ),
    """",
    IFERROR(TEXTJOIN(CHAR(10),TRUE,FILTER('SUMMARY DATA'!G:G,'SUMMARY DATA'!$D:$D=$C811,'SUMMARY DATA'!$B:$B=""RWS"")),"""")
  )
)"),"")</f>
      </c>
      <c r="H811" s="18" t="str">
        <f>IFERROR(__xludf.DUMMYFUNCTION("IFERROR(
  TEXTJOIN(CHAR(10),TRUE,FILTER('SUMMARY DATA'!H:H,'SUMMARY DATA'!$A:$A=$A811,'SUMMARY DATA'!$C:$C=$B811,'SUMMARY DATA'!$B:$B=""RWS"",'SUMMARY DATA'!$H:$H=$D811)),
  IF(
    OR(
      ISNUMBER(SEARCH(""CDM CASH DEPOSIT"",$C811)),
      ISNUMBER(S"&amp;"EARCH(""CASH DEPOSIT"",$C811))
    ),
    """",
    IFERROR(TEXTJOIN(CHAR(10),TRUE,FILTER('SUMMARY DATA'!H:H,'SUMMARY DATA'!$D:$D=$C811,'SUMMARY DATA'!$B:$B=""RWS"",'SUMMARY DATA'!$H:$H=$D811)),"""")
  )
)"),"")</f>
      </c>
      <c r="I811" s="18" t="str">
        <f>IFERROR(__xludf.DUMMYFUNCTION("IF(H811="""","""",
SUM(ARRAYFORMULA(VALUE(SPLIT(H811,CHAR(10)))))
)"),"")</f>
      </c>
      <c r="J811" s="17" t="str">
        <f>IFERROR(__xludf.DUMMYFUNCTION("IFERROR(
  TEXTJOIN(CHAR(10),TRUE,FILTER('SUMMARY DATA'!I:I,'SUMMARY DATA'!$A:$A=$A811,'SUMMARY DATA'!$C:$C=$B811,'SUMMARY DATA'!$B:$B=""RWS"")),
  IF(
    OR(
      ISNUMBER(SEARCH(""CDM CASH DEPOSIT"",$C811)),
      ISNUMBER(SEARCH(""CASH DEPOSIT"",$C81"&amp;"1)),
      COUNTIFS('SUMMARY DATA'!$D:$D,$C811,'SUMMARY DATA'!$B:$B,""RWS"")&lt;&gt;1
    ),
    """",
    IFERROR(TEXTJOIN(CHAR(10),TRUE,FILTER('SUMMARY DATA'!I:I,'SUMMARY DATA'!$D:$D=$C811,'SUMMARY DATA'!$B:$B=""RWS"")),"""")
  )
)"),"")</f>
      </c>
      <c r="K811" s="2"/>
      <c r="L811" s="2"/>
      <c r="M811" s="2"/>
      <c r="N811" s="2"/>
      <c r="O811" s="2"/>
      <c r="P811" s="2"/>
      <c r="Q811" s="2"/>
      <c r="R811" s="2"/>
      <c r="S811" s="2"/>
      <c r="T811" s="2"/>
      <c r="U811" s="2"/>
      <c r="V811" s="2"/>
      <c r="W811" s="2"/>
      <c r="X811" s="2"/>
      <c r="Y811" s="2"/>
      <c r="Z811" s="2"/>
      <c r="AA811" s="2"/>
      <c r="AB811" s="2"/>
    </row>
    <row r="812" spans="1:28" customHeight="true">
      <c r="A812" s="2" t="s">
        <v>1297</v>
      </c>
      <c r="B812" s="15">
        <v>46063</v>
      </c>
      <c r="C812" s="2" t="s">
        <v>1298</v>
      </c>
      <c r="D812" s="3">
        <v>76.34</v>
      </c>
      <c r="E812" s="16" t="s">
        <v>2667</v>
      </c>
      <c r="F812" s="17" t="s">
        <v>2688</v>
      </c>
      <c r="G812" s="17" t="s">
        <v>2393</v>
      </c>
      <c r="H812" s="18">
        <v>76.34</v>
      </c>
      <c r="I812" s="18">
        <v>76.34</v>
      </c>
      <c r="J812" s="17" t="s">
        <v>2394</v>
      </c>
      <c r="K812" s="2" t="s">
        <v>2395</v>
      </c>
      <c r="L812" s="2"/>
      <c r="M812" s="2"/>
      <c r="N812" s="2"/>
      <c r="O812" s="2"/>
      <c r="P812" s="2"/>
      <c r="Q812" s="2"/>
      <c r="R812" s="2"/>
      <c r="S812" s="2"/>
      <c r="T812" s="2"/>
      <c r="U812" s="2"/>
      <c r="V812" s="2"/>
      <c r="W812" s="2"/>
      <c r="X812" s="2"/>
      <c r="Y812" s="2"/>
      <c r="Z812" s="2"/>
      <c r="AA812" s="2"/>
      <c r="AB812" s="2"/>
    </row>
    <row r="813" spans="1:28" customHeight="true">
      <c r="A813" s="2"/>
      <c r="B813" s="15">
        <v>46063</v>
      </c>
      <c r="C813" s="2" t="s">
        <v>1299</v>
      </c>
      <c r="D813" s="3">
        <v>72.5</v>
      </c>
      <c r="E813" s="16" t="str">
        <f>IFERROR(__xludf.DUMMYFUNCTION("IFERROR(
  TEXTJOIN(CHAR(10),TRUE,FILTER('SUMMARY DATA'!E:E,'SUMMARY DATA'!$A:$A=$A813,'SUMMARY DATA'!$C:$C=$B813,'SUMMARY DATA'!$B:$B=""RWS"")),
  IF(
    OR(
      ISNUMBER(SEARCH(""CDM CASH DEPOSIT"",$C813)),
      ISNUMBER(SEARCH(""CASH DEPOSIT"",$C81"&amp;"3)),
      COUNTIFS('SUMMARY DATA'!$D:$D,$C813,'SUMMARY DATA'!$B:$B,""RWS"")&lt;&gt;1
    ),
    """",
    IFERROR(TEXTJOIN(CHAR(10),TRUE,FILTER('SUMMARY DATA'!E:E,'SUMMARY DATA'!$D:$D=$C813,'SUMMARY DATA'!$B:$B=""RWS"")),"""")
  )
)"),"")</f>
      </c>
      <c r="F813" s="17" t="str">
        <f>IFERROR(__xludf.DUMMYFUNCTION("IFERROR(
  TEXTJOIN(CHAR(10),TRUE,FILTER('SUMMARY DATA'!F:F,'SUMMARY DATA'!$A:$A=$A813,'SUMMARY DATA'!$C:$C=$B813,'SUMMARY DATA'!$B:$B=""RWS"")),
  IF(
    OR(
      ISNUMBER(SEARCH(""CDM CASH DEPOSIT"",$C813)),
      ISNUMBER(SEARCH(""CASH DEPOSIT"",$C81"&amp;"3)),
      COUNTIFS('SUMMARY DATA'!$D:$D,$C813,'SUMMARY DATA'!$B:$B,""RWS"")&lt;&gt;1
    ),
    """",
    IFERROR(TEXTJOIN(CHAR(10),TRUE,FILTER('SUMMARY DATA'!F:F,'SUMMARY DATA'!$D:$D=$C813,'SUMMARY DATA'!$B:$B=""RWS"")),"""")
  )
)"),"")</f>
      </c>
      <c r="G813" s="17" t="str">
        <f>IFERROR(__xludf.DUMMYFUNCTION("IFERROR(
  TEXTJOIN(CHAR(10),TRUE,FILTER('SUMMARY DATA'!G:G,'SUMMARY DATA'!$A:$A=$A813,'SUMMARY DATA'!$C:$C=$B813,'SUMMARY DATA'!$B:$B=""RWS"")),
  IF(
    OR(
      ISNUMBER(SEARCH(""CDM CASH DEPOSIT"",$C813)),
      ISNUMBER(SEARCH(""CASH DEPOSIT"",$C81"&amp;"3)),
      COUNTIFS('SUMMARY DATA'!$D:$D,$C813,'SUMMARY DATA'!$B:$B,""RWS"")&lt;&gt;1
    ),
    """",
    IFERROR(TEXTJOIN(CHAR(10),TRUE,FILTER('SUMMARY DATA'!G:G,'SUMMARY DATA'!$D:$D=$C813,'SUMMARY DATA'!$B:$B=""RWS"")),"""")
  )
)"),"")</f>
      </c>
      <c r="H813" s="18" t="str">
        <f>IFERROR(__xludf.DUMMYFUNCTION("IFERROR(
  TEXTJOIN(CHAR(10),TRUE,FILTER('SUMMARY DATA'!H:H,'SUMMARY DATA'!$A:$A=$A813,'SUMMARY DATA'!$C:$C=$B813,'SUMMARY DATA'!$B:$B=""RWS"",'SUMMARY DATA'!$H:$H=$D813)),
  IF(
    OR(
      ISNUMBER(SEARCH(""CDM CASH DEPOSIT"",$C813)),
      ISNUMBER(S"&amp;"EARCH(""CASH DEPOSIT"",$C813))
    ),
    """",
    IFERROR(TEXTJOIN(CHAR(10),TRUE,FILTER('SUMMARY DATA'!H:H,'SUMMARY DATA'!$D:$D=$C813,'SUMMARY DATA'!$B:$B=""RWS"",'SUMMARY DATA'!$H:$H=$D813)),"""")
  )
)"),"")</f>
      </c>
      <c r="I813" s="18" t="str">
        <f>IFERROR(__xludf.DUMMYFUNCTION("IF(H813="""","""",
SUM(ARRAYFORMULA(VALUE(SPLIT(H813,CHAR(10)))))
)"),"")</f>
      </c>
      <c r="J813" s="17" t="str">
        <f>IFERROR(__xludf.DUMMYFUNCTION("IFERROR(
  TEXTJOIN(CHAR(10),TRUE,FILTER('SUMMARY DATA'!I:I,'SUMMARY DATA'!$A:$A=$A813,'SUMMARY DATA'!$C:$C=$B813,'SUMMARY DATA'!$B:$B=""RWS"")),
  IF(
    OR(
      ISNUMBER(SEARCH(""CDM CASH DEPOSIT"",$C813)),
      ISNUMBER(SEARCH(""CASH DEPOSIT"",$C81"&amp;"3)),
      COUNTIFS('SUMMARY DATA'!$D:$D,$C813,'SUMMARY DATA'!$B:$B,""RWS"")&lt;&gt;1
    ),
    """",
    IFERROR(TEXTJOIN(CHAR(10),TRUE,FILTER('SUMMARY DATA'!I:I,'SUMMARY DATA'!$D:$D=$C813,'SUMMARY DATA'!$B:$B=""RWS"")),"""")
  )
)"),"")</f>
      </c>
      <c r="K813" s="2"/>
      <c r="L813" s="2"/>
      <c r="M813" s="2"/>
      <c r="N813" s="2"/>
      <c r="O813" s="2"/>
      <c r="P813" s="2"/>
      <c r="Q813" s="2"/>
      <c r="R813" s="2"/>
      <c r="S813" s="2"/>
      <c r="T813" s="2"/>
      <c r="U813" s="2"/>
      <c r="V813" s="2"/>
      <c r="W813" s="2"/>
      <c r="X813" s="2"/>
      <c r="Y813" s="2"/>
      <c r="Z813" s="2"/>
      <c r="AA813" s="2"/>
      <c r="AB813" s="2"/>
    </row>
    <row r="814" spans="1:28" customHeight="true">
      <c r="A814" s="2"/>
      <c r="B814" s="15">
        <v>46064</v>
      </c>
      <c r="C814" s="2" t="s">
        <v>1300</v>
      </c>
      <c r="D814" s="3">
        <v>119</v>
      </c>
      <c r="E814" s="16" t="str">
        <f>IFERROR(__xludf.DUMMYFUNCTION("IFERROR(
  TEXTJOIN(CHAR(10),TRUE,FILTER('SUMMARY DATA'!E:E,'SUMMARY DATA'!$A:$A=$A814,'SUMMARY DATA'!$C:$C=$B814,'SUMMARY DATA'!$B:$B=""RWS"")),
  IF(
    OR(
      ISNUMBER(SEARCH(""CDM CASH DEPOSIT"",$C814)),
      ISNUMBER(SEARCH(""CASH DEPOSIT"",$C81"&amp;"4)),
      COUNTIFS('SUMMARY DATA'!$D:$D,$C814,'SUMMARY DATA'!$B:$B,""RWS"")&lt;&gt;1
    ),
    """",
    IFERROR(TEXTJOIN(CHAR(10),TRUE,FILTER('SUMMARY DATA'!E:E,'SUMMARY DATA'!$D:$D=$C814,'SUMMARY DATA'!$B:$B=""RWS"")),"""")
  )
)"),"")</f>
      </c>
      <c r="F814" s="17" t="str">
        <f>IFERROR(__xludf.DUMMYFUNCTION("IFERROR(
  TEXTJOIN(CHAR(10),TRUE,FILTER('SUMMARY DATA'!F:F,'SUMMARY DATA'!$A:$A=$A814,'SUMMARY DATA'!$C:$C=$B814,'SUMMARY DATA'!$B:$B=""RWS"")),
  IF(
    OR(
      ISNUMBER(SEARCH(""CDM CASH DEPOSIT"",$C814)),
      ISNUMBER(SEARCH(""CASH DEPOSIT"",$C81"&amp;"4)),
      COUNTIFS('SUMMARY DATA'!$D:$D,$C814,'SUMMARY DATA'!$B:$B,""RWS"")&lt;&gt;1
    ),
    """",
    IFERROR(TEXTJOIN(CHAR(10),TRUE,FILTER('SUMMARY DATA'!F:F,'SUMMARY DATA'!$D:$D=$C814,'SUMMARY DATA'!$B:$B=""RWS"")),"""")
  )
)"),"")</f>
      </c>
      <c r="G814" s="17" t="str">
        <f>IFERROR(__xludf.DUMMYFUNCTION("IFERROR(
  TEXTJOIN(CHAR(10),TRUE,FILTER('SUMMARY DATA'!G:G,'SUMMARY DATA'!$A:$A=$A814,'SUMMARY DATA'!$C:$C=$B814,'SUMMARY DATA'!$B:$B=""RWS"")),
  IF(
    OR(
      ISNUMBER(SEARCH(""CDM CASH DEPOSIT"",$C814)),
      ISNUMBER(SEARCH(""CASH DEPOSIT"",$C81"&amp;"4)),
      COUNTIFS('SUMMARY DATA'!$D:$D,$C814,'SUMMARY DATA'!$B:$B,""RWS"")&lt;&gt;1
    ),
    """",
    IFERROR(TEXTJOIN(CHAR(10),TRUE,FILTER('SUMMARY DATA'!G:G,'SUMMARY DATA'!$D:$D=$C814,'SUMMARY DATA'!$B:$B=""RWS"")),"""")
  )
)"),"")</f>
      </c>
      <c r="H814" s="18" t="str">
        <f>IFERROR(__xludf.DUMMYFUNCTION("IFERROR(
  TEXTJOIN(CHAR(10),TRUE,FILTER('SUMMARY DATA'!H:H,'SUMMARY DATA'!$A:$A=$A814,'SUMMARY DATA'!$C:$C=$B814,'SUMMARY DATA'!$B:$B=""RWS"",'SUMMARY DATA'!$H:$H=$D814)),
  IF(
    OR(
      ISNUMBER(SEARCH(""CDM CASH DEPOSIT"",$C814)),
      ISNUMBER(S"&amp;"EARCH(""CASH DEPOSIT"",$C814))
    ),
    """",
    IFERROR(TEXTJOIN(CHAR(10),TRUE,FILTER('SUMMARY DATA'!H:H,'SUMMARY DATA'!$D:$D=$C814,'SUMMARY DATA'!$B:$B=""RWS"",'SUMMARY DATA'!$H:$H=$D814)),"""")
  )
)"),"")</f>
      </c>
      <c r="I814" s="18" t="str">
        <f>IFERROR(__xludf.DUMMYFUNCTION("IF(H814="""","""",
SUM(ARRAYFORMULA(VALUE(SPLIT(H814,CHAR(10)))))
)"),"")</f>
      </c>
      <c r="J814" s="17" t="str">
        <f>IFERROR(__xludf.DUMMYFUNCTION("IFERROR(
  TEXTJOIN(CHAR(10),TRUE,FILTER('SUMMARY DATA'!I:I,'SUMMARY DATA'!$A:$A=$A814,'SUMMARY DATA'!$C:$C=$B814,'SUMMARY DATA'!$B:$B=""RWS"")),
  IF(
    OR(
      ISNUMBER(SEARCH(""CDM CASH DEPOSIT"",$C814)),
      ISNUMBER(SEARCH(""CASH DEPOSIT"",$C81"&amp;"4)),
      COUNTIFS('SUMMARY DATA'!$D:$D,$C814,'SUMMARY DATA'!$B:$B,""RWS"")&lt;&gt;1
    ),
    """",
    IFERROR(TEXTJOIN(CHAR(10),TRUE,FILTER('SUMMARY DATA'!I:I,'SUMMARY DATA'!$D:$D=$C814,'SUMMARY DATA'!$B:$B=""RWS"")),"""")
  )
)"),"")</f>
      </c>
      <c r="K814" s="2"/>
      <c r="L814" s="2"/>
      <c r="M814" s="2"/>
      <c r="N814" s="2"/>
      <c r="O814" s="2"/>
      <c r="P814" s="2"/>
      <c r="Q814" s="2"/>
      <c r="R814" s="2"/>
      <c r="S814" s="2"/>
      <c r="T814" s="2"/>
      <c r="U814" s="2"/>
      <c r="V814" s="2"/>
      <c r="W814" s="2"/>
      <c r="X814" s="2"/>
      <c r="Y814" s="2"/>
      <c r="Z814" s="2"/>
      <c r="AA814" s="2"/>
      <c r="AB814" s="2"/>
    </row>
    <row r="815" spans="1:28" customHeight="true">
      <c r="A815" s="2" t="s">
        <v>1301</v>
      </c>
      <c r="B815" s="15">
        <v>46064</v>
      </c>
      <c r="C815" s="2" t="s">
        <v>1302</v>
      </c>
      <c r="D815" s="3">
        <v>10</v>
      </c>
      <c r="E815" s="16" t="str">
        <f>IFERROR(__xludf.DUMMYFUNCTION("IFERROR(
  TEXTJOIN(CHAR(10),TRUE,FILTER('SUMMARY DATA'!E:E,'SUMMARY DATA'!$A:$A=$A815,'SUMMARY DATA'!$C:$C=$B815,'SUMMARY DATA'!$B:$B=""RWS"")),
  IF(
    OR(
      ISNUMBER(SEARCH(""CDM CASH DEPOSIT"",$C815)),
      ISNUMBER(SEARCH(""CASH DEPOSIT"",$C81"&amp;"5)),
      COUNTIFS('SUMMARY DATA'!$D:$D,$C815,'SUMMARY DATA'!$B:$B,""RWS"")&lt;&gt;1
    ),
    """",
    IFERROR(TEXTJOIN(CHAR(10),TRUE,FILTER('SUMMARY DATA'!E:E,'SUMMARY DATA'!$D:$D=$C815,'SUMMARY DATA'!$B:$B=""RWS"")),"""")
  )
)"),"")</f>
      </c>
      <c r="F815" s="17" t="str">
        <f>IFERROR(__xludf.DUMMYFUNCTION("IFERROR(
  TEXTJOIN(CHAR(10),TRUE,FILTER('SUMMARY DATA'!F:F,'SUMMARY DATA'!$A:$A=$A815,'SUMMARY DATA'!$C:$C=$B815,'SUMMARY DATA'!$B:$B=""RWS"")),
  IF(
    OR(
      ISNUMBER(SEARCH(""CDM CASH DEPOSIT"",$C815)),
      ISNUMBER(SEARCH(""CASH DEPOSIT"",$C81"&amp;"5)),
      COUNTIFS('SUMMARY DATA'!$D:$D,$C815,'SUMMARY DATA'!$B:$B,""RWS"")&lt;&gt;1
    ),
    """",
    IFERROR(TEXTJOIN(CHAR(10),TRUE,FILTER('SUMMARY DATA'!F:F,'SUMMARY DATA'!$D:$D=$C815,'SUMMARY DATA'!$B:$B=""RWS"")),"""")
  )
)"),"")</f>
      </c>
      <c r="G815" s="17" t="str">
        <f>IFERROR(__xludf.DUMMYFUNCTION("IFERROR(
  TEXTJOIN(CHAR(10),TRUE,FILTER('SUMMARY DATA'!G:G,'SUMMARY DATA'!$A:$A=$A815,'SUMMARY DATA'!$C:$C=$B815,'SUMMARY DATA'!$B:$B=""RWS"")),
  IF(
    OR(
      ISNUMBER(SEARCH(""CDM CASH DEPOSIT"",$C815)),
      ISNUMBER(SEARCH(""CASH DEPOSIT"",$C81"&amp;"5)),
      COUNTIFS('SUMMARY DATA'!$D:$D,$C815,'SUMMARY DATA'!$B:$B,""RWS"")&lt;&gt;1
    ),
    """",
    IFERROR(TEXTJOIN(CHAR(10),TRUE,FILTER('SUMMARY DATA'!G:G,'SUMMARY DATA'!$D:$D=$C815,'SUMMARY DATA'!$B:$B=""RWS"")),"""")
  )
)"),"")</f>
      </c>
      <c r="H815" s="18" t="str">
        <f>IFERROR(__xludf.DUMMYFUNCTION("IFERROR(
  TEXTJOIN(CHAR(10),TRUE,FILTER('SUMMARY DATA'!H:H,'SUMMARY DATA'!$A:$A=$A815,'SUMMARY DATA'!$C:$C=$B815,'SUMMARY DATA'!$B:$B=""RWS"",'SUMMARY DATA'!$H:$H=$D815)),
  IF(
    OR(
      ISNUMBER(SEARCH(""CDM CASH DEPOSIT"",$C815)),
      ISNUMBER(S"&amp;"EARCH(""CASH DEPOSIT"",$C815))
    ),
    """",
    IFERROR(TEXTJOIN(CHAR(10),TRUE,FILTER('SUMMARY DATA'!H:H,'SUMMARY DATA'!$D:$D=$C815,'SUMMARY DATA'!$B:$B=""RWS"",'SUMMARY DATA'!$H:$H=$D815)),"""")
  )
)"),"")</f>
      </c>
      <c r="I815" s="18" t="str">
        <f>IFERROR(__xludf.DUMMYFUNCTION("IF(H815="""","""",
SUM(ARRAYFORMULA(VALUE(SPLIT(H815,CHAR(10)))))
)"),"")</f>
      </c>
      <c r="J815" s="17" t="str">
        <f>IFERROR(__xludf.DUMMYFUNCTION("IFERROR(
  TEXTJOIN(CHAR(10),TRUE,FILTER('SUMMARY DATA'!I:I,'SUMMARY DATA'!$A:$A=$A815,'SUMMARY DATA'!$C:$C=$B815,'SUMMARY DATA'!$B:$B=""RWS"")),
  IF(
    OR(
      ISNUMBER(SEARCH(""CDM CASH DEPOSIT"",$C815)),
      ISNUMBER(SEARCH(""CASH DEPOSIT"",$C81"&amp;"5)),
      COUNTIFS('SUMMARY DATA'!$D:$D,$C815,'SUMMARY DATA'!$B:$B,""RWS"")&lt;&gt;1
    ),
    """",
    IFERROR(TEXTJOIN(CHAR(10),TRUE,FILTER('SUMMARY DATA'!I:I,'SUMMARY DATA'!$D:$D=$C815,'SUMMARY DATA'!$B:$B=""RWS"")),"""")
  )
)"),"")</f>
      </c>
      <c r="K815" s="2"/>
      <c r="L815" s="2"/>
      <c r="M815" s="2"/>
      <c r="N815" s="2"/>
      <c r="O815" s="2"/>
      <c r="P815" s="2"/>
      <c r="Q815" s="2"/>
      <c r="R815" s="2"/>
      <c r="S815" s="2"/>
      <c r="T815" s="2"/>
      <c r="U815" s="2"/>
      <c r="V815" s="2"/>
      <c r="W815" s="2"/>
      <c r="X815" s="2"/>
      <c r="Y815" s="2"/>
      <c r="Z815" s="2"/>
      <c r="AA815" s="2"/>
      <c r="AB815" s="2"/>
    </row>
    <row r="816" spans="1:28" customHeight="true">
      <c r="A816" s="2" t="s">
        <v>1303</v>
      </c>
      <c r="B816" s="15">
        <v>46064</v>
      </c>
      <c r="C816" s="2" t="s">
        <v>1304</v>
      </c>
      <c r="D816" s="3">
        <v>10</v>
      </c>
      <c r="E816" s="16" t="str">
        <f>IFERROR(__xludf.DUMMYFUNCTION("IFERROR(
  TEXTJOIN(CHAR(10),TRUE,FILTER('SUMMARY DATA'!E:E,'SUMMARY DATA'!$A:$A=$A816,'SUMMARY DATA'!$C:$C=$B816,'SUMMARY DATA'!$B:$B=""RWS"")),
  IF(
    OR(
      ISNUMBER(SEARCH(""CDM CASH DEPOSIT"",$C816)),
      ISNUMBER(SEARCH(""CASH DEPOSIT"",$C81"&amp;"6)),
      COUNTIFS('SUMMARY DATA'!$D:$D,$C816,'SUMMARY DATA'!$B:$B,""RWS"")&lt;&gt;1
    ),
    """",
    IFERROR(TEXTJOIN(CHAR(10),TRUE,FILTER('SUMMARY DATA'!E:E,'SUMMARY DATA'!$D:$D=$C816,'SUMMARY DATA'!$B:$B=""RWS"")),"""")
  )
)"),"")</f>
      </c>
      <c r="F816" s="17" t="str">
        <f>IFERROR(__xludf.DUMMYFUNCTION("IFERROR(
  TEXTJOIN(CHAR(10),TRUE,FILTER('SUMMARY DATA'!F:F,'SUMMARY DATA'!$A:$A=$A816,'SUMMARY DATA'!$C:$C=$B816,'SUMMARY DATA'!$B:$B=""RWS"")),
  IF(
    OR(
      ISNUMBER(SEARCH(""CDM CASH DEPOSIT"",$C816)),
      ISNUMBER(SEARCH(""CASH DEPOSIT"",$C81"&amp;"6)),
      COUNTIFS('SUMMARY DATA'!$D:$D,$C816,'SUMMARY DATA'!$B:$B,""RWS"")&lt;&gt;1
    ),
    """",
    IFERROR(TEXTJOIN(CHAR(10),TRUE,FILTER('SUMMARY DATA'!F:F,'SUMMARY DATA'!$D:$D=$C816,'SUMMARY DATA'!$B:$B=""RWS"")),"""")
  )
)"),"")</f>
      </c>
      <c r="G816" s="17" t="str">
        <f>IFERROR(__xludf.DUMMYFUNCTION("IFERROR(
  TEXTJOIN(CHAR(10),TRUE,FILTER('SUMMARY DATA'!G:G,'SUMMARY DATA'!$A:$A=$A816,'SUMMARY DATA'!$C:$C=$B816,'SUMMARY DATA'!$B:$B=""RWS"")),
  IF(
    OR(
      ISNUMBER(SEARCH(""CDM CASH DEPOSIT"",$C816)),
      ISNUMBER(SEARCH(""CASH DEPOSIT"",$C81"&amp;"6)),
      COUNTIFS('SUMMARY DATA'!$D:$D,$C816,'SUMMARY DATA'!$B:$B,""RWS"")&lt;&gt;1
    ),
    """",
    IFERROR(TEXTJOIN(CHAR(10),TRUE,FILTER('SUMMARY DATA'!G:G,'SUMMARY DATA'!$D:$D=$C816,'SUMMARY DATA'!$B:$B=""RWS"")),"""")
  )
)"),"")</f>
      </c>
      <c r="H816" s="18" t="str">
        <f>IFERROR(__xludf.DUMMYFUNCTION("IFERROR(
  TEXTJOIN(CHAR(10),TRUE,FILTER('SUMMARY DATA'!H:H,'SUMMARY DATA'!$A:$A=$A816,'SUMMARY DATA'!$C:$C=$B816,'SUMMARY DATA'!$B:$B=""RWS"",'SUMMARY DATA'!$H:$H=$D816)),
  IF(
    OR(
      ISNUMBER(SEARCH(""CDM CASH DEPOSIT"",$C816)),
      ISNUMBER(S"&amp;"EARCH(""CASH DEPOSIT"",$C816))
    ),
    """",
    IFERROR(TEXTJOIN(CHAR(10),TRUE,FILTER('SUMMARY DATA'!H:H,'SUMMARY DATA'!$D:$D=$C816,'SUMMARY DATA'!$B:$B=""RWS"",'SUMMARY DATA'!$H:$H=$D816)),"""")
  )
)"),"")</f>
      </c>
      <c r="I816" s="18" t="str">
        <f>IFERROR(__xludf.DUMMYFUNCTION("IF(H816="""","""",
SUM(ARRAYFORMULA(VALUE(SPLIT(H816,CHAR(10)))))
)"),"")</f>
      </c>
      <c r="J816" s="17" t="str">
        <f>IFERROR(__xludf.DUMMYFUNCTION("IFERROR(
  TEXTJOIN(CHAR(10),TRUE,FILTER('SUMMARY DATA'!I:I,'SUMMARY DATA'!$A:$A=$A816,'SUMMARY DATA'!$C:$C=$B816,'SUMMARY DATA'!$B:$B=""RWS"")),
  IF(
    OR(
      ISNUMBER(SEARCH(""CDM CASH DEPOSIT"",$C816)),
      ISNUMBER(SEARCH(""CASH DEPOSIT"",$C81"&amp;"6)),
      COUNTIFS('SUMMARY DATA'!$D:$D,$C816,'SUMMARY DATA'!$B:$B,""RWS"")&lt;&gt;1
    ),
    """",
    IFERROR(TEXTJOIN(CHAR(10),TRUE,FILTER('SUMMARY DATA'!I:I,'SUMMARY DATA'!$D:$D=$C816,'SUMMARY DATA'!$B:$B=""RWS"")),"""")
  )
)"),"")</f>
      </c>
      <c r="K816" s="2"/>
      <c r="L816" s="2"/>
      <c r="M816" s="2"/>
      <c r="N816" s="2"/>
      <c r="O816" s="2"/>
      <c r="P816" s="2"/>
      <c r="Q816" s="2"/>
      <c r="R816" s="2"/>
      <c r="S816" s="2"/>
      <c r="T816" s="2"/>
      <c r="U816" s="2"/>
      <c r="V816" s="2"/>
      <c r="W816" s="2"/>
      <c r="X816" s="2"/>
      <c r="Y816" s="2"/>
      <c r="Z816" s="2"/>
      <c r="AA816" s="2"/>
      <c r="AB816" s="2"/>
    </row>
    <row r="817" spans="1:28" customHeight="true">
      <c r="A817" s="2" t="s">
        <v>1305</v>
      </c>
      <c r="B817" s="15">
        <v>46065</v>
      </c>
      <c r="C817" s="2" t="s">
        <v>1306</v>
      </c>
      <c r="D817" s="3">
        <v>19.9</v>
      </c>
      <c r="E817" s="16" t="str">
        <f>IFERROR(__xludf.DUMMYFUNCTION("IFERROR(
  TEXTJOIN(CHAR(10),TRUE,FILTER('SUMMARY DATA'!E:E,'SUMMARY DATA'!$A:$A=$A817,'SUMMARY DATA'!$C:$C=$B817,'SUMMARY DATA'!$B:$B=""RWS"")),
  IF(
    OR(
      ISNUMBER(SEARCH(""CDM CASH DEPOSIT"",$C817)),
      ISNUMBER(SEARCH(""CASH DEPOSIT"",$C81"&amp;"7)),
      COUNTIFS('SUMMARY DATA'!$D:$D,$C817,'SUMMARY DATA'!$B:$B,""RWS"")&lt;&gt;1
    ),
    """",
    IFERROR(TEXTJOIN(CHAR(10),TRUE,FILTER('SUMMARY DATA'!E:E,'SUMMARY DATA'!$D:$D=$C817,'SUMMARY DATA'!$B:$B=""RWS"")),"""")
  )
)"),"")</f>
      </c>
      <c r="F817" s="17" t="str">
        <f>IFERROR(__xludf.DUMMYFUNCTION("IFERROR(
  TEXTJOIN(CHAR(10),TRUE,FILTER('SUMMARY DATA'!F:F,'SUMMARY DATA'!$A:$A=$A817,'SUMMARY DATA'!$C:$C=$B817,'SUMMARY DATA'!$B:$B=""RWS"")),
  IF(
    OR(
      ISNUMBER(SEARCH(""CDM CASH DEPOSIT"",$C817)),
      ISNUMBER(SEARCH(""CASH DEPOSIT"",$C81"&amp;"7)),
      COUNTIFS('SUMMARY DATA'!$D:$D,$C817,'SUMMARY DATA'!$B:$B,""RWS"")&lt;&gt;1
    ),
    """",
    IFERROR(TEXTJOIN(CHAR(10),TRUE,FILTER('SUMMARY DATA'!F:F,'SUMMARY DATA'!$D:$D=$C817,'SUMMARY DATA'!$B:$B=""RWS"")),"""")
  )
)"),"")</f>
      </c>
      <c r="G817" s="17" t="str">
        <f>IFERROR(__xludf.DUMMYFUNCTION("IFERROR(
  TEXTJOIN(CHAR(10),TRUE,FILTER('SUMMARY DATA'!G:G,'SUMMARY DATA'!$A:$A=$A817,'SUMMARY DATA'!$C:$C=$B817,'SUMMARY DATA'!$B:$B=""RWS"")),
  IF(
    OR(
      ISNUMBER(SEARCH(""CDM CASH DEPOSIT"",$C817)),
      ISNUMBER(SEARCH(""CASH DEPOSIT"",$C81"&amp;"7)),
      COUNTIFS('SUMMARY DATA'!$D:$D,$C817,'SUMMARY DATA'!$B:$B,""RWS"")&lt;&gt;1
    ),
    """",
    IFERROR(TEXTJOIN(CHAR(10),TRUE,FILTER('SUMMARY DATA'!G:G,'SUMMARY DATA'!$D:$D=$C817,'SUMMARY DATA'!$B:$B=""RWS"")),"""")
  )
)"),"")</f>
      </c>
      <c r="H817" s="18" t="str">
        <f>IFERROR(__xludf.DUMMYFUNCTION("IFERROR(
  TEXTJOIN(CHAR(10),TRUE,FILTER('SUMMARY DATA'!H:H,'SUMMARY DATA'!$A:$A=$A817,'SUMMARY DATA'!$C:$C=$B817,'SUMMARY DATA'!$B:$B=""RWS"",'SUMMARY DATA'!$H:$H=$D817)),
  IF(
    OR(
      ISNUMBER(SEARCH(""CDM CASH DEPOSIT"",$C817)),
      ISNUMBER(S"&amp;"EARCH(""CASH DEPOSIT"",$C817))
    ),
    """",
    IFERROR(TEXTJOIN(CHAR(10),TRUE,FILTER('SUMMARY DATA'!H:H,'SUMMARY DATA'!$D:$D=$C817,'SUMMARY DATA'!$B:$B=""RWS"",'SUMMARY DATA'!$H:$H=$D817)),"""")
  )
)"),"")</f>
      </c>
      <c r="I817" s="18" t="str">
        <f>IFERROR(__xludf.DUMMYFUNCTION("IF(H817="""","""",
SUM(ARRAYFORMULA(VALUE(SPLIT(H817,CHAR(10)))))
)"),"")</f>
      </c>
      <c r="J817" s="17" t="str">
        <f>IFERROR(__xludf.DUMMYFUNCTION("IFERROR(
  TEXTJOIN(CHAR(10),TRUE,FILTER('SUMMARY DATA'!I:I,'SUMMARY DATA'!$A:$A=$A817,'SUMMARY DATA'!$C:$C=$B817,'SUMMARY DATA'!$B:$B=""RWS"")),
  IF(
    OR(
      ISNUMBER(SEARCH(""CDM CASH DEPOSIT"",$C817)),
      ISNUMBER(SEARCH(""CASH DEPOSIT"",$C81"&amp;"7)),
      COUNTIFS('SUMMARY DATA'!$D:$D,$C817,'SUMMARY DATA'!$B:$B,""RWS"")&lt;&gt;1
    ),
    """",
    IFERROR(TEXTJOIN(CHAR(10),TRUE,FILTER('SUMMARY DATA'!I:I,'SUMMARY DATA'!$D:$D=$C817,'SUMMARY DATA'!$B:$B=""RWS"")),"""")
  )
)"),"")</f>
      </c>
      <c r="K817" s="2"/>
      <c r="L817" s="2"/>
      <c r="M817" s="2"/>
      <c r="N817" s="2"/>
      <c r="O817" s="2"/>
      <c r="P817" s="2"/>
      <c r="Q817" s="2"/>
      <c r="R817" s="2"/>
      <c r="S817" s="2"/>
      <c r="T817" s="2"/>
      <c r="U817" s="2"/>
      <c r="V817" s="2"/>
      <c r="W817" s="2"/>
      <c r="X817" s="2"/>
      <c r="Y817" s="2"/>
      <c r="Z817" s="2"/>
      <c r="AA817" s="2"/>
      <c r="AB817" s="2"/>
    </row>
    <row r="818" spans="1:28" customHeight="true">
      <c r="A818" s="2" t="s">
        <v>1307</v>
      </c>
      <c r="B818" s="15">
        <v>46065</v>
      </c>
      <c r="C818" s="2" t="s">
        <v>1050</v>
      </c>
      <c r="D818" s="3">
        <v>83.88</v>
      </c>
      <c r="E818" s="16" t="str">
        <f>IFERROR(__xludf.DUMMYFUNCTION("IFERROR(
  TEXTJOIN(CHAR(10),TRUE,FILTER('SUMMARY DATA'!E:E,'SUMMARY DATA'!$A:$A=$A818,'SUMMARY DATA'!$C:$C=$B818,'SUMMARY DATA'!$B:$B=""RWS"")),
  IF(
    OR(
      ISNUMBER(SEARCH(""CDM CASH DEPOSIT"",$C818)),
      ISNUMBER(SEARCH(""CASH DEPOSIT"",$C81"&amp;"8)),
      COUNTIFS('SUMMARY DATA'!$D:$D,$C818,'SUMMARY DATA'!$B:$B,""RWS"")&lt;&gt;1
    ),
    """",
    IFERROR(TEXTJOIN(CHAR(10),TRUE,FILTER('SUMMARY DATA'!E:E,'SUMMARY DATA'!$D:$D=$C818,'SUMMARY DATA'!$B:$B=""RWS"")),"""")
  )
)"),"")</f>
      </c>
      <c r="F818" s="17" t="str">
        <f>IFERROR(__xludf.DUMMYFUNCTION("IFERROR(
  TEXTJOIN(CHAR(10),TRUE,FILTER('SUMMARY DATA'!F:F,'SUMMARY DATA'!$A:$A=$A818,'SUMMARY DATA'!$C:$C=$B818,'SUMMARY DATA'!$B:$B=""RWS"")),
  IF(
    OR(
      ISNUMBER(SEARCH(""CDM CASH DEPOSIT"",$C818)),
      ISNUMBER(SEARCH(""CASH DEPOSIT"",$C81"&amp;"8)),
      COUNTIFS('SUMMARY DATA'!$D:$D,$C818,'SUMMARY DATA'!$B:$B,""RWS"")&lt;&gt;1
    ),
    """",
    IFERROR(TEXTJOIN(CHAR(10),TRUE,FILTER('SUMMARY DATA'!F:F,'SUMMARY DATA'!$D:$D=$C818,'SUMMARY DATA'!$B:$B=""RWS"")),"""")
  )
)"),"")</f>
      </c>
      <c r="G818" s="17" t="str">
        <f>IFERROR(__xludf.DUMMYFUNCTION("IFERROR(
  TEXTJOIN(CHAR(10),TRUE,FILTER('SUMMARY DATA'!G:G,'SUMMARY DATA'!$A:$A=$A818,'SUMMARY DATA'!$C:$C=$B818,'SUMMARY DATA'!$B:$B=""RWS"")),
  IF(
    OR(
      ISNUMBER(SEARCH(""CDM CASH DEPOSIT"",$C818)),
      ISNUMBER(SEARCH(""CASH DEPOSIT"",$C81"&amp;"8)),
      COUNTIFS('SUMMARY DATA'!$D:$D,$C818,'SUMMARY DATA'!$B:$B,""RWS"")&lt;&gt;1
    ),
    """",
    IFERROR(TEXTJOIN(CHAR(10),TRUE,FILTER('SUMMARY DATA'!G:G,'SUMMARY DATA'!$D:$D=$C818,'SUMMARY DATA'!$B:$B=""RWS"")),"""")
  )
)"),"")</f>
      </c>
      <c r="H818" s="18" t="str">
        <f>IFERROR(__xludf.DUMMYFUNCTION("IFERROR(
  TEXTJOIN(CHAR(10),TRUE,FILTER('SUMMARY DATA'!H:H,'SUMMARY DATA'!$A:$A=$A818,'SUMMARY DATA'!$C:$C=$B818,'SUMMARY DATA'!$B:$B=""RWS"",'SUMMARY DATA'!$H:$H=$D818)),
  IF(
    OR(
      ISNUMBER(SEARCH(""CDM CASH DEPOSIT"",$C818)),
      ISNUMBER(S"&amp;"EARCH(""CASH DEPOSIT"",$C818))
    ),
    """",
    IFERROR(TEXTJOIN(CHAR(10),TRUE,FILTER('SUMMARY DATA'!H:H,'SUMMARY DATA'!$D:$D=$C818,'SUMMARY DATA'!$B:$B=""RWS"",'SUMMARY DATA'!$H:$H=$D818)),"""")
  )
)"),"")</f>
      </c>
      <c r="I818" s="18" t="str">
        <f>IFERROR(__xludf.DUMMYFUNCTION("IF(H818="""","""",
SUM(ARRAYFORMULA(VALUE(SPLIT(H818,CHAR(10)))))
)"),"")</f>
      </c>
      <c r="J818" s="17" t="str">
        <f>IFERROR(__xludf.DUMMYFUNCTION("IFERROR(
  TEXTJOIN(CHAR(10),TRUE,FILTER('SUMMARY DATA'!I:I,'SUMMARY DATA'!$A:$A=$A818,'SUMMARY DATA'!$C:$C=$B818,'SUMMARY DATA'!$B:$B=""RWS"")),
  IF(
    OR(
      ISNUMBER(SEARCH(""CDM CASH DEPOSIT"",$C818)),
      ISNUMBER(SEARCH(""CASH DEPOSIT"",$C81"&amp;"8)),
      COUNTIFS('SUMMARY DATA'!$D:$D,$C818,'SUMMARY DATA'!$B:$B,""RWS"")&lt;&gt;1
    ),
    """",
    IFERROR(TEXTJOIN(CHAR(10),TRUE,FILTER('SUMMARY DATA'!I:I,'SUMMARY DATA'!$D:$D=$C818,'SUMMARY DATA'!$B:$B=""RWS"")),"""")
  )
)"),"")</f>
      </c>
      <c r="K818" s="2"/>
      <c r="L818" s="2"/>
      <c r="M818" s="2"/>
      <c r="N818" s="2"/>
      <c r="O818" s="2"/>
      <c r="P818" s="2"/>
      <c r="Q818" s="2"/>
      <c r="R818" s="2"/>
      <c r="S818" s="2"/>
      <c r="T818" s="2"/>
      <c r="U818" s="2"/>
      <c r="V818" s="2"/>
      <c r="W818" s="2"/>
      <c r="X818" s="2"/>
      <c r="Y818" s="2"/>
      <c r="Z818" s="2"/>
      <c r="AA818" s="2"/>
      <c r="AB818" s="2"/>
    </row>
    <row r="819" spans="1:28" customHeight="true">
      <c r="A819" s="2" t="s">
        <v>1308</v>
      </c>
      <c r="B819" s="15">
        <v>46065</v>
      </c>
      <c r="C819" s="2" t="s">
        <v>1309</v>
      </c>
      <c r="D819" s="3">
        <v>2062</v>
      </c>
      <c r="E819" s="16" t="s">
        <v>2540</v>
      </c>
      <c r="F819" s="17" t="s">
        <v>2689</v>
      </c>
      <c r="G819" s="17" t="s">
        <v>2393</v>
      </c>
      <c r="H819" s="18">
        <v>2062</v>
      </c>
      <c r="I819" s="18">
        <v>2062</v>
      </c>
      <c r="J819" s="17" t="s">
        <v>2394</v>
      </c>
      <c r="K819" s="2" t="s">
        <v>2395</v>
      </c>
      <c r="L819" s="2"/>
      <c r="M819" s="2"/>
      <c r="N819" s="2"/>
      <c r="O819" s="2"/>
      <c r="P819" s="2"/>
      <c r="Q819" s="2"/>
      <c r="R819" s="2"/>
      <c r="S819" s="2"/>
      <c r="T819" s="2"/>
      <c r="U819" s="2"/>
      <c r="V819" s="2"/>
      <c r="W819" s="2"/>
      <c r="X819" s="2"/>
      <c r="Y819" s="2"/>
      <c r="Z819" s="2"/>
      <c r="AA819" s="2"/>
      <c r="AB819" s="2"/>
    </row>
    <row r="820" spans="1:28" customHeight="true">
      <c r="A820" s="2" t="s">
        <v>1310</v>
      </c>
      <c r="B820" s="15">
        <v>46066</v>
      </c>
      <c r="C820" s="2" t="s">
        <v>1311</v>
      </c>
      <c r="D820" s="3">
        <v>154.42</v>
      </c>
      <c r="E820" s="16" t="str">
        <f>IFERROR(__xludf.DUMMYFUNCTION("IFERROR(
  TEXTJOIN(CHAR(10),TRUE,FILTER('SUMMARY DATA'!E:E,'SUMMARY DATA'!$A:$A=$A820,'SUMMARY DATA'!$C:$C=$B820,'SUMMARY DATA'!$B:$B=""RWS"")),
  IF(
    OR(
      ISNUMBER(SEARCH(""CDM CASH DEPOSIT"",$C820)),
      ISNUMBER(SEARCH(""CASH DEPOSIT"",$C82"&amp;"0)),
      COUNTIFS('SUMMARY DATA'!$D:$D,$C820,'SUMMARY DATA'!$B:$B,""RWS"")&lt;&gt;1
    ),
    """",
    IFERROR(TEXTJOIN(CHAR(10),TRUE,FILTER('SUMMARY DATA'!E:E,'SUMMARY DATA'!$D:$D=$C820,'SUMMARY DATA'!$B:$B=""RWS"")),"""")
  )
)"),"")</f>
      </c>
      <c r="F820" s="17" t="str">
        <f>IFERROR(__xludf.DUMMYFUNCTION("IFERROR(
  TEXTJOIN(CHAR(10),TRUE,FILTER('SUMMARY DATA'!F:F,'SUMMARY DATA'!$A:$A=$A820,'SUMMARY DATA'!$C:$C=$B820,'SUMMARY DATA'!$B:$B=""RWS"")),
  IF(
    OR(
      ISNUMBER(SEARCH(""CDM CASH DEPOSIT"",$C820)),
      ISNUMBER(SEARCH(""CASH DEPOSIT"",$C82"&amp;"0)),
      COUNTIFS('SUMMARY DATA'!$D:$D,$C820,'SUMMARY DATA'!$B:$B,""RWS"")&lt;&gt;1
    ),
    """",
    IFERROR(TEXTJOIN(CHAR(10),TRUE,FILTER('SUMMARY DATA'!F:F,'SUMMARY DATA'!$D:$D=$C820,'SUMMARY DATA'!$B:$B=""RWS"")),"""")
  )
)"),"")</f>
      </c>
      <c r="G820" s="17" t="str">
        <f>IFERROR(__xludf.DUMMYFUNCTION("IFERROR(
  TEXTJOIN(CHAR(10),TRUE,FILTER('SUMMARY DATA'!G:G,'SUMMARY DATA'!$A:$A=$A820,'SUMMARY DATA'!$C:$C=$B820,'SUMMARY DATA'!$B:$B=""RWS"")),
  IF(
    OR(
      ISNUMBER(SEARCH(""CDM CASH DEPOSIT"",$C820)),
      ISNUMBER(SEARCH(""CASH DEPOSIT"",$C82"&amp;"0)),
      COUNTIFS('SUMMARY DATA'!$D:$D,$C820,'SUMMARY DATA'!$B:$B,""RWS"")&lt;&gt;1
    ),
    """",
    IFERROR(TEXTJOIN(CHAR(10),TRUE,FILTER('SUMMARY DATA'!G:G,'SUMMARY DATA'!$D:$D=$C820,'SUMMARY DATA'!$B:$B=""RWS"")),"""")
  )
)"),"")</f>
      </c>
      <c r="H820" s="18" t="str">
        <f>IFERROR(__xludf.DUMMYFUNCTION("IFERROR(
  TEXTJOIN(CHAR(10),TRUE,FILTER('SUMMARY DATA'!H:H,'SUMMARY DATA'!$A:$A=$A820,'SUMMARY DATA'!$C:$C=$B820,'SUMMARY DATA'!$B:$B=""RWS"",'SUMMARY DATA'!$H:$H=$D820)),
  IF(
    OR(
      ISNUMBER(SEARCH(""CDM CASH DEPOSIT"",$C820)),
      ISNUMBER(S"&amp;"EARCH(""CASH DEPOSIT"",$C820))
    ),
    """",
    IFERROR(TEXTJOIN(CHAR(10),TRUE,FILTER('SUMMARY DATA'!H:H,'SUMMARY DATA'!$D:$D=$C820,'SUMMARY DATA'!$B:$B=""RWS"",'SUMMARY DATA'!$H:$H=$D820)),"""")
  )
)"),"")</f>
      </c>
      <c r="I820" s="18" t="str">
        <f>IFERROR(__xludf.DUMMYFUNCTION("IF(H820="""","""",
SUM(ARRAYFORMULA(VALUE(SPLIT(H820,CHAR(10)))))
)"),"")</f>
      </c>
      <c r="J820" s="17" t="str">
        <f>IFERROR(__xludf.DUMMYFUNCTION("IFERROR(
  TEXTJOIN(CHAR(10),TRUE,FILTER('SUMMARY DATA'!I:I,'SUMMARY DATA'!$A:$A=$A820,'SUMMARY DATA'!$C:$C=$B820,'SUMMARY DATA'!$B:$B=""RWS"")),
  IF(
    OR(
      ISNUMBER(SEARCH(""CDM CASH DEPOSIT"",$C820)),
      ISNUMBER(SEARCH(""CASH DEPOSIT"",$C82"&amp;"0)),
      COUNTIFS('SUMMARY DATA'!$D:$D,$C820,'SUMMARY DATA'!$B:$B,""RWS"")&lt;&gt;1
    ),
    """",
    IFERROR(TEXTJOIN(CHAR(10),TRUE,FILTER('SUMMARY DATA'!I:I,'SUMMARY DATA'!$D:$D=$C820,'SUMMARY DATA'!$B:$B=""RWS"")),"""")
  )
)"),"")</f>
      </c>
      <c r="K820" s="2"/>
      <c r="L820" s="2"/>
      <c r="M820" s="2"/>
      <c r="N820" s="2"/>
      <c r="O820" s="2"/>
      <c r="P820" s="2"/>
      <c r="Q820" s="2"/>
      <c r="R820" s="2"/>
      <c r="S820" s="2"/>
      <c r="T820" s="2"/>
      <c r="U820" s="2"/>
      <c r="V820" s="2"/>
      <c r="W820" s="2"/>
      <c r="X820" s="2"/>
      <c r="Y820" s="2"/>
      <c r="Z820" s="2"/>
      <c r="AA820" s="2"/>
      <c r="AB820" s="2"/>
    </row>
    <row r="821" spans="1:28" customHeight="true">
      <c r="A821" s="2" t="s">
        <v>599</v>
      </c>
      <c r="B821" s="15">
        <v>46066</v>
      </c>
      <c r="C821" s="2" t="s">
        <v>600</v>
      </c>
      <c r="D821" s="3">
        <v>10</v>
      </c>
      <c r="E821" s="16" t="s">
        <v>2667</v>
      </c>
      <c r="F821" s="17" t="s">
        <v>2690</v>
      </c>
      <c r="G821" s="17" t="s">
        <v>2393</v>
      </c>
      <c r="H821" s="18">
        <v>10</v>
      </c>
      <c r="I821" s="18">
        <v>10</v>
      </c>
      <c r="J821" s="17" t="s">
        <v>2394</v>
      </c>
      <c r="K821" s="2" t="s">
        <v>2395</v>
      </c>
      <c r="L821" s="2"/>
      <c r="M821" s="2"/>
      <c r="N821" s="2"/>
      <c r="O821" s="2"/>
      <c r="P821" s="2"/>
      <c r="Q821" s="2"/>
      <c r="R821" s="2"/>
      <c r="S821" s="2"/>
      <c r="T821" s="2"/>
      <c r="U821" s="2"/>
      <c r="V821" s="2"/>
      <c r="W821" s="2"/>
      <c r="X821" s="2"/>
      <c r="Y821" s="2"/>
      <c r="Z821" s="2"/>
      <c r="AA821" s="2"/>
      <c r="AB821" s="2"/>
    </row>
    <row r="822" spans="1:28" customHeight="true">
      <c r="A822" s="2" t="s">
        <v>1312</v>
      </c>
      <c r="B822" s="15">
        <v>46066</v>
      </c>
      <c r="C822" s="2" t="s">
        <v>1313</v>
      </c>
      <c r="D822" s="3">
        <v>30</v>
      </c>
      <c r="E822" s="16" t="s">
        <v>2691</v>
      </c>
      <c r="F822" s="17" t="s">
        <v>2692</v>
      </c>
      <c r="G822" s="17" t="s">
        <v>2393</v>
      </c>
      <c r="H822" s="18">
        <v>30</v>
      </c>
      <c r="I822" s="18">
        <v>30</v>
      </c>
      <c r="J822" s="17" t="s">
        <v>2394</v>
      </c>
      <c r="K822" s="2" t="s">
        <v>2395</v>
      </c>
      <c r="L822" s="2"/>
      <c r="M822" s="2"/>
      <c r="N822" s="2"/>
      <c r="O822" s="2"/>
      <c r="P822" s="2"/>
      <c r="Q822" s="2"/>
      <c r="R822" s="2"/>
      <c r="S822" s="2"/>
      <c r="T822" s="2"/>
      <c r="U822" s="2"/>
      <c r="V822" s="2"/>
      <c r="W822" s="2"/>
      <c r="X822" s="2"/>
      <c r="Y822" s="2"/>
      <c r="Z822" s="2"/>
      <c r="AA822" s="2"/>
      <c r="AB822" s="2"/>
    </row>
    <row r="823" spans="1:28" customHeight="true">
      <c r="A823" s="2" t="s">
        <v>1314</v>
      </c>
      <c r="B823" s="15">
        <v>46066</v>
      </c>
      <c r="C823" s="2" t="s">
        <v>1315</v>
      </c>
      <c r="D823" s="3">
        <v>26.99</v>
      </c>
      <c r="E823" s="16" t="s">
        <v>2677</v>
      </c>
      <c r="F823" s="17" t="s">
        <v>2693</v>
      </c>
      <c r="G823" s="17" t="s">
        <v>2393</v>
      </c>
      <c r="H823" s="18">
        <v>26.99</v>
      </c>
      <c r="I823" s="18">
        <v>26.99</v>
      </c>
      <c r="J823" s="17" t="s">
        <v>2394</v>
      </c>
      <c r="K823" s="2" t="s">
        <v>2395</v>
      </c>
      <c r="L823" s="2"/>
      <c r="M823" s="2"/>
      <c r="N823" s="2"/>
      <c r="O823" s="2"/>
      <c r="P823" s="2"/>
      <c r="Q823" s="2"/>
      <c r="R823" s="2"/>
      <c r="S823" s="2"/>
      <c r="T823" s="2"/>
      <c r="U823" s="2"/>
      <c r="V823" s="2"/>
      <c r="W823" s="2"/>
      <c r="X823" s="2"/>
      <c r="Y823" s="2"/>
      <c r="Z823" s="2"/>
      <c r="AA823" s="2"/>
      <c r="AB823" s="2"/>
    </row>
    <row r="824" spans="1:28" customHeight="true">
      <c r="A824" s="2" t="s">
        <v>1316</v>
      </c>
      <c r="B824" s="15">
        <v>46066</v>
      </c>
      <c r="C824" s="2" t="s">
        <v>1317</v>
      </c>
      <c r="D824" s="3">
        <v>10</v>
      </c>
      <c r="E824" s="16" t="str">
        <f>IFERROR(__xludf.DUMMYFUNCTION("IFERROR(
  TEXTJOIN(CHAR(10),TRUE,FILTER('SUMMARY DATA'!E:E,'SUMMARY DATA'!$A:$A=$A824,'SUMMARY DATA'!$C:$C=$B824,'SUMMARY DATA'!$B:$B=""RWS"")),
  IF(
    OR(
      ISNUMBER(SEARCH(""CDM CASH DEPOSIT"",$C824)),
      ISNUMBER(SEARCH(""CASH DEPOSIT"",$C82"&amp;"4)),
      COUNTIFS('SUMMARY DATA'!$D:$D,$C824,'SUMMARY DATA'!$B:$B,""RWS"")&lt;&gt;1
    ),
    """",
    IFERROR(TEXTJOIN(CHAR(10),TRUE,FILTER('SUMMARY DATA'!E:E,'SUMMARY DATA'!$D:$D=$C824,'SUMMARY DATA'!$B:$B=""RWS"")),"""")
  )
)"),"")</f>
      </c>
      <c r="F824" s="17" t="str">
        <f>IFERROR(__xludf.DUMMYFUNCTION("IFERROR(
  TEXTJOIN(CHAR(10),TRUE,FILTER('SUMMARY DATA'!F:F,'SUMMARY DATA'!$A:$A=$A824,'SUMMARY DATA'!$C:$C=$B824,'SUMMARY DATA'!$B:$B=""RWS"")),
  IF(
    OR(
      ISNUMBER(SEARCH(""CDM CASH DEPOSIT"",$C824)),
      ISNUMBER(SEARCH(""CASH DEPOSIT"",$C82"&amp;"4)),
      COUNTIFS('SUMMARY DATA'!$D:$D,$C824,'SUMMARY DATA'!$B:$B,""RWS"")&lt;&gt;1
    ),
    """",
    IFERROR(TEXTJOIN(CHAR(10),TRUE,FILTER('SUMMARY DATA'!F:F,'SUMMARY DATA'!$D:$D=$C824,'SUMMARY DATA'!$B:$B=""RWS"")),"""")
  )
)"),"")</f>
      </c>
      <c r="G824" s="17" t="str">
        <f>IFERROR(__xludf.DUMMYFUNCTION("IFERROR(
  TEXTJOIN(CHAR(10),TRUE,FILTER('SUMMARY DATA'!G:G,'SUMMARY DATA'!$A:$A=$A824,'SUMMARY DATA'!$C:$C=$B824,'SUMMARY DATA'!$B:$B=""RWS"")),
  IF(
    OR(
      ISNUMBER(SEARCH(""CDM CASH DEPOSIT"",$C824)),
      ISNUMBER(SEARCH(""CASH DEPOSIT"",$C82"&amp;"4)),
      COUNTIFS('SUMMARY DATA'!$D:$D,$C824,'SUMMARY DATA'!$B:$B,""RWS"")&lt;&gt;1
    ),
    """",
    IFERROR(TEXTJOIN(CHAR(10),TRUE,FILTER('SUMMARY DATA'!G:G,'SUMMARY DATA'!$D:$D=$C824,'SUMMARY DATA'!$B:$B=""RWS"")),"""")
  )
)"),"")</f>
      </c>
      <c r="H824" s="18" t="str">
        <f>IFERROR(__xludf.DUMMYFUNCTION("IFERROR(
  TEXTJOIN(CHAR(10),TRUE,FILTER('SUMMARY DATA'!H:H,'SUMMARY DATA'!$A:$A=$A824,'SUMMARY DATA'!$C:$C=$B824,'SUMMARY DATA'!$B:$B=""RWS"",'SUMMARY DATA'!$H:$H=$D824)),
  IF(
    OR(
      ISNUMBER(SEARCH(""CDM CASH DEPOSIT"",$C824)),
      ISNUMBER(S"&amp;"EARCH(""CASH DEPOSIT"",$C824))
    ),
    """",
    IFERROR(TEXTJOIN(CHAR(10),TRUE,FILTER('SUMMARY DATA'!H:H,'SUMMARY DATA'!$D:$D=$C824,'SUMMARY DATA'!$B:$B=""RWS"",'SUMMARY DATA'!$H:$H=$D824)),"""")
  )
)"),"")</f>
      </c>
      <c r="I824" s="18" t="str">
        <f>IFERROR(__xludf.DUMMYFUNCTION("IF(H824="""","""",
SUM(ARRAYFORMULA(VALUE(SPLIT(H824,CHAR(10)))))
)"),"")</f>
      </c>
      <c r="J824" s="17" t="str">
        <f>IFERROR(__xludf.DUMMYFUNCTION("IFERROR(
  TEXTJOIN(CHAR(10),TRUE,FILTER('SUMMARY DATA'!I:I,'SUMMARY DATA'!$A:$A=$A824,'SUMMARY DATA'!$C:$C=$B824,'SUMMARY DATA'!$B:$B=""RWS"")),
  IF(
    OR(
      ISNUMBER(SEARCH(""CDM CASH DEPOSIT"",$C824)),
      ISNUMBER(SEARCH(""CASH DEPOSIT"",$C82"&amp;"4)),
      COUNTIFS('SUMMARY DATA'!$D:$D,$C824,'SUMMARY DATA'!$B:$B,""RWS"")&lt;&gt;1
    ),
    """",
    IFERROR(TEXTJOIN(CHAR(10),TRUE,FILTER('SUMMARY DATA'!I:I,'SUMMARY DATA'!$D:$D=$C824,'SUMMARY DATA'!$B:$B=""RWS"")),"""")
  )
)"),"")</f>
      </c>
      <c r="K824" s="2"/>
      <c r="L824" s="2"/>
      <c r="M824" s="2"/>
      <c r="N824" s="2"/>
      <c r="O824" s="2"/>
      <c r="P824" s="2"/>
      <c r="Q824" s="2"/>
      <c r="R824" s="2"/>
      <c r="S824" s="2"/>
      <c r="T824" s="2"/>
      <c r="U824" s="2"/>
      <c r="V824" s="2"/>
      <c r="W824" s="2"/>
      <c r="X824" s="2"/>
      <c r="Y824" s="2"/>
      <c r="Z824" s="2"/>
      <c r="AA824" s="2"/>
      <c r="AB824" s="2"/>
    </row>
    <row r="825" spans="1:28" customHeight="true">
      <c r="A825" s="2" t="s">
        <v>1318</v>
      </c>
      <c r="B825" s="15">
        <v>46066</v>
      </c>
      <c r="C825" s="2" t="s">
        <v>1319</v>
      </c>
      <c r="D825" s="3">
        <v>89.98</v>
      </c>
      <c r="E825" s="16" t="s">
        <v>2677</v>
      </c>
      <c r="F825" s="17" t="s">
        <v>2694</v>
      </c>
      <c r="G825" s="17" t="s">
        <v>2393</v>
      </c>
      <c r="H825" s="18">
        <v>89.98</v>
      </c>
      <c r="I825" s="18">
        <v>89.98</v>
      </c>
      <c r="J825" s="17" t="s">
        <v>2394</v>
      </c>
      <c r="K825" s="2" t="s">
        <v>2395</v>
      </c>
      <c r="L825" s="2"/>
      <c r="M825" s="2"/>
      <c r="N825" s="2"/>
      <c r="O825" s="2"/>
      <c r="P825" s="2"/>
      <c r="Q825" s="2"/>
      <c r="R825" s="2"/>
      <c r="S825" s="2"/>
      <c r="T825" s="2"/>
      <c r="U825" s="2"/>
      <c r="V825" s="2"/>
      <c r="W825" s="2"/>
      <c r="X825" s="2"/>
      <c r="Y825" s="2"/>
      <c r="Z825" s="2"/>
      <c r="AA825" s="2"/>
      <c r="AB825" s="2"/>
    </row>
    <row r="826" spans="1:28" customHeight="true">
      <c r="A826" s="2" t="s">
        <v>1320</v>
      </c>
      <c r="B826" s="15">
        <v>46066</v>
      </c>
      <c r="C826" s="2" t="s">
        <v>97</v>
      </c>
      <c r="D826" s="3">
        <v>95.55</v>
      </c>
      <c r="E826" s="16" t="s">
        <v>2654</v>
      </c>
      <c r="F826" s="17" t="s">
        <v>2695</v>
      </c>
      <c r="G826" s="17" t="s">
        <v>2393</v>
      </c>
      <c r="H826" s="18">
        <v>95.55</v>
      </c>
      <c r="I826" s="18">
        <v>95.55</v>
      </c>
      <c r="J826" s="17" t="s">
        <v>2394</v>
      </c>
      <c r="K826" s="2" t="s">
        <v>2395</v>
      </c>
      <c r="L826" s="2"/>
      <c r="M826" s="2"/>
      <c r="N826" s="2"/>
      <c r="O826" s="2"/>
      <c r="P826" s="2"/>
      <c r="Q826" s="2"/>
      <c r="R826" s="2"/>
      <c r="S826" s="2"/>
      <c r="T826" s="2"/>
      <c r="U826" s="2"/>
      <c r="V826" s="2"/>
      <c r="W826" s="2"/>
      <c r="X826" s="2"/>
      <c r="Y826" s="2"/>
      <c r="Z826" s="2"/>
      <c r="AA826" s="2"/>
      <c r="AB826" s="2"/>
    </row>
    <row r="827" spans="1:28" customHeight="true">
      <c r="A827" s="2" t="s">
        <v>1321</v>
      </c>
      <c r="B827" s="15">
        <v>46066</v>
      </c>
      <c r="C827" s="2" t="s">
        <v>1322</v>
      </c>
      <c r="D827" s="3">
        <v>134.63</v>
      </c>
      <c r="E827" s="16" t="str">
        <f>IFERROR(__xludf.DUMMYFUNCTION("IFERROR(
  TEXTJOIN(CHAR(10),TRUE,FILTER('SUMMARY DATA'!E:E,'SUMMARY DATA'!$A:$A=$A827,'SUMMARY DATA'!$C:$C=$B827,'SUMMARY DATA'!$B:$B=""RWS"")),
  IF(
    OR(
      ISNUMBER(SEARCH(""CDM CASH DEPOSIT"",$C827)),
      ISNUMBER(SEARCH(""CASH DEPOSIT"",$C82"&amp;"7)),
      COUNTIFS('SUMMARY DATA'!$D:$D,$C827,'SUMMARY DATA'!$B:$B,""RWS"")&lt;&gt;1
    ),
    """",
    IFERROR(TEXTJOIN(CHAR(10),TRUE,FILTER('SUMMARY DATA'!E:E,'SUMMARY DATA'!$D:$D=$C827,'SUMMARY DATA'!$B:$B=""RWS"")),"""")
  )
)"),"")</f>
      </c>
      <c r="F827" s="17" t="str">
        <f>IFERROR(__xludf.DUMMYFUNCTION("IFERROR(
  TEXTJOIN(CHAR(10),TRUE,FILTER('SUMMARY DATA'!F:F,'SUMMARY DATA'!$A:$A=$A827,'SUMMARY DATA'!$C:$C=$B827,'SUMMARY DATA'!$B:$B=""RWS"")),
  IF(
    OR(
      ISNUMBER(SEARCH(""CDM CASH DEPOSIT"",$C827)),
      ISNUMBER(SEARCH(""CASH DEPOSIT"",$C82"&amp;"7)),
      COUNTIFS('SUMMARY DATA'!$D:$D,$C827,'SUMMARY DATA'!$B:$B,""RWS"")&lt;&gt;1
    ),
    """",
    IFERROR(TEXTJOIN(CHAR(10),TRUE,FILTER('SUMMARY DATA'!F:F,'SUMMARY DATA'!$D:$D=$C827,'SUMMARY DATA'!$B:$B=""RWS"")),"""")
  )
)"),"")</f>
      </c>
      <c r="G827" s="17" t="str">
        <f>IFERROR(__xludf.DUMMYFUNCTION("IFERROR(
  TEXTJOIN(CHAR(10),TRUE,FILTER('SUMMARY DATA'!G:G,'SUMMARY DATA'!$A:$A=$A827,'SUMMARY DATA'!$C:$C=$B827,'SUMMARY DATA'!$B:$B=""RWS"")),
  IF(
    OR(
      ISNUMBER(SEARCH(""CDM CASH DEPOSIT"",$C827)),
      ISNUMBER(SEARCH(""CASH DEPOSIT"",$C82"&amp;"7)),
      COUNTIFS('SUMMARY DATA'!$D:$D,$C827,'SUMMARY DATA'!$B:$B,""RWS"")&lt;&gt;1
    ),
    """",
    IFERROR(TEXTJOIN(CHAR(10),TRUE,FILTER('SUMMARY DATA'!G:G,'SUMMARY DATA'!$D:$D=$C827,'SUMMARY DATA'!$B:$B=""RWS"")),"""")
  )
)"),"")</f>
      </c>
      <c r="H827" s="18" t="str">
        <f>IFERROR(__xludf.DUMMYFUNCTION("IFERROR(
  TEXTJOIN(CHAR(10),TRUE,FILTER('SUMMARY DATA'!H:H,'SUMMARY DATA'!$A:$A=$A827,'SUMMARY DATA'!$C:$C=$B827,'SUMMARY DATA'!$B:$B=""RWS"",'SUMMARY DATA'!$H:$H=$D827)),
  IF(
    OR(
      ISNUMBER(SEARCH(""CDM CASH DEPOSIT"",$C827)),
      ISNUMBER(S"&amp;"EARCH(""CASH DEPOSIT"",$C827))
    ),
    """",
    IFERROR(TEXTJOIN(CHAR(10),TRUE,FILTER('SUMMARY DATA'!H:H,'SUMMARY DATA'!$D:$D=$C827,'SUMMARY DATA'!$B:$B=""RWS"",'SUMMARY DATA'!$H:$H=$D827)),"""")
  )
)"),"")</f>
      </c>
      <c r="I827" s="18" t="str">
        <f>IFERROR(__xludf.DUMMYFUNCTION("IF(H827="""","""",
SUM(ARRAYFORMULA(VALUE(SPLIT(H827,CHAR(10)))))
)"),"")</f>
      </c>
      <c r="J827" s="17" t="str">
        <f>IFERROR(__xludf.DUMMYFUNCTION("IFERROR(
  TEXTJOIN(CHAR(10),TRUE,FILTER('SUMMARY DATA'!I:I,'SUMMARY DATA'!$A:$A=$A827,'SUMMARY DATA'!$C:$C=$B827,'SUMMARY DATA'!$B:$B=""RWS"")),
  IF(
    OR(
      ISNUMBER(SEARCH(""CDM CASH DEPOSIT"",$C827)),
      ISNUMBER(SEARCH(""CASH DEPOSIT"",$C82"&amp;"7)),
      COUNTIFS('SUMMARY DATA'!$D:$D,$C827,'SUMMARY DATA'!$B:$B,""RWS"")&lt;&gt;1
    ),
    """",
    IFERROR(TEXTJOIN(CHAR(10),TRUE,FILTER('SUMMARY DATA'!I:I,'SUMMARY DATA'!$D:$D=$C827,'SUMMARY DATA'!$B:$B=""RWS"")),"""")
  )
)"),"")</f>
      </c>
      <c r="K827" s="2"/>
      <c r="L827" s="2"/>
      <c r="M827" s="2"/>
      <c r="N827" s="2"/>
      <c r="O827" s="2"/>
      <c r="P827" s="2"/>
      <c r="Q827" s="2"/>
      <c r="R827" s="2"/>
      <c r="S827" s="2"/>
      <c r="T827" s="2"/>
      <c r="U827" s="2"/>
      <c r="V827" s="2"/>
      <c r="W827" s="2"/>
      <c r="X827" s="2"/>
      <c r="Y827" s="2"/>
      <c r="Z827" s="2"/>
      <c r="AA827" s="2"/>
      <c r="AB827" s="2"/>
    </row>
    <row r="828" spans="1:28" customHeight="true">
      <c r="A828" s="2" t="s">
        <v>1323</v>
      </c>
      <c r="B828" s="15">
        <v>46066</v>
      </c>
      <c r="C828" s="2" t="s">
        <v>1324</v>
      </c>
      <c r="D828" s="3">
        <v>4</v>
      </c>
      <c r="E828" s="16" t="str">
        <f>IFERROR(__xludf.DUMMYFUNCTION("IFERROR(
  TEXTJOIN(CHAR(10),TRUE,FILTER('SUMMARY DATA'!E:E,'SUMMARY DATA'!$A:$A=$A828,'SUMMARY DATA'!$C:$C=$B828,'SUMMARY DATA'!$B:$B=""RWS"")),
  IF(
    OR(
      ISNUMBER(SEARCH(""CDM CASH DEPOSIT"",$C828)),
      ISNUMBER(SEARCH(""CASH DEPOSIT"",$C82"&amp;"8)),
      COUNTIFS('SUMMARY DATA'!$D:$D,$C828,'SUMMARY DATA'!$B:$B,""RWS"")&lt;&gt;1
    ),
    """",
    IFERROR(TEXTJOIN(CHAR(10),TRUE,FILTER('SUMMARY DATA'!E:E,'SUMMARY DATA'!$D:$D=$C828,'SUMMARY DATA'!$B:$B=""RWS"")),"""")
  )
)"),"")</f>
      </c>
      <c r="F828" s="17" t="str">
        <f>IFERROR(__xludf.DUMMYFUNCTION("IFERROR(
  TEXTJOIN(CHAR(10),TRUE,FILTER('SUMMARY DATA'!F:F,'SUMMARY DATA'!$A:$A=$A828,'SUMMARY DATA'!$C:$C=$B828,'SUMMARY DATA'!$B:$B=""RWS"")),
  IF(
    OR(
      ISNUMBER(SEARCH(""CDM CASH DEPOSIT"",$C828)),
      ISNUMBER(SEARCH(""CASH DEPOSIT"",$C82"&amp;"8)),
      COUNTIFS('SUMMARY DATA'!$D:$D,$C828,'SUMMARY DATA'!$B:$B,""RWS"")&lt;&gt;1
    ),
    """",
    IFERROR(TEXTJOIN(CHAR(10),TRUE,FILTER('SUMMARY DATA'!F:F,'SUMMARY DATA'!$D:$D=$C828,'SUMMARY DATA'!$B:$B=""RWS"")),"""")
  )
)"),"")</f>
      </c>
      <c r="G828" s="17" t="str">
        <f>IFERROR(__xludf.DUMMYFUNCTION("IFERROR(
  TEXTJOIN(CHAR(10),TRUE,FILTER('SUMMARY DATA'!G:G,'SUMMARY DATA'!$A:$A=$A828,'SUMMARY DATA'!$C:$C=$B828,'SUMMARY DATA'!$B:$B=""RWS"")),
  IF(
    OR(
      ISNUMBER(SEARCH(""CDM CASH DEPOSIT"",$C828)),
      ISNUMBER(SEARCH(""CASH DEPOSIT"",$C82"&amp;"8)),
      COUNTIFS('SUMMARY DATA'!$D:$D,$C828,'SUMMARY DATA'!$B:$B,""RWS"")&lt;&gt;1
    ),
    """",
    IFERROR(TEXTJOIN(CHAR(10),TRUE,FILTER('SUMMARY DATA'!G:G,'SUMMARY DATA'!$D:$D=$C828,'SUMMARY DATA'!$B:$B=""RWS"")),"""")
  )
)"),"")</f>
      </c>
      <c r="H828" s="18" t="str">
        <f>IFERROR(__xludf.DUMMYFUNCTION("IFERROR(
  TEXTJOIN(CHAR(10),TRUE,FILTER('SUMMARY DATA'!H:H,'SUMMARY DATA'!$A:$A=$A828,'SUMMARY DATA'!$C:$C=$B828,'SUMMARY DATA'!$B:$B=""RWS"",'SUMMARY DATA'!$H:$H=$D828)),
  IF(
    OR(
      ISNUMBER(SEARCH(""CDM CASH DEPOSIT"",$C828)),
      ISNUMBER(S"&amp;"EARCH(""CASH DEPOSIT"",$C828))
    ),
    """",
    IFERROR(TEXTJOIN(CHAR(10),TRUE,FILTER('SUMMARY DATA'!H:H,'SUMMARY DATA'!$D:$D=$C828,'SUMMARY DATA'!$B:$B=""RWS"",'SUMMARY DATA'!$H:$H=$D828)),"""")
  )
)"),"")</f>
      </c>
      <c r="I828" s="18" t="str">
        <f>IFERROR(__xludf.DUMMYFUNCTION("IF(H828="""","""",
SUM(ARRAYFORMULA(VALUE(SPLIT(H828,CHAR(10)))))
)"),"")</f>
      </c>
      <c r="J828" s="17" t="str">
        <f>IFERROR(__xludf.DUMMYFUNCTION("IFERROR(
  TEXTJOIN(CHAR(10),TRUE,FILTER('SUMMARY DATA'!I:I,'SUMMARY DATA'!$A:$A=$A828,'SUMMARY DATA'!$C:$C=$B828,'SUMMARY DATA'!$B:$B=""RWS"")),
  IF(
    OR(
      ISNUMBER(SEARCH(""CDM CASH DEPOSIT"",$C828)),
      ISNUMBER(SEARCH(""CASH DEPOSIT"",$C82"&amp;"8)),
      COUNTIFS('SUMMARY DATA'!$D:$D,$C828,'SUMMARY DATA'!$B:$B,""RWS"")&lt;&gt;1
    ),
    """",
    IFERROR(TEXTJOIN(CHAR(10),TRUE,FILTER('SUMMARY DATA'!I:I,'SUMMARY DATA'!$D:$D=$C828,'SUMMARY DATA'!$B:$B=""RWS"")),"""")
  )
)"),"")</f>
      </c>
      <c r="K828" s="2"/>
      <c r="L828" s="2"/>
      <c r="M828" s="2"/>
      <c r="N828" s="2"/>
      <c r="O828" s="2"/>
      <c r="P828" s="2"/>
      <c r="Q828" s="2"/>
      <c r="R828" s="2"/>
      <c r="S828" s="2"/>
      <c r="T828" s="2"/>
      <c r="U828" s="2"/>
      <c r="V828" s="2"/>
      <c r="W828" s="2"/>
      <c r="X828" s="2"/>
      <c r="Y828" s="2"/>
      <c r="Z828" s="2"/>
      <c r="AA828" s="2"/>
      <c r="AB828" s="2"/>
    </row>
    <row r="829" spans="1:28" customHeight="true">
      <c r="A829" s="2" t="s">
        <v>1325</v>
      </c>
      <c r="B829" s="15">
        <v>46066</v>
      </c>
      <c r="C829" s="2" t="s">
        <v>1326</v>
      </c>
      <c r="D829" s="3">
        <v>10</v>
      </c>
      <c r="E829" s="16" t="str">
        <f>IFERROR(__xludf.DUMMYFUNCTION("IFERROR(
  TEXTJOIN(CHAR(10),TRUE,FILTER('SUMMARY DATA'!E:E,'SUMMARY DATA'!$A:$A=$A829,'SUMMARY DATA'!$C:$C=$B829,'SUMMARY DATA'!$B:$B=""RWS"")),
  IF(
    OR(
      ISNUMBER(SEARCH(""CDM CASH DEPOSIT"",$C829)),
      ISNUMBER(SEARCH(""CASH DEPOSIT"",$C82"&amp;"9)),
      COUNTIFS('SUMMARY DATA'!$D:$D,$C829,'SUMMARY DATA'!$B:$B,""RWS"")&lt;&gt;1
    ),
    """",
    IFERROR(TEXTJOIN(CHAR(10),TRUE,FILTER('SUMMARY DATA'!E:E,'SUMMARY DATA'!$D:$D=$C829,'SUMMARY DATA'!$B:$B=""RWS"")),"""")
  )
)"),"")</f>
      </c>
      <c r="F829" s="17" t="str">
        <f>IFERROR(__xludf.DUMMYFUNCTION("IFERROR(
  TEXTJOIN(CHAR(10),TRUE,FILTER('SUMMARY DATA'!F:F,'SUMMARY DATA'!$A:$A=$A829,'SUMMARY DATA'!$C:$C=$B829,'SUMMARY DATA'!$B:$B=""RWS"")),
  IF(
    OR(
      ISNUMBER(SEARCH(""CDM CASH DEPOSIT"",$C829)),
      ISNUMBER(SEARCH(""CASH DEPOSIT"",$C82"&amp;"9)),
      COUNTIFS('SUMMARY DATA'!$D:$D,$C829,'SUMMARY DATA'!$B:$B,""RWS"")&lt;&gt;1
    ),
    """",
    IFERROR(TEXTJOIN(CHAR(10),TRUE,FILTER('SUMMARY DATA'!F:F,'SUMMARY DATA'!$D:$D=$C829,'SUMMARY DATA'!$B:$B=""RWS"")),"""")
  )
)"),"")</f>
      </c>
      <c r="G829" s="17" t="str">
        <f>IFERROR(__xludf.DUMMYFUNCTION("IFERROR(
  TEXTJOIN(CHAR(10),TRUE,FILTER('SUMMARY DATA'!G:G,'SUMMARY DATA'!$A:$A=$A829,'SUMMARY DATA'!$C:$C=$B829,'SUMMARY DATA'!$B:$B=""RWS"")),
  IF(
    OR(
      ISNUMBER(SEARCH(""CDM CASH DEPOSIT"",$C829)),
      ISNUMBER(SEARCH(""CASH DEPOSIT"",$C82"&amp;"9)),
      COUNTIFS('SUMMARY DATA'!$D:$D,$C829,'SUMMARY DATA'!$B:$B,""RWS"")&lt;&gt;1
    ),
    """",
    IFERROR(TEXTJOIN(CHAR(10),TRUE,FILTER('SUMMARY DATA'!G:G,'SUMMARY DATA'!$D:$D=$C829,'SUMMARY DATA'!$B:$B=""RWS"")),"""")
  )
)"),"")</f>
      </c>
      <c r="H829" s="18" t="str">
        <f>IFERROR(__xludf.DUMMYFUNCTION("IFERROR(
  TEXTJOIN(CHAR(10),TRUE,FILTER('SUMMARY DATA'!H:H,'SUMMARY DATA'!$A:$A=$A829,'SUMMARY DATA'!$C:$C=$B829,'SUMMARY DATA'!$B:$B=""RWS"",'SUMMARY DATA'!$H:$H=$D829)),
  IF(
    OR(
      ISNUMBER(SEARCH(""CDM CASH DEPOSIT"",$C829)),
      ISNUMBER(S"&amp;"EARCH(""CASH DEPOSIT"",$C829))
    ),
    """",
    IFERROR(TEXTJOIN(CHAR(10),TRUE,FILTER('SUMMARY DATA'!H:H,'SUMMARY DATA'!$D:$D=$C829,'SUMMARY DATA'!$B:$B=""RWS"",'SUMMARY DATA'!$H:$H=$D829)),"""")
  )
)"),"")</f>
      </c>
      <c r="I829" s="18" t="str">
        <f>IFERROR(__xludf.DUMMYFUNCTION("IF(H829="""","""",
SUM(ARRAYFORMULA(VALUE(SPLIT(H829,CHAR(10)))))
)"),"")</f>
      </c>
      <c r="J829" s="17" t="str">
        <f>IFERROR(__xludf.DUMMYFUNCTION("IFERROR(
  TEXTJOIN(CHAR(10),TRUE,FILTER('SUMMARY DATA'!I:I,'SUMMARY DATA'!$A:$A=$A829,'SUMMARY DATA'!$C:$C=$B829,'SUMMARY DATA'!$B:$B=""RWS"")),
  IF(
    OR(
      ISNUMBER(SEARCH(""CDM CASH DEPOSIT"",$C829)),
      ISNUMBER(SEARCH(""CASH DEPOSIT"",$C82"&amp;"9)),
      COUNTIFS('SUMMARY DATA'!$D:$D,$C829,'SUMMARY DATA'!$B:$B,""RWS"")&lt;&gt;1
    ),
    """",
    IFERROR(TEXTJOIN(CHAR(10),TRUE,FILTER('SUMMARY DATA'!I:I,'SUMMARY DATA'!$D:$D=$C829,'SUMMARY DATA'!$B:$B=""RWS"")),"""")
  )
)"),"")</f>
      </c>
      <c r="K829" s="2"/>
      <c r="L829" s="2"/>
      <c r="M829" s="2"/>
      <c r="N829" s="2"/>
      <c r="O829" s="2"/>
      <c r="P829" s="2"/>
      <c r="Q829" s="2"/>
      <c r="R829" s="2"/>
      <c r="S829" s="2"/>
      <c r="T829" s="2"/>
      <c r="U829" s="2"/>
      <c r="V829" s="2"/>
      <c r="W829" s="2"/>
      <c r="X829" s="2"/>
      <c r="Y829" s="2"/>
      <c r="Z829" s="2"/>
      <c r="AA829" s="2"/>
      <c r="AB829" s="2"/>
    </row>
    <row r="830" spans="1:28" customHeight="true">
      <c r="A830" s="2" t="s">
        <v>1327</v>
      </c>
      <c r="B830" s="15">
        <v>46066</v>
      </c>
      <c r="C830" s="2" t="s">
        <v>1328</v>
      </c>
      <c r="D830" s="3">
        <v>91.86</v>
      </c>
      <c r="E830" s="16" t="s">
        <v>2500</v>
      </c>
      <c r="F830" s="17" t="s">
        <v>2696</v>
      </c>
      <c r="G830" s="17" t="s">
        <v>2393</v>
      </c>
      <c r="H830" s="18">
        <v>91.86</v>
      </c>
      <c r="I830" s="18">
        <v>91.86</v>
      </c>
      <c r="J830" s="17" t="s">
        <v>2394</v>
      </c>
      <c r="K830" s="2" t="s">
        <v>2395</v>
      </c>
      <c r="L830" s="2"/>
      <c r="M830" s="2"/>
      <c r="N830" s="2"/>
      <c r="O830" s="2"/>
      <c r="P830" s="2"/>
      <c r="Q830" s="2"/>
      <c r="R830" s="2"/>
      <c r="S830" s="2"/>
      <c r="T830" s="2"/>
      <c r="U830" s="2"/>
      <c r="V830" s="2"/>
      <c r="W830" s="2"/>
      <c r="X830" s="2"/>
      <c r="Y830" s="2"/>
      <c r="Z830" s="2"/>
      <c r="AA830" s="2"/>
      <c r="AB830" s="2"/>
    </row>
    <row r="831" spans="1:28" customHeight="true">
      <c r="A831" s="2" t="s">
        <v>1329</v>
      </c>
      <c r="B831" s="15">
        <v>46067</v>
      </c>
      <c r="C831" s="2" t="s">
        <v>1330</v>
      </c>
      <c r="D831" s="3">
        <v>333.96</v>
      </c>
      <c r="E831" s="16" t="str">
        <f>IFERROR(__xludf.DUMMYFUNCTION("IFERROR(
  TEXTJOIN(CHAR(10),TRUE,FILTER('SUMMARY DATA'!E:E,'SUMMARY DATA'!$A:$A=$A831,'SUMMARY DATA'!$C:$C=$B831,'SUMMARY DATA'!$B:$B=""RWS"")),
  IF(
    OR(
      ISNUMBER(SEARCH(""CDM CASH DEPOSIT"",$C831)),
      ISNUMBER(SEARCH(""CASH DEPOSIT"",$C83"&amp;"1)),
      COUNTIFS('SUMMARY DATA'!$D:$D,$C831,'SUMMARY DATA'!$B:$B,""RWS"")&lt;&gt;1
    ),
    """",
    IFERROR(TEXTJOIN(CHAR(10),TRUE,FILTER('SUMMARY DATA'!E:E,'SUMMARY DATA'!$D:$D=$C831,'SUMMARY DATA'!$B:$B=""RWS"")),"""")
  )
)"),"")</f>
      </c>
      <c r="F831" s="17" t="str">
        <f>IFERROR(__xludf.DUMMYFUNCTION("IFERROR(
  TEXTJOIN(CHAR(10),TRUE,FILTER('SUMMARY DATA'!F:F,'SUMMARY DATA'!$A:$A=$A831,'SUMMARY DATA'!$C:$C=$B831,'SUMMARY DATA'!$B:$B=""RWS"")),
  IF(
    OR(
      ISNUMBER(SEARCH(""CDM CASH DEPOSIT"",$C831)),
      ISNUMBER(SEARCH(""CASH DEPOSIT"",$C83"&amp;"1)),
      COUNTIFS('SUMMARY DATA'!$D:$D,$C831,'SUMMARY DATA'!$B:$B,""RWS"")&lt;&gt;1
    ),
    """",
    IFERROR(TEXTJOIN(CHAR(10),TRUE,FILTER('SUMMARY DATA'!F:F,'SUMMARY DATA'!$D:$D=$C831,'SUMMARY DATA'!$B:$B=""RWS"")),"""")
  )
)"),"")</f>
      </c>
      <c r="G831" s="17" t="str">
        <f>IFERROR(__xludf.DUMMYFUNCTION("IFERROR(
  TEXTJOIN(CHAR(10),TRUE,FILTER('SUMMARY DATA'!G:G,'SUMMARY DATA'!$A:$A=$A831,'SUMMARY DATA'!$C:$C=$B831,'SUMMARY DATA'!$B:$B=""RWS"")),
  IF(
    OR(
      ISNUMBER(SEARCH(""CDM CASH DEPOSIT"",$C831)),
      ISNUMBER(SEARCH(""CASH DEPOSIT"",$C83"&amp;"1)),
      COUNTIFS('SUMMARY DATA'!$D:$D,$C831,'SUMMARY DATA'!$B:$B,""RWS"")&lt;&gt;1
    ),
    """",
    IFERROR(TEXTJOIN(CHAR(10),TRUE,FILTER('SUMMARY DATA'!G:G,'SUMMARY DATA'!$D:$D=$C831,'SUMMARY DATA'!$B:$B=""RWS"")),"""")
  )
)"),"")</f>
      </c>
      <c r="H831" s="18" t="str">
        <f>IFERROR(__xludf.DUMMYFUNCTION("IFERROR(
  TEXTJOIN(CHAR(10),TRUE,FILTER('SUMMARY DATA'!H:H,'SUMMARY DATA'!$A:$A=$A831,'SUMMARY DATA'!$C:$C=$B831,'SUMMARY DATA'!$B:$B=""RWS"",'SUMMARY DATA'!$H:$H=$D831)),
  IF(
    OR(
      ISNUMBER(SEARCH(""CDM CASH DEPOSIT"",$C831)),
      ISNUMBER(S"&amp;"EARCH(""CASH DEPOSIT"",$C831))
    ),
    """",
    IFERROR(TEXTJOIN(CHAR(10),TRUE,FILTER('SUMMARY DATA'!H:H,'SUMMARY DATA'!$D:$D=$C831,'SUMMARY DATA'!$B:$B=""RWS"",'SUMMARY DATA'!$H:$H=$D831)),"""")
  )
)"),"")</f>
      </c>
      <c r="I831" s="18" t="str">
        <f>IFERROR(__xludf.DUMMYFUNCTION("IF(H831="""","""",
SUM(ARRAYFORMULA(VALUE(SPLIT(H831,CHAR(10)))))
)"),"")</f>
      </c>
      <c r="J831" s="17" t="str">
        <f>IFERROR(__xludf.DUMMYFUNCTION("IFERROR(
  TEXTJOIN(CHAR(10),TRUE,FILTER('SUMMARY DATA'!I:I,'SUMMARY DATA'!$A:$A=$A831,'SUMMARY DATA'!$C:$C=$B831,'SUMMARY DATA'!$B:$B=""RWS"")),
  IF(
    OR(
      ISNUMBER(SEARCH(""CDM CASH DEPOSIT"",$C831)),
      ISNUMBER(SEARCH(""CASH DEPOSIT"",$C83"&amp;"1)),
      COUNTIFS('SUMMARY DATA'!$D:$D,$C831,'SUMMARY DATA'!$B:$B,""RWS"")&lt;&gt;1
    ),
    """",
    IFERROR(TEXTJOIN(CHAR(10),TRUE,FILTER('SUMMARY DATA'!I:I,'SUMMARY DATA'!$D:$D=$C831,'SUMMARY DATA'!$B:$B=""RWS"")),"""")
  )
)"),"")</f>
      </c>
      <c r="K831" s="2"/>
      <c r="L831" s="2"/>
      <c r="M831" s="2"/>
      <c r="N831" s="2"/>
      <c r="O831" s="2"/>
      <c r="P831" s="2"/>
      <c r="Q831" s="2"/>
      <c r="R831" s="2"/>
      <c r="S831" s="2"/>
      <c r="T831" s="2"/>
      <c r="U831" s="2"/>
      <c r="V831" s="2"/>
      <c r="W831" s="2"/>
      <c r="X831" s="2"/>
      <c r="Y831" s="2"/>
      <c r="Z831" s="2"/>
      <c r="AA831" s="2"/>
      <c r="AB831" s="2"/>
    </row>
    <row r="832" spans="1:28" customHeight="true">
      <c r="A832" s="2" t="s">
        <v>1331</v>
      </c>
      <c r="B832" s="15">
        <v>46068</v>
      </c>
      <c r="C832" s="2" t="s">
        <v>48</v>
      </c>
      <c r="D832" s="3">
        <v>730</v>
      </c>
      <c r="E832" s="16" t="str">
        <f>IFERROR(__xludf.DUMMYFUNCTION("IFERROR(
  TEXTJOIN(CHAR(10),TRUE,FILTER('SUMMARY DATA'!E:E,'SUMMARY DATA'!$A:$A=$A832,'SUMMARY DATA'!$C:$C=$B832,'SUMMARY DATA'!$B:$B=""RWS"")),
  IF(
    OR(
      ISNUMBER(SEARCH(""CDM CASH DEPOSIT"",$C832)),
      ISNUMBER(SEARCH(""CASH DEPOSIT"",$C83"&amp;"2)),
      COUNTIFS('SUMMARY DATA'!$D:$D,$C832,'SUMMARY DATA'!$B:$B,""RWS"")&lt;&gt;1
    ),
    """",
    IFERROR(TEXTJOIN(CHAR(10),TRUE,FILTER('SUMMARY DATA'!E:E,'SUMMARY DATA'!$D:$D=$C832,'SUMMARY DATA'!$B:$B=""RWS"")),"""")
  )
)"),"")</f>
      </c>
      <c r="F832" s="17" t="str">
        <f>IFERROR(__xludf.DUMMYFUNCTION("IFERROR(
  TEXTJOIN(CHAR(10),TRUE,FILTER('SUMMARY DATA'!F:F,'SUMMARY DATA'!$A:$A=$A832,'SUMMARY DATA'!$C:$C=$B832,'SUMMARY DATA'!$B:$B=""RWS"")),
  IF(
    OR(
      ISNUMBER(SEARCH(""CDM CASH DEPOSIT"",$C832)),
      ISNUMBER(SEARCH(""CASH DEPOSIT"",$C83"&amp;"2)),
      COUNTIFS('SUMMARY DATA'!$D:$D,$C832,'SUMMARY DATA'!$B:$B,""RWS"")&lt;&gt;1
    ),
    """",
    IFERROR(TEXTJOIN(CHAR(10),TRUE,FILTER('SUMMARY DATA'!F:F,'SUMMARY DATA'!$D:$D=$C832,'SUMMARY DATA'!$B:$B=""RWS"")),"""")
  )
)"),"")</f>
      </c>
      <c r="G832" s="17" t="str">
        <f>IFERROR(__xludf.DUMMYFUNCTION("IFERROR(
  TEXTJOIN(CHAR(10),TRUE,FILTER('SUMMARY DATA'!G:G,'SUMMARY DATA'!$A:$A=$A832,'SUMMARY DATA'!$C:$C=$B832,'SUMMARY DATA'!$B:$B=""RWS"")),
  IF(
    OR(
      ISNUMBER(SEARCH(""CDM CASH DEPOSIT"",$C832)),
      ISNUMBER(SEARCH(""CASH DEPOSIT"",$C83"&amp;"2)),
      COUNTIFS('SUMMARY DATA'!$D:$D,$C832,'SUMMARY DATA'!$B:$B,""RWS"")&lt;&gt;1
    ),
    """",
    IFERROR(TEXTJOIN(CHAR(10),TRUE,FILTER('SUMMARY DATA'!G:G,'SUMMARY DATA'!$D:$D=$C832,'SUMMARY DATA'!$B:$B=""RWS"")),"""")
  )
)"),"")</f>
      </c>
      <c r="H832" s="18" t="str">
        <f>IFERROR(__xludf.DUMMYFUNCTION("IFERROR(
  TEXTJOIN(CHAR(10),TRUE,FILTER('SUMMARY DATA'!H:H,'SUMMARY DATA'!$A:$A=$A832,'SUMMARY DATA'!$C:$C=$B832,'SUMMARY DATA'!$B:$B=""RWS"",'SUMMARY DATA'!$H:$H=$D832)),
  IF(
    OR(
      ISNUMBER(SEARCH(""CDM CASH DEPOSIT"",$C832)),
      ISNUMBER(S"&amp;"EARCH(""CASH DEPOSIT"",$C832))
    ),
    """",
    IFERROR(TEXTJOIN(CHAR(10),TRUE,FILTER('SUMMARY DATA'!H:H,'SUMMARY DATA'!$D:$D=$C832,'SUMMARY DATA'!$B:$B=""RWS"",'SUMMARY DATA'!$H:$H=$D832)),"""")
  )
)"),"")</f>
      </c>
      <c r="I832" s="18" t="str">
        <f>IFERROR(__xludf.DUMMYFUNCTION("IF(H832="""","""",
SUM(ARRAYFORMULA(VALUE(SPLIT(H832,CHAR(10)))))
)"),"")</f>
      </c>
      <c r="J832" s="17" t="str">
        <f>IFERROR(__xludf.DUMMYFUNCTION("IFERROR(
  TEXTJOIN(CHAR(10),TRUE,FILTER('SUMMARY DATA'!I:I,'SUMMARY DATA'!$A:$A=$A832,'SUMMARY DATA'!$C:$C=$B832,'SUMMARY DATA'!$B:$B=""RWS"")),
  IF(
    OR(
      ISNUMBER(SEARCH(""CDM CASH DEPOSIT"",$C832)),
      ISNUMBER(SEARCH(""CASH DEPOSIT"",$C83"&amp;"2)),
      COUNTIFS('SUMMARY DATA'!$D:$D,$C832,'SUMMARY DATA'!$B:$B,""RWS"")&lt;&gt;1
    ),
    """",
    IFERROR(TEXTJOIN(CHAR(10),TRUE,FILTER('SUMMARY DATA'!I:I,'SUMMARY DATA'!$D:$D=$C832,'SUMMARY DATA'!$B:$B=""RWS"")),"""")
  )
)"),"")</f>
      </c>
      <c r="K832" s="2"/>
      <c r="L832" s="2"/>
      <c r="M832" s="2"/>
      <c r="N832" s="2"/>
      <c r="O832" s="2"/>
      <c r="P832" s="2"/>
      <c r="Q832" s="2"/>
      <c r="R832" s="2"/>
      <c r="S832" s="2"/>
      <c r="T832" s="2"/>
      <c r="U832" s="2"/>
      <c r="V832" s="2"/>
      <c r="W832" s="2"/>
      <c r="X832" s="2"/>
      <c r="Y832" s="2"/>
      <c r="Z832" s="2"/>
      <c r="AA832" s="2"/>
      <c r="AB832" s="2"/>
    </row>
    <row r="833" spans="1:28" customHeight="true">
      <c r="A833" s="2" t="s">
        <v>1332</v>
      </c>
      <c r="B833" s="15">
        <v>46068</v>
      </c>
      <c r="C833" s="2" t="s">
        <v>1333</v>
      </c>
      <c r="D833" s="3">
        <v>105.5</v>
      </c>
      <c r="E833" s="16" t="str">
        <f>IFERROR(__xludf.DUMMYFUNCTION("IFERROR(
  TEXTJOIN(CHAR(10),TRUE,FILTER('SUMMARY DATA'!E:E,'SUMMARY DATA'!$A:$A=$A833,'SUMMARY DATA'!$C:$C=$B833,'SUMMARY DATA'!$B:$B=""RWS"")),
  IF(
    OR(
      ISNUMBER(SEARCH(""CDM CASH DEPOSIT"",$C833)),
      ISNUMBER(SEARCH(""CASH DEPOSIT"",$C83"&amp;"3)),
      COUNTIFS('SUMMARY DATA'!$D:$D,$C833,'SUMMARY DATA'!$B:$B,""RWS"")&lt;&gt;1
    ),
    """",
    IFERROR(TEXTJOIN(CHAR(10),TRUE,FILTER('SUMMARY DATA'!E:E,'SUMMARY DATA'!$D:$D=$C833,'SUMMARY DATA'!$B:$B=""RWS"")),"""")
  )
)"),"")</f>
      </c>
      <c r="F833" s="17" t="str">
        <f>IFERROR(__xludf.DUMMYFUNCTION("IFERROR(
  TEXTJOIN(CHAR(10),TRUE,FILTER('SUMMARY DATA'!F:F,'SUMMARY DATA'!$A:$A=$A833,'SUMMARY DATA'!$C:$C=$B833,'SUMMARY DATA'!$B:$B=""RWS"")),
  IF(
    OR(
      ISNUMBER(SEARCH(""CDM CASH DEPOSIT"",$C833)),
      ISNUMBER(SEARCH(""CASH DEPOSIT"",$C83"&amp;"3)),
      COUNTIFS('SUMMARY DATA'!$D:$D,$C833,'SUMMARY DATA'!$B:$B,""RWS"")&lt;&gt;1
    ),
    """",
    IFERROR(TEXTJOIN(CHAR(10),TRUE,FILTER('SUMMARY DATA'!F:F,'SUMMARY DATA'!$D:$D=$C833,'SUMMARY DATA'!$B:$B=""RWS"")),"""")
  )
)"),"")</f>
      </c>
      <c r="G833" s="17" t="str">
        <f>IFERROR(__xludf.DUMMYFUNCTION("IFERROR(
  TEXTJOIN(CHAR(10),TRUE,FILTER('SUMMARY DATA'!G:G,'SUMMARY DATA'!$A:$A=$A833,'SUMMARY DATA'!$C:$C=$B833,'SUMMARY DATA'!$B:$B=""RWS"")),
  IF(
    OR(
      ISNUMBER(SEARCH(""CDM CASH DEPOSIT"",$C833)),
      ISNUMBER(SEARCH(""CASH DEPOSIT"",$C83"&amp;"3)),
      COUNTIFS('SUMMARY DATA'!$D:$D,$C833,'SUMMARY DATA'!$B:$B,""RWS"")&lt;&gt;1
    ),
    """",
    IFERROR(TEXTJOIN(CHAR(10),TRUE,FILTER('SUMMARY DATA'!G:G,'SUMMARY DATA'!$D:$D=$C833,'SUMMARY DATA'!$B:$B=""RWS"")),"""")
  )
)"),"")</f>
      </c>
      <c r="H833" s="18" t="str">
        <f>IFERROR(__xludf.DUMMYFUNCTION("IFERROR(
  TEXTJOIN(CHAR(10),TRUE,FILTER('SUMMARY DATA'!H:H,'SUMMARY DATA'!$A:$A=$A833,'SUMMARY DATA'!$C:$C=$B833,'SUMMARY DATA'!$B:$B=""RWS"",'SUMMARY DATA'!$H:$H=$D833)),
  IF(
    OR(
      ISNUMBER(SEARCH(""CDM CASH DEPOSIT"",$C833)),
      ISNUMBER(S"&amp;"EARCH(""CASH DEPOSIT"",$C833))
    ),
    """",
    IFERROR(TEXTJOIN(CHAR(10),TRUE,FILTER('SUMMARY DATA'!H:H,'SUMMARY DATA'!$D:$D=$C833,'SUMMARY DATA'!$B:$B=""RWS"",'SUMMARY DATA'!$H:$H=$D833)),"""")
  )
)"),"")</f>
      </c>
      <c r="I833" s="18" t="str">
        <f>IFERROR(__xludf.DUMMYFUNCTION("IF(H833="""","""",
SUM(ARRAYFORMULA(VALUE(SPLIT(H833,CHAR(10)))))
)"),"")</f>
      </c>
      <c r="J833" s="17" t="str">
        <f>IFERROR(__xludf.DUMMYFUNCTION("IFERROR(
  TEXTJOIN(CHAR(10),TRUE,FILTER('SUMMARY DATA'!I:I,'SUMMARY DATA'!$A:$A=$A833,'SUMMARY DATA'!$C:$C=$B833,'SUMMARY DATA'!$B:$B=""RWS"")),
  IF(
    OR(
      ISNUMBER(SEARCH(""CDM CASH DEPOSIT"",$C833)),
      ISNUMBER(SEARCH(""CASH DEPOSIT"",$C83"&amp;"3)),
      COUNTIFS('SUMMARY DATA'!$D:$D,$C833,'SUMMARY DATA'!$B:$B,""RWS"")&lt;&gt;1
    ),
    """",
    IFERROR(TEXTJOIN(CHAR(10),TRUE,FILTER('SUMMARY DATA'!I:I,'SUMMARY DATA'!$D:$D=$C833,'SUMMARY DATA'!$B:$B=""RWS"")),"""")
  )
)"),"")</f>
      </c>
      <c r="K833" s="2"/>
      <c r="L833" s="2"/>
      <c r="M833" s="2"/>
      <c r="N833" s="2"/>
      <c r="O833" s="2"/>
      <c r="P833" s="2"/>
      <c r="Q833" s="2"/>
      <c r="R833" s="2"/>
      <c r="S833" s="2"/>
      <c r="T833" s="2"/>
      <c r="U833" s="2"/>
      <c r="V833" s="2"/>
      <c r="W833" s="2"/>
      <c r="X833" s="2"/>
      <c r="Y833" s="2"/>
      <c r="Z833" s="2"/>
      <c r="AA833" s="2"/>
      <c r="AB833" s="2"/>
    </row>
    <row r="834" spans="1:28" customHeight="true">
      <c r="A834" s="2" t="s">
        <v>1334</v>
      </c>
      <c r="B834" s="15">
        <v>46068</v>
      </c>
      <c r="C834" s="2" t="s">
        <v>1335</v>
      </c>
      <c r="D834" s="3">
        <v>253.9</v>
      </c>
      <c r="E834" s="16" t="s">
        <v>2402</v>
      </c>
      <c r="F834" s="17" t="s">
        <v>2697</v>
      </c>
      <c r="G834" s="17" t="s">
        <v>2393</v>
      </c>
      <c r="H834" s="18">
        <v>253.9</v>
      </c>
      <c r="I834" s="18">
        <v>253.9</v>
      </c>
      <c r="J834" s="17" t="s">
        <v>2394</v>
      </c>
      <c r="K834" s="2" t="s">
        <v>2395</v>
      </c>
      <c r="L834" s="2"/>
      <c r="M834" s="2"/>
      <c r="N834" s="2"/>
      <c r="O834" s="2"/>
      <c r="P834" s="2"/>
      <c r="Q834" s="2"/>
      <c r="R834" s="2"/>
      <c r="S834" s="2"/>
      <c r="T834" s="2"/>
      <c r="U834" s="2"/>
      <c r="V834" s="2"/>
      <c r="W834" s="2"/>
      <c r="X834" s="2"/>
      <c r="Y834" s="2"/>
      <c r="Z834" s="2"/>
      <c r="AA834" s="2"/>
      <c r="AB834" s="2"/>
    </row>
    <row r="835" spans="1:28" customHeight="true">
      <c r="A835" s="2" t="s">
        <v>1336</v>
      </c>
      <c r="B835" s="15">
        <v>46068</v>
      </c>
      <c r="C835" s="2" t="s">
        <v>1337</v>
      </c>
      <c r="D835" s="3">
        <v>376</v>
      </c>
      <c r="E835" s="16" t="str">
        <f>IFERROR(__xludf.DUMMYFUNCTION("IFERROR(
  TEXTJOIN(CHAR(10),TRUE,FILTER('SUMMARY DATA'!E:E,'SUMMARY DATA'!$A:$A=$A835,'SUMMARY DATA'!$C:$C=$B835,'SUMMARY DATA'!$B:$B=""RWS"")),
  IF(
    OR(
      ISNUMBER(SEARCH(""CDM CASH DEPOSIT"",$C835)),
      ISNUMBER(SEARCH(""CASH DEPOSIT"",$C83"&amp;"5)),
      COUNTIFS('SUMMARY DATA'!$D:$D,$C835,'SUMMARY DATA'!$B:$B,""RWS"")&lt;&gt;1
    ),
    """",
    IFERROR(TEXTJOIN(CHAR(10),TRUE,FILTER('SUMMARY DATA'!E:E,'SUMMARY DATA'!$D:$D=$C835,'SUMMARY DATA'!$B:$B=""RWS"")),"""")
  )
)"),"")</f>
      </c>
      <c r="F835" s="17" t="str">
        <f>IFERROR(__xludf.DUMMYFUNCTION("IFERROR(
  TEXTJOIN(CHAR(10),TRUE,FILTER('SUMMARY DATA'!F:F,'SUMMARY DATA'!$A:$A=$A835,'SUMMARY DATA'!$C:$C=$B835,'SUMMARY DATA'!$B:$B=""RWS"")),
  IF(
    OR(
      ISNUMBER(SEARCH(""CDM CASH DEPOSIT"",$C835)),
      ISNUMBER(SEARCH(""CASH DEPOSIT"",$C83"&amp;"5)),
      COUNTIFS('SUMMARY DATA'!$D:$D,$C835,'SUMMARY DATA'!$B:$B,""RWS"")&lt;&gt;1
    ),
    """",
    IFERROR(TEXTJOIN(CHAR(10),TRUE,FILTER('SUMMARY DATA'!F:F,'SUMMARY DATA'!$D:$D=$C835,'SUMMARY DATA'!$B:$B=""RWS"")),"""")
  )
)"),"")</f>
      </c>
      <c r="G835" s="17" t="str">
        <f>IFERROR(__xludf.DUMMYFUNCTION("IFERROR(
  TEXTJOIN(CHAR(10),TRUE,FILTER('SUMMARY DATA'!G:G,'SUMMARY DATA'!$A:$A=$A835,'SUMMARY DATA'!$C:$C=$B835,'SUMMARY DATA'!$B:$B=""RWS"")),
  IF(
    OR(
      ISNUMBER(SEARCH(""CDM CASH DEPOSIT"",$C835)),
      ISNUMBER(SEARCH(""CASH DEPOSIT"",$C83"&amp;"5)),
      COUNTIFS('SUMMARY DATA'!$D:$D,$C835,'SUMMARY DATA'!$B:$B,""RWS"")&lt;&gt;1
    ),
    """",
    IFERROR(TEXTJOIN(CHAR(10),TRUE,FILTER('SUMMARY DATA'!G:G,'SUMMARY DATA'!$D:$D=$C835,'SUMMARY DATA'!$B:$B=""RWS"")),"""")
  )
)"),"")</f>
      </c>
      <c r="H835" s="18" t="str">
        <f>IFERROR(__xludf.DUMMYFUNCTION("IFERROR(
  TEXTJOIN(CHAR(10),TRUE,FILTER('SUMMARY DATA'!H:H,'SUMMARY DATA'!$A:$A=$A835,'SUMMARY DATA'!$C:$C=$B835,'SUMMARY DATA'!$B:$B=""RWS"",'SUMMARY DATA'!$H:$H=$D835)),
  IF(
    OR(
      ISNUMBER(SEARCH(""CDM CASH DEPOSIT"",$C835)),
      ISNUMBER(S"&amp;"EARCH(""CASH DEPOSIT"",$C835))
    ),
    """",
    IFERROR(TEXTJOIN(CHAR(10),TRUE,FILTER('SUMMARY DATA'!H:H,'SUMMARY DATA'!$D:$D=$C835,'SUMMARY DATA'!$B:$B=""RWS"",'SUMMARY DATA'!$H:$H=$D835)),"""")
  )
)"),"")</f>
      </c>
      <c r="I835" s="18" t="str">
        <f>IFERROR(__xludf.DUMMYFUNCTION("IF(H835="""","""",
SUM(ARRAYFORMULA(VALUE(SPLIT(H835,CHAR(10)))))
)"),"")</f>
      </c>
      <c r="J835" s="17" t="str">
        <f>IFERROR(__xludf.DUMMYFUNCTION("IFERROR(
  TEXTJOIN(CHAR(10),TRUE,FILTER('SUMMARY DATA'!I:I,'SUMMARY DATA'!$A:$A=$A835,'SUMMARY DATA'!$C:$C=$B835,'SUMMARY DATA'!$B:$B=""RWS"")),
  IF(
    OR(
      ISNUMBER(SEARCH(""CDM CASH DEPOSIT"",$C835)),
      ISNUMBER(SEARCH(""CASH DEPOSIT"",$C83"&amp;"5)),
      COUNTIFS('SUMMARY DATA'!$D:$D,$C835,'SUMMARY DATA'!$B:$B,""RWS"")&lt;&gt;1
    ),
    """",
    IFERROR(TEXTJOIN(CHAR(10),TRUE,FILTER('SUMMARY DATA'!I:I,'SUMMARY DATA'!$D:$D=$C835,'SUMMARY DATA'!$B:$B=""RWS"")),"""")
  )
)"),"")</f>
      </c>
      <c r="K835" s="2"/>
      <c r="L835" s="2"/>
      <c r="M835" s="2"/>
      <c r="N835" s="2"/>
      <c r="O835" s="2"/>
      <c r="P835" s="2"/>
      <c r="Q835" s="2"/>
      <c r="R835" s="2"/>
      <c r="S835" s="2"/>
      <c r="T835" s="2"/>
      <c r="U835" s="2"/>
      <c r="V835" s="2"/>
      <c r="W835" s="2"/>
      <c r="X835" s="2"/>
      <c r="Y835" s="2"/>
      <c r="Z835" s="2"/>
      <c r="AA835" s="2"/>
      <c r="AB835" s="2"/>
    </row>
    <row r="836" spans="1:28" customHeight="true">
      <c r="A836" s="2"/>
      <c r="B836" s="15">
        <v>46068</v>
      </c>
      <c r="C836" s="2" t="s">
        <v>1338</v>
      </c>
      <c r="D836" s="3">
        <v>10</v>
      </c>
      <c r="E836" s="16" t="str">
        <f>IFERROR(__xludf.DUMMYFUNCTION("IFERROR(
  TEXTJOIN(CHAR(10),TRUE,FILTER('SUMMARY DATA'!E:E,'SUMMARY DATA'!$A:$A=$A836,'SUMMARY DATA'!$C:$C=$B836,'SUMMARY DATA'!$B:$B=""RWS"")),
  IF(
    OR(
      ISNUMBER(SEARCH(""CDM CASH DEPOSIT"",$C836)),
      ISNUMBER(SEARCH(""CASH DEPOSIT"",$C83"&amp;"6)),
      COUNTIFS('SUMMARY DATA'!$D:$D,$C836,'SUMMARY DATA'!$B:$B,""RWS"")&lt;&gt;1
    ),
    """",
    IFERROR(TEXTJOIN(CHAR(10),TRUE,FILTER('SUMMARY DATA'!E:E,'SUMMARY DATA'!$D:$D=$C836,'SUMMARY DATA'!$B:$B=""RWS"")),"""")
  )
)"),"")</f>
      </c>
      <c r="F836" s="17" t="str">
        <f>IFERROR(__xludf.DUMMYFUNCTION("IFERROR(
  TEXTJOIN(CHAR(10),TRUE,FILTER('SUMMARY DATA'!F:F,'SUMMARY DATA'!$A:$A=$A836,'SUMMARY DATA'!$C:$C=$B836,'SUMMARY DATA'!$B:$B=""RWS"")),
  IF(
    OR(
      ISNUMBER(SEARCH(""CDM CASH DEPOSIT"",$C836)),
      ISNUMBER(SEARCH(""CASH DEPOSIT"",$C83"&amp;"6)),
      COUNTIFS('SUMMARY DATA'!$D:$D,$C836,'SUMMARY DATA'!$B:$B,""RWS"")&lt;&gt;1
    ),
    """",
    IFERROR(TEXTJOIN(CHAR(10),TRUE,FILTER('SUMMARY DATA'!F:F,'SUMMARY DATA'!$D:$D=$C836,'SUMMARY DATA'!$B:$B=""RWS"")),"""")
  )
)"),"")</f>
      </c>
      <c r="G836" s="17" t="str">
        <f>IFERROR(__xludf.DUMMYFUNCTION("IFERROR(
  TEXTJOIN(CHAR(10),TRUE,FILTER('SUMMARY DATA'!G:G,'SUMMARY DATA'!$A:$A=$A836,'SUMMARY DATA'!$C:$C=$B836,'SUMMARY DATA'!$B:$B=""RWS"")),
  IF(
    OR(
      ISNUMBER(SEARCH(""CDM CASH DEPOSIT"",$C836)),
      ISNUMBER(SEARCH(""CASH DEPOSIT"",$C83"&amp;"6)),
      COUNTIFS('SUMMARY DATA'!$D:$D,$C836,'SUMMARY DATA'!$B:$B,""RWS"")&lt;&gt;1
    ),
    """",
    IFERROR(TEXTJOIN(CHAR(10),TRUE,FILTER('SUMMARY DATA'!G:G,'SUMMARY DATA'!$D:$D=$C836,'SUMMARY DATA'!$B:$B=""RWS"")),"""")
  )
)"),"")</f>
      </c>
      <c r="H836" s="18" t="str">
        <f>IFERROR(__xludf.DUMMYFUNCTION("IFERROR(
  TEXTJOIN(CHAR(10),TRUE,FILTER('SUMMARY DATA'!H:H,'SUMMARY DATA'!$A:$A=$A836,'SUMMARY DATA'!$C:$C=$B836,'SUMMARY DATA'!$B:$B=""RWS"",'SUMMARY DATA'!$H:$H=$D836)),
  IF(
    OR(
      ISNUMBER(SEARCH(""CDM CASH DEPOSIT"",$C836)),
      ISNUMBER(S"&amp;"EARCH(""CASH DEPOSIT"",$C836))
    ),
    """",
    IFERROR(TEXTJOIN(CHAR(10),TRUE,FILTER('SUMMARY DATA'!H:H,'SUMMARY DATA'!$D:$D=$C836,'SUMMARY DATA'!$B:$B=""RWS"",'SUMMARY DATA'!$H:$H=$D836)),"""")
  )
)"),"")</f>
      </c>
      <c r="I836" s="18" t="str">
        <f>IFERROR(__xludf.DUMMYFUNCTION("IF(H836="""","""",
SUM(ARRAYFORMULA(VALUE(SPLIT(H836,CHAR(10)))))
)"),"")</f>
      </c>
      <c r="J836" s="17" t="str">
        <f>IFERROR(__xludf.DUMMYFUNCTION("IFERROR(
  TEXTJOIN(CHAR(10),TRUE,FILTER('SUMMARY DATA'!I:I,'SUMMARY DATA'!$A:$A=$A836,'SUMMARY DATA'!$C:$C=$B836,'SUMMARY DATA'!$B:$B=""RWS"")),
  IF(
    OR(
      ISNUMBER(SEARCH(""CDM CASH DEPOSIT"",$C836)),
      ISNUMBER(SEARCH(""CASH DEPOSIT"",$C83"&amp;"6)),
      COUNTIFS('SUMMARY DATA'!$D:$D,$C836,'SUMMARY DATA'!$B:$B,""RWS"")&lt;&gt;1
    ),
    """",
    IFERROR(TEXTJOIN(CHAR(10),TRUE,FILTER('SUMMARY DATA'!I:I,'SUMMARY DATA'!$D:$D=$C836,'SUMMARY DATA'!$B:$B=""RWS"")),"""")
  )
)"),"")</f>
      </c>
      <c r="K836" s="2"/>
      <c r="L836" s="2"/>
      <c r="M836" s="2"/>
      <c r="N836" s="2"/>
      <c r="O836" s="2"/>
      <c r="P836" s="2"/>
      <c r="Q836" s="2"/>
      <c r="R836" s="2"/>
      <c r="S836" s="2"/>
      <c r="T836" s="2"/>
      <c r="U836" s="2"/>
      <c r="V836" s="2"/>
      <c r="W836" s="2"/>
      <c r="X836" s="2"/>
      <c r="Y836" s="2"/>
      <c r="Z836" s="2"/>
      <c r="AA836" s="2"/>
      <c r="AB836" s="2"/>
    </row>
    <row r="837" spans="1:28" customHeight="true">
      <c r="A837" s="2" t="s">
        <v>1339</v>
      </c>
      <c r="B837" s="15">
        <v>46068</v>
      </c>
      <c r="C837" s="2" t="s">
        <v>1340</v>
      </c>
      <c r="D837" s="3">
        <v>117</v>
      </c>
      <c r="E837" s="16" t="s">
        <v>2677</v>
      </c>
      <c r="F837" s="17" t="s">
        <v>2698</v>
      </c>
      <c r="G837" s="17" t="s">
        <v>2393</v>
      </c>
      <c r="H837" s="18">
        <v>117</v>
      </c>
      <c r="I837" s="18">
        <v>117</v>
      </c>
      <c r="J837" s="17" t="s">
        <v>2394</v>
      </c>
      <c r="K837" s="2" t="s">
        <v>2395</v>
      </c>
      <c r="L837" s="2"/>
      <c r="M837" s="2"/>
      <c r="N837" s="2"/>
      <c r="O837" s="2"/>
      <c r="P837" s="2"/>
      <c r="Q837" s="2"/>
      <c r="R837" s="2"/>
      <c r="S837" s="2"/>
      <c r="T837" s="2"/>
      <c r="U837" s="2"/>
      <c r="V837" s="2"/>
      <c r="W837" s="2"/>
      <c r="X837" s="2"/>
      <c r="Y837" s="2"/>
      <c r="Z837" s="2"/>
      <c r="AA837" s="2"/>
      <c r="AB837" s="2"/>
    </row>
    <row r="838" spans="1:28" customHeight="true">
      <c r="A838" s="2" t="s">
        <v>1341</v>
      </c>
      <c r="B838" s="15">
        <v>46068</v>
      </c>
      <c r="C838" s="2" t="s">
        <v>1342</v>
      </c>
      <c r="D838" s="3">
        <v>78.74</v>
      </c>
      <c r="E838" s="16" t="s">
        <v>2492</v>
      </c>
      <c r="F838" s="17" t="s">
        <v>2699</v>
      </c>
      <c r="G838" s="17" t="s">
        <v>2393</v>
      </c>
      <c r="H838" s="18">
        <v>78.74</v>
      </c>
      <c r="I838" s="18">
        <v>78.74</v>
      </c>
      <c r="J838" s="17" t="s">
        <v>2394</v>
      </c>
      <c r="K838" s="2" t="s">
        <v>2395</v>
      </c>
      <c r="L838" s="2"/>
      <c r="M838" s="2"/>
      <c r="N838" s="2"/>
      <c r="O838" s="2"/>
      <c r="P838" s="2"/>
      <c r="Q838" s="2"/>
      <c r="R838" s="2"/>
      <c r="S838" s="2"/>
      <c r="T838" s="2"/>
      <c r="U838" s="2"/>
      <c r="V838" s="2"/>
      <c r="W838" s="2"/>
      <c r="X838" s="2"/>
      <c r="Y838" s="2"/>
      <c r="Z838" s="2"/>
      <c r="AA838" s="2"/>
      <c r="AB838" s="2"/>
    </row>
    <row r="839" spans="1:28" customHeight="true">
      <c r="A839" s="2" t="s">
        <v>1343</v>
      </c>
      <c r="B839" s="15">
        <v>46068</v>
      </c>
      <c r="C839" s="2" t="s">
        <v>1344</v>
      </c>
      <c r="D839" s="3">
        <v>147.91</v>
      </c>
      <c r="E839" s="16" t="str">
        <f>IFERROR(__xludf.DUMMYFUNCTION("IFERROR(
  TEXTJOIN(CHAR(10),TRUE,FILTER('SUMMARY DATA'!E:E,'SUMMARY DATA'!$A:$A=$A839,'SUMMARY DATA'!$C:$C=$B839,'SUMMARY DATA'!$B:$B=""RWS"")),
  IF(
    OR(
      ISNUMBER(SEARCH(""CDM CASH DEPOSIT"",$C839)),
      ISNUMBER(SEARCH(""CASH DEPOSIT"",$C83"&amp;"9)),
      COUNTIFS('SUMMARY DATA'!$D:$D,$C839,'SUMMARY DATA'!$B:$B,""RWS"")&lt;&gt;1
    ),
    """",
    IFERROR(TEXTJOIN(CHAR(10),TRUE,FILTER('SUMMARY DATA'!E:E,'SUMMARY DATA'!$D:$D=$C839,'SUMMARY DATA'!$B:$B=""RWS"")),"""")
  )
)"),"")</f>
      </c>
      <c r="F839" s="17" t="str">
        <f>IFERROR(__xludf.DUMMYFUNCTION("IFERROR(
  TEXTJOIN(CHAR(10),TRUE,FILTER('SUMMARY DATA'!F:F,'SUMMARY DATA'!$A:$A=$A839,'SUMMARY DATA'!$C:$C=$B839,'SUMMARY DATA'!$B:$B=""RWS"")),
  IF(
    OR(
      ISNUMBER(SEARCH(""CDM CASH DEPOSIT"",$C839)),
      ISNUMBER(SEARCH(""CASH DEPOSIT"",$C83"&amp;"9)),
      COUNTIFS('SUMMARY DATA'!$D:$D,$C839,'SUMMARY DATA'!$B:$B,""RWS"")&lt;&gt;1
    ),
    """",
    IFERROR(TEXTJOIN(CHAR(10),TRUE,FILTER('SUMMARY DATA'!F:F,'SUMMARY DATA'!$D:$D=$C839,'SUMMARY DATA'!$B:$B=""RWS"")),"""")
  )
)"),"")</f>
      </c>
      <c r="G839" s="17" t="str">
        <f>IFERROR(__xludf.DUMMYFUNCTION("IFERROR(
  TEXTJOIN(CHAR(10),TRUE,FILTER('SUMMARY DATA'!G:G,'SUMMARY DATA'!$A:$A=$A839,'SUMMARY DATA'!$C:$C=$B839,'SUMMARY DATA'!$B:$B=""RWS"")),
  IF(
    OR(
      ISNUMBER(SEARCH(""CDM CASH DEPOSIT"",$C839)),
      ISNUMBER(SEARCH(""CASH DEPOSIT"",$C83"&amp;"9)),
      COUNTIFS('SUMMARY DATA'!$D:$D,$C839,'SUMMARY DATA'!$B:$B,""RWS"")&lt;&gt;1
    ),
    """",
    IFERROR(TEXTJOIN(CHAR(10),TRUE,FILTER('SUMMARY DATA'!G:G,'SUMMARY DATA'!$D:$D=$C839,'SUMMARY DATA'!$B:$B=""RWS"")),"""")
  )
)"),"")</f>
      </c>
      <c r="H839" s="18" t="str">
        <f>IFERROR(__xludf.DUMMYFUNCTION("IFERROR(
  TEXTJOIN(CHAR(10),TRUE,FILTER('SUMMARY DATA'!H:H,'SUMMARY DATA'!$A:$A=$A839,'SUMMARY DATA'!$C:$C=$B839,'SUMMARY DATA'!$B:$B=""RWS"",'SUMMARY DATA'!$H:$H=$D839)),
  IF(
    OR(
      ISNUMBER(SEARCH(""CDM CASH DEPOSIT"",$C839)),
      ISNUMBER(S"&amp;"EARCH(""CASH DEPOSIT"",$C839))
    ),
    """",
    IFERROR(TEXTJOIN(CHAR(10),TRUE,FILTER('SUMMARY DATA'!H:H,'SUMMARY DATA'!$D:$D=$C839,'SUMMARY DATA'!$B:$B=""RWS"",'SUMMARY DATA'!$H:$H=$D839)),"""")
  )
)"),"")</f>
      </c>
      <c r="I839" s="18" t="str">
        <f>IFERROR(__xludf.DUMMYFUNCTION("IF(H839="""","""",
SUM(ARRAYFORMULA(VALUE(SPLIT(H839,CHAR(10)))))
)"),"")</f>
      </c>
      <c r="J839" s="17" t="str">
        <f>IFERROR(__xludf.DUMMYFUNCTION("IFERROR(
  TEXTJOIN(CHAR(10),TRUE,FILTER('SUMMARY DATA'!I:I,'SUMMARY DATA'!$A:$A=$A839,'SUMMARY DATA'!$C:$C=$B839,'SUMMARY DATA'!$B:$B=""RWS"")),
  IF(
    OR(
      ISNUMBER(SEARCH(""CDM CASH DEPOSIT"",$C839)),
      ISNUMBER(SEARCH(""CASH DEPOSIT"",$C83"&amp;"9)),
      COUNTIFS('SUMMARY DATA'!$D:$D,$C839,'SUMMARY DATA'!$B:$B,""RWS"")&lt;&gt;1
    ),
    """",
    IFERROR(TEXTJOIN(CHAR(10),TRUE,FILTER('SUMMARY DATA'!I:I,'SUMMARY DATA'!$D:$D=$C839,'SUMMARY DATA'!$B:$B=""RWS"")),"""")
  )
)"),"")</f>
      </c>
      <c r="K839" s="2"/>
      <c r="L839" s="2"/>
      <c r="M839" s="2"/>
      <c r="N839" s="2"/>
      <c r="O839" s="2"/>
      <c r="P839" s="2"/>
      <c r="Q839" s="2"/>
      <c r="R839" s="2"/>
      <c r="S839" s="2"/>
      <c r="T839" s="2"/>
      <c r="U839" s="2"/>
      <c r="V839" s="2"/>
      <c r="W839" s="2"/>
      <c r="X839" s="2"/>
      <c r="Y839" s="2"/>
      <c r="Z839" s="2"/>
      <c r="AA839" s="2"/>
      <c r="AB839" s="2"/>
    </row>
    <row r="840" spans="1:28" customHeight="true">
      <c r="A840" s="2" t="s">
        <v>1345</v>
      </c>
      <c r="B840" s="15">
        <v>46069</v>
      </c>
      <c r="C840" s="2" t="s">
        <v>1346</v>
      </c>
      <c r="D840" s="3">
        <v>23.97</v>
      </c>
      <c r="E840" s="16" t="s">
        <v>2674</v>
      </c>
      <c r="F840" s="17" t="s">
        <v>2700</v>
      </c>
      <c r="G840" s="17" t="s">
        <v>2393</v>
      </c>
      <c r="H840" s="18">
        <v>23.97</v>
      </c>
      <c r="I840" s="18">
        <v>23.97</v>
      </c>
      <c r="J840" s="17" t="s">
        <v>2394</v>
      </c>
      <c r="K840" s="2" t="s">
        <v>2395</v>
      </c>
      <c r="L840" s="2"/>
      <c r="M840" s="2"/>
      <c r="N840" s="2"/>
      <c r="O840" s="2"/>
      <c r="P840" s="2"/>
      <c r="Q840" s="2"/>
      <c r="R840" s="2"/>
      <c r="S840" s="2"/>
      <c r="T840" s="2"/>
      <c r="U840" s="2"/>
      <c r="V840" s="2"/>
      <c r="W840" s="2"/>
      <c r="X840" s="2"/>
      <c r="Y840" s="2"/>
      <c r="Z840" s="2"/>
      <c r="AA840" s="2"/>
      <c r="AB840" s="2"/>
    </row>
    <row r="841" spans="1:28" customHeight="true">
      <c r="A841" s="2" t="s">
        <v>1347</v>
      </c>
      <c r="B841" s="15">
        <v>46069</v>
      </c>
      <c r="C841" s="2" t="s">
        <v>1348</v>
      </c>
      <c r="D841" s="3">
        <v>1176</v>
      </c>
      <c r="E841" s="16" t="s">
        <v>2587</v>
      </c>
      <c r="F841" s="17" t="s">
        <v>2701</v>
      </c>
      <c r="G841" s="17" t="s">
        <v>2393</v>
      </c>
      <c r="H841" s="18">
        <v>1176</v>
      </c>
      <c r="I841" s="18">
        <v>1176</v>
      </c>
      <c r="J841" s="17" t="s">
        <v>2394</v>
      </c>
      <c r="K841" s="2" t="s">
        <v>2395</v>
      </c>
      <c r="L841" s="2"/>
      <c r="M841" s="2"/>
      <c r="N841" s="2"/>
      <c r="O841" s="2"/>
      <c r="P841" s="2"/>
      <c r="Q841" s="2"/>
      <c r="R841" s="2"/>
      <c r="S841" s="2"/>
      <c r="T841" s="2"/>
      <c r="U841" s="2"/>
      <c r="V841" s="2"/>
      <c r="W841" s="2"/>
      <c r="X841" s="2"/>
      <c r="Y841" s="2"/>
      <c r="Z841" s="2"/>
      <c r="AA841" s="2"/>
      <c r="AB841" s="2"/>
    </row>
    <row r="842" spans="1:28" customHeight="true">
      <c r="A842" s="2" t="s">
        <v>1349</v>
      </c>
      <c r="B842" s="15">
        <v>46069</v>
      </c>
      <c r="C842" s="2" t="s">
        <v>1350</v>
      </c>
      <c r="D842" s="3">
        <v>590</v>
      </c>
      <c r="E842" s="16" t="s">
        <v>2540</v>
      </c>
      <c r="F842" s="17" t="s">
        <v>2702</v>
      </c>
      <c r="G842" s="17" t="s">
        <v>2393</v>
      </c>
      <c r="H842" s="18">
        <v>590</v>
      </c>
      <c r="I842" s="18">
        <v>590</v>
      </c>
      <c r="J842" s="17" t="s">
        <v>2394</v>
      </c>
      <c r="K842" s="2" t="s">
        <v>2395</v>
      </c>
      <c r="L842" s="2"/>
      <c r="M842" s="2"/>
      <c r="N842" s="2"/>
      <c r="O842" s="2"/>
      <c r="P842" s="2"/>
      <c r="Q842" s="2"/>
      <c r="R842" s="2"/>
      <c r="S842" s="2"/>
      <c r="T842" s="2"/>
      <c r="U842" s="2"/>
      <c r="V842" s="2"/>
      <c r="W842" s="2"/>
      <c r="X842" s="2"/>
      <c r="Y842" s="2"/>
      <c r="Z842" s="2"/>
      <c r="AA842" s="2"/>
      <c r="AB842" s="2"/>
    </row>
    <row r="843" spans="1:28" customHeight="true">
      <c r="A843" s="2" t="s">
        <v>1351</v>
      </c>
      <c r="B843" s="15">
        <v>46069</v>
      </c>
      <c r="C843" s="2" t="s">
        <v>1352</v>
      </c>
      <c r="D843" s="3">
        <v>129.03</v>
      </c>
      <c r="E843" s="16" t="str">
        <f>IFERROR(__xludf.DUMMYFUNCTION("IFERROR(
  TEXTJOIN(CHAR(10),TRUE,FILTER('SUMMARY DATA'!E:E,'SUMMARY DATA'!$A:$A=$A843,'SUMMARY DATA'!$C:$C=$B843,'SUMMARY DATA'!$B:$B=""RWS"")),
  IF(
    OR(
      ISNUMBER(SEARCH(""CDM CASH DEPOSIT"",$C843)),
      ISNUMBER(SEARCH(""CASH DEPOSIT"",$C84"&amp;"3)),
      COUNTIFS('SUMMARY DATA'!$D:$D,$C843,'SUMMARY DATA'!$B:$B,""RWS"")&lt;&gt;1
    ),
    """",
    IFERROR(TEXTJOIN(CHAR(10),TRUE,FILTER('SUMMARY DATA'!E:E,'SUMMARY DATA'!$D:$D=$C843,'SUMMARY DATA'!$B:$B=""RWS"")),"""")
  )
)"),"")</f>
      </c>
      <c r="F843" s="17" t="str">
        <f>IFERROR(__xludf.DUMMYFUNCTION("IFERROR(
  TEXTJOIN(CHAR(10),TRUE,FILTER('SUMMARY DATA'!F:F,'SUMMARY DATA'!$A:$A=$A843,'SUMMARY DATA'!$C:$C=$B843,'SUMMARY DATA'!$B:$B=""RWS"")),
  IF(
    OR(
      ISNUMBER(SEARCH(""CDM CASH DEPOSIT"",$C843)),
      ISNUMBER(SEARCH(""CASH DEPOSIT"",$C84"&amp;"3)),
      COUNTIFS('SUMMARY DATA'!$D:$D,$C843,'SUMMARY DATA'!$B:$B,""RWS"")&lt;&gt;1
    ),
    """",
    IFERROR(TEXTJOIN(CHAR(10),TRUE,FILTER('SUMMARY DATA'!F:F,'SUMMARY DATA'!$D:$D=$C843,'SUMMARY DATA'!$B:$B=""RWS"")),"""")
  )
)"),"")</f>
      </c>
      <c r="G843" s="17" t="str">
        <f>IFERROR(__xludf.DUMMYFUNCTION("IFERROR(
  TEXTJOIN(CHAR(10),TRUE,FILTER('SUMMARY DATA'!G:G,'SUMMARY DATA'!$A:$A=$A843,'SUMMARY DATA'!$C:$C=$B843,'SUMMARY DATA'!$B:$B=""RWS"")),
  IF(
    OR(
      ISNUMBER(SEARCH(""CDM CASH DEPOSIT"",$C843)),
      ISNUMBER(SEARCH(""CASH DEPOSIT"",$C84"&amp;"3)),
      COUNTIFS('SUMMARY DATA'!$D:$D,$C843,'SUMMARY DATA'!$B:$B,""RWS"")&lt;&gt;1
    ),
    """",
    IFERROR(TEXTJOIN(CHAR(10),TRUE,FILTER('SUMMARY DATA'!G:G,'SUMMARY DATA'!$D:$D=$C843,'SUMMARY DATA'!$B:$B=""RWS"")),"""")
  )
)"),"")</f>
      </c>
      <c r="H843" s="18" t="str">
        <f>IFERROR(__xludf.DUMMYFUNCTION("IFERROR(
  TEXTJOIN(CHAR(10),TRUE,FILTER('SUMMARY DATA'!H:H,'SUMMARY DATA'!$A:$A=$A843,'SUMMARY DATA'!$C:$C=$B843,'SUMMARY DATA'!$B:$B=""RWS"",'SUMMARY DATA'!$H:$H=$D843)),
  IF(
    OR(
      ISNUMBER(SEARCH(""CDM CASH DEPOSIT"",$C843)),
      ISNUMBER(S"&amp;"EARCH(""CASH DEPOSIT"",$C843))
    ),
    """",
    IFERROR(TEXTJOIN(CHAR(10),TRUE,FILTER('SUMMARY DATA'!H:H,'SUMMARY DATA'!$D:$D=$C843,'SUMMARY DATA'!$B:$B=""RWS"",'SUMMARY DATA'!$H:$H=$D843)),"""")
  )
)"),"")</f>
      </c>
      <c r="I843" s="18" t="str">
        <f>IFERROR(__xludf.DUMMYFUNCTION("IF(H843="""","""",
SUM(ARRAYFORMULA(VALUE(SPLIT(H843,CHAR(10)))))
)"),"")</f>
      </c>
      <c r="J843" s="17" t="str">
        <f>IFERROR(__xludf.DUMMYFUNCTION("IFERROR(
  TEXTJOIN(CHAR(10),TRUE,FILTER('SUMMARY DATA'!I:I,'SUMMARY DATA'!$A:$A=$A843,'SUMMARY DATA'!$C:$C=$B843,'SUMMARY DATA'!$B:$B=""RWS"")),
  IF(
    OR(
      ISNUMBER(SEARCH(""CDM CASH DEPOSIT"",$C843)),
      ISNUMBER(SEARCH(""CASH DEPOSIT"",$C84"&amp;"3)),
      COUNTIFS('SUMMARY DATA'!$D:$D,$C843,'SUMMARY DATA'!$B:$B,""RWS"")&lt;&gt;1
    ),
    """",
    IFERROR(TEXTJOIN(CHAR(10),TRUE,FILTER('SUMMARY DATA'!I:I,'SUMMARY DATA'!$D:$D=$C843,'SUMMARY DATA'!$B:$B=""RWS"")),"""")
  )
)"),"")</f>
      </c>
      <c r="K843" s="2"/>
      <c r="L843" s="2"/>
      <c r="M843" s="2"/>
      <c r="N843" s="2"/>
      <c r="O843" s="2"/>
      <c r="P843" s="2"/>
      <c r="Q843" s="2"/>
      <c r="R843" s="2"/>
      <c r="S843" s="2"/>
      <c r="T843" s="2"/>
      <c r="U843" s="2"/>
      <c r="V843" s="2"/>
      <c r="W843" s="2"/>
      <c r="X843" s="2"/>
      <c r="Y843" s="2"/>
      <c r="Z843" s="2"/>
      <c r="AA843" s="2"/>
      <c r="AB843" s="2"/>
    </row>
    <row r="844" spans="1:28" customHeight="true">
      <c r="A844" s="2"/>
      <c r="B844" s="15">
        <v>46072</v>
      </c>
      <c r="C844" s="2" t="s">
        <v>1353</v>
      </c>
      <c r="D844" s="3">
        <v>57.94</v>
      </c>
      <c r="E844" s="16" t="str">
        <f>IFERROR(__xludf.DUMMYFUNCTION("IFERROR(
  TEXTJOIN(CHAR(10),TRUE,FILTER('SUMMARY DATA'!E:E,'SUMMARY DATA'!$A:$A=$A844,'SUMMARY DATA'!$C:$C=$B844,'SUMMARY DATA'!$B:$B=""RWS"")),
  IF(
    OR(
      ISNUMBER(SEARCH(""CDM CASH DEPOSIT"",$C844)),
      ISNUMBER(SEARCH(""CASH DEPOSIT"",$C84"&amp;"4)),
      COUNTIFS('SUMMARY DATA'!$D:$D,$C844,'SUMMARY DATA'!$B:$B,""RWS"")&lt;&gt;1
    ),
    """",
    IFERROR(TEXTJOIN(CHAR(10),TRUE,FILTER('SUMMARY DATA'!E:E,'SUMMARY DATA'!$D:$D=$C844,'SUMMARY DATA'!$B:$B=""RWS"")),"""")
  )
)"),"")</f>
      </c>
      <c r="F844" s="17" t="str">
        <f>IFERROR(__xludf.DUMMYFUNCTION("IFERROR(
  TEXTJOIN(CHAR(10),TRUE,FILTER('SUMMARY DATA'!F:F,'SUMMARY DATA'!$A:$A=$A844,'SUMMARY DATA'!$C:$C=$B844,'SUMMARY DATA'!$B:$B=""RWS"")),
  IF(
    OR(
      ISNUMBER(SEARCH(""CDM CASH DEPOSIT"",$C844)),
      ISNUMBER(SEARCH(""CASH DEPOSIT"",$C84"&amp;"4)),
      COUNTIFS('SUMMARY DATA'!$D:$D,$C844,'SUMMARY DATA'!$B:$B,""RWS"")&lt;&gt;1
    ),
    """",
    IFERROR(TEXTJOIN(CHAR(10),TRUE,FILTER('SUMMARY DATA'!F:F,'SUMMARY DATA'!$D:$D=$C844,'SUMMARY DATA'!$B:$B=""RWS"")),"""")
  )
)"),"")</f>
      </c>
      <c r="G844" s="17" t="str">
        <f>IFERROR(__xludf.DUMMYFUNCTION("IFERROR(
  TEXTJOIN(CHAR(10),TRUE,FILTER('SUMMARY DATA'!G:G,'SUMMARY DATA'!$A:$A=$A844,'SUMMARY DATA'!$C:$C=$B844,'SUMMARY DATA'!$B:$B=""RWS"")),
  IF(
    OR(
      ISNUMBER(SEARCH(""CDM CASH DEPOSIT"",$C844)),
      ISNUMBER(SEARCH(""CASH DEPOSIT"",$C84"&amp;"4)),
      COUNTIFS('SUMMARY DATA'!$D:$D,$C844,'SUMMARY DATA'!$B:$B,""RWS"")&lt;&gt;1
    ),
    """",
    IFERROR(TEXTJOIN(CHAR(10),TRUE,FILTER('SUMMARY DATA'!G:G,'SUMMARY DATA'!$D:$D=$C844,'SUMMARY DATA'!$B:$B=""RWS"")),"""")
  )
)"),"")</f>
      </c>
      <c r="H844" s="18" t="str">
        <f>IFERROR(__xludf.DUMMYFUNCTION("IFERROR(
  TEXTJOIN(CHAR(10),TRUE,FILTER('SUMMARY DATA'!H:H,'SUMMARY DATA'!$A:$A=$A844,'SUMMARY DATA'!$C:$C=$B844,'SUMMARY DATA'!$B:$B=""RWS"",'SUMMARY DATA'!$H:$H=$D844)),
  IF(
    OR(
      ISNUMBER(SEARCH(""CDM CASH DEPOSIT"",$C844)),
      ISNUMBER(S"&amp;"EARCH(""CASH DEPOSIT"",$C844))
    ),
    """",
    IFERROR(TEXTJOIN(CHAR(10),TRUE,FILTER('SUMMARY DATA'!H:H,'SUMMARY DATA'!$D:$D=$C844,'SUMMARY DATA'!$B:$B=""RWS"",'SUMMARY DATA'!$H:$H=$D844)),"""")
  )
)"),"")</f>
      </c>
      <c r="I844" s="18" t="str">
        <f>IFERROR(__xludf.DUMMYFUNCTION("IF(H844="""","""",
SUM(ARRAYFORMULA(VALUE(SPLIT(H844,CHAR(10)))))
)"),"")</f>
      </c>
      <c r="J844" s="17" t="str">
        <f>IFERROR(__xludf.DUMMYFUNCTION("IFERROR(
  TEXTJOIN(CHAR(10),TRUE,FILTER('SUMMARY DATA'!I:I,'SUMMARY DATA'!$A:$A=$A844,'SUMMARY DATA'!$C:$C=$B844,'SUMMARY DATA'!$B:$B=""RWS"")),
  IF(
    OR(
      ISNUMBER(SEARCH(""CDM CASH DEPOSIT"",$C844)),
      ISNUMBER(SEARCH(""CASH DEPOSIT"",$C84"&amp;"4)),
      COUNTIFS('SUMMARY DATA'!$D:$D,$C844,'SUMMARY DATA'!$B:$B,""RWS"")&lt;&gt;1
    ),
    """",
    IFERROR(TEXTJOIN(CHAR(10),TRUE,FILTER('SUMMARY DATA'!I:I,'SUMMARY DATA'!$D:$D=$C844,'SUMMARY DATA'!$B:$B=""RWS"")),"""")
  )
)"),"")</f>
      </c>
      <c r="K844" s="2"/>
      <c r="L844" s="2"/>
      <c r="M844" s="2"/>
      <c r="N844" s="2"/>
      <c r="O844" s="2"/>
      <c r="P844" s="2"/>
      <c r="Q844" s="2"/>
      <c r="R844" s="2"/>
      <c r="S844" s="2"/>
      <c r="T844" s="2"/>
      <c r="U844" s="2"/>
      <c r="V844" s="2"/>
      <c r="W844" s="2"/>
      <c r="X844" s="2"/>
      <c r="Y844" s="2"/>
      <c r="Z844" s="2"/>
      <c r="AA844" s="2"/>
      <c r="AB844" s="2"/>
    </row>
    <row r="845" spans="1:28" customHeight="true">
      <c r="A845" s="2" t="s">
        <v>1354</v>
      </c>
      <c r="B845" s="15">
        <v>46072</v>
      </c>
      <c r="C845" s="2" t="s">
        <v>1355</v>
      </c>
      <c r="D845" s="3">
        <v>71</v>
      </c>
      <c r="E845" s="16" t="s">
        <v>2677</v>
      </c>
      <c r="F845" s="17" t="s">
        <v>2703</v>
      </c>
      <c r="G845" s="17" t="s">
        <v>2393</v>
      </c>
      <c r="H845" s="18">
        <v>71</v>
      </c>
      <c r="I845" s="18">
        <v>71</v>
      </c>
      <c r="J845" s="17" t="s">
        <v>2394</v>
      </c>
      <c r="K845" s="2" t="s">
        <v>2395</v>
      </c>
      <c r="L845" s="2"/>
      <c r="M845" s="2"/>
      <c r="N845" s="2"/>
      <c r="O845" s="2"/>
      <c r="P845" s="2"/>
      <c r="Q845" s="2"/>
      <c r="R845" s="2"/>
      <c r="S845" s="2"/>
      <c r="T845" s="2"/>
      <c r="U845" s="2"/>
      <c r="V845" s="2"/>
      <c r="W845" s="2"/>
      <c r="X845" s="2"/>
      <c r="Y845" s="2"/>
      <c r="Z845" s="2"/>
      <c r="AA845" s="2"/>
      <c r="AB845" s="2"/>
    </row>
    <row r="846" spans="1:28" customHeight="true">
      <c r="A846" s="2" t="s">
        <v>73</v>
      </c>
      <c r="B846" s="15">
        <v>46072</v>
      </c>
      <c r="C846" s="2" t="s">
        <v>74</v>
      </c>
      <c r="D846" s="3">
        <v>10.38</v>
      </c>
      <c r="E846" s="16" t="str">
        <f>IFERROR(__xludf.DUMMYFUNCTION("IFERROR(
  TEXTJOIN(CHAR(10),TRUE,FILTER('SUMMARY DATA'!E:E,'SUMMARY DATA'!$A:$A=$A846,'SUMMARY DATA'!$C:$C=$B846,'SUMMARY DATA'!$B:$B=""RWS"")),
  IF(
    OR(
      ISNUMBER(SEARCH(""CDM CASH DEPOSIT"",$C846)),
      ISNUMBER(SEARCH(""CASH DEPOSIT"",$C84"&amp;"6)),
      COUNTIFS('SUMMARY DATA'!$D:$D,$C846,'SUMMARY DATA'!$B:$B,""RWS"")&lt;&gt;1
    ),
    """",
    IFERROR(TEXTJOIN(CHAR(10),TRUE,FILTER('SUMMARY DATA'!E:E,'SUMMARY DATA'!$D:$D=$C846,'SUMMARY DATA'!$B:$B=""RWS"")),"""")
  )
)"),"")</f>
      </c>
      <c r="F846" s="17" t="str">
        <f>IFERROR(__xludf.DUMMYFUNCTION("IFERROR(
  TEXTJOIN(CHAR(10),TRUE,FILTER('SUMMARY DATA'!F:F,'SUMMARY DATA'!$A:$A=$A846,'SUMMARY DATA'!$C:$C=$B846,'SUMMARY DATA'!$B:$B=""RWS"")),
  IF(
    OR(
      ISNUMBER(SEARCH(""CDM CASH DEPOSIT"",$C846)),
      ISNUMBER(SEARCH(""CASH DEPOSIT"",$C84"&amp;"6)),
      COUNTIFS('SUMMARY DATA'!$D:$D,$C846,'SUMMARY DATA'!$B:$B,""RWS"")&lt;&gt;1
    ),
    """",
    IFERROR(TEXTJOIN(CHAR(10),TRUE,FILTER('SUMMARY DATA'!F:F,'SUMMARY DATA'!$D:$D=$C846,'SUMMARY DATA'!$B:$B=""RWS"")),"""")
  )
)"),"")</f>
      </c>
      <c r="G846" s="17" t="str">
        <f>IFERROR(__xludf.DUMMYFUNCTION("IFERROR(
  TEXTJOIN(CHAR(10),TRUE,FILTER('SUMMARY DATA'!G:G,'SUMMARY DATA'!$A:$A=$A846,'SUMMARY DATA'!$C:$C=$B846,'SUMMARY DATA'!$B:$B=""RWS"")),
  IF(
    OR(
      ISNUMBER(SEARCH(""CDM CASH DEPOSIT"",$C846)),
      ISNUMBER(SEARCH(""CASH DEPOSIT"",$C84"&amp;"6)),
      COUNTIFS('SUMMARY DATA'!$D:$D,$C846,'SUMMARY DATA'!$B:$B,""RWS"")&lt;&gt;1
    ),
    """",
    IFERROR(TEXTJOIN(CHAR(10),TRUE,FILTER('SUMMARY DATA'!G:G,'SUMMARY DATA'!$D:$D=$C846,'SUMMARY DATA'!$B:$B=""RWS"")),"""")
  )
)"),"")</f>
      </c>
      <c r="H846" s="18" t="str">
        <f>IFERROR(__xludf.DUMMYFUNCTION("IFERROR(
  TEXTJOIN(CHAR(10),TRUE,FILTER('SUMMARY DATA'!H:H,'SUMMARY DATA'!$A:$A=$A846,'SUMMARY DATA'!$C:$C=$B846,'SUMMARY DATA'!$B:$B=""RWS"",'SUMMARY DATA'!$H:$H=$D846)),
  IF(
    OR(
      ISNUMBER(SEARCH(""CDM CASH DEPOSIT"",$C846)),
      ISNUMBER(S"&amp;"EARCH(""CASH DEPOSIT"",$C846))
    ),
    """",
    IFERROR(TEXTJOIN(CHAR(10),TRUE,FILTER('SUMMARY DATA'!H:H,'SUMMARY DATA'!$D:$D=$C846,'SUMMARY DATA'!$B:$B=""RWS"",'SUMMARY DATA'!$H:$H=$D846)),"""")
  )
)"),"")</f>
      </c>
      <c r="I846" s="18" t="str">
        <f>IFERROR(__xludf.DUMMYFUNCTION("IF(H846="""","""",
SUM(ARRAYFORMULA(VALUE(SPLIT(H846,CHAR(10)))))
)"),"")</f>
      </c>
      <c r="J846" s="17" t="str">
        <f>IFERROR(__xludf.DUMMYFUNCTION("IFERROR(
  TEXTJOIN(CHAR(10),TRUE,FILTER('SUMMARY DATA'!I:I,'SUMMARY DATA'!$A:$A=$A846,'SUMMARY DATA'!$C:$C=$B846,'SUMMARY DATA'!$B:$B=""RWS"")),
  IF(
    OR(
      ISNUMBER(SEARCH(""CDM CASH DEPOSIT"",$C846)),
      ISNUMBER(SEARCH(""CASH DEPOSIT"",$C84"&amp;"6)),
      COUNTIFS('SUMMARY DATA'!$D:$D,$C846,'SUMMARY DATA'!$B:$B,""RWS"")&lt;&gt;1
    ),
    """",
    IFERROR(TEXTJOIN(CHAR(10),TRUE,FILTER('SUMMARY DATA'!I:I,'SUMMARY DATA'!$D:$D=$C846,'SUMMARY DATA'!$B:$B=""RWS"")),"""")
  )
)"),"")</f>
      </c>
      <c r="K846" s="2"/>
      <c r="L846" s="2"/>
      <c r="M846" s="2"/>
      <c r="N846" s="2"/>
      <c r="O846" s="2"/>
      <c r="P846" s="2"/>
      <c r="Q846" s="2"/>
      <c r="R846" s="2"/>
      <c r="S846" s="2"/>
      <c r="T846" s="2"/>
      <c r="U846" s="2"/>
      <c r="V846" s="2"/>
      <c r="W846" s="2"/>
      <c r="X846" s="2"/>
      <c r="Y846" s="2"/>
      <c r="Z846" s="2"/>
      <c r="AA846" s="2"/>
      <c r="AB846" s="2"/>
    </row>
    <row r="847" spans="1:28" customHeight="true">
      <c r="A847" s="2" t="s">
        <v>1356</v>
      </c>
      <c r="B847" s="15">
        <v>46072</v>
      </c>
      <c r="C847" s="2" t="s">
        <v>74</v>
      </c>
      <c r="D847" s="3">
        <v>1.84</v>
      </c>
      <c r="E847" s="16" t="str">
        <f>IFERROR(__xludf.DUMMYFUNCTION("IFERROR(
  TEXTJOIN(CHAR(10),TRUE,FILTER('SUMMARY DATA'!E:E,'SUMMARY DATA'!$A:$A=$A847,'SUMMARY DATA'!$C:$C=$B847,'SUMMARY DATA'!$B:$B=""RWS"")),
  IF(
    OR(
      ISNUMBER(SEARCH(""CDM CASH DEPOSIT"",$C847)),
      ISNUMBER(SEARCH(""CASH DEPOSIT"",$C84"&amp;"7)),
      COUNTIFS('SUMMARY DATA'!$D:$D,$C847,'SUMMARY DATA'!$B:$B,""RWS"")&lt;&gt;1
    ),
    """",
    IFERROR(TEXTJOIN(CHAR(10),TRUE,FILTER('SUMMARY DATA'!E:E,'SUMMARY DATA'!$D:$D=$C847,'SUMMARY DATA'!$B:$B=""RWS"")),"""")
  )
)"),"")</f>
      </c>
      <c r="F847" s="17" t="str">
        <f>IFERROR(__xludf.DUMMYFUNCTION("IFERROR(
  TEXTJOIN(CHAR(10),TRUE,FILTER('SUMMARY DATA'!F:F,'SUMMARY DATA'!$A:$A=$A847,'SUMMARY DATA'!$C:$C=$B847,'SUMMARY DATA'!$B:$B=""RWS"")),
  IF(
    OR(
      ISNUMBER(SEARCH(""CDM CASH DEPOSIT"",$C847)),
      ISNUMBER(SEARCH(""CASH DEPOSIT"",$C84"&amp;"7)),
      COUNTIFS('SUMMARY DATA'!$D:$D,$C847,'SUMMARY DATA'!$B:$B,""RWS"")&lt;&gt;1
    ),
    """",
    IFERROR(TEXTJOIN(CHAR(10),TRUE,FILTER('SUMMARY DATA'!F:F,'SUMMARY DATA'!$D:$D=$C847,'SUMMARY DATA'!$B:$B=""RWS"")),"""")
  )
)"),"")</f>
      </c>
      <c r="G847" s="17" t="str">
        <f>IFERROR(__xludf.DUMMYFUNCTION("IFERROR(
  TEXTJOIN(CHAR(10),TRUE,FILTER('SUMMARY DATA'!G:G,'SUMMARY DATA'!$A:$A=$A847,'SUMMARY DATA'!$C:$C=$B847,'SUMMARY DATA'!$B:$B=""RWS"")),
  IF(
    OR(
      ISNUMBER(SEARCH(""CDM CASH DEPOSIT"",$C847)),
      ISNUMBER(SEARCH(""CASH DEPOSIT"",$C84"&amp;"7)),
      COUNTIFS('SUMMARY DATA'!$D:$D,$C847,'SUMMARY DATA'!$B:$B,""RWS"")&lt;&gt;1
    ),
    """",
    IFERROR(TEXTJOIN(CHAR(10),TRUE,FILTER('SUMMARY DATA'!G:G,'SUMMARY DATA'!$D:$D=$C847,'SUMMARY DATA'!$B:$B=""RWS"")),"""")
  )
)"),"")</f>
      </c>
      <c r="H847" s="18" t="str">
        <f>IFERROR(__xludf.DUMMYFUNCTION("IFERROR(
  TEXTJOIN(CHAR(10),TRUE,FILTER('SUMMARY DATA'!H:H,'SUMMARY DATA'!$A:$A=$A847,'SUMMARY DATA'!$C:$C=$B847,'SUMMARY DATA'!$B:$B=""RWS"",'SUMMARY DATA'!$H:$H=$D847)),
  IF(
    OR(
      ISNUMBER(SEARCH(""CDM CASH DEPOSIT"",$C847)),
      ISNUMBER(S"&amp;"EARCH(""CASH DEPOSIT"",$C847))
    ),
    """",
    IFERROR(TEXTJOIN(CHAR(10),TRUE,FILTER('SUMMARY DATA'!H:H,'SUMMARY DATA'!$D:$D=$C847,'SUMMARY DATA'!$B:$B=""RWS"",'SUMMARY DATA'!$H:$H=$D847)),"""")
  )
)"),"")</f>
      </c>
      <c r="I847" s="18" t="str">
        <f>IFERROR(__xludf.DUMMYFUNCTION("IF(H847="""","""",
SUM(ARRAYFORMULA(VALUE(SPLIT(H847,CHAR(10)))))
)"),"")</f>
      </c>
      <c r="J847" s="17" t="str">
        <f>IFERROR(__xludf.DUMMYFUNCTION("IFERROR(
  TEXTJOIN(CHAR(10),TRUE,FILTER('SUMMARY DATA'!I:I,'SUMMARY DATA'!$A:$A=$A847,'SUMMARY DATA'!$C:$C=$B847,'SUMMARY DATA'!$B:$B=""RWS"")),
  IF(
    OR(
      ISNUMBER(SEARCH(""CDM CASH DEPOSIT"",$C847)),
      ISNUMBER(SEARCH(""CASH DEPOSIT"",$C84"&amp;"7)),
      COUNTIFS('SUMMARY DATA'!$D:$D,$C847,'SUMMARY DATA'!$B:$B,""RWS"")&lt;&gt;1
    ),
    """",
    IFERROR(TEXTJOIN(CHAR(10),TRUE,FILTER('SUMMARY DATA'!I:I,'SUMMARY DATA'!$D:$D=$C847,'SUMMARY DATA'!$B:$B=""RWS"")),"""")
  )
)"),"")</f>
      </c>
      <c r="K847" s="2"/>
      <c r="L847" s="2"/>
      <c r="M847" s="2"/>
      <c r="N847" s="2"/>
      <c r="O847" s="2"/>
      <c r="P847" s="2"/>
      <c r="Q847" s="2"/>
      <c r="R847" s="2"/>
      <c r="S847" s="2"/>
      <c r="T847" s="2"/>
      <c r="U847" s="2"/>
      <c r="V847" s="2"/>
      <c r="W847" s="2"/>
      <c r="X847" s="2"/>
      <c r="Y847" s="2"/>
      <c r="Z847" s="2"/>
      <c r="AA847" s="2"/>
      <c r="AB847" s="2"/>
    </row>
    <row r="848" spans="1:28" customHeight="true">
      <c r="A848" s="2" t="s">
        <v>1357</v>
      </c>
      <c r="B848" s="15">
        <v>46073</v>
      </c>
      <c r="C848" s="2" t="s">
        <v>1358</v>
      </c>
      <c r="D848" s="3">
        <v>15</v>
      </c>
      <c r="E848" s="16" t="str">
        <f>IFERROR(__xludf.DUMMYFUNCTION("IFERROR(
  TEXTJOIN(CHAR(10),TRUE,FILTER('SUMMARY DATA'!E:E,'SUMMARY DATA'!$A:$A=$A848,'SUMMARY DATA'!$C:$C=$B848,'SUMMARY DATA'!$B:$B=""RWS"")),
  IF(
    OR(
      ISNUMBER(SEARCH(""CDM CASH DEPOSIT"",$C848)),
      ISNUMBER(SEARCH(""CASH DEPOSIT"",$C84"&amp;"8)),
      COUNTIFS('SUMMARY DATA'!$D:$D,$C848,'SUMMARY DATA'!$B:$B,""RWS"")&lt;&gt;1
    ),
    """",
    IFERROR(TEXTJOIN(CHAR(10),TRUE,FILTER('SUMMARY DATA'!E:E,'SUMMARY DATA'!$D:$D=$C848,'SUMMARY DATA'!$B:$B=""RWS"")),"""")
  )
)"),"")</f>
      </c>
      <c r="F848" s="17" t="str">
        <f>IFERROR(__xludf.DUMMYFUNCTION("IFERROR(
  TEXTJOIN(CHAR(10),TRUE,FILTER('SUMMARY DATA'!F:F,'SUMMARY DATA'!$A:$A=$A848,'SUMMARY DATA'!$C:$C=$B848,'SUMMARY DATA'!$B:$B=""RWS"")),
  IF(
    OR(
      ISNUMBER(SEARCH(""CDM CASH DEPOSIT"",$C848)),
      ISNUMBER(SEARCH(""CASH DEPOSIT"",$C84"&amp;"8)),
      COUNTIFS('SUMMARY DATA'!$D:$D,$C848,'SUMMARY DATA'!$B:$B,""RWS"")&lt;&gt;1
    ),
    """",
    IFERROR(TEXTJOIN(CHAR(10),TRUE,FILTER('SUMMARY DATA'!F:F,'SUMMARY DATA'!$D:$D=$C848,'SUMMARY DATA'!$B:$B=""RWS"")),"""")
  )
)"),"")</f>
      </c>
      <c r="G848" s="17" t="str">
        <f>IFERROR(__xludf.DUMMYFUNCTION("IFERROR(
  TEXTJOIN(CHAR(10),TRUE,FILTER('SUMMARY DATA'!G:G,'SUMMARY DATA'!$A:$A=$A848,'SUMMARY DATA'!$C:$C=$B848,'SUMMARY DATA'!$B:$B=""RWS"")),
  IF(
    OR(
      ISNUMBER(SEARCH(""CDM CASH DEPOSIT"",$C848)),
      ISNUMBER(SEARCH(""CASH DEPOSIT"",$C84"&amp;"8)),
      COUNTIFS('SUMMARY DATA'!$D:$D,$C848,'SUMMARY DATA'!$B:$B,""RWS"")&lt;&gt;1
    ),
    """",
    IFERROR(TEXTJOIN(CHAR(10),TRUE,FILTER('SUMMARY DATA'!G:G,'SUMMARY DATA'!$D:$D=$C848,'SUMMARY DATA'!$B:$B=""RWS"")),"""")
  )
)"),"")</f>
      </c>
      <c r="H848" s="18" t="str">
        <f>IFERROR(__xludf.DUMMYFUNCTION("IFERROR(
  TEXTJOIN(CHAR(10),TRUE,FILTER('SUMMARY DATA'!H:H,'SUMMARY DATA'!$A:$A=$A848,'SUMMARY DATA'!$C:$C=$B848,'SUMMARY DATA'!$B:$B=""RWS"",'SUMMARY DATA'!$H:$H=$D848)),
  IF(
    OR(
      ISNUMBER(SEARCH(""CDM CASH DEPOSIT"",$C848)),
      ISNUMBER(S"&amp;"EARCH(""CASH DEPOSIT"",$C848))
    ),
    """",
    IFERROR(TEXTJOIN(CHAR(10),TRUE,FILTER('SUMMARY DATA'!H:H,'SUMMARY DATA'!$D:$D=$C848,'SUMMARY DATA'!$B:$B=""RWS"",'SUMMARY DATA'!$H:$H=$D848)),"""")
  )
)"),"")</f>
      </c>
      <c r="I848" s="18" t="str">
        <f>IFERROR(__xludf.DUMMYFUNCTION("IF(H848="""","""",
SUM(ARRAYFORMULA(VALUE(SPLIT(H848,CHAR(10)))))
)"),"")</f>
      </c>
      <c r="J848" s="17" t="str">
        <f>IFERROR(__xludf.DUMMYFUNCTION("IFERROR(
  TEXTJOIN(CHAR(10),TRUE,FILTER('SUMMARY DATA'!I:I,'SUMMARY DATA'!$A:$A=$A848,'SUMMARY DATA'!$C:$C=$B848,'SUMMARY DATA'!$B:$B=""RWS"")),
  IF(
    OR(
      ISNUMBER(SEARCH(""CDM CASH DEPOSIT"",$C848)),
      ISNUMBER(SEARCH(""CASH DEPOSIT"",$C84"&amp;"8)),
      COUNTIFS('SUMMARY DATA'!$D:$D,$C848,'SUMMARY DATA'!$B:$B,""RWS"")&lt;&gt;1
    ),
    """",
    IFERROR(TEXTJOIN(CHAR(10),TRUE,FILTER('SUMMARY DATA'!I:I,'SUMMARY DATA'!$D:$D=$C848,'SUMMARY DATA'!$B:$B=""RWS"")),"""")
  )
)"),"")</f>
      </c>
      <c r="K848" s="2"/>
      <c r="L848" s="2"/>
      <c r="M848" s="2"/>
      <c r="N848" s="2"/>
      <c r="O848" s="2"/>
      <c r="P848" s="2"/>
      <c r="Q848" s="2"/>
      <c r="R848" s="2"/>
      <c r="S848" s="2"/>
      <c r="T848" s="2"/>
      <c r="U848" s="2"/>
      <c r="V848" s="2"/>
      <c r="W848" s="2"/>
      <c r="X848" s="2"/>
      <c r="Y848" s="2"/>
      <c r="Z848" s="2"/>
      <c r="AA848" s="2"/>
      <c r="AB848" s="2"/>
    </row>
    <row r="849" spans="1:28" customHeight="true">
      <c r="A849" s="2" t="s">
        <v>1359</v>
      </c>
      <c r="B849" s="15">
        <v>46074</v>
      </c>
      <c r="C849" s="2" t="s">
        <v>1360</v>
      </c>
      <c r="D849" s="3">
        <v>58</v>
      </c>
      <c r="E849" s="16" t="s">
        <v>2495</v>
      </c>
      <c r="F849" s="17" t="s">
        <v>2704</v>
      </c>
      <c r="G849" s="17" t="s">
        <v>2393</v>
      </c>
      <c r="H849" s="18">
        <v>58</v>
      </c>
      <c r="I849" s="18">
        <v>58</v>
      </c>
      <c r="J849" s="17" t="s">
        <v>2394</v>
      </c>
      <c r="K849" s="2" t="s">
        <v>2395</v>
      </c>
      <c r="L849" s="2"/>
      <c r="M849" s="2"/>
      <c r="N849" s="2"/>
      <c r="O849" s="2"/>
      <c r="P849" s="2"/>
      <c r="Q849" s="2"/>
      <c r="R849" s="2"/>
      <c r="S849" s="2"/>
      <c r="T849" s="2"/>
      <c r="U849" s="2"/>
      <c r="V849" s="2"/>
      <c r="W849" s="2"/>
      <c r="X849" s="2"/>
      <c r="Y849" s="2"/>
      <c r="Z849" s="2"/>
      <c r="AA849" s="2"/>
      <c r="AB849" s="2"/>
    </row>
    <row r="850" spans="1:28" customHeight="true">
      <c r="A850" s="2" t="s">
        <v>1361</v>
      </c>
      <c r="B850" s="15">
        <v>46076</v>
      </c>
      <c r="C850" s="2" t="s">
        <v>1362</v>
      </c>
      <c r="D850" s="3">
        <v>40</v>
      </c>
      <c r="E850" s="16" t="s">
        <v>2667</v>
      </c>
      <c r="F850" s="17" t="s">
        <v>2705</v>
      </c>
      <c r="G850" s="17" t="s">
        <v>2393</v>
      </c>
      <c r="H850" s="18">
        <v>40</v>
      </c>
      <c r="I850" s="18">
        <v>40</v>
      </c>
      <c r="J850" s="17" t="s">
        <v>2394</v>
      </c>
      <c r="K850" s="2" t="s">
        <v>2395</v>
      </c>
      <c r="L850" s="2"/>
      <c r="M850" s="2"/>
      <c r="N850" s="2"/>
      <c r="O850" s="2"/>
      <c r="P850" s="2"/>
      <c r="Q850" s="2"/>
      <c r="R850" s="2"/>
      <c r="S850" s="2"/>
      <c r="T850" s="2"/>
      <c r="U850" s="2"/>
      <c r="V850" s="2"/>
      <c r="W850" s="2"/>
      <c r="X850" s="2"/>
      <c r="Y850" s="2"/>
      <c r="Z850" s="2"/>
      <c r="AA850" s="2"/>
      <c r="AB850" s="2"/>
    </row>
    <row r="851" spans="1:28" customHeight="true">
      <c r="A851" s="2" t="s">
        <v>967</v>
      </c>
      <c r="B851" s="15">
        <v>46078</v>
      </c>
      <c r="C851" s="2" t="s">
        <v>1363</v>
      </c>
      <c r="D851" s="3">
        <v>331.75</v>
      </c>
      <c r="E851" s="16" t="str">
        <f>IFERROR(__xludf.DUMMYFUNCTION("IFERROR(
  TEXTJOIN(CHAR(10),TRUE,FILTER('SUMMARY DATA'!E:E,'SUMMARY DATA'!$A:$A=$A851,'SUMMARY DATA'!$C:$C=$B851,'SUMMARY DATA'!$B:$B=""RWS"")),
  IF(
    OR(
      ISNUMBER(SEARCH(""CDM CASH DEPOSIT"",$C851)),
      ISNUMBER(SEARCH(""CASH DEPOSIT"",$C85"&amp;"1)),
      COUNTIFS('SUMMARY DATA'!$D:$D,$C851,'SUMMARY DATA'!$B:$B,""RWS"")&lt;&gt;1
    ),
    """",
    IFERROR(TEXTJOIN(CHAR(10),TRUE,FILTER('SUMMARY DATA'!E:E,'SUMMARY DATA'!$D:$D=$C851,'SUMMARY DATA'!$B:$B=""RWS"")),"""")
  )
)"),"")</f>
      </c>
      <c r="F851" s="17" t="str">
        <f>IFERROR(__xludf.DUMMYFUNCTION("IFERROR(
  TEXTJOIN(CHAR(10),TRUE,FILTER('SUMMARY DATA'!F:F,'SUMMARY DATA'!$A:$A=$A851,'SUMMARY DATA'!$C:$C=$B851,'SUMMARY DATA'!$B:$B=""RWS"")),
  IF(
    OR(
      ISNUMBER(SEARCH(""CDM CASH DEPOSIT"",$C851)),
      ISNUMBER(SEARCH(""CASH DEPOSIT"",$C85"&amp;"1)),
      COUNTIFS('SUMMARY DATA'!$D:$D,$C851,'SUMMARY DATA'!$B:$B,""RWS"")&lt;&gt;1
    ),
    """",
    IFERROR(TEXTJOIN(CHAR(10),TRUE,FILTER('SUMMARY DATA'!F:F,'SUMMARY DATA'!$D:$D=$C851,'SUMMARY DATA'!$B:$B=""RWS"")),"""")
  )
)"),"")</f>
      </c>
      <c r="G851" s="17" t="str">
        <f>IFERROR(__xludf.DUMMYFUNCTION("IFERROR(
  TEXTJOIN(CHAR(10),TRUE,FILTER('SUMMARY DATA'!G:G,'SUMMARY DATA'!$A:$A=$A851,'SUMMARY DATA'!$C:$C=$B851,'SUMMARY DATA'!$B:$B=""RWS"")),
  IF(
    OR(
      ISNUMBER(SEARCH(""CDM CASH DEPOSIT"",$C851)),
      ISNUMBER(SEARCH(""CASH DEPOSIT"",$C85"&amp;"1)),
      COUNTIFS('SUMMARY DATA'!$D:$D,$C851,'SUMMARY DATA'!$B:$B,""RWS"")&lt;&gt;1
    ),
    """",
    IFERROR(TEXTJOIN(CHAR(10),TRUE,FILTER('SUMMARY DATA'!G:G,'SUMMARY DATA'!$D:$D=$C851,'SUMMARY DATA'!$B:$B=""RWS"")),"""")
  )
)"),"")</f>
      </c>
      <c r="H851" s="18" t="str">
        <f>IFERROR(__xludf.DUMMYFUNCTION("IFERROR(
  TEXTJOIN(CHAR(10),TRUE,FILTER('SUMMARY DATA'!H:H,'SUMMARY DATA'!$A:$A=$A851,'SUMMARY DATA'!$C:$C=$B851,'SUMMARY DATA'!$B:$B=""RWS"",'SUMMARY DATA'!$H:$H=$D851)),
  IF(
    OR(
      ISNUMBER(SEARCH(""CDM CASH DEPOSIT"",$C851)),
      ISNUMBER(S"&amp;"EARCH(""CASH DEPOSIT"",$C851))
    ),
    """",
    IFERROR(TEXTJOIN(CHAR(10),TRUE,FILTER('SUMMARY DATA'!H:H,'SUMMARY DATA'!$D:$D=$C851,'SUMMARY DATA'!$B:$B=""RWS"",'SUMMARY DATA'!$H:$H=$D851)),"""")
  )
)"),"")</f>
      </c>
      <c r="I851" s="18" t="str">
        <f>IFERROR(__xludf.DUMMYFUNCTION("IF(H851="""","""",
SUM(ARRAYFORMULA(VALUE(SPLIT(H851,CHAR(10)))))
)"),"")</f>
      </c>
      <c r="J851" s="17" t="str">
        <f>IFERROR(__xludf.DUMMYFUNCTION("IFERROR(
  TEXTJOIN(CHAR(10),TRUE,FILTER('SUMMARY DATA'!I:I,'SUMMARY DATA'!$A:$A=$A851,'SUMMARY DATA'!$C:$C=$B851,'SUMMARY DATA'!$B:$B=""RWS"")),
  IF(
    OR(
      ISNUMBER(SEARCH(""CDM CASH DEPOSIT"",$C851)),
      ISNUMBER(SEARCH(""CASH DEPOSIT"",$C85"&amp;"1)),
      COUNTIFS('SUMMARY DATA'!$D:$D,$C851,'SUMMARY DATA'!$B:$B,""RWS"")&lt;&gt;1
    ),
    """",
    IFERROR(TEXTJOIN(CHAR(10),TRUE,FILTER('SUMMARY DATA'!I:I,'SUMMARY DATA'!$D:$D=$C851,'SUMMARY DATA'!$B:$B=""RWS"")),"""")
  )
)"),"")</f>
      </c>
      <c r="K851" s="2"/>
      <c r="L851" s="2"/>
      <c r="M851" s="2"/>
      <c r="N851" s="2"/>
      <c r="O851" s="2"/>
      <c r="P851" s="2"/>
      <c r="Q851" s="2"/>
      <c r="R851" s="2"/>
      <c r="S851" s="2"/>
      <c r="T851" s="2"/>
      <c r="U851" s="2"/>
      <c r="V851" s="2"/>
      <c r="W851" s="2"/>
      <c r="X851" s="2"/>
      <c r="Y851" s="2"/>
      <c r="Z851" s="2"/>
      <c r="AA851" s="2"/>
      <c r="AB851" s="2"/>
    </row>
    <row r="852" spans="1:28" customHeight="true">
      <c r="A852" s="2" t="s">
        <v>1364</v>
      </c>
      <c r="B852" s="15">
        <v>46078</v>
      </c>
      <c r="C852" s="2" t="s">
        <v>1365</v>
      </c>
      <c r="D852" s="3">
        <v>172</v>
      </c>
      <c r="E852" s="16" t="s">
        <v>2587</v>
      </c>
      <c r="F852" s="17" t="s">
        <v>2706</v>
      </c>
      <c r="G852" s="17" t="s">
        <v>2393</v>
      </c>
      <c r="H852" s="18">
        <v>172</v>
      </c>
      <c r="I852" s="18">
        <v>172</v>
      </c>
      <c r="J852" s="17" t="s">
        <v>2394</v>
      </c>
      <c r="K852" s="2" t="s">
        <v>2395</v>
      </c>
      <c r="L852" s="2"/>
      <c r="M852" s="2"/>
      <c r="N852" s="2"/>
      <c r="O852" s="2"/>
      <c r="P852" s="2"/>
      <c r="Q852" s="2"/>
      <c r="R852" s="2"/>
      <c r="S852" s="2"/>
      <c r="T852" s="2"/>
      <c r="U852" s="2"/>
      <c r="V852" s="2"/>
      <c r="W852" s="2"/>
      <c r="X852" s="2"/>
      <c r="Y852" s="2"/>
      <c r="Z852" s="2"/>
      <c r="AA852" s="2"/>
      <c r="AB852" s="2"/>
    </row>
    <row r="853" spans="1:28" customHeight="true">
      <c r="A853" s="2" t="s">
        <v>1366</v>
      </c>
      <c r="B853" s="15">
        <v>46079</v>
      </c>
      <c r="C853" s="2" t="s">
        <v>1367</v>
      </c>
      <c r="D853" s="3">
        <v>142.5</v>
      </c>
      <c r="E853" s="16" t="s">
        <v>2667</v>
      </c>
      <c r="F853" s="17" t="s">
        <v>2707</v>
      </c>
      <c r="G853" s="17" t="s">
        <v>2393</v>
      </c>
      <c r="H853" s="18">
        <v>142.5</v>
      </c>
      <c r="I853" s="18">
        <v>142.5</v>
      </c>
      <c r="J853" s="17" t="s">
        <v>2394</v>
      </c>
      <c r="K853" s="2" t="s">
        <v>2395</v>
      </c>
      <c r="L853" s="2"/>
      <c r="M853" s="2"/>
      <c r="N853" s="2"/>
      <c r="O853" s="2"/>
      <c r="P853" s="2"/>
      <c r="Q853" s="2"/>
      <c r="R853" s="2"/>
      <c r="S853" s="2"/>
      <c r="T853" s="2"/>
      <c r="U853" s="2"/>
      <c r="V853" s="2"/>
      <c r="W853" s="2"/>
      <c r="X853" s="2"/>
      <c r="Y853" s="2"/>
      <c r="Z853" s="2"/>
      <c r="AA853" s="2"/>
      <c r="AB853" s="2"/>
    </row>
    <row r="854" spans="1:28" customHeight="true">
      <c r="A854" s="2" t="s">
        <v>1368</v>
      </c>
      <c r="B854" s="15">
        <v>46079</v>
      </c>
      <c r="C854" s="2" t="s">
        <v>1369</v>
      </c>
      <c r="D854" s="3">
        <v>259.98</v>
      </c>
      <c r="E854" s="16" t="s">
        <v>2587</v>
      </c>
      <c r="F854" s="17" t="s">
        <v>2708</v>
      </c>
      <c r="G854" s="17" t="s">
        <v>2393</v>
      </c>
      <c r="H854" s="18">
        <v>259.98</v>
      </c>
      <c r="I854" s="18">
        <v>259.98</v>
      </c>
      <c r="J854" s="17" t="s">
        <v>2394</v>
      </c>
      <c r="K854" s="2" t="s">
        <v>2395</v>
      </c>
      <c r="L854" s="2"/>
      <c r="M854" s="2"/>
      <c r="N854" s="2"/>
      <c r="O854" s="2"/>
      <c r="P854" s="2"/>
      <c r="Q854" s="2"/>
      <c r="R854" s="2"/>
      <c r="S854" s="2"/>
      <c r="T854" s="2"/>
      <c r="U854" s="2"/>
      <c r="V854" s="2"/>
      <c r="W854" s="2"/>
      <c r="X854" s="2"/>
      <c r="Y854" s="2"/>
      <c r="Z854" s="2"/>
      <c r="AA854" s="2"/>
      <c r="AB854" s="2"/>
    </row>
    <row r="855" spans="1:28" customHeight="true">
      <c r="A855" s="2" t="s">
        <v>1370</v>
      </c>
      <c r="B855" s="15">
        <v>46079</v>
      </c>
      <c r="C855" s="2" t="s">
        <v>1371</v>
      </c>
      <c r="D855" s="3">
        <v>88</v>
      </c>
      <c r="E855" s="16" t="s">
        <v>2679</v>
      </c>
      <c r="F855" s="17" t="s">
        <v>2709</v>
      </c>
      <c r="G855" s="17" t="s">
        <v>2393</v>
      </c>
      <c r="H855" s="18">
        <v>88</v>
      </c>
      <c r="I855" s="18">
        <v>88</v>
      </c>
      <c r="J855" s="17" t="s">
        <v>2394</v>
      </c>
      <c r="K855" s="2" t="s">
        <v>2395</v>
      </c>
      <c r="L855" s="2"/>
      <c r="M855" s="2"/>
      <c r="N855" s="2"/>
      <c r="O855" s="2"/>
      <c r="P855" s="2"/>
      <c r="Q855" s="2"/>
      <c r="R855" s="2"/>
      <c r="S855" s="2"/>
      <c r="T855" s="2"/>
      <c r="U855" s="2"/>
      <c r="V855" s="2"/>
      <c r="W855" s="2"/>
      <c r="X855" s="2"/>
      <c r="Y855" s="2"/>
      <c r="Z855" s="2"/>
      <c r="AA855" s="2"/>
      <c r="AB855" s="2"/>
    </row>
    <row r="856" spans="1:28" customHeight="true">
      <c r="A856" s="2" t="s">
        <v>1372</v>
      </c>
      <c r="B856" s="15">
        <v>46080</v>
      </c>
      <c r="C856" s="2" t="s">
        <v>1373</v>
      </c>
      <c r="D856" s="3">
        <v>163.98</v>
      </c>
      <c r="E856" s="16" t="s">
        <v>2679</v>
      </c>
      <c r="F856" s="17" t="s">
        <v>2710</v>
      </c>
      <c r="G856" s="17" t="s">
        <v>2393</v>
      </c>
      <c r="H856" s="18">
        <v>163.98</v>
      </c>
      <c r="I856" s="18">
        <v>163.98</v>
      </c>
      <c r="J856" s="17" t="s">
        <v>2394</v>
      </c>
      <c r="K856" s="2" t="s">
        <v>2395</v>
      </c>
      <c r="L856" s="2"/>
      <c r="M856" s="2"/>
      <c r="N856" s="2"/>
      <c r="O856" s="2"/>
      <c r="P856" s="2"/>
      <c r="Q856" s="2"/>
      <c r="R856" s="2"/>
      <c r="S856" s="2"/>
      <c r="T856" s="2"/>
      <c r="U856" s="2"/>
      <c r="V856" s="2"/>
      <c r="W856" s="2"/>
      <c r="X856" s="2"/>
      <c r="Y856" s="2"/>
      <c r="Z856" s="2"/>
      <c r="AA856" s="2"/>
      <c r="AB856" s="2"/>
    </row>
    <row r="857" spans="1:28" customHeight="true">
      <c r="A857" s="2" t="s">
        <v>1374</v>
      </c>
      <c r="B857" s="15">
        <v>46080</v>
      </c>
      <c r="C857" s="2" t="s">
        <v>1375</v>
      </c>
      <c r="D857" s="3">
        <v>271.54</v>
      </c>
      <c r="E857" s="16" t="str">
        <f>IFERROR(__xludf.DUMMYFUNCTION("IFERROR(
  TEXTJOIN(CHAR(10),TRUE,FILTER('SUMMARY DATA'!E:E,'SUMMARY DATA'!$A:$A=$A857,'SUMMARY DATA'!$C:$C=$B857,'SUMMARY DATA'!$B:$B=""RWS"")),
  IF(
    OR(
      ISNUMBER(SEARCH(""CDM CASH DEPOSIT"",$C857)),
      ISNUMBER(SEARCH(""CASH DEPOSIT"",$C85"&amp;"7)),
      COUNTIFS('SUMMARY DATA'!$D:$D,$C857,'SUMMARY DATA'!$B:$B,""RWS"")&lt;&gt;1
    ),
    """",
    IFERROR(TEXTJOIN(CHAR(10),TRUE,FILTER('SUMMARY DATA'!E:E,'SUMMARY DATA'!$D:$D=$C857,'SUMMARY DATA'!$B:$B=""RWS"")),"""")
  )
)"),"")</f>
      </c>
      <c r="F857" s="17" t="str">
        <f>IFERROR(__xludf.DUMMYFUNCTION("IFERROR(
  TEXTJOIN(CHAR(10),TRUE,FILTER('SUMMARY DATA'!F:F,'SUMMARY DATA'!$A:$A=$A857,'SUMMARY DATA'!$C:$C=$B857,'SUMMARY DATA'!$B:$B=""RWS"")),
  IF(
    OR(
      ISNUMBER(SEARCH(""CDM CASH DEPOSIT"",$C857)),
      ISNUMBER(SEARCH(""CASH DEPOSIT"",$C85"&amp;"7)),
      COUNTIFS('SUMMARY DATA'!$D:$D,$C857,'SUMMARY DATA'!$B:$B,""RWS"")&lt;&gt;1
    ),
    """",
    IFERROR(TEXTJOIN(CHAR(10),TRUE,FILTER('SUMMARY DATA'!F:F,'SUMMARY DATA'!$D:$D=$C857,'SUMMARY DATA'!$B:$B=""RWS"")),"""")
  )
)"),"")</f>
      </c>
      <c r="G857" s="17" t="str">
        <f>IFERROR(__xludf.DUMMYFUNCTION("IFERROR(
  TEXTJOIN(CHAR(10),TRUE,FILTER('SUMMARY DATA'!G:G,'SUMMARY DATA'!$A:$A=$A857,'SUMMARY DATA'!$C:$C=$B857,'SUMMARY DATA'!$B:$B=""RWS"")),
  IF(
    OR(
      ISNUMBER(SEARCH(""CDM CASH DEPOSIT"",$C857)),
      ISNUMBER(SEARCH(""CASH DEPOSIT"",$C85"&amp;"7)),
      COUNTIFS('SUMMARY DATA'!$D:$D,$C857,'SUMMARY DATA'!$B:$B,""RWS"")&lt;&gt;1
    ),
    """",
    IFERROR(TEXTJOIN(CHAR(10),TRUE,FILTER('SUMMARY DATA'!G:G,'SUMMARY DATA'!$D:$D=$C857,'SUMMARY DATA'!$B:$B=""RWS"")),"""")
  )
)"),"")</f>
      </c>
      <c r="H857" s="18" t="str">
        <f>IFERROR(__xludf.DUMMYFUNCTION("IFERROR(
  TEXTJOIN(CHAR(10),TRUE,FILTER('SUMMARY DATA'!H:H,'SUMMARY DATA'!$A:$A=$A857,'SUMMARY DATA'!$C:$C=$B857,'SUMMARY DATA'!$B:$B=""RWS"",'SUMMARY DATA'!$H:$H=$D857)),
  IF(
    OR(
      ISNUMBER(SEARCH(""CDM CASH DEPOSIT"",$C857)),
      ISNUMBER(S"&amp;"EARCH(""CASH DEPOSIT"",$C857))
    ),
    """",
    IFERROR(TEXTJOIN(CHAR(10),TRUE,FILTER('SUMMARY DATA'!H:H,'SUMMARY DATA'!$D:$D=$C857,'SUMMARY DATA'!$B:$B=""RWS"",'SUMMARY DATA'!$H:$H=$D857)),"""")
  )
)"),"")</f>
      </c>
      <c r="I857" s="18" t="str">
        <f>IFERROR(__xludf.DUMMYFUNCTION("IF(H857="""","""",
SUM(ARRAYFORMULA(VALUE(SPLIT(H857,CHAR(10)))))
)"),"")</f>
      </c>
      <c r="J857" s="17" t="str">
        <f>IFERROR(__xludf.DUMMYFUNCTION("IFERROR(
  TEXTJOIN(CHAR(10),TRUE,FILTER('SUMMARY DATA'!I:I,'SUMMARY DATA'!$A:$A=$A857,'SUMMARY DATA'!$C:$C=$B857,'SUMMARY DATA'!$B:$B=""RWS"")),
  IF(
    OR(
      ISNUMBER(SEARCH(""CDM CASH DEPOSIT"",$C857)),
      ISNUMBER(SEARCH(""CASH DEPOSIT"",$C85"&amp;"7)),
      COUNTIFS('SUMMARY DATA'!$D:$D,$C857,'SUMMARY DATA'!$B:$B,""RWS"")&lt;&gt;1
    ),
    """",
    IFERROR(TEXTJOIN(CHAR(10),TRUE,FILTER('SUMMARY DATA'!I:I,'SUMMARY DATA'!$D:$D=$C857,'SUMMARY DATA'!$B:$B=""RWS"")),"""")
  )
)"),"")</f>
      </c>
      <c r="K857" s="2"/>
      <c r="L857" s="2"/>
      <c r="M857" s="2"/>
      <c r="N857" s="2"/>
      <c r="O857" s="2"/>
      <c r="P857" s="2"/>
      <c r="Q857" s="2"/>
      <c r="R857" s="2"/>
      <c r="S857" s="2"/>
      <c r="T857" s="2"/>
      <c r="U857" s="2"/>
      <c r="V857" s="2"/>
      <c r="W857" s="2"/>
      <c r="X857" s="2"/>
      <c r="Y857" s="2"/>
      <c r="Z857" s="2"/>
      <c r="AA857" s="2"/>
      <c r="AB857" s="2"/>
    </row>
    <row r="858" spans="1:28" customHeight="true">
      <c r="A858" s="2" t="s">
        <v>1376</v>
      </c>
      <c r="B858" s="15">
        <v>46080</v>
      </c>
      <c r="C858" s="2" t="s">
        <v>1375</v>
      </c>
      <c r="D858" s="3">
        <v>62.96</v>
      </c>
      <c r="E858" s="16" t="str">
        <f>IFERROR(__xludf.DUMMYFUNCTION("IFERROR(
  TEXTJOIN(CHAR(10),TRUE,FILTER('SUMMARY DATA'!E:E,'SUMMARY DATA'!$A:$A=$A858,'SUMMARY DATA'!$C:$C=$B858,'SUMMARY DATA'!$B:$B=""RWS"")),
  IF(
    OR(
      ISNUMBER(SEARCH(""CDM CASH DEPOSIT"",$C858)),
      ISNUMBER(SEARCH(""CASH DEPOSIT"",$C85"&amp;"8)),
      COUNTIFS('SUMMARY DATA'!$D:$D,$C858,'SUMMARY DATA'!$B:$B,""RWS"")&lt;&gt;1
    ),
    """",
    IFERROR(TEXTJOIN(CHAR(10),TRUE,FILTER('SUMMARY DATA'!E:E,'SUMMARY DATA'!$D:$D=$C858,'SUMMARY DATA'!$B:$B=""RWS"")),"""")
  )
)"),"")</f>
      </c>
      <c r="F858" s="17" t="str">
        <f>IFERROR(__xludf.DUMMYFUNCTION("IFERROR(
  TEXTJOIN(CHAR(10),TRUE,FILTER('SUMMARY DATA'!F:F,'SUMMARY DATA'!$A:$A=$A858,'SUMMARY DATA'!$C:$C=$B858,'SUMMARY DATA'!$B:$B=""RWS"")),
  IF(
    OR(
      ISNUMBER(SEARCH(""CDM CASH DEPOSIT"",$C858)),
      ISNUMBER(SEARCH(""CASH DEPOSIT"",$C85"&amp;"8)),
      COUNTIFS('SUMMARY DATA'!$D:$D,$C858,'SUMMARY DATA'!$B:$B,""RWS"")&lt;&gt;1
    ),
    """",
    IFERROR(TEXTJOIN(CHAR(10),TRUE,FILTER('SUMMARY DATA'!F:F,'SUMMARY DATA'!$D:$D=$C858,'SUMMARY DATA'!$B:$B=""RWS"")),"""")
  )
)"),"")</f>
      </c>
      <c r="G858" s="17" t="str">
        <f>IFERROR(__xludf.DUMMYFUNCTION("IFERROR(
  TEXTJOIN(CHAR(10),TRUE,FILTER('SUMMARY DATA'!G:G,'SUMMARY DATA'!$A:$A=$A858,'SUMMARY DATA'!$C:$C=$B858,'SUMMARY DATA'!$B:$B=""RWS"")),
  IF(
    OR(
      ISNUMBER(SEARCH(""CDM CASH DEPOSIT"",$C858)),
      ISNUMBER(SEARCH(""CASH DEPOSIT"",$C85"&amp;"8)),
      COUNTIFS('SUMMARY DATA'!$D:$D,$C858,'SUMMARY DATA'!$B:$B,""RWS"")&lt;&gt;1
    ),
    """",
    IFERROR(TEXTJOIN(CHAR(10),TRUE,FILTER('SUMMARY DATA'!G:G,'SUMMARY DATA'!$D:$D=$C858,'SUMMARY DATA'!$B:$B=""RWS"")),"""")
  )
)"),"")</f>
      </c>
      <c r="H858" s="18" t="str">
        <f>IFERROR(__xludf.DUMMYFUNCTION("IFERROR(
  TEXTJOIN(CHAR(10),TRUE,FILTER('SUMMARY DATA'!H:H,'SUMMARY DATA'!$A:$A=$A858,'SUMMARY DATA'!$C:$C=$B858,'SUMMARY DATA'!$B:$B=""RWS"",'SUMMARY DATA'!$H:$H=$D858)),
  IF(
    OR(
      ISNUMBER(SEARCH(""CDM CASH DEPOSIT"",$C858)),
      ISNUMBER(S"&amp;"EARCH(""CASH DEPOSIT"",$C858))
    ),
    """",
    IFERROR(TEXTJOIN(CHAR(10),TRUE,FILTER('SUMMARY DATA'!H:H,'SUMMARY DATA'!$D:$D=$C858,'SUMMARY DATA'!$B:$B=""RWS"",'SUMMARY DATA'!$H:$H=$D858)),"""")
  )
)"),"")</f>
      </c>
      <c r="I858" s="18" t="str">
        <f>IFERROR(__xludf.DUMMYFUNCTION("IF(H858="""","""",
SUM(ARRAYFORMULA(VALUE(SPLIT(H858,CHAR(10)))))
)"),"")</f>
      </c>
      <c r="J858" s="17" t="str">
        <f>IFERROR(__xludf.DUMMYFUNCTION("IFERROR(
  TEXTJOIN(CHAR(10),TRUE,FILTER('SUMMARY DATA'!I:I,'SUMMARY DATA'!$A:$A=$A858,'SUMMARY DATA'!$C:$C=$B858,'SUMMARY DATA'!$B:$B=""RWS"")),
  IF(
    OR(
      ISNUMBER(SEARCH(""CDM CASH DEPOSIT"",$C858)),
      ISNUMBER(SEARCH(""CASH DEPOSIT"",$C85"&amp;"8)),
      COUNTIFS('SUMMARY DATA'!$D:$D,$C858,'SUMMARY DATA'!$B:$B,""RWS"")&lt;&gt;1
    ),
    """",
    IFERROR(TEXTJOIN(CHAR(10),TRUE,FILTER('SUMMARY DATA'!I:I,'SUMMARY DATA'!$D:$D=$C858,'SUMMARY DATA'!$B:$B=""RWS"")),"""")
  )
)"),"")</f>
      </c>
      <c r="K858" s="2"/>
      <c r="L858" s="2"/>
      <c r="M858" s="2"/>
      <c r="N858" s="2"/>
      <c r="O858" s="2"/>
      <c r="P858" s="2"/>
      <c r="Q858" s="2"/>
      <c r="R858" s="2"/>
      <c r="S858" s="2"/>
      <c r="T858" s="2"/>
      <c r="U858" s="2"/>
      <c r="V858" s="2"/>
      <c r="W858" s="2"/>
      <c r="X858" s="2"/>
      <c r="Y858" s="2"/>
      <c r="Z858" s="2"/>
      <c r="AA858" s="2"/>
      <c r="AB858" s="2"/>
    </row>
    <row r="859" spans="1:28" customHeight="true">
      <c r="A859" s="2" t="s">
        <v>1377</v>
      </c>
      <c r="B859" s="15">
        <v>46080</v>
      </c>
      <c r="C859" s="2" t="s">
        <v>1378</v>
      </c>
      <c r="D859" s="3">
        <v>188.87</v>
      </c>
      <c r="E859" s="16" t="s">
        <v>2679</v>
      </c>
      <c r="F859" s="17" t="s">
        <v>2711</v>
      </c>
      <c r="G859" s="17" t="s">
        <v>2393</v>
      </c>
      <c r="H859" s="18">
        <v>188.87</v>
      </c>
      <c r="I859" s="18">
        <v>188.87</v>
      </c>
      <c r="J859" s="17" t="s">
        <v>2394</v>
      </c>
      <c r="K859" s="2" t="s">
        <v>2395</v>
      </c>
      <c r="L859" s="2"/>
      <c r="M859" s="2"/>
      <c r="N859" s="2"/>
      <c r="O859" s="2"/>
      <c r="P859" s="2"/>
      <c r="Q859" s="2"/>
      <c r="R859" s="2"/>
      <c r="S859" s="2"/>
      <c r="T859" s="2"/>
      <c r="U859" s="2"/>
      <c r="V859" s="2"/>
      <c r="W859" s="2"/>
      <c r="X859" s="2"/>
      <c r="Y859" s="2"/>
      <c r="Z859" s="2"/>
      <c r="AA859" s="2"/>
      <c r="AB859" s="2"/>
    </row>
    <row r="860" spans="1:28" customHeight="true">
      <c r="A860" s="2" t="s">
        <v>1379</v>
      </c>
      <c r="B860" s="15">
        <v>46080</v>
      </c>
      <c r="C860" s="2" t="s">
        <v>1380</v>
      </c>
      <c r="D860" s="3">
        <v>90.79</v>
      </c>
      <c r="E860" s="16" t="str">
        <f>IFERROR(__xludf.DUMMYFUNCTION("IFERROR(
  TEXTJOIN(CHAR(10),TRUE,FILTER('SUMMARY DATA'!E:E,'SUMMARY DATA'!$A:$A=$A860,'SUMMARY DATA'!$C:$C=$B860,'SUMMARY DATA'!$B:$B=""RWS"")),
  IF(
    OR(
      ISNUMBER(SEARCH(""CDM CASH DEPOSIT"",$C860)),
      ISNUMBER(SEARCH(""CASH DEPOSIT"",$C86"&amp;"0)),
      COUNTIFS('SUMMARY DATA'!$D:$D,$C860,'SUMMARY DATA'!$B:$B,""RWS"")&lt;&gt;1
    ),
    """",
    IFERROR(TEXTJOIN(CHAR(10),TRUE,FILTER('SUMMARY DATA'!E:E,'SUMMARY DATA'!$D:$D=$C860,'SUMMARY DATA'!$B:$B=""RWS"")),"""")
  )
)"),"")</f>
      </c>
      <c r="F860" s="17" t="str">
        <f>IFERROR(__xludf.DUMMYFUNCTION("IFERROR(
  TEXTJOIN(CHAR(10),TRUE,FILTER('SUMMARY DATA'!F:F,'SUMMARY DATA'!$A:$A=$A860,'SUMMARY DATA'!$C:$C=$B860,'SUMMARY DATA'!$B:$B=""RWS"")),
  IF(
    OR(
      ISNUMBER(SEARCH(""CDM CASH DEPOSIT"",$C860)),
      ISNUMBER(SEARCH(""CASH DEPOSIT"",$C86"&amp;"0)),
      COUNTIFS('SUMMARY DATA'!$D:$D,$C860,'SUMMARY DATA'!$B:$B,""RWS"")&lt;&gt;1
    ),
    """",
    IFERROR(TEXTJOIN(CHAR(10),TRUE,FILTER('SUMMARY DATA'!F:F,'SUMMARY DATA'!$D:$D=$C860,'SUMMARY DATA'!$B:$B=""RWS"")),"""")
  )
)"),"")</f>
      </c>
      <c r="G860" s="17" t="str">
        <f>IFERROR(__xludf.DUMMYFUNCTION("IFERROR(
  TEXTJOIN(CHAR(10),TRUE,FILTER('SUMMARY DATA'!G:G,'SUMMARY DATA'!$A:$A=$A860,'SUMMARY DATA'!$C:$C=$B860,'SUMMARY DATA'!$B:$B=""RWS"")),
  IF(
    OR(
      ISNUMBER(SEARCH(""CDM CASH DEPOSIT"",$C860)),
      ISNUMBER(SEARCH(""CASH DEPOSIT"",$C86"&amp;"0)),
      COUNTIFS('SUMMARY DATA'!$D:$D,$C860,'SUMMARY DATA'!$B:$B,""RWS"")&lt;&gt;1
    ),
    """",
    IFERROR(TEXTJOIN(CHAR(10),TRUE,FILTER('SUMMARY DATA'!G:G,'SUMMARY DATA'!$D:$D=$C860,'SUMMARY DATA'!$B:$B=""RWS"")),"""")
  )
)"),"")</f>
      </c>
      <c r="H860" s="18" t="str">
        <f>IFERROR(__xludf.DUMMYFUNCTION("IFERROR(
  TEXTJOIN(CHAR(10),TRUE,FILTER('SUMMARY DATA'!H:H,'SUMMARY DATA'!$A:$A=$A860,'SUMMARY DATA'!$C:$C=$B860,'SUMMARY DATA'!$B:$B=""RWS"",'SUMMARY DATA'!$H:$H=$D860)),
  IF(
    OR(
      ISNUMBER(SEARCH(""CDM CASH DEPOSIT"",$C860)),
      ISNUMBER(S"&amp;"EARCH(""CASH DEPOSIT"",$C860))
    ),
    """",
    IFERROR(TEXTJOIN(CHAR(10),TRUE,FILTER('SUMMARY DATA'!H:H,'SUMMARY DATA'!$D:$D=$C860,'SUMMARY DATA'!$B:$B=""RWS"",'SUMMARY DATA'!$H:$H=$D860)),"""")
  )
)"),"")</f>
      </c>
      <c r="I860" s="18" t="str">
        <f>IFERROR(__xludf.DUMMYFUNCTION("IF(H860="""","""",
SUM(ARRAYFORMULA(VALUE(SPLIT(H860,CHAR(10)))))
)"),"")</f>
      </c>
      <c r="J860" s="17" t="str">
        <f>IFERROR(__xludf.DUMMYFUNCTION("IFERROR(
  TEXTJOIN(CHAR(10),TRUE,FILTER('SUMMARY DATA'!I:I,'SUMMARY DATA'!$A:$A=$A860,'SUMMARY DATA'!$C:$C=$B860,'SUMMARY DATA'!$B:$B=""RWS"")),
  IF(
    OR(
      ISNUMBER(SEARCH(""CDM CASH DEPOSIT"",$C860)),
      ISNUMBER(SEARCH(""CASH DEPOSIT"",$C86"&amp;"0)),
      COUNTIFS('SUMMARY DATA'!$D:$D,$C860,'SUMMARY DATA'!$B:$B,""RWS"")&lt;&gt;1
    ),
    """",
    IFERROR(TEXTJOIN(CHAR(10),TRUE,FILTER('SUMMARY DATA'!I:I,'SUMMARY DATA'!$D:$D=$C860,'SUMMARY DATA'!$B:$B=""RWS"")),"""")
  )
)"),"")</f>
      </c>
      <c r="K860" s="2"/>
      <c r="L860" s="2"/>
      <c r="M860" s="2"/>
      <c r="N860" s="2"/>
      <c r="O860" s="2"/>
      <c r="P860" s="2"/>
      <c r="Q860" s="2"/>
      <c r="R860" s="2"/>
      <c r="S860" s="2"/>
      <c r="T860" s="2"/>
      <c r="U860" s="2"/>
      <c r="V860" s="2"/>
      <c r="W860" s="2"/>
      <c r="X860" s="2"/>
      <c r="Y860" s="2"/>
      <c r="Z860" s="2"/>
      <c r="AA860" s="2"/>
      <c r="AB860" s="2"/>
    </row>
    <row r="861" spans="1:28" customHeight="true">
      <c r="A861" s="2" t="s">
        <v>1381</v>
      </c>
      <c r="B861" s="15">
        <v>46080</v>
      </c>
      <c r="C861" s="2" t="s">
        <v>1382</v>
      </c>
      <c r="D861" s="3">
        <v>30</v>
      </c>
      <c r="E861" s="16" t="str">
        <f>IFERROR(__xludf.DUMMYFUNCTION("IFERROR(
  TEXTJOIN(CHAR(10),TRUE,FILTER('SUMMARY DATA'!E:E,'SUMMARY DATA'!$A:$A=$A861,'SUMMARY DATA'!$C:$C=$B861,'SUMMARY DATA'!$B:$B=""RWS"")),
  IF(
    OR(
      ISNUMBER(SEARCH(""CDM CASH DEPOSIT"",$C861)),
      ISNUMBER(SEARCH(""CASH DEPOSIT"",$C86"&amp;"1)),
      COUNTIFS('SUMMARY DATA'!$D:$D,$C861,'SUMMARY DATA'!$B:$B,""RWS"")&lt;&gt;1
    ),
    """",
    IFERROR(TEXTJOIN(CHAR(10),TRUE,FILTER('SUMMARY DATA'!E:E,'SUMMARY DATA'!$D:$D=$C861,'SUMMARY DATA'!$B:$B=""RWS"")),"""")
  )
)"),"")</f>
      </c>
      <c r="F861" s="17" t="str">
        <f>IFERROR(__xludf.DUMMYFUNCTION("IFERROR(
  TEXTJOIN(CHAR(10),TRUE,FILTER('SUMMARY DATA'!F:F,'SUMMARY DATA'!$A:$A=$A861,'SUMMARY DATA'!$C:$C=$B861,'SUMMARY DATA'!$B:$B=""RWS"")),
  IF(
    OR(
      ISNUMBER(SEARCH(""CDM CASH DEPOSIT"",$C861)),
      ISNUMBER(SEARCH(""CASH DEPOSIT"",$C86"&amp;"1)),
      COUNTIFS('SUMMARY DATA'!$D:$D,$C861,'SUMMARY DATA'!$B:$B,""RWS"")&lt;&gt;1
    ),
    """",
    IFERROR(TEXTJOIN(CHAR(10),TRUE,FILTER('SUMMARY DATA'!F:F,'SUMMARY DATA'!$D:$D=$C861,'SUMMARY DATA'!$B:$B=""RWS"")),"""")
  )
)"),"")</f>
      </c>
      <c r="G861" s="17" t="str">
        <f>IFERROR(__xludf.DUMMYFUNCTION("IFERROR(
  TEXTJOIN(CHAR(10),TRUE,FILTER('SUMMARY DATA'!G:G,'SUMMARY DATA'!$A:$A=$A861,'SUMMARY DATA'!$C:$C=$B861,'SUMMARY DATA'!$B:$B=""RWS"")),
  IF(
    OR(
      ISNUMBER(SEARCH(""CDM CASH DEPOSIT"",$C861)),
      ISNUMBER(SEARCH(""CASH DEPOSIT"",$C86"&amp;"1)),
      COUNTIFS('SUMMARY DATA'!$D:$D,$C861,'SUMMARY DATA'!$B:$B,""RWS"")&lt;&gt;1
    ),
    """",
    IFERROR(TEXTJOIN(CHAR(10),TRUE,FILTER('SUMMARY DATA'!G:G,'SUMMARY DATA'!$D:$D=$C861,'SUMMARY DATA'!$B:$B=""RWS"")),"""")
  )
)"),"")</f>
      </c>
      <c r="H861" s="18" t="str">
        <f>IFERROR(__xludf.DUMMYFUNCTION("IFERROR(
  TEXTJOIN(CHAR(10),TRUE,FILTER('SUMMARY DATA'!H:H,'SUMMARY DATA'!$A:$A=$A861,'SUMMARY DATA'!$C:$C=$B861,'SUMMARY DATA'!$B:$B=""RWS"",'SUMMARY DATA'!$H:$H=$D861)),
  IF(
    OR(
      ISNUMBER(SEARCH(""CDM CASH DEPOSIT"",$C861)),
      ISNUMBER(S"&amp;"EARCH(""CASH DEPOSIT"",$C861))
    ),
    """",
    IFERROR(TEXTJOIN(CHAR(10),TRUE,FILTER('SUMMARY DATA'!H:H,'SUMMARY DATA'!$D:$D=$C861,'SUMMARY DATA'!$B:$B=""RWS"",'SUMMARY DATA'!$H:$H=$D861)),"""")
  )
)"),"")</f>
      </c>
      <c r="I861" s="18" t="str">
        <f>IFERROR(__xludf.DUMMYFUNCTION("IF(H861="""","""",
SUM(ARRAYFORMULA(VALUE(SPLIT(H861,CHAR(10)))))
)"),"")</f>
      </c>
      <c r="J861" s="17" t="str">
        <f>IFERROR(__xludf.DUMMYFUNCTION("IFERROR(
  TEXTJOIN(CHAR(10),TRUE,FILTER('SUMMARY DATA'!I:I,'SUMMARY DATA'!$A:$A=$A861,'SUMMARY DATA'!$C:$C=$B861,'SUMMARY DATA'!$B:$B=""RWS"")),
  IF(
    OR(
      ISNUMBER(SEARCH(""CDM CASH DEPOSIT"",$C861)),
      ISNUMBER(SEARCH(""CASH DEPOSIT"",$C86"&amp;"1)),
      COUNTIFS('SUMMARY DATA'!$D:$D,$C861,'SUMMARY DATA'!$B:$B,""RWS"")&lt;&gt;1
    ),
    """",
    IFERROR(TEXTJOIN(CHAR(10),TRUE,FILTER('SUMMARY DATA'!I:I,'SUMMARY DATA'!$D:$D=$C861,'SUMMARY DATA'!$B:$B=""RWS"")),"""")
  )
)"),"")</f>
      </c>
      <c r="K861" s="2"/>
      <c r="L861" s="2"/>
      <c r="M861" s="2"/>
      <c r="N861" s="2"/>
      <c r="O861" s="2"/>
      <c r="P861" s="2"/>
      <c r="Q861" s="2"/>
      <c r="R861" s="2"/>
      <c r="S861" s="2"/>
      <c r="T861" s="2"/>
      <c r="U861" s="2"/>
      <c r="V861" s="2"/>
      <c r="W861" s="2"/>
      <c r="X861" s="2"/>
      <c r="Y861" s="2"/>
      <c r="Z861" s="2"/>
      <c r="AA861" s="2"/>
      <c r="AB861" s="2"/>
    </row>
    <row r="862" spans="1:28" customHeight="true">
      <c r="A862" s="2" t="s">
        <v>1381</v>
      </c>
      <c r="B862" s="15">
        <v>46080</v>
      </c>
      <c r="C862" s="2" t="s">
        <v>1382</v>
      </c>
      <c r="D862" s="3">
        <v>20</v>
      </c>
      <c r="E862" s="16" t="str">
        <f>IFERROR(__xludf.DUMMYFUNCTION("IFERROR(
  TEXTJOIN(CHAR(10),TRUE,FILTER('SUMMARY DATA'!E:E,'SUMMARY DATA'!$A:$A=$A862,'SUMMARY DATA'!$C:$C=$B862,'SUMMARY DATA'!$B:$B=""RWS"")),
  IF(
    OR(
      ISNUMBER(SEARCH(""CDM CASH DEPOSIT"",$C862)),
      ISNUMBER(SEARCH(""CASH DEPOSIT"",$C86"&amp;"2)),
      COUNTIFS('SUMMARY DATA'!$D:$D,$C862,'SUMMARY DATA'!$B:$B,""RWS"")&lt;&gt;1
    ),
    """",
    IFERROR(TEXTJOIN(CHAR(10),TRUE,FILTER('SUMMARY DATA'!E:E,'SUMMARY DATA'!$D:$D=$C862,'SUMMARY DATA'!$B:$B=""RWS"")),"""")
  )
)"),"")</f>
      </c>
      <c r="F862" s="17" t="str">
        <f>IFERROR(__xludf.DUMMYFUNCTION("IFERROR(
  TEXTJOIN(CHAR(10),TRUE,FILTER('SUMMARY DATA'!F:F,'SUMMARY DATA'!$A:$A=$A862,'SUMMARY DATA'!$C:$C=$B862,'SUMMARY DATA'!$B:$B=""RWS"")),
  IF(
    OR(
      ISNUMBER(SEARCH(""CDM CASH DEPOSIT"",$C862)),
      ISNUMBER(SEARCH(""CASH DEPOSIT"",$C86"&amp;"2)),
      COUNTIFS('SUMMARY DATA'!$D:$D,$C862,'SUMMARY DATA'!$B:$B,""RWS"")&lt;&gt;1
    ),
    """",
    IFERROR(TEXTJOIN(CHAR(10),TRUE,FILTER('SUMMARY DATA'!F:F,'SUMMARY DATA'!$D:$D=$C862,'SUMMARY DATA'!$B:$B=""RWS"")),"""")
  )
)"),"")</f>
      </c>
      <c r="G862" s="17" t="str">
        <f>IFERROR(__xludf.DUMMYFUNCTION("IFERROR(
  TEXTJOIN(CHAR(10),TRUE,FILTER('SUMMARY DATA'!G:G,'SUMMARY DATA'!$A:$A=$A862,'SUMMARY DATA'!$C:$C=$B862,'SUMMARY DATA'!$B:$B=""RWS"")),
  IF(
    OR(
      ISNUMBER(SEARCH(""CDM CASH DEPOSIT"",$C862)),
      ISNUMBER(SEARCH(""CASH DEPOSIT"",$C86"&amp;"2)),
      COUNTIFS('SUMMARY DATA'!$D:$D,$C862,'SUMMARY DATA'!$B:$B,""RWS"")&lt;&gt;1
    ),
    """",
    IFERROR(TEXTJOIN(CHAR(10),TRUE,FILTER('SUMMARY DATA'!G:G,'SUMMARY DATA'!$D:$D=$C862,'SUMMARY DATA'!$B:$B=""RWS"")),"""")
  )
)"),"")</f>
      </c>
      <c r="H862" s="18" t="str">
        <f>IFERROR(__xludf.DUMMYFUNCTION("IFERROR(
  TEXTJOIN(CHAR(10),TRUE,FILTER('SUMMARY DATA'!H:H,'SUMMARY DATA'!$A:$A=$A862,'SUMMARY DATA'!$C:$C=$B862,'SUMMARY DATA'!$B:$B=""RWS"",'SUMMARY DATA'!$H:$H=$D862)),
  IF(
    OR(
      ISNUMBER(SEARCH(""CDM CASH DEPOSIT"",$C862)),
      ISNUMBER(S"&amp;"EARCH(""CASH DEPOSIT"",$C862))
    ),
    """",
    IFERROR(TEXTJOIN(CHAR(10),TRUE,FILTER('SUMMARY DATA'!H:H,'SUMMARY DATA'!$D:$D=$C862,'SUMMARY DATA'!$B:$B=""RWS"",'SUMMARY DATA'!$H:$H=$D862)),"""")
  )
)"),"")</f>
      </c>
      <c r="I862" s="18" t="str">
        <f>IFERROR(__xludf.DUMMYFUNCTION("IF(H862="""","""",
SUM(ARRAYFORMULA(VALUE(SPLIT(H862,CHAR(10)))))
)"),"")</f>
      </c>
      <c r="J862" s="17" t="str">
        <f>IFERROR(__xludf.DUMMYFUNCTION("IFERROR(
  TEXTJOIN(CHAR(10),TRUE,FILTER('SUMMARY DATA'!I:I,'SUMMARY DATA'!$A:$A=$A862,'SUMMARY DATA'!$C:$C=$B862,'SUMMARY DATA'!$B:$B=""RWS"")),
  IF(
    OR(
      ISNUMBER(SEARCH(""CDM CASH DEPOSIT"",$C862)),
      ISNUMBER(SEARCH(""CASH DEPOSIT"",$C86"&amp;"2)),
      COUNTIFS('SUMMARY DATA'!$D:$D,$C862,'SUMMARY DATA'!$B:$B,""RWS"")&lt;&gt;1
    ),
    """",
    IFERROR(TEXTJOIN(CHAR(10),TRUE,FILTER('SUMMARY DATA'!I:I,'SUMMARY DATA'!$D:$D=$C862,'SUMMARY DATA'!$B:$B=""RWS"")),"""")
  )
)"),"")</f>
      </c>
      <c r="K862" s="2"/>
      <c r="L862" s="2"/>
      <c r="M862" s="2"/>
      <c r="N862" s="2"/>
      <c r="O862" s="2"/>
      <c r="P862" s="2"/>
      <c r="Q862" s="2"/>
      <c r="R862" s="2"/>
      <c r="S862" s="2"/>
      <c r="T862" s="2"/>
      <c r="U862" s="2"/>
      <c r="V862" s="2"/>
      <c r="W862" s="2"/>
      <c r="X862" s="2"/>
      <c r="Y862" s="2"/>
      <c r="Z862" s="2"/>
      <c r="AA862" s="2"/>
      <c r="AB862" s="2"/>
    </row>
    <row r="863" spans="1:28" customHeight="true">
      <c r="A863" s="2" t="s">
        <v>1383</v>
      </c>
      <c r="B863" s="15">
        <v>46080</v>
      </c>
      <c r="C863" s="2" t="s">
        <v>1384</v>
      </c>
      <c r="D863" s="3">
        <v>70</v>
      </c>
      <c r="E863" s="16" t="str">
        <f>IFERROR(__xludf.DUMMYFUNCTION("IFERROR(
  TEXTJOIN(CHAR(10),TRUE,FILTER('SUMMARY DATA'!E:E,'SUMMARY DATA'!$A:$A=$A863,'SUMMARY DATA'!$C:$C=$B863,'SUMMARY DATA'!$B:$B=""RWS"")),
  IF(
    OR(
      ISNUMBER(SEARCH(""CDM CASH DEPOSIT"",$C863)),
      ISNUMBER(SEARCH(""CASH DEPOSIT"",$C86"&amp;"3)),
      COUNTIFS('SUMMARY DATA'!$D:$D,$C863,'SUMMARY DATA'!$B:$B,""RWS"")&lt;&gt;1
    ),
    """",
    IFERROR(TEXTJOIN(CHAR(10),TRUE,FILTER('SUMMARY DATA'!E:E,'SUMMARY DATA'!$D:$D=$C863,'SUMMARY DATA'!$B:$B=""RWS"")),"""")
  )
)"),"")</f>
      </c>
      <c r="F863" s="17" t="str">
        <f>IFERROR(__xludf.DUMMYFUNCTION("IFERROR(
  TEXTJOIN(CHAR(10),TRUE,FILTER('SUMMARY DATA'!F:F,'SUMMARY DATA'!$A:$A=$A863,'SUMMARY DATA'!$C:$C=$B863,'SUMMARY DATA'!$B:$B=""RWS"")),
  IF(
    OR(
      ISNUMBER(SEARCH(""CDM CASH DEPOSIT"",$C863)),
      ISNUMBER(SEARCH(""CASH DEPOSIT"",$C86"&amp;"3)),
      COUNTIFS('SUMMARY DATA'!$D:$D,$C863,'SUMMARY DATA'!$B:$B,""RWS"")&lt;&gt;1
    ),
    """",
    IFERROR(TEXTJOIN(CHAR(10),TRUE,FILTER('SUMMARY DATA'!F:F,'SUMMARY DATA'!$D:$D=$C863,'SUMMARY DATA'!$B:$B=""RWS"")),"""")
  )
)"),"")</f>
      </c>
      <c r="G863" s="17" t="str">
        <f>IFERROR(__xludf.DUMMYFUNCTION("IFERROR(
  TEXTJOIN(CHAR(10),TRUE,FILTER('SUMMARY DATA'!G:G,'SUMMARY DATA'!$A:$A=$A863,'SUMMARY DATA'!$C:$C=$B863,'SUMMARY DATA'!$B:$B=""RWS"")),
  IF(
    OR(
      ISNUMBER(SEARCH(""CDM CASH DEPOSIT"",$C863)),
      ISNUMBER(SEARCH(""CASH DEPOSIT"",$C86"&amp;"3)),
      COUNTIFS('SUMMARY DATA'!$D:$D,$C863,'SUMMARY DATA'!$B:$B,""RWS"")&lt;&gt;1
    ),
    """",
    IFERROR(TEXTJOIN(CHAR(10),TRUE,FILTER('SUMMARY DATA'!G:G,'SUMMARY DATA'!$D:$D=$C863,'SUMMARY DATA'!$B:$B=""RWS"")),"""")
  )
)"),"")</f>
      </c>
      <c r="H863" s="18" t="str">
        <f>IFERROR(__xludf.DUMMYFUNCTION("IFERROR(
  TEXTJOIN(CHAR(10),TRUE,FILTER('SUMMARY DATA'!H:H,'SUMMARY DATA'!$A:$A=$A863,'SUMMARY DATA'!$C:$C=$B863,'SUMMARY DATA'!$B:$B=""RWS"",'SUMMARY DATA'!$H:$H=$D863)),
  IF(
    OR(
      ISNUMBER(SEARCH(""CDM CASH DEPOSIT"",$C863)),
      ISNUMBER(S"&amp;"EARCH(""CASH DEPOSIT"",$C863))
    ),
    """",
    IFERROR(TEXTJOIN(CHAR(10),TRUE,FILTER('SUMMARY DATA'!H:H,'SUMMARY DATA'!$D:$D=$C863,'SUMMARY DATA'!$B:$B=""RWS"",'SUMMARY DATA'!$H:$H=$D863)),"""")
  )
)"),"")</f>
      </c>
      <c r="I863" s="18" t="str">
        <f>IFERROR(__xludf.DUMMYFUNCTION("IF(H863="""","""",
SUM(ARRAYFORMULA(VALUE(SPLIT(H863,CHAR(10)))))
)"),"")</f>
      </c>
      <c r="J863" s="17" t="str">
        <f>IFERROR(__xludf.DUMMYFUNCTION("IFERROR(
  TEXTJOIN(CHAR(10),TRUE,FILTER('SUMMARY DATA'!I:I,'SUMMARY DATA'!$A:$A=$A863,'SUMMARY DATA'!$C:$C=$B863,'SUMMARY DATA'!$B:$B=""RWS"")),
  IF(
    OR(
      ISNUMBER(SEARCH(""CDM CASH DEPOSIT"",$C863)),
      ISNUMBER(SEARCH(""CASH DEPOSIT"",$C86"&amp;"3)),
      COUNTIFS('SUMMARY DATA'!$D:$D,$C863,'SUMMARY DATA'!$B:$B,""RWS"")&lt;&gt;1
    ),
    """",
    IFERROR(TEXTJOIN(CHAR(10),TRUE,FILTER('SUMMARY DATA'!I:I,'SUMMARY DATA'!$D:$D=$C863,'SUMMARY DATA'!$B:$B=""RWS"")),"""")
  )
)"),"")</f>
      </c>
      <c r="K863" s="2"/>
      <c r="L863" s="2"/>
      <c r="M863" s="2"/>
      <c r="N863" s="2"/>
      <c r="O863" s="2"/>
      <c r="P863" s="2"/>
      <c r="Q863" s="2"/>
      <c r="R863" s="2"/>
      <c r="S863" s="2"/>
      <c r="T863" s="2"/>
      <c r="U863" s="2"/>
      <c r="V863" s="2"/>
      <c r="W863" s="2"/>
      <c r="X863" s="2"/>
      <c r="Y863" s="2"/>
      <c r="Z863" s="2"/>
      <c r="AA863" s="2"/>
      <c r="AB863" s="2"/>
    </row>
    <row r="864" spans="1:28" customHeight="true">
      <c r="A864" s="2" t="s">
        <v>1385</v>
      </c>
      <c r="B864" s="15">
        <v>46080</v>
      </c>
      <c r="C864" s="2" t="s">
        <v>1386</v>
      </c>
      <c r="D864" s="3">
        <v>1</v>
      </c>
      <c r="E864" s="16" t="str">
        <f>IFERROR(__xludf.DUMMYFUNCTION("IFERROR(
  TEXTJOIN(CHAR(10),TRUE,FILTER('SUMMARY DATA'!E:E,'SUMMARY DATA'!$A:$A=$A864,'SUMMARY DATA'!$C:$C=$B864,'SUMMARY DATA'!$B:$B=""RWS"")),
  IF(
    OR(
      ISNUMBER(SEARCH(""CDM CASH DEPOSIT"",$C864)),
      ISNUMBER(SEARCH(""CASH DEPOSIT"",$C86"&amp;"4)),
      COUNTIFS('SUMMARY DATA'!$D:$D,$C864,'SUMMARY DATA'!$B:$B,""RWS"")&lt;&gt;1
    ),
    """",
    IFERROR(TEXTJOIN(CHAR(10),TRUE,FILTER('SUMMARY DATA'!E:E,'SUMMARY DATA'!$D:$D=$C864,'SUMMARY DATA'!$B:$B=""RWS"")),"""")
  )
)"),"")</f>
      </c>
      <c r="F864" s="17" t="str">
        <f>IFERROR(__xludf.DUMMYFUNCTION("IFERROR(
  TEXTJOIN(CHAR(10),TRUE,FILTER('SUMMARY DATA'!F:F,'SUMMARY DATA'!$A:$A=$A864,'SUMMARY DATA'!$C:$C=$B864,'SUMMARY DATA'!$B:$B=""RWS"")),
  IF(
    OR(
      ISNUMBER(SEARCH(""CDM CASH DEPOSIT"",$C864)),
      ISNUMBER(SEARCH(""CASH DEPOSIT"",$C86"&amp;"4)),
      COUNTIFS('SUMMARY DATA'!$D:$D,$C864,'SUMMARY DATA'!$B:$B,""RWS"")&lt;&gt;1
    ),
    """",
    IFERROR(TEXTJOIN(CHAR(10),TRUE,FILTER('SUMMARY DATA'!F:F,'SUMMARY DATA'!$D:$D=$C864,'SUMMARY DATA'!$B:$B=""RWS"")),"""")
  )
)"),"")</f>
      </c>
      <c r="G864" s="17" t="str">
        <f>IFERROR(__xludf.DUMMYFUNCTION("IFERROR(
  TEXTJOIN(CHAR(10),TRUE,FILTER('SUMMARY DATA'!G:G,'SUMMARY DATA'!$A:$A=$A864,'SUMMARY DATA'!$C:$C=$B864,'SUMMARY DATA'!$B:$B=""RWS"")),
  IF(
    OR(
      ISNUMBER(SEARCH(""CDM CASH DEPOSIT"",$C864)),
      ISNUMBER(SEARCH(""CASH DEPOSIT"",$C86"&amp;"4)),
      COUNTIFS('SUMMARY DATA'!$D:$D,$C864,'SUMMARY DATA'!$B:$B,""RWS"")&lt;&gt;1
    ),
    """",
    IFERROR(TEXTJOIN(CHAR(10),TRUE,FILTER('SUMMARY DATA'!G:G,'SUMMARY DATA'!$D:$D=$C864,'SUMMARY DATA'!$B:$B=""RWS"")),"""")
  )
)"),"")</f>
      </c>
      <c r="H864" s="18" t="str">
        <f>IFERROR(__xludf.DUMMYFUNCTION("IFERROR(
  TEXTJOIN(CHAR(10),TRUE,FILTER('SUMMARY DATA'!H:H,'SUMMARY DATA'!$A:$A=$A864,'SUMMARY DATA'!$C:$C=$B864,'SUMMARY DATA'!$B:$B=""RWS"",'SUMMARY DATA'!$H:$H=$D864)),
  IF(
    OR(
      ISNUMBER(SEARCH(""CDM CASH DEPOSIT"",$C864)),
      ISNUMBER(S"&amp;"EARCH(""CASH DEPOSIT"",$C864))
    ),
    """",
    IFERROR(TEXTJOIN(CHAR(10),TRUE,FILTER('SUMMARY DATA'!H:H,'SUMMARY DATA'!$D:$D=$C864,'SUMMARY DATA'!$B:$B=""RWS"",'SUMMARY DATA'!$H:$H=$D864)),"""")
  )
)"),"")</f>
      </c>
      <c r="I864" s="18" t="str">
        <f>IFERROR(__xludf.DUMMYFUNCTION("IF(H864="""","""",
SUM(ARRAYFORMULA(VALUE(SPLIT(H864,CHAR(10)))))
)"),"")</f>
      </c>
      <c r="J864" s="17" t="str">
        <f>IFERROR(__xludf.DUMMYFUNCTION("IFERROR(
  TEXTJOIN(CHAR(10),TRUE,FILTER('SUMMARY DATA'!I:I,'SUMMARY DATA'!$A:$A=$A864,'SUMMARY DATA'!$C:$C=$B864,'SUMMARY DATA'!$B:$B=""RWS"")),
  IF(
    OR(
      ISNUMBER(SEARCH(""CDM CASH DEPOSIT"",$C864)),
      ISNUMBER(SEARCH(""CASH DEPOSIT"",$C86"&amp;"4)),
      COUNTIFS('SUMMARY DATA'!$D:$D,$C864,'SUMMARY DATA'!$B:$B,""RWS"")&lt;&gt;1
    ),
    """",
    IFERROR(TEXTJOIN(CHAR(10),TRUE,FILTER('SUMMARY DATA'!I:I,'SUMMARY DATA'!$D:$D=$C864,'SUMMARY DATA'!$B:$B=""RWS"")),"""")
  )
)"),"")</f>
      </c>
      <c r="K864" s="2"/>
      <c r="L864" s="2"/>
      <c r="M864" s="2"/>
      <c r="N864" s="2"/>
      <c r="O864" s="2"/>
      <c r="P864" s="2"/>
      <c r="Q864" s="2"/>
      <c r="R864" s="2"/>
      <c r="S864" s="2"/>
      <c r="T864" s="2"/>
      <c r="U864" s="2"/>
      <c r="V864" s="2"/>
      <c r="W864" s="2"/>
      <c r="X864" s="2"/>
      <c r="Y864" s="2"/>
      <c r="Z864" s="2"/>
      <c r="AA864" s="2"/>
      <c r="AB864" s="2"/>
    </row>
    <row r="865" spans="1:28" customHeight="true">
      <c r="A865" s="2" t="s">
        <v>1387</v>
      </c>
      <c r="B865" s="15">
        <v>46081</v>
      </c>
      <c r="C865" s="2" t="s">
        <v>1388</v>
      </c>
      <c r="D865" s="3">
        <v>199</v>
      </c>
      <c r="E865" s="16" t="s">
        <v>2679</v>
      </c>
      <c r="F865" s="17" t="s">
        <v>2712</v>
      </c>
      <c r="G865" s="17" t="s">
        <v>2393</v>
      </c>
      <c r="H865" s="18">
        <v>199</v>
      </c>
      <c r="I865" s="18">
        <v>199</v>
      </c>
      <c r="J865" s="17" t="s">
        <v>2394</v>
      </c>
      <c r="K865" s="2" t="s">
        <v>2395</v>
      </c>
      <c r="L865" s="2"/>
      <c r="M865" s="2"/>
      <c r="N865" s="2"/>
      <c r="O865" s="2"/>
      <c r="P865" s="2"/>
      <c r="Q865" s="2"/>
      <c r="R865" s="2"/>
      <c r="S865" s="2"/>
      <c r="T865" s="2"/>
      <c r="U865" s="2"/>
      <c r="V865" s="2"/>
      <c r="W865" s="2"/>
      <c r="X865" s="2"/>
      <c r="Y865" s="2"/>
      <c r="Z865" s="2"/>
      <c r="AA865" s="2"/>
      <c r="AB865" s="2"/>
    </row>
    <row r="866" spans="1:28" customHeight="true">
      <c r="A866" s="2" t="s">
        <v>1389</v>
      </c>
      <c r="B866" s="15">
        <v>46081</v>
      </c>
      <c r="C866" s="2" t="s">
        <v>1390</v>
      </c>
      <c r="D866" s="3">
        <v>56.19</v>
      </c>
      <c r="E866" s="16" t="s">
        <v>2594</v>
      </c>
      <c r="F866" s="17" t="s">
        <v>2713</v>
      </c>
      <c r="G866" s="17" t="s">
        <v>2393</v>
      </c>
      <c r="H866" s="18">
        <v>56.19</v>
      </c>
      <c r="I866" s="18">
        <v>56.19</v>
      </c>
      <c r="J866" s="17" t="s">
        <v>2394</v>
      </c>
      <c r="K866" s="2" t="s">
        <v>2395</v>
      </c>
      <c r="L866" s="2"/>
      <c r="M866" s="2"/>
      <c r="N866" s="2"/>
      <c r="O866" s="2"/>
      <c r="P866" s="2"/>
      <c r="Q866" s="2"/>
      <c r="R866" s="2"/>
      <c r="S866" s="2"/>
      <c r="T866" s="2"/>
      <c r="U866" s="2"/>
      <c r="V866" s="2"/>
      <c r="W866" s="2"/>
      <c r="X866" s="2"/>
      <c r="Y866" s="2"/>
      <c r="Z866" s="2"/>
      <c r="AA866" s="2"/>
      <c r="AB866" s="2"/>
    </row>
    <row r="867" spans="1:28" customHeight="true">
      <c r="A867" s="2" t="s">
        <v>1391</v>
      </c>
      <c r="B867" s="15">
        <v>46082</v>
      </c>
      <c r="C867" s="2" t="s">
        <v>1392</v>
      </c>
      <c r="D867" s="3">
        <v>185</v>
      </c>
      <c r="E867" s="16" t="s">
        <v>2594</v>
      </c>
      <c r="F867" s="17" t="s">
        <v>2714</v>
      </c>
      <c r="G867" s="17" t="s">
        <v>2393</v>
      </c>
      <c r="H867" s="18">
        <v>185</v>
      </c>
      <c r="I867" s="18">
        <v>185</v>
      </c>
      <c r="J867" s="17" t="s">
        <v>2394</v>
      </c>
      <c r="K867" s="2" t="s">
        <v>2395</v>
      </c>
      <c r="L867" s="2"/>
      <c r="M867" s="2"/>
      <c r="N867" s="2"/>
      <c r="O867" s="2"/>
      <c r="P867" s="2"/>
      <c r="Q867" s="2"/>
      <c r="R867" s="2"/>
      <c r="S867" s="2"/>
      <c r="T867" s="2"/>
      <c r="U867" s="2"/>
      <c r="V867" s="2"/>
      <c r="W867" s="2"/>
      <c r="X867" s="2"/>
      <c r="Y867" s="2"/>
      <c r="Z867" s="2"/>
      <c r="AA867" s="2"/>
      <c r="AB867" s="2"/>
    </row>
    <row r="868" spans="1:28" customHeight="true">
      <c r="A868" s="2" t="s">
        <v>1393</v>
      </c>
      <c r="B868" s="15">
        <v>46082</v>
      </c>
      <c r="C868" s="2" t="s">
        <v>1394</v>
      </c>
      <c r="D868" s="3">
        <v>69.99</v>
      </c>
      <c r="E868" s="16" t="s">
        <v>2594</v>
      </c>
      <c r="F868" s="17" t="s">
        <v>2715</v>
      </c>
      <c r="G868" s="17" t="s">
        <v>2393</v>
      </c>
      <c r="H868" s="18">
        <v>69.99</v>
      </c>
      <c r="I868" s="18">
        <v>69.99</v>
      </c>
      <c r="J868" s="17" t="s">
        <v>2394</v>
      </c>
      <c r="K868" s="2" t="s">
        <v>2395</v>
      </c>
      <c r="L868" s="2"/>
      <c r="M868" s="2"/>
      <c r="N868" s="2"/>
      <c r="O868" s="2"/>
      <c r="P868" s="2"/>
      <c r="Q868" s="2"/>
      <c r="R868" s="2"/>
      <c r="S868" s="2"/>
      <c r="T868" s="2"/>
      <c r="U868" s="2"/>
      <c r="V868" s="2"/>
      <c r="W868" s="2"/>
      <c r="X868" s="2"/>
      <c r="Y868" s="2"/>
      <c r="Z868" s="2"/>
      <c r="AA868" s="2"/>
      <c r="AB868" s="2"/>
    </row>
    <row r="869" spans="1:28" customHeight="true">
      <c r="A869" s="2"/>
      <c r="B869" s="15">
        <v>46082</v>
      </c>
      <c r="C869" s="2" t="s">
        <v>1395</v>
      </c>
      <c r="D869" s="3">
        <v>25.98</v>
      </c>
      <c r="E869" s="16" t="str">
        <f>IFERROR(__xludf.DUMMYFUNCTION("IFERROR(
  TEXTJOIN(CHAR(10),TRUE,FILTER('SUMMARY DATA'!E:E,'SUMMARY DATA'!$A:$A=$A869,'SUMMARY DATA'!$C:$C=$B869,'SUMMARY DATA'!$B:$B=""RWS"")),
  IF(
    OR(
      ISNUMBER(SEARCH(""CDM CASH DEPOSIT"",$C869)),
      ISNUMBER(SEARCH(""CASH DEPOSIT"",$C86"&amp;"9)),
      COUNTIFS('SUMMARY DATA'!$D:$D,$C869,'SUMMARY DATA'!$B:$B,""RWS"")&lt;&gt;1
    ),
    """",
    IFERROR(TEXTJOIN(CHAR(10),TRUE,FILTER('SUMMARY DATA'!E:E,'SUMMARY DATA'!$D:$D=$C869,'SUMMARY DATA'!$B:$B=""RWS"")),"""")
  )
)"),"")</f>
      </c>
      <c r="F869" s="17" t="str">
        <f>IFERROR(__xludf.DUMMYFUNCTION("IFERROR(
  TEXTJOIN(CHAR(10),TRUE,FILTER('SUMMARY DATA'!F:F,'SUMMARY DATA'!$A:$A=$A869,'SUMMARY DATA'!$C:$C=$B869,'SUMMARY DATA'!$B:$B=""RWS"")),
  IF(
    OR(
      ISNUMBER(SEARCH(""CDM CASH DEPOSIT"",$C869)),
      ISNUMBER(SEARCH(""CASH DEPOSIT"",$C86"&amp;"9)),
      COUNTIFS('SUMMARY DATA'!$D:$D,$C869,'SUMMARY DATA'!$B:$B,""RWS"")&lt;&gt;1
    ),
    """",
    IFERROR(TEXTJOIN(CHAR(10),TRUE,FILTER('SUMMARY DATA'!F:F,'SUMMARY DATA'!$D:$D=$C869,'SUMMARY DATA'!$B:$B=""RWS"")),"""")
  )
)"),"")</f>
      </c>
      <c r="G869" s="17" t="str">
        <f>IFERROR(__xludf.DUMMYFUNCTION("IFERROR(
  TEXTJOIN(CHAR(10),TRUE,FILTER('SUMMARY DATA'!G:G,'SUMMARY DATA'!$A:$A=$A869,'SUMMARY DATA'!$C:$C=$B869,'SUMMARY DATA'!$B:$B=""RWS"")),
  IF(
    OR(
      ISNUMBER(SEARCH(""CDM CASH DEPOSIT"",$C869)),
      ISNUMBER(SEARCH(""CASH DEPOSIT"",$C86"&amp;"9)),
      COUNTIFS('SUMMARY DATA'!$D:$D,$C869,'SUMMARY DATA'!$B:$B,""RWS"")&lt;&gt;1
    ),
    """",
    IFERROR(TEXTJOIN(CHAR(10),TRUE,FILTER('SUMMARY DATA'!G:G,'SUMMARY DATA'!$D:$D=$C869,'SUMMARY DATA'!$B:$B=""RWS"")),"""")
  )
)"),"")</f>
      </c>
      <c r="H869" s="18" t="str">
        <f>IFERROR(__xludf.DUMMYFUNCTION("IFERROR(
  TEXTJOIN(CHAR(10),TRUE,FILTER('SUMMARY DATA'!H:H,'SUMMARY DATA'!$A:$A=$A869,'SUMMARY DATA'!$C:$C=$B869,'SUMMARY DATA'!$B:$B=""RWS"",'SUMMARY DATA'!$H:$H=$D869)),
  IF(
    OR(
      ISNUMBER(SEARCH(""CDM CASH DEPOSIT"",$C869)),
      ISNUMBER(S"&amp;"EARCH(""CASH DEPOSIT"",$C869))
    ),
    """",
    IFERROR(TEXTJOIN(CHAR(10),TRUE,FILTER('SUMMARY DATA'!H:H,'SUMMARY DATA'!$D:$D=$C869,'SUMMARY DATA'!$B:$B=""RWS"",'SUMMARY DATA'!$H:$H=$D869)),"""")
  )
)"),"")</f>
      </c>
      <c r="I869" s="18" t="str">
        <f>IFERROR(__xludf.DUMMYFUNCTION("IF(H869="""","""",
SUM(ARRAYFORMULA(VALUE(SPLIT(H869,CHAR(10)))))
)"),"")</f>
      </c>
      <c r="J869" s="17" t="str">
        <f>IFERROR(__xludf.DUMMYFUNCTION("IFERROR(
  TEXTJOIN(CHAR(10),TRUE,FILTER('SUMMARY DATA'!I:I,'SUMMARY DATA'!$A:$A=$A869,'SUMMARY DATA'!$C:$C=$B869,'SUMMARY DATA'!$B:$B=""RWS"")),
  IF(
    OR(
      ISNUMBER(SEARCH(""CDM CASH DEPOSIT"",$C869)),
      ISNUMBER(SEARCH(""CASH DEPOSIT"",$C86"&amp;"9)),
      COUNTIFS('SUMMARY DATA'!$D:$D,$C869,'SUMMARY DATA'!$B:$B,""RWS"")&lt;&gt;1
    ),
    """",
    IFERROR(TEXTJOIN(CHAR(10),TRUE,FILTER('SUMMARY DATA'!I:I,'SUMMARY DATA'!$D:$D=$C869,'SUMMARY DATA'!$B:$B=""RWS"")),"""")
  )
)"),"")</f>
      </c>
      <c r="K869" s="2"/>
      <c r="L869" s="2"/>
      <c r="M869" s="2"/>
      <c r="N869" s="2"/>
      <c r="O869" s="2"/>
      <c r="P869" s="2"/>
      <c r="Q869" s="2"/>
      <c r="R869" s="2"/>
      <c r="S869" s="2"/>
      <c r="T869" s="2"/>
      <c r="U869" s="2"/>
      <c r="V869" s="2"/>
      <c r="W869" s="2"/>
      <c r="X869" s="2"/>
      <c r="Y869" s="2"/>
      <c r="Z869" s="2"/>
      <c r="AA869" s="2"/>
      <c r="AB869" s="2"/>
    </row>
    <row r="870" spans="1:28" customHeight="true">
      <c r="A870" s="2" t="s">
        <v>1396</v>
      </c>
      <c r="B870" s="15">
        <v>46082</v>
      </c>
      <c r="C870" s="2" t="s">
        <v>185</v>
      </c>
      <c r="D870" s="3">
        <v>471.26</v>
      </c>
      <c r="E870" s="16" t="str">
        <f>IFERROR(__xludf.DUMMYFUNCTION("IFERROR(
  TEXTJOIN(CHAR(10),TRUE,FILTER('SUMMARY DATA'!E:E,'SUMMARY DATA'!$A:$A=$A870,'SUMMARY DATA'!$C:$C=$B870,'SUMMARY DATA'!$B:$B=""RWS"")),
  IF(
    OR(
      ISNUMBER(SEARCH(""CDM CASH DEPOSIT"",$C870)),
      ISNUMBER(SEARCH(""CASH DEPOSIT"",$C87"&amp;"0)),
      COUNTIFS('SUMMARY DATA'!$D:$D,$C870,'SUMMARY DATA'!$B:$B,""RWS"")&lt;&gt;1
    ),
    """",
    IFERROR(TEXTJOIN(CHAR(10),TRUE,FILTER('SUMMARY DATA'!E:E,'SUMMARY DATA'!$D:$D=$C870,'SUMMARY DATA'!$B:$B=""RWS"")),"""")
  )
)"),"")</f>
      </c>
      <c r="F870" s="17" t="str">
        <f>IFERROR(__xludf.DUMMYFUNCTION("IFERROR(
  TEXTJOIN(CHAR(10),TRUE,FILTER('SUMMARY DATA'!F:F,'SUMMARY DATA'!$A:$A=$A870,'SUMMARY DATA'!$C:$C=$B870,'SUMMARY DATA'!$B:$B=""RWS"")),
  IF(
    OR(
      ISNUMBER(SEARCH(""CDM CASH DEPOSIT"",$C870)),
      ISNUMBER(SEARCH(""CASH DEPOSIT"",$C87"&amp;"0)),
      COUNTIFS('SUMMARY DATA'!$D:$D,$C870,'SUMMARY DATA'!$B:$B,""RWS"")&lt;&gt;1
    ),
    """",
    IFERROR(TEXTJOIN(CHAR(10),TRUE,FILTER('SUMMARY DATA'!F:F,'SUMMARY DATA'!$D:$D=$C870,'SUMMARY DATA'!$B:$B=""RWS"")),"""")
  )
)"),"")</f>
      </c>
      <c r="G870" s="17" t="str">
        <f>IFERROR(__xludf.DUMMYFUNCTION("IFERROR(
  TEXTJOIN(CHAR(10),TRUE,FILTER('SUMMARY DATA'!G:G,'SUMMARY DATA'!$A:$A=$A870,'SUMMARY DATA'!$C:$C=$B870,'SUMMARY DATA'!$B:$B=""RWS"")),
  IF(
    OR(
      ISNUMBER(SEARCH(""CDM CASH DEPOSIT"",$C870)),
      ISNUMBER(SEARCH(""CASH DEPOSIT"",$C87"&amp;"0)),
      COUNTIFS('SUMMARY DATA'!$D:$D,$C870,'SUMMARY DATA'!$B:$B,""RWS"")&lt;&gt;1
    ),
    """",
    IFERROR(TEXTJOIN(CHAR(10),TRUE,FILTER('SUMMARY DATA'!G:G,'SUMMARY DATA'!$D:$D=$C870,'SUMMARY DATA'!$B:$B=""RWS"")),"""")
  )
)"),"")</f>
      </c>
      <c r="H870" s="18" t="str">
        <f>IFERROR(__xludf.DUMMYFUNCTION("IFERROR(
  TEXTJOIN(CHAR(10),TRUE,FILTER('SUMMARY DATA'!H:H,'SUMMARY DATA'!$A:$A=$A870,'SUMMARY DATA'!$C:$C=$B870,'SUMMARY DATA'!$B:$B=""RWS"",'SUMMARY DATA'!$H:$H=$D870)),
  IF(
    OR(
      ISNUMBER(SEARCH(""CDM CASH DEPOSIT"",$C870)),
      ISNUMBER(S"&amp;"EARCH(""CASH DEPOSIT"",$C870))
    ),
    """",
    IFERROR(TEXTJOIN(CHAR(10),TRUE,FILTER('SUMMARY DATA'!H:H,'SUMMARY DATA'!$D:$D=$C870,'SUMMARY DATA'!$B:$B=""RWS"",'SUMMARY DATA'!$H:$H=$D870)),"""")
  )
)"),"")</f>
      </c>
      <c r="I870" s="18" t="str">
        <f>IFERROR(__xludf.DUMMYFUNCTION("IF(H870="""","""",
SUM(ARRAYFORMULA(VALUE(SPLIT(H870,CHAR(10)))))
)"),"")</f>
      </c>
      <c r="J870" s="17" t="str">
        <f>IFERROR(__xludf.DUMMYFUNCTION("IFERROR(
  TEXTJOIN(CHAR(10),TRUE,FILTER('SUMMARY DATA'!I:I,'SUMMARY DATA'!$A:$A=$A870,'SUMMARY DATA'!$C:$C=$B870,'SUMMARY DATA'!$B:$B=""RWS"")),
  IF(
    OR(
      ISNUMBER(SEARCH(""CDM CASH DEPOSIT"",$C870)),
      ISNUMBER(SEARCH(""CASH DEPOSIT"",$C87"&amp;"0)),
      COUNTIFS('SUMMARY DATA'!$D:$D,$C870,'SUMMARY DATA'!$B:$B,""RWS"")&lt;&gt;1
    ),
    """",
    IFERROR(TEXTJOIN(CHAR(10),TRUE,FILTER('SUMMARY DATA'!I:I,'SUMMARY DATA'!$D:$D=$C870,'SUMMARY DATA'!$B:$B=""RWS"")),"""")
  )
)"),"")</f>
      </c>
      <c r="K870" s="2"/>
      <c r="L870" s="2"/>
      <c r="M870" s="2"/>
      <c r="N870" s="2"/>
      <c r="O870" s="2"/>
      <c r="P870" s="2"/>
      <c r="Q870" s="2"/>
      <c r="R870" s="2"/>
      <c r="S870" s="2"/>
      <c r="T870" s="2"/>
      <c r="U870" s="2"/>
      <c r="V870" s="2"/>
      <c r="W870" s="2"/>
      <c r="X870" s="2"/>
      <c r="Y870" s="2"/>
      <c r="Z870" s="2"/>
      <c r="AA870" s="2"/>
      <c r="AB870" s="2"/>
    </row>
    <row r="871" spans="1:28" customHeight="true">
      <c r="A871" s="2" t="s">
        <v>1397</v>
      </c>
      <c r="B871" s="15">
        <v>46083</v>
      </c>
      <c r="C871" s="2" t="s">
        <v>1398</v>
      </c>
      <c r="D871" s="3">
        <v>1477.1</v>
      </c>
      <c r="E871" s="16" t="str">
        <f>IFERROR(__xludf.DUMMYFUNCTION("IFERROR(
  TEXTJOIN(CHAR(10),TRUE,FILTER('SUMMARY DATA'!E:E,'SUMMARY DATA'!$A:$A=$A871,'SUMMARY DATA'!$C:$C=$B871,'SUMMARY DATA'!$B:$B=""RWS"")),
  IF(
    OR(
      ISNUMBER(SEARCH(""CDM CASH DEPOSIT"",$C871)),
      ISNUMBER(SEARCH(""CASH DEPOSIT"",$C87"&amp;"1)),
      COUNTIFS('SUMMARY DATA'!$D:$D,$C871,'SUMMARY DATA'!$B:$B,""RWS"")&lt;&gt;1
    ),
    """",
    IFERROR(TEXTJOIN(CHAR(10),TRUE,FILTER('SUMMARY DATA'!E:E,'SUMMARY DATA'!$D:$D=$C871,'SUMMARY DATA'!$B:$B=""RWS"")),"""")
  )
)"),"")</f>
      </c>
      <c r="F871" s="17" t="str">
        <f>IFERROR(__xludf.DUMMYFUNCTION("IFERROR(
  TEXTJOIN(CHAR(10),TRUE,FILTER('SUMMARY DATA'!F:F,'SUMMARY DATA'!$A:$A=$A871,'SUMMARY DATA'!$C:$C=$B871,'SUMMARY DATA'!$B:$B=""RWS"")),
  IF(
    OR(
      ISNUMBER(SEARCH(""CDM CASH DEPOSIT"",$C871)),
      ISNUMBER(SEARCH(""CASH DEPOSIT"",$C87"&amp;"1)),
      COUNTIFS('SUMMARY DATA'!$D:$D,$C871,'SUMMARY DATA'!$B:$B,""RWS"")&lt;&gt;1
    ),
    """",
    IFERROR(TEXTJOIN(CHAR(10),TRUE,FILTER('SUMMARY DATA'!F:F,'SUMMARY DATA'!$D:$D=$C871,'SUMMARY DATA'!$B:$B=""RWS"")),"""")
  )
)"),"")</f>
      </c>
      <c r="G871" s="17" t="str">
        <f>IFERROR(__xludf.DUMMYFUNCTION("IFERROR(
  TEXTJOIN(CHAR(10),TRUE,FILTER('SUMMARY DATA'!G:G,'SUMMARY DATA'!$A:$A=$A871,'SUMMARY DATA'!$C:$C=$B871,'SUMMARY DATA'!$B:$B=""RWS"")),
  IF(
    OR(
      ISNUMBER(SEARCH(""CDM CASH DEPOSIT"",$C871)),
      ISNUMBER(SEARCH(""CASH DEPOSIT"",$C87"&amp;"1)),
      COUNTIFS('SUMMARY DATA'!$D:$D,$C871,'SUMMARY DATA'!$B:$B,""RWS"")&lt;&gt;1
    ),
    """",
    IFERROR(TEXTJOIN(CHAR(10),TRUE,FILTER('SUMMARY DATA'!G:G,'SUMMARY DATA'!$D:$D=$C871,'SUMMARY DATA'!$B:$B=""RWS"")),"""")
  )
)"),"")</f>
      </c>
      <c r="H871" s="18" t="str">
        <f>IFERROR(__xludf.DUMMYFUNCTION("IFERROR(
  TEXTJOIN(CHAR(10),TRUE,FILTER('SUMMARY DATA'!H:H,'SUMMARY DATA'!$A:$A=$A871,'SUMMARY DATA'!$C:$C=$B871,'SUMMARY DATA'!$B:$B=""RWS"",'SUMMARY DATA'!$H:$H=$D871)),
  IF(
    OR(
      ISNUMBER(SEARCH(""CDM CASH DEPOSIT"",$C871)),
      ISNUMBER(S"&amp;"EARCH(""CASH DEPOSIT"",$C871))
    ),
    """",
    IFERROR(TEXTJOIN(CHAR(10),TRUE,FILTER('SUMMARY DATA'!H:H,'SUMMARY DATA'!$D:$D=$C871,'SUMMARY DATA'!$B:$B=""RWS"",'SUMMARY DATA'!$H:$H=$D871)),"""")
  )
)"),"")</f>
      </c>
      <c r="I871" s="18" t="str">
        <f>IFERROR(__xludf.DUMMYFUNCTION("IF(H871="""","""",
SUM(ARRAYFORMULA(VALUE(SPLIT(H871,CHAR(10)))))
)"),"")</f>
      </c>
      <c r="J871" s="17" t="str">
        <f>IFERROR(__xludf.DUMMYFUNCTION("IFERROR(
  TEXTJOIN(CHAR(10),TRUE,FILTER('SUMMARY DATA'!I:I,'SUMMARY DATA'!$A:$A=$A871,'SUMMARY DATA'!$C:$C=$B871,'SUMMARY DATA'!$B:$B=""RWS"")),
  IF(
    OR(
      ISNUMBER(SEARCH(""CDM CASH DEPOSIT"",$C871)),
      ISNUMBER(SEARCH(""CASH DEPOSIT"",$C87"&amp;"1)),
      COUNTIFS('SUMMARY DATA'!$D:$D,$C871,'SUMMARY DATA'!$B:$B,""RWS"")&lt;&gt;1
    ),
    """",
    IFERROR(TEXTJOIN(CHAR(10),TRUE,FILTER('SUMMARY DATA'!I:I,'SUMMARY DATA'!$D:$D=$C871,'SUMMARY DATA'!$B:$B=""RWS"")),"""")
  )
)"),"")</f>
      </c>
      <c r="K871" s="2"/>
      <c r="L871" s="2"/>
      <c r="M871" s="2"/>
      <c r="N871" s="2"/>
      <c r="O871" s="2"/>
      <c r="P871" s="2"/>
      <c r="Q871" s="2"/>
      <c r="R871" s="2"/>
      <c r="S871" s="2"/>
      <c r="T871" s="2"/>
      <c r="U871" s="2"/>
      <c r="V871" s="2"/>
      <c r="W871" s="2"/>
      <c r="X871" s="2"/>
      <c r="Y871" s="2"/>
      <c r="Z871" s="2"/>
      <c r="AA871" s="2"/>
      <c r="AB871" s="2"/>
    </row>
    <row r="872" spans="1:28" customHeight="true">
      <c r="A872" s="2"/>
      <c r="B872" s="15">
        <v>46083</v>
      </c>
      <c r="C872" s="2" t="s">
        <v>271</v>
      </c>
      <c r="D872" s="3">
        <v>99</v>
      </c>
      <c r="E872" s="16" t="str">
        <f>IFERROR(__xludf.DUMMYFUNCTION("IFERROR(
  TEXTJOIN(CHAR(10),TRUE,FILTER('SUMMARY DATA'!E:E,'SUMMARY DATA'!$A:$A=$A872,'SUMMARY DATA'!$C:$C=$B872,'SUMMARY DATA'!$B:$B=""RWS"")),
  IF(
    OR(
      ISNUMBER(SEARCH(""CDM CASH DEPOSIT"",$C872)),
      ISNUMBER(SEARCH(""CASH DEPOSIT"",$C87"&amp;"2)),
      COUNTIFS('SUMMARY DATA'!$D:$D,$C872,'SUMMARY DATA'!$B:$B,""RWS"")&lt;&gt;1
    ),
    """",
    IFERROR(TEXTJOIN(CHAR(10),TRUE,FILTER('SUMMARY DATA'!E:E,'SUMMARY DATA'!$D:$D=$C872,'SUMMARY DATA'!$B:$B=""RWS"")),"""")
  )
)"),"")</f>
      </c>
      <c r="F872" s="17" t="str">
        <f>IFERROR(__xludf.DUMMYFUNCTION("IFERROR(
  TEXTJOIN(CHAR(10),TRUE,FILTER('SUMMARY DATA'!F:F,'SUMMARY DATA'!$A:$A=$A872,'SUMMARY DATA'!$C:$C=$B872,'SUMMARY DATA'!$B:$B=""RWS"")),
  IF(
    OR(
      ISNUMBER(SEARCH(""CDM CASH DEPOSIT"",$C872)),
      ISNUMBER(SEARCH(""CASH DEPOSIT"",$C87"&amp;"2)),
      COUNTIFS('SUMMARY DATA'!$D:$D,$C872,'SUMMARY DATA'!$B:$B,""RWS"")&lt;&gt;1
    ),
    """",
    IFERROR(TEXTJOIN(CHAR(10),TRUE,FILTER('SUMMARY DATA'!F:F,'SUMMARY DATA'!$D:$D=$C872,'SUMMARY DATA'!$B:$B=""RWS"")),"""")
  )
)"),"")</f>
      </c>
      <c r="G872" s="17" t="str">
        <f>IFERROR(__xludf.DUMMYFUNCTION("IFERROR(
  TEXTJOIN(CHAR(10),TRUE,FILTER('SUMMARY DATA'!G:G,'SUMMARY DATA'!$A:$A=$A872,'SUMMARY DATA'!$C:$C=$B872,'SUMMARY DATA'!$B:$B=""RWS"")),
  IF(
    OR(
      ISNUMBER(SEARCH(""CDM CASH DEPOSIT"",$C872)),
      ISNUMBER(SEARCH(""CASH DEPOSIT"",$C87"&amp;"2)),
      COUNTIFS('SUMMARY DATA'!$D:$D,$C872,'SUMMARY DATA'!$B:$B,""RWS"")&lt;&gt;1
    ),
    """",
    IFERROR(TEXTJOIN(CHAR(10),TRUE,FILTER('SUMMARY DATA'!G:G,'SUMMARY DATA'!$D:$D=$C872,'SUMMARY DATA'!$B:$B=""RWS"")),"""")
  )
)"),"")</f>
      </c>
      <c r="H872" s="18" t="str">
        <f>IFERROR(__xludf.DUMMYFUNCTION("IFERROR(
  TEXTJOIN(CHAR(10),TRUE,FILTER('SUMMARY DATA'!H:H,'SUMMARY DATA'!$A:$A=$A872,'SUMMARY DATA'!$C:$C=$B872,'SUMMARY DATA'!$B:$B=""RWS"",'SUMMARY DATA'!$H:$H=$D872)),
  IF(
    OR(
      ISNUMBER(SEARCH(""CDM CASH DEPOSIT"",$C872)),
      ISNUMBER(S"&amp;"EARCH(""CASH DEPOSIT"",$C872))
    ),
    """",
    IFERROR(TEXTJOIN(CHAR(10),TRUE,FILTER('SUMMARY DATA'!H:H,'SUMMARY DATA'!$D:$D=$C872,'SUMMARY DATA'!$B:$B=""RWS"",'SUMMARY DATA'!$H:$H=$D872)),"""")
  )
)"),"")</f>
      </c>
      <c r="I872" s="18" t="str">
        <f>IFERROR(__xludf.DUMMYFUNCTION("IF(H872="""","""",
SUM(ARRAYFORMULA(VALUE(SPLIT(H872,CHAR(10)))))
)"),"")</f>
      </c>
      <c r="J872" s="17" t="str">
        <f>IFERROR(__xludf.DUMMYFUNCTION("IFERROR(
  TEXTJOIN(CHAR(10),TRUE,FILTER('SUMMARY DATA'!I:I,'SUMMARY DATA'!$A:$A=$A872,'SUMMARY DATA'!$C:$C=$B872,'SUMMARY DATA'!$B:$B=""RWS"")),
  IF(
    OR(
      ISNUMBER(SEARCH(""CDM CASH DEPOSIT"",$C872)),
      ISNUMBER(SEARCH(""CASH DEPOSIT"",$C87"&amp;"2)),
      COUNTIFS('SUMMARY DATA'!$D:$D,$C872,'SUMMARY DATA'!$B:$B,""RWS"")&lt;&gt;1
    ),
    """",
    IFERROR(TEXTJOIN(CHAR(10),TRUE,FILTER('SUMMARY DATA'!I:I,'SUMMARY DATA'!$D:$D=$C872,'SUMMARY DATA'!$B:$B=""RWS"")),"""")
  )
)"),"")</f>
      </c>
      <c r="K872" s="2"/>
      <c r="L872" s="2"/>
      <c r="M872" s="2"/>
      <c r="N872" s="2"/>
      <c r="O872" s="2"/>
      <c r="P872" s="2"/>
      <c r="Q872" s="2"/>
      <c r="R872" s="2"/>
      <c r="S872" s="2"/>
      <c r="T872" s="2"/>
      <c r="U872" s="2"/>
      <c r="V872" s="2"/>
      <c r="W872" s="2"/>
      <c r="X872" s="2"/>
      <c r="Y872" s="2"/>
      <c r="Z872" s="2"/>
      <c r="AA872" s="2"/>
      <c r="AB872" s="2"/>
    </row>
    <row r="873" spans="1:28" customHeight="true">
      <c r="A873" s="2"/>
      <c r="B873" s="15">
        <v>46083</v>
      </c>
      <c r="C873" s="2" t="s">
        <v>1399</v>
      </c>
      <c r="D873" s="3">
        <v>1000</v>
      </c>
      <c r="E873" s="16" t="str">
        <f>IFERROR(__xludf.DUMMYFUNCTION("IFERROR(
  TEXTJOIN(CHAR(10),TRUE,FILTER('SUMMARY DATA'!E:E,'SUMMARY DATA'!$A:$A=$A873,'SUMMARY DATA'!$C:$C=$B873,'SUMMARY DATA'!$B:$B=""RWS"")),
  IF(
    OR(
      ISNUMBER(SEARCH(""CDM CASH DEPOSIT"",$C873)),
      ISNUMBER(SEARCH(""CASH DEPOSIT"",$C87"&amp;"3)),
      COUNTIFS('SUMMARY DATA'!$D:$D,$C873,'SUMMARY DATA'!$B:$B,""RWS"")&lt;&gt;1
    ),
    """",
    IFERROR(TEXTJOIN(CHAR(10),TRUE,FILTER('SUMMARY DATA'!E:E,'SUMMARY DATA'!$D:$D=$C873,'SUMMARY DATA'!$B:$B=""RWS"")),"""")
  )
)"),"")</f>
      </c>
      <c r="F873" s="17" t="str">
        <f>IFERROR(__xludf.DUMMYFUNCTION("IFERROR(
  TEXTJOIN(CHAR(10),TRUE,FILTER('SUMMARY DATA'!F:F,'SUMMARY DATA'!$A:$A=$A873,'SUMMARY DATA'!$C:$C=$B873,'SUMMARY DATA'!$B:$B=""RWS"")),
  IF(
    OR(
      ISNUMBER(SEARCH(""CDM CASH DEPOSIT"",$C873)),
      ISNUMBER(SEARCH(""CASH DEPOSIT"",$C87"&amp;"3)),
      COUNTIFS('SUMMARY DATA'!$D:$D,$C873,'SUMMARY DATA'!$B:$B,""RWS"")&lt;&gt;1
    ),
    """",
    IFERROR(TEXTJOIN(CHAR(10),TRUE,FILTER('SUMMARY DATA'!F:F,'SUMMARY DATA'!$D:$D=$C873,'SUMMARY DATA'!$B:$B=""RWS"")),"""")
  )
)"),"")</f>
      </c>
      <c r="G873" s="17" t="str">
        <f>IFERROR(__xludf.DUMMYFUNCTION("IFERROR(
  TEXTJOIN(CHAR(10),TRUE,FILTER('SUMMARY DATA'!G:G,'SUMMARY DATA'!$A:$A=$A873,'SUMMARY DATA'!$C:$C=$B873,'SUMMARY DATA'!$B:$B=""RWS"")),
  IF(
    OR(
      ISNUMBER(SEARCH(""CDM CASH DEPOSIT"",$C873)),
      ISNUMBER(SEARCH(""CASH DEPOSIT"",$C87"&amp;"3)),
      COUNTIFS('SUMMARY DATA'!$D:$D,$C873,'SUMMARY DATA'!$B:$B,""RWS"")&lt;&gt;1
    ),
    """",
    IFERROR(TEXTJOIN(CHAR(10),TRUE,FILTER('SUMMARY DATA'!G:G,'SUMMARY DATA'!$D:$D=$C873,'SUMMARY DATA'!$B:$B=""RWS"")),"""")
  )
)"),"")</f>
      </c>
      <c r="H873" s="18" t="str">
        <f>IFERROR(__xludf.DUMMYFUNCTION("IFERROR(
  TEXTJOIN(CHAR(10),TRUE,FILTER('SUMMARY DATA'!H:H,'SUMMARY DATA'!$A:$A=$A873,'SUMMARY DATA'!$C:$C=$B873,'SUMMARY DATA'!$B:$B=""RWS"",'SUMMARY DATA'!$H:$H=$D873)),
  IF(
    OR(
      ISNUMBER(SEARCH(""CDM CASH DEPOSIT"",$C873)),
      ISNUMBER(S"&amp;"EARCH(""CASH DEPOSIT"",$C873))
    ),
    """",
    IFERROR(TEXTJOIN(CHAR(10),TRUE,FILTER('SUMMARY DATA'!H:H,'SUMMARY DATA'!$D:$D=$C873,'SUMMARY DATA'!$B:$B=""RWS"",'SUMMARY DATA'!$H:$H=$D873)),"""")
  )
)"),"")</f>
      </c>
      <c r="I873" s="18" t="str">
        <f>IFERROR(__xludf.DUMMYFUNCTION("IF(H873="""","""",
SUM(ARRAYFORMULA(VALUE(SPLIT(H873,CHAR(10)))))
)"),"")</f>
      </c>
      <c r="J873" s="17" t="str">
        <f>IFERROR(__xludf.DUMMYFUNCTION("IFERROR(
  TEXTJOIN(CHAR(10),TRUE,FILTER('SUMMARY DATA'!I:I,'SUMMARY DATA'!$A:$A=$A873,'SUMMARY DATA'!$C:$C=$B873,'SUMMARY DATA'!$B:$B=""RWS"")),
  IF(
    OR(
      ISNUMBER(SEARCH(""CDM CASH DEPOSIT"",$C873)),
      ISNUMBER(SEARCH(""CASH DEPOSIT"",$C87"&amp;"3)),
      COUNTIFS('SUMMARY DATA'!$D:$D,$C873,'SUMMARY DATA'!$B:$B,""RWS"")&lt;&gt;1
    ),
    """",
    IFERROR(TEXTJOIN(CHAR(10),TRUE,FILTER('SUMMARY DATA'!I:I,'SUMMARY DATA'!$D:$D=$C873,'SUMMARY DATA'!$B:$B=""RWS"")),"""")
  )
)"),"")</f>
      </c>
      <c r="K873" s="2"/>
      <c r="L873" s="2"/>
      <c r="M873" s="2"/>
      <c r="N873" s="2"/>
      <c r="O873" s="2"/>
      <c r="P873" s="2"/>
      <c r="Q873" s="2"/>
      <c r="R873" s="2"/>
      <c r="S873" s="2"/>
      <c r="T873" s="2"/>
      <c r="U873" s="2"/>
      <c r="V873" s="2"/>
      <c r="W873" s="2"/>
      <c r="X873" s="2"/>
      <c r="Y873" s="2"/>
      <c r="Z873" s="2"/>
      <c r="AA873" s="2"/>
      <c r="AB873" s="2"/>
    </row>
    <row r="874" spans="1:28" customHeight="true">
      <c r="A874" s="2"/>
      <c r="B874" s="15">
        <v>46084</v>
      </c>
      <c r="C874" s="2" t="s">
        <v>1400</v>
      </c>
      <c r="D874" s="3">
        <v>8</v>
      </c>
      <c r="E874" s="16" t="str">
        <f>IFERROR(__xludf.DUMMYFUNCTION("IFERROR(
  TEXTJOIN(CHAR(10),TRUE,FILTER('SUMMARY DATA'!E:E,'SUMMARY DATA'!$A:$A=$A874,'SUMMARY DATA'!$C:$C=$B874,'SUMMARY DATA'!$B:$B=""RWS"")),
  IF(
    OR(
      ISNUMBER(SEARCH(""CDM CASH DEPOSIT"",$C874)),
      ISNUMBER(SEARCH(""CASH DEPOSIT"",$C87"&amp;"4)),
      COUNTIFS('SUMMARY DATA'!$D:$D,$C874,'SUMMARY DATA'!$B:$B,""RWS"")&lt;&gt;1
    ),
    """",
    IFERROR(TEXTJOIN(CHAR(10),TRUE,FILTER('SUMMARY DATA'!E:E,'SUMMARY DATA'!$D:$D=$C874,'SUMMARY DATA'!$B:$B=""RWS"")),"""")
  )
)"),"")</f>
      </c>
      <c r="F874" s="17" t="str">
        <f>IFERROR(__xludf.DUMMYFUNCTION("IFERROR(
  TEXTJOIN(CHAR(10),TRUE,FILTER('SUMMARY DATA'!F:F,'SUMMARY DATA'!$A:$A=$A874,'SUMMARY DATA'!$C:$C=$B874,'SUMMARY DATA'!$B:$B=""RWS"")),
  IF(
    OR(
      ISNUMBER(SEARCH(""CDM CASH DEPOSIT"",$C874)),
      ISNUMBER(SEARCH(""CASH DEPOSIT"",$C87"&amp;"4)),
      COUNTIFS('SUMMARY DATA'!$D:$D,$C874,'SUMMARY DATA'!$B:$B,""RWS"")&lt;&gt;1
    ),
    """",
    IFERROR(TEXTJOIN(CHAR(10),TRUE,FILTER('SUMMARY DATA'!F:F,'SUMMARY DATA'!$D:$D=$C874,'SUMMARY DATA'!$B:$B=""RWS"")),"""")
  )
)"),"")</f>
      </c>
      <c r="G874" s="17" t="str">
        <f>IFERROR(__xludf.DUMMYFUNCTION("IFERROR(
  TEXTJOIN(CHAR(10),TRUE,FILTER('SUMMARY DATA'!G:G,'SUMMARY DATA'!$A:$A=$A874,'SUMMARY DATA'!$C:$C=$B874,'SUMMARY DATA'!$B:$B=""RWS"")),
  IF(
    OR(
      ISNUMBER(SEARCH(""CDM CASH DEPOSIT"",$C874)),
      ISNUMBER(SEARCH(""CASH DEPOSIT"",$C87"&amp;"4)),
      COUNTIFS('SUMMARY DATA'!$D:$D,$C874,'SUMMARY DATA'!$B:$B,""RWS"")&lt;&gt;1
    ),
    """",
    IFERROR(TEXTJOIN(CHAR(10),TRUE,FILTER('SUMMARY DATA'!G:G,'SUMMARY DATA'!$D:$D=$C874,'SUMMARY DATA'!$B:$B=""RWS"")),"""")
  )
)"),"")</f>
      </c>
      <c r="H874" s="18" t="str">
        <f>IFERROR(__xludf.DUMMYFUNCTION("IFERROR(
  TEXTJOIN(CHAR(10),TRUE,FILTER('SUMMARY DATA'!H:H,'SUMMARY DATA'!$A:$A=$A874,'SUMMARY DATA'!$C:$C=$B874,'SUMMARY DATA'!$B:$B=""RWS"",'SUMMARY DATA'!$H:$H=$D874)),
  IF(
    OR(
      ISNUMBER(SEARCH(""CDM CASH DEPOSIT"",$C874)),
      ISNUMBER(S"&amp;"EARCH(""CASH DEPOSIT"",$C874))
    ),
    """",
    IFERROR(TEXTJOIN(CHAR(10),TRUE,FILTER('SUMMARY DATA'!H:H,'SUMMARY DATA'!$D:$D=$C874,'SUMMARY DATA'!$B:$B=""RWS"",'SUMMARY DATA'!$H:$H=$D874)),"""")
  )
)"),"")</f>
      </c>
      <c r="I874" s="18" t="str">
        <f>IFERROR(__xludf.DUMMYFUNCTION("IF(H874="""","""",
SUM(ARRAYFORMULA(VALUE(SPLIT(H874,CHAR(10)))))
)"),"")</f>
      </c>
      <c r="J874" s="17" t="str">
        <f>IFERROR(__xludf.DUMMYFUNCTION("IFERROR(
  TEXTJOIN(CHAR(10),TRUE,FILTER('SUMMARY DATA'!I:I,'SUMMARY DATA'!$A:$A=$A874,'SUMMARY DATA'!$C:$C=$B874,'SUMMARY DATA'!$B:$B=""RWS"")),
  IF(
    OR(
      ISNUMBER(SEARCH(""CDM CASH DEPOSIT"",$C874)),
      ISNUMBER(SEARCH(""CASH DEPOSIT"",$C87"&amp;"4)),
      COUNTIFS('SUMMARY DATA'!$D:$D,$C874,'SUMMARY DATA'!$B:$B,""RWS"")&lt;&gt;1
    ),
    """",
    IFERROR(TEXTJOIN(CHAR(10),TRUE,FILTER('SUMMARY DATA'!I:I,'SUMMARY DATA'!$D:$D=$C874,'SUMMARY DATA'!$B:$B=""RWS"")),"""")
  )
)"),"")</f>
      </c>
      <c r="K874" s="2"/>
      <c r="L874" s="2"/>
      <c r="M874" s="2"/>
      <c r="N874" s="2"/>
      <c r="O874" s="2"/>
      <c r="P874" s="2"/>
      <c r="Q874" s="2"/>
      <c r="R874" s="2"/>
      <c r="S874" s="2"/>
      <c r="T874" s="2"/>
      <c r="U874" s="2"/>
      <c r="V874" s="2"/>
      <c r="W874" s="2"/>
      <c r="X874" s="2"/>
      <c r="Y874" s="2"/>
      <c r="Z874" s="2"/>
      <c r="AA874" s="2"/>
      <c r="AB874" s="2"/>
    </row>
    <row r="875" spans="1:28" customHeight="true">
      <c r="A875" s="2" t="s">
        <v>1401</v>
      </c>
      <c r="B875" s="15">
        <v>46084</v>
      </c>
      <c r="C875" s="2" t="s">
        <v>1402</v>
      </c>
      <c r="D875" s="3">
        <v>484</v>
      </c>
      <c r="E875" s="16" t="str">
        <f>IFERROR(__xludf.DUMMYFUNCTION("IFERROR(
  TEXTJOIN(CHAR(10),TRUE,FILTER('SUMMARY DATA'!E:E,'SUMMARY DATA'!$A:$A=$A875,'SUMMARY DATA'!$C:$C=$B875,'SUMMARY DATA'!$B:$B=""RWS"")),
  IF(
    OR(
      ISNUMBER(SEARCH(""CDM CASH DEPOSIT"",$C875)),
      ISNUMBER(SEARCH(""CASH DEPOSIT"",$C87"&amp;"5)),
      COUNTIFS('SUMMARY DATA'!$D:$D,$C875,'SUMMARY DATA'!$B:$B,""RWS"")&lt;&gt;1
    ),
    """",
    IFERROR(TEXTJOIN(CHAR(10),TRUE,FILTER('SUMMARY DATA'!E:E,'SUMMARY DATA'!$D:$D=$C875,'SUMMARY DATA'!$B:$B=""RWS"")),"""")
  )
)"),"")</f>
      </c>
      <c r="F875" s="17" t="str">
        <f>IFERROR(__xludf.DUMMYFUNCTION("IFERROR(
  TEXTJOIN(CHAR(10),TRUE,FILTER('SUMMARY DATA'!F:F,'SUMMARY DATA'!$A:$A=$A875,'SUMMARY DATA'!$C:$C=$B875,'SUMMARY DATA'!$B:$B=""RWS"")),
  IF(
    OR(
      ISNUMBER(SEARCH(""CDM CASH DEPOSIT"",$C875)),
      ISNUMBER(SEARCH(""CASH DEPOSIT"",$C87"&amp;"5)),
      COUNTIFS('SUMMARY DATA'!$D:$D,$C875,'SUMMARY DATA'!$B:$B,""RWS"")&lt;&gt;1
    ),
    """",
    IFERROR(TEXTJOIN(CHAR(10),TRUE,FILTER('SUMMARY DATA'!F:F,'SUMMARY DATA'!$D:$D=$C875,'SUMMARY DATA'!$B:$B=""RWS"")),"""")
  )
)"),"")</f>
      </c>
      <c r="G875" s="17" t="str">
        <f>IFERROR(__xludf.DUMMYFUNCTION("IFERROR(
  TEXTJOIN(CHAR(10),TRUE,FILTER('SUMMARY DATA'!G:G,'SUMMARY DATA'!$A:$A=$A875,'SUMMARY DATA'!$C:$C=$B875,'SUMMARY DATA'!$B:$B=""RWS"")),
  IF(
    OR(
      ISNUMBER(SEARCH(""CDM CASH DEPOSIT"",$C875)),
      ISNUMBER(SEARCH(""CASH DEPOSIT"",$C87"&amp;"5)),
      COUNTIFS('SUMMARY DATA'!$D:$D,$C875,'SUMMARY DATA'!$B:$B,""RWS"")&lt;&gt;1
    ),
    """",
    IFERROR(TEXTJOIN(CHAR(10),TRUE,FILTER('SUMMARY DATA'!G:G,'SUMMARY DATA'!$D:$D=$C875,'SUMMARY DATA'!$B:$B=""RWS"")),"""")
  )
)"),"")</f>
      </c>
      <c r="H875" s="18" t="str">
        <f>IFERROR(__xludf.DUMMYFUNCTION("IFERROR(
  TEXTJOIN(CHAR(10),TRUE,FILTER('SUMMARY DATA'!H:H,'SUMMARY DATA'!$A:$A=$A875,'SUMMARY DATA'!$C:$C=$B875,'SUMMARY DATA'!$B:$B=""RWS"",'SUMMARY DATA'!$H:$H=$D875)),
  IF(
    OR(
      ISNUMBER(SEARCH(""CDM CASH DEPOSIT"",$C875)),
      ISNUMBER(S"&amp;"EARCH(""CASH DEPOSIT"",$C875))
    ),
    """",
    IFERROR(TEXTJOIN(CHAR(10),TRUE,FILTER('SUMMARY DATA'!H:H,'SUMMARY DATA'!$D:$D=$C875,'SUMMARY DATA'!$B:$B=""RWS"",'SUMMARY DATA'!$H:$H=$D875)),"""")
  )
)"),"")</f>
      </c>
      <c r="I875" s="18" t="str">
        <f>IFERROR(__xludf.DUMMYFUNCTION("IF(H875="""","""",
SUM(ARRAYFORMULA(VALUE(SPLIT(H875,CHAR(10)))))
)"),"")</f>
      </c>
      <c r="J875" s="17" t="str">
        <f>IFERROR(__xludf.DUMMYFUNCTION("IFERROR(
  TEXTJOIN(CHAR(10),TRUE,FILTER('SUMMARY DATA'!I:I,'SUMMARY DATA'!$A:$A=$A875,'SUMMARY DATA'!$C:$C=$B875,'SUMMARY DATA'!$B:$B=""RWS"")),
  IF(
    OR(
      ISNUMBER(SEARCH(""CDM CASH DEPOSIT"",$C875)),
      ISNUMBER(SEARCH(""CASH DEPOSIT"",$C87"&amp;"5)),
      COUNTIFS('SUMMARY DATA'!$D:$D,$C875,'SUMMARY DATA'!$B:$B,""RWS"")&lt;&gt;1
    ),
    """",
    IFERROR(TEXTJOIN(CHAR(10),TRUE,FILTER('SUMMARY DATA'!I:I,'SUMMARY DATA'!$D:$D=$C875,'SUMMARY DATA'!$B:$B=""RWS"")),"""")
  )
)"),"")</f>
      </c>
      <c r="K875" s="2"/>
      <c r="L875" s="2"/>
      <c r="M875" s="2"/>
      <c r="N875" s="2"/>
      <c r="O875" s="2"/>
      <c r="P875" s="2"/>
      <c r="Q875" s="2"/>
      <c r="R875" s="2"/>
      <c r="S875" s="2"/>
      <c r="T875" s="2"/>
      <c r="U875" s="2"/>
      <c r="V875" s="2"/>
      <c r="W875" s="2"/>
      <c r="X875" s="2"/>
      <c r="Y875" s="2"/>
      <c r="Z875" s="2"/>
      <c r="AA875" s="2"/>
      <c r="AB875" s="2"/>
    </row>
    <row r="876" spans="1:28" customHeight="true">
      <c r="A876" s="2"/>
      <c r="B876" s="15">
        <v>46085</v>
      </c>
      <c r="C876" s="2" t="s">
        <v>1403</v>
      </c>
      <c r="D876" s="3">
        <v>192.54</v>
      </c>
      <c r="E876" s="16" t="str">
        <f>IFERROR(__xludf.DUMMYFUNCTION("IFERROR(
  TEXTJOIN(CHAR(10),TRUE,FILTER('SUMMARY DATA'!E:E,'SUMMARY DATA'!$A:$A=$A876,'SUMMARY DATA'!$C:$C=$B876,'SUMMARY DATA'!$B:$B=""RWS"")),
  IF(
    OR(
      ISNUMBER(SEARCH(""CDM CASH DEPOSIT"",$C876)),
      ISNUMBER(SEARCH(""CASH DEPOSIT"",$C87"&amp;"6)),
      COUNTIFS('SUMMARY DATA'!$D:$D,$C876,'SUMMARY DATA'!$B:$B,""RWS"")&lt;&gt;1
    ),
    """",
    IFERROR(TEXTJOIN(CHAR(10),TRUE,FILTER('SUMMARY DATA'!E:E,'SUMMARY DATA'!$D:$D=$C876,'SUMMARY DATA'!$B:$B=""RWS"")),"""")
  )
)"),"")</f>
      </c>
      <c r="F876" s="17" t="str">
        <f>IFERROR(__xludf.DUMMYFUNCTION("IFERROR(
  TEXTJOIN(CHAR(10),TRUE,FILTER('SUMMARY DATA'!F:F,'SUMMARY DATA'!$A:$A=$A876,'SUMMARY DATA'!$C:$C=$B876,'SUMMARY DATA'!$B:$B=""RWS"")),
  IF(
    OR(
      ISNUMBER(SEARCH(""CDM CASH DEPOSIT"",$C876)),
      ISNUMBER(SEARCH(""CASH DEPOSIT"",$C87"&amp;"6)),
      COUNTIFS('SUMMARY DATA'!$D:$D,$C876,'SUMMARY DATA'!$B:$B,""RWS"")&lt;&gt;1
    ),
    """",
    IFERROR(TEXTJOIN(CHAR(10),TRUE,FILTER('SUMMARY DATA'!F:F,'SUMMARY DATA'!$D:$D=$C876,'SUMMARY DATA'!$B:$B=""RWS"")),"""")
  )
)"),"")</f>
      </c>
      <c r="G876" s="17" t="str">
        <f>IFERROR(__xludf.DUMMYFUNCTION("IFERROR(
  TEXTJOIN(CHAR(10),TRUE,FILTER('SUMMARY DATA'!G:G,'SUMMARY DATA'!$A:$A=$A876,'SUMMARY DATA'!$C:$C=$B876,'SUMMARY DATA'!$B:$B=""RWS"")),
  IF(
    OR(
      ISNUMBER(SEARCH(""CDM CASH DEPOSIT"",$C876)),
      ISNUMBER(SEARCH(""CASH DEPOSIT"",$C87"&amp;"6)),
      COUNTIFS('SUMMARY DATA'!$D:$D,$C876,'SUMMARY DATA'!$B:$B,""RWS"")&lt;&gt;1
    ),
    """",
    IFERROR(TEXTJOIN(CHAR(10),TRUE,FILTER('SUMMARY DATA'!G:G,'SUMMARY DATA'!$D:$D=$C876,'SUMMARY DATA'!$B:$B=""RWS"")),"""")
  )
)"),"")</f>
      </c>
      <c r="H876" s="18" t="str">
        <f>IFERROR(__xludf.DUMMYFUNCTION("IFERROR(
  TEXTJOIN(CHAR(10),TRUE,FILTER('SUMMARY DATA'!H:H,'SUMMARY DATA'!$A:$A=$A876,'SUMMARY DATA'!$C:$C=$B876,'SUMMARY DATA'!$B:$B=""RWS"",'SUMMARY DATA'!$H:$H=$D876)),
  IF(
    OR(
      ISNUMBER(SEARCH(""CDM CASH DEPOSIT"",$C876)),
      ISNUMBER(S"&amp;"EARCH(""CASH DEPOSIT"",$C876))
    ),
    """",
    IFERROR(TEXTJOIN(CHAR(10),TRUE,FILTER('SUMMARY DATA'!H:H,'SUMMARY DATA'!$D:$D=$C876,'SUMMARY DATA'!$B:$B=""RWS"",'SUMMARY DATA'!$H:$H=$D876)),"""")
  )
)"),"")</f>
      </c>
      <c r="I876" s="18" t="str">
        <f>IFERROR(__xludf.DUMMYFUNCTION("IF(H876="""","""",
SUM(ARRAYFORMULA(VALUE(SPLIT(H876,CHAR(10)))))
)"),"")</f>
      </c>
      <c r="J876" s="17" t="str">
        <f>IFERROR(__xludf.DUMMYFUNCTION("IFERROR(
  TEXTJOIN(CHAR(10),TRUE,FILTER('SUMMARY DATA'!I:I,'SUMMARY DATA'!$A:$A=$A876,'SUMMARY DATA'!$C:$C=$B876,'SUMMARY DATA'!$B:$B=""RWS"")),
  IF(
    OR(
      ISNUMBER(SEARCH(""CDM CASH DEPOSIT"",$C876)),
      ISNUMBER(SEARCH(""CASH DEPOSIT"",$C87"&amp;"6)),
      COUNTIFS('SUMMARY DATA'!$D:$D,$C876,'SUMMARY DATA'!$B:$B,""RWS"")&lt;&gt;1
    ),
    """",
    IFERROR(TEXTJOIN(CHAR(10),TRUE,FILTER('SUMMARY DATA'!I:I,'SUMMARY DATA'!$D:$D=$C876,'SUMMARY DATA'!$B:$B=""RWS"")),"""")
  )
)"),"")</f>
      </c>
      <c r="K876" s="2"/>
      <c r="L876" s="2"/>
      <c r="M876" s="2"/>
      <c r="N876" s="2"/>
      <c r="O876" s="2"/>
      <c r="P876" s="2"/>
      <c r="Q876" s="2"/>
      <c r="R876" s="2"/>
      <c r="S876" s="2"/>
      <c r="T876" s="2"/>
      <c r="U876" s="2"/>
      <c r="V876" s="2"/>
      <c r="W876" s="2"/>
      <c r="X876" s="2"/>
      <c r="Y876" s="2"/>
      <c r="Z876" s="2"/>
      <c r="AA876" s="2"/>
      <c r="AB876" s="2"/>
    </row>
    <row r="877" spans="1:28" customHeight="true">
      <c r="A877" s="2"/>
      <c r="B877" s="15">
        <v>46087</v>
      </c>
      <c r="C877" s="2" t="s">
        <v>1404</v>
      </c>
      <c r="D877" s="3">
        <v>31.8</v>
      </c>
      <c r="E877" s="16" t="str">
        <f>IFERROR(__xludf.DUMMYFUNCTION("IFERROR(
  TEXTJOIN(CHAR(10),TRUE,FILTER('SUMMARY DATA'!E:E,'SUMMARY DATA'!$A:$A=$A877,'SUMMARY DATA'!$C:$C=$B877,'SUMMARY DATA'!$B:$B=""RWS"")),
  IF(
    OR(
      ISNUMBER(SEARCH(""CDM CASH DEPOSIT"",$C877)),
      ISNUMBER(SEARCH(""CASH DEPOSIT"",$C87"&amp;"7)),
      COUNTIFS('SUMMARY DATA'!$D:$D,$C877,'SUMMARY DATA'!$B:$B,""RWS"")&lt;&gt;1
    ),
    """",
    IFERROR(TEXTJOIN(CHAR(10),TRUE,FILTER('SUMMARY DATA'!E:E,'SUMMARY DATA'!$D:$D=$C877,'SUMMARY DATA'!$B:$B=""RWS"")),"""")
  )
)"),"")</f>
      </c>
      <c r="F877" s="17" t="str">
        <f>IFERROR(__xludf.DUMMYFUNCTION("IFERROR(
  TEXTJOIN(CHAR(10),TRUE,FILTER('SUMMARY DATA'!F:F,'SUMMARY DATA'!$A:$A=$A877,'SUMMARY DATA'!$C:$C=$B877,'SUMMARY DATA'!$B:$B=""RWS"")),
  IF(
    OR(
      ISNUMBER(SEARCH(""CDM CASH DEPOSIT"",$C877)),
      ISNUMBER(SEARCH(""CASH DEPOSIT"",$C87"&amp;"7)),
      COUNTIFS('SUMMARY DATA'!$D:$D,$C877,'SUMMARY DATA'!$B:$B,""RWS"")&lt;&gt;1
    ),
    """",
    IFERROR(TEXTJOIN(CHAR(10),TRUE,FILTER('SUMMARY DATA'!F:F,'SUMMARY DATA'!$D:$D=$C877,'SUMMARY DATA'!$B:$B=""RWS"")),"""")
  )
)"),"")</f>
      </c>
      <c r="G877" s="17" t="str">
        <f>IFERROR(__xludf.DUMMYFUNCTION("IFERROR(
  TEXTJOIN(CHAR(10),TRUE,FILTER('SUMMARY DATA'!G:G,'SUMMARY DATA'!$A:$A=$A877,'SUMMARY DATA'!$C:$C=$B877,'SUMMARY DATA'!$B:$B=""RWS"")),
  IF(
    OR(
      ISNUMBER(SEARCH(""CDM CASH DEPOSIT"",$C877)),
      ISNUMBER(SEARCH(""CASH DEPOSIT"",$C87"&amp;"7)),
      COUNTIFS('SUMMARY DATA'!$D:$D,$C877,'SUMMARY DATA'!$B:$B,""RWS"")&lt;&gt;1
    ),
    """",
    IFERROR(TEXTJOIN(CHAR(10),TRUE,FILTER('SUMMARY DATA'!G:G,'SUMMARY DATA'!$D:$D=$C877,'SUMMARY DATA'!$B:$B=""RWS"")),"""")
  )
)"),"")</f>
      </c>
      <c r="H877" s="18" t="str">
        <f>IFERROR(__xludf.DUMMYFUNCTION("IFERROR(
  TEXTJOIN(CHAR(10),TRUE,FILTER('SUMMARY DATA'!H:H,'SUMMARY DATA'!$A:$A=$A877,'SUMMARY DATA'!$C:$C=$B877,'SUMMARY DATA'!$B:$B=""RWS"",'SUMMARY DATA'!$H:$H=$D877)),
  IF(
    OR(
      ISNUMBER(SEARCH(""CDM CASH DEPOSIT"",$C877)),
      ISNUMBER(S"&amp;"EARCH(""CASH DEPOSIT"",$C877))
    ),
    """",
    IFERROR(TEXTJOIN(CHAR(10),TRUE,FILTER('SUMMARY DATA'!H:H,'SUMMARY DATA'!$D:$D=$C877,'SUMMARY DATA'!$B:$B=""RWS"",'SUMMARY DATA'!$H:$H=$D877)),"""")
  )
)"),"")</f>
      </c>
      <c r="I877" s="18" t="str">
        <f>IFERROR(__xludf.DUMMYFUNCTION("IF(H877="""","""",
SUM(ARRAYFORMULA(VALUE(SPLIT(H877,CHAR(10)))))
)"),"")</f>
      </c>
      <c r="J877" s="17" t="str">
        <f>IFERROR(__xludf.DUMMYFUNCTION("IFERROR(
  TEXTJOIN(CHAR(10),TRUE,FILTER('SUMMARY DATA'!I:I,'SUMMARY DATA'!$A:$A=$A877,'SUMMARY DATA'!$C:$C=$B877,'SUMMARY DATA'!$B:$B=""RWS"")),
  IF(
    OR(
      ISNUMBER(SEARCH(""CDM CASH DEPOSIT"",$C877)),
      ISNUMBER(SEARCH(""CASH DEPOSIT"",$C87"&amp;"7)),
      COUNTIFS('SUMMARY DATA'!$D:$D,$C877,'SUMMARY DATA'!$B:$B,""RWS"")&lt;&gt;1
    ),
    """",
    IFERROR(TEXTJOIN(CHAR(10),TRUE,FILTER('SUMMARY DATA'!I:I,'SUMMARY DATA'!$D:$D=$C877,'SUMMARY DATA'!$B:$B=""RWS"")),"""")
  )
)"),"")</f>
      </c>
      <c r="K877" s="2"/>
      <c r="L877" s="2"/>
      <c r="M877" s="2"/>
      <c r="N877" s="2"/>
      <c r="O877" s="2"/>
      <c r="P877" s="2"/>
      <c r="Q877" s="2"/>
      <c r="R877" s="2"/>
      <c r="S877" s="2"/>
      <c r="T877" s="2"/>
      <c r="U877" s="2"/>
      <c r="V877" s="2"/>
      <c r="W877" s="2"/>
      <c r="X877" s="2"/>
      <c r="Y877" s="2"/>
      <c r="Z877" s="2"/>
      <c r="AA877" s="2"/>
      <c r="AB877" s="2"/>
    </row>
    <row r="878" spans="1:28" customHeight="true">
      <c r="A878" s="2" t="s">
        <v>1405</v>
      </c>
      <c r="B878" s="15">
        <v>46088</v>
      </c>
      <c r="C878" s="2" t="s">
        <v>1406</v>
      </c>
      <c r="D878" s="3">
        <v>417.99</v>
      </c>
      <c r="E878" s="16" t="str">
        <f>IFERROR(__xludf.DUMMYFUNCTION("IFERROR(
  TEXTJOIN(CHAR(10),TRUE,FILTER('SUMMARY DATA'!E:E,'SUMMARY DATA'!$A:$A=$A878,'SUMMARY DATA'!$C:$C=$B878,'SUMMARY DATA'!$B:$B=""RWS"")),
  IF(
    OR(
      ISNUMBER(SEARCH(""CDM CASH DEPOSIT"",$C878)),
      ISNUMBER(SEARCH(""CASH DEPOSIT"",$C87"&amp;"8)),
      COUNTIFS('SUMMARY DATA'!$D:$D,$C878,'SUMMARY DATA'!$B:$B,""RWS"")&lt;&gt;1
    ),
    """",
    IFERROR(TEXTJOIN(CHAR(10),TRUE,FILTER('SUMMARY DATA'!E:E,'SUMMARY DATA'!$D:$D=$C878,'SUMMARY DATA'!$B:$B=""RWS"")),"""")
  )
)"),"")</f>
      </c>
      <c r="F878" s="17" t="str">
        <f>IFERROR(__xludf.DUMMYFUNCTION("IFERROR(
  TEXTJOIN(CHAR(10),TRUE,FILTER('SUMMARY DATA'!F:F,'SUMMARY DATA'!$A:$A=$A878,'SUMMARY DATA'!$C:$C=$B878,'SUMMARY DATA'!$B:$B=""RWS"")),
  IF(
    OR(
      ISNUMBER(SEARCH(""CDM CASH DEPOSIT"",$C878)),
      ISNUMBER(SEARCH(""CASH DEPOSIT"",$C87"&amp;"8)),
      COUNTIFS('SUMMARY DATA'!$D:$D,$C878,'SUMMARY DATA'!$B:$B,""RWS"")&lt;&gt;1
    ),
    """",
    IFERROR(TEXTJOIN(CHAR(10),TRUE,FILTER('SUMMARY DATA'!F:F,'SUMMARY DATA'!$D:$D=$C878,'SUMMARY DATA'!$B:$B=""RWS"")),"""")
  )
)"),"")</f>
      </c>
      <c r="G878" s="17" t="str">
        <f>IFERROR(__xludf.DUMMYFUNCTION("IFERROR(
  TEXTJOIN(CHAR(10),TRUE,FILTER('SUMMARY DATA'!G:G,'SUMMARY DATA'!$A:$A=$A878,'SUMMARY DATA'!$C:$C=$B878,'SUMMARY DATA'!$B:$B=""RWS"")),
  IF(
    OR(
      ISNUMBER(SEARCH(""CDM CASH DEPOSIT"",$C878)),
      ISNUMBER(SEARCH(""CASH DEPOSIT"",$C87"&amp;"8)),
      COUNTIFS('SUMMARY DATA'!$D:$D,$C878,'SUMMARY DATA'!$B:$B,""RWS"")&lt;&gt;1
    ),
    """",
    IFERROR(TEXTJOIN(CHAR(10),TRUE,FILTER('SUMMARY DATA'!G:G,'SUMMARY DATA'!$D:$D=$C878,'SUMMARY DATA'!$B:$B=""RWS"")),"""")
  )
)"),"")</f>
      </c>
      <c r="H878" s="18" t="str">
        <f>IFERROR(__xludf.DUMMYFUNCTION("IFERROR(
  TEXTJOIN(CHAR(10),TRUE,FILTER('SUMMARY DATA'!H:H,'SUMMARY DATA'!$A:$A=$A878,'SUMMARY DATA'!$C:$C=$B878,'SUMMARY DATA'!$B:$B=""RWS"",'SUMMARY DATA'!$H:$H=$D878)),
  IF(
    OR(
      ISNUMBER(SEARCH(""CDM CASH DEPOSIT"",$C878)),
      ISNUMBER(S"&amp;"EARCH(""CASH DEPOSIT"",$C878))
    ),
    """",
    IFERROR(TEXTJOIN(CHAR(10),TRUE,FILTER('SUMMARY DATA'!H:H,'SUMMARY DATA'!$D:$D=$C878,'SUMMARY DATA'!$B:$B=""RWS"",'SUMMARY DATA'!$H:$H=$D878)),"""")
  )
)"),"")</f>
      </c>
      <c r="I878" s="18" t="str">
        <f>IFERROR(__xludf.DUMMYFUNCTION("IF(H878="""","""",
SUM(ARRAYFORMULA(VALUE(SPLIT(H878,CHAR(10)))))
)"),"")</f>
      </c>
      <c r="J878" s="17" t="str">
        <f>IFERROR(__xludf.DUMMYFUNCTION("IFERROR(
  TEXTJOIN(CHAR(10),TRUE,FILTER('SUMMARY DATA'!I:I,'SUMMARY DATA'!$A:$A=$A878,'SUMMARY DATA'!$C:$C=$B878,'SUMMARY DATA'!$B:$B=""RWS"")),
  IF(
    OR(
      ISNUMBER(SEARCH(""CDM CASH DEPOSIT"",$C878)),
      ISNUMBER(SEARCH(""CASH DEPOSIT"",$C87"&amp;"8)),
      COUNTIFS('SUMMARY DATA'!$D:$D,$C878,'SUMMARY DATA'!$B:$B,""RWS"")&lt;&gt;1
    ),
    """",
    IFERROR(TEXTJOIN(CHAR(10),TRUE,FILTER('SUMMARY DATA'!I:I,'SUMMARY DATA'!$D:$D=$C878,'SUMMARY DATA'!$B:$B=""RWS"")),"""")
  )
)"),"")</f>
      </c>
      <c r="K878" s="2"/>
      <c r="L878" s="2"/>
      <c r="M878" s="2"/>
      <c r="N878" s="2"/>
      <c r="O878" s="2"/>
      <c r="P878" s="2"/>
      <c r="Q878" s="2"/>
      <c r="R878" s="2"/>
      <c r="S878" s="2"/>
      <c r="T878" s="2"/>
      <c r="U878" s="2"/>
      <c r="V878" s="2"/>
      <c r="W878" s="2"/>
      <c r="X878" s="2"/>
      <c r="Y878" s="2"/>
      <c r="Z878" s="2"/>
      <c r="AA878" s="2"/>
      <c r="AB878" s="2"/>
    </row>
    <row r="879" spans="1:28" customHeight="true">
      <c r="A879" s="2"/>
      <c r="B879" s="15">
        <v>46090</v>
      </c>
      <c r="C879" s="2" t="s">
        <v>1407</v>
      </c>
      <c r="D879" s="3">
        <v>10</v>
      </c>
      <c r="E879" s="16" t="str">
        <f>IFERROR(__xludf.DUMMYFUNCTION("IFERROR(
  TEXTJOIN(CHAR(10),TRUE,FILTER('SUMMARY DATA'!E:E,'SUMMARY DATA'!$A:$A=$A879,'SUMMARY DATA'!$C:$C=$B879,'SUMMARY DATA'!$B:$B=""RWS"")),
  IF(
    OR(
      ISNUMBER(SEARCH(""CDM CASH DEPOSIT"",$C879)),
      ISNUMBER(SEARCH(""CASH DEPOSIT"",$C87"&amp;"9)),
      COUNTIFS('SUMMARY DATA'!$D:$D,$C879,'SUMMARY DATA'!$B:$B,""RWS"")&lt;&gt;1
    ),
    """",
    IFERROR(TEXTJOIN(CHAR(10),TRUE,FILTER('SUMMARY DATA'!E:E,'SUMMARY DATA'!$D:$D=$C879,'SUMMARY DATA'!$B:$B=""RWS"")),"""")
  )
)"),"")</f>
      </c>
      <c r="F879" s="17" t="str">
        <f>IFERROR(__xludf.DUMMYFUNCTION("IFERROR(
  TEXTJOIN(CHAR(10),TRUE,FILTER('SUMMARY DATA'!F:F,'SUMMARY DATA'!$A:$A=$A879,'SUMMARY DATA'!$C:$C=$B879,'SUMMARY DATA'!$B:$B=""RWS"")),
  IF(
    OR(
      ISNUMBER(SEARCH(""CDM CASH DEPOSIT"",$C879)),
      ISNUMBER(SEARCH(""CASH DEPOSIT"",$C87"&amp;"9)),
      COUNTIFS('SUMMARY DATA'!$D:$D,$C879,'SUMMARY DATA'!$B:$B,""RWS"")&lt;&gt;1
    ),
    """",
    IFERROR(TEXTJOIN(CHAR(10),TRUE,FILTER('SUMMARY DATA'!F:F,'SUMMARY DATA'!$D:$D=$C879,'SUMMARY DATA'!$B:$B=""RWS"")),"""")
  )
)"),"")</f>
      </c>
      <c r="G879" s="17" t="str">
        <f>IFERROR(__xludf.DUMMYFUNCTION("IFERROR(
  TEXTJOIN(CHAR(10),TRUE,FILTER('SUMMARY DATA'!G:G,'SUMMARY DATA'!$A:$A=$A879,'SUMMARY DATA'!$C:$C=$B879,'SUMMARY DATA'!$B:$B=""RWS"")),
  IF(
    OR(
      ISNUMBER(SEARCH(""CDM CASH DEPOSIT"",$C879)),
      ISNUMBER(SEARCH(""CASH DEPOSIT"",$C87"&amp;"9)),
      COUNTIFS('SUMMARY DATA'!$D:$D,$C879,'SUMMARY DATA'!$B:$B,""RWS"")&lt;&gt;1
    ),
    """",
    IFERROR(TEXTJOIN(CHAR(10),TRUE,FILTER('SUMMARY DATA'!G:G,'SUMMARY DATA'!$D:$D=$C879,'SUMMARY DATA'!$B:$B=""RWS"")),"""")
  )
)"),"")</f>
      </c>
      <c r="H879" s="18" t="str">
        <f>IFERROR(__xludf.DUMMYFUNCTION("IFERROR(
  TEXTJOIN(CHAR(10),TRUE,FILTER('SUMMARY DATA'!H:H,'SUMMARY DATA'!$A:$A=$A879,'SUMMARY DATA'!$C:$C=$B879,'SUMMARY DATA'!$B:$B=""RWS"",'SUMMARY DATA'!$H:$H=$D879)),
  IF(
    OR(
      ISNUMBER(SEARCH(""CDM CASH DEPOSIT"",$C879)),
      ISNUMBER(S"&amp;"EARCH(""CASH DEPOSIT"",$C879))
    ),
    """",
    IFERROR(TEXTJOIN(CHAR(10),TRUE,FILTER('SUMMARY DATA'!H:H,'SUMMARY DATA'!$D:$D=$C879,'SUMMARY DATA'!$B:$B=""RWS"",'SUMMARY DATA'!$H:$H=$D879)),"""")
  )
)"),"")</f>
      </c>
      <c r="I879" s="18" t="str">
        <f>IFERROR(__xludf.DUMMYFUNCTION("IF(H879="""","""",
SUM(ARRAYFORMULA(VALUE(SPLIT(H879,CHAR(10)))))
)"),"")</f>
      </c>
      <c r="J879" s="17" t="str">
        <f>IFERROR(__xludf.DUMMYFUNCTION("IFERROR(
  TEXTJOIN(CHAR(10),TRUE,FILTER('SUMMARY DATA'!I:I,'SUMMARY DATA'!$A:$A=$A879,'SUMMARY DATA'!$C:$C=$B879,'SUMMARY DATA'!$B:$B=""RWS"")),
  IF(
    OR(
      ISNUMBER(SEARCH(""CDM CASH DEPOSIT"",$C879)),
      ISNUMBER(SEARCH(""CASH DEPOSIT"",$C87"&amp;"9)),
      COUNTIFS('SUMMARY DATA'!$D:$D,$C879,'SUMMARY DATA'!$B:$B,""RWS"")&lt;&gt;1
    ),
    """",
    IFERROR(TEXTJOIN(CHAR(10),TRUE,FILTER('SUMMARY DATA'!I:I,'SUMMARY DATA'!$D:$D=$C879,'SUMMARY DATA'!$B:$B=""RWS"")),"""")
  )
)"),"")</f>
      </c>
      <c r="K879" s="2"/>
      <c r="L879" s="2"/>
      <c r="M879" s="2"/>
      <c r="N879" s="2"/>
      <c r="O879" s="2"/>
      <c r="P879" s="2"/>
      <c r="Q879" s="2"/>
      <c r="R879" s="2"/>
      <c r="S879" s="2"/>
      <c r="T879" s="2"/>
      <c r="U879" s="2"/>
      <c r="V879" s="2"/>
      <c r="W879" s="2"/>
      <c r="X879" s="2"/>
      <c r="Y879" s="2"/>
      <c r="Z879" s="2"/>
      <c r="AA879" s="2"/>
      <c r="AB879" s="2"/>
    </row>
    <row r="880" spans="1:28" customHeight="true">
      <c r="A880" s="2" t="s">
        <v>1408</v>
      </c>
      <c r="B880" s="15">
        <v>46093</v>
      </c>
      <c r="C880" s="2" t="s">
        <v>1409</v>
      </c>
      <c r="D880" s="3">
        <v>12.93</v>
      </c>
      <c r="E880" s="16" t="str">
        <f>IFERROR(__xludf.DUMMYFUNCTION("IFERROR(
  TEXTJOIN(CHAR(10),TRUE,FILTER('SUMMARY DATA'!E:E,'SUMMARY DATA'!$A:$A=$A880,'SUMMARY DATA'!$C:$C=$B880,'SUMMARY DATA'!$B:$B=""RWS"")),
  IF(
    OR(
      ISNUMBER(SEARCH(""CDM CASH DEPOSIT"",$C880)),
      ISNUMBER(SEARCH(""CASH DEPOSIT"",$C88"&amp;"0)),
      COUNTIFS('SUMMARY DATA'!$D:$D,$C880,'SUMMARY DATA'!$B:$B,""RWS"")&lt;&gt;1
    ),
    """",
    IFERROR(TEXTJOIN(CHAR(10),TRUE,FILTER('SUMMARY DATA'!E:E,'SUMMARY DATA'!$D:$D=$C880,'SUMMARY DATA'!$B:$B=""RWS"")),"""")
  )
)"),"")</f>
      </c>
      <c r="F880" s="17" t="str">
        <f>IFERROR(__xludf.DUMMYFUNCTION("IFERROR(
  TEXTJOIN(CHAR(10),TRUE,FILTER('SUMMARY DATA'!F:F,'SUMMARY DATA'!$A:$A=$A880,'SUMMARY DATA'!$C:$C=$B880,'SUMMARY DATA'!$B:$B=""RWS"")),
  IF(
    OR(
      ISNUMBER(SEARCH(""CDM CASH DEPOSIT"",$C880)),
      ISNUMBER(SEARCH(""CASH DEPOSIT"",$C88"&amp;"0)),
      COUNTIFS('SUMMARY DATA'!$D:$D,$C880,'SUMMARY DATA'!$B:$B,""RWS"")&lt;&gt;1
    ),
    """",
    IFERROR(TEXTJOIN(CHAR(10),TRUE,FILTER('SUMMARY DATA'!F:F,'SUMMARY DATA'!$D:$D=$C880,'SUMMARY DATA'!$B:$B=""RWS"")),"""")
  )
)"),"")</f>
      </c>
      <c r="G880" s="17" t="str">
        <f>IFERROR(__xludf.DUMMYFUNCTION("IFERROR(
  TEXTJOIN(CHAR(10),TRUE,FILTER('SUMMARY DATA'!G:G,'SUMMARY DATA'!$A:$A=$A880,'SUMMARY DATA'!$C:$C=$B880,'SUMMARY DATA'!$B:$B=""RWS"")),
  IF(
    OR(
      ISNUMBER(SEARCH(""CDM CASH DEPOSIT"",$C880)),
      ISNUMBER(SEARCH(""CASH DEPOSIT"",$C88"&amp;"0)),
      COUNTIFS('SUMMARY DATA'!$D:$D,$C880,'SUMMARY DATA'!$B:$B,""RWS"")&lt;&gt;1
    ),
    """",
    IFERROR(TEXTJOIN(CHAR(10),TRUE,FILTER('SUMMARY DATA'!G:G,'SUMMARY DATA'!$D:$D=$C880,'SUMMARY DATA'!$B:$B=""RWS"")),"""")
  )
)"),"")</f>
      </c>
      <c r="H880" s="18" t="str">
        <f>IFERROR(__xludf.DUMMYFUNCTION("IFERROR(
  TEXTJOIN(CHAR(10),TRUE,FILTER('SUMMARY DATA'!H:H,'SUMMARY DATA'!$A:$A=$A880,'SUMMARY DATA'!$C:$C=$B880,'SUMMARY DATA'!$B:$B=""RWS"",'SUMMARY DATA'!$H:$H=$D880)),
  IF(
    OR(
      ISNUMBER(SEARCH(""CDM CASH DEPOSIT"",$C880)),
      ISNUMBER(S"&amp;"EARCH(""CASH DEPOSIT"",$C880))
    ),
    """",
    IFERROR(TEXTJOIN(CHAR(10),TRUE,FILTER('SUMMARY DATA'!H:H,'SUMMARY DATA'!$D:$D=$C880,'SUMMARY DATA'!$B:$B=""RWS"",'SUMMARY DATA'!$H:$H=$D880)),"""")
  )
)"),"")</f>
      </c>
      <c r="I880" s="18" t="str">
        <f>IFERROR(__xludf.DUMMYFUNCTION("IF(H880="""","""",
SUM(ARRAYFORMULA(VALUE(SPLIT(H880,CHAR(10)))))
)"),"")</f>
      </c>
      <c r="J880" s="17" t="str">
        <f>IFERROR(__xludf.DUMMYFUNCTION("IFERROR(
  TEXTJOIN(CHAR(10),TRUE,FILTER('SUMMARY DATA'!I:I,'SUMMARY DATA'!$A:$A=$A880,'SUMMARY DATA'!$C:$C=$B880,'SUMMARY DATA'!$B:$B=""RWS"")),
  IF(
    OR(
      ISNUMBER(SEARCH(""CDM CASH DEPOSIT"",$C880)),
      ISNUMBER(SEARCH(""CASH DEPOSIT"",$C88"&amp;"0)),
      COUNTIFS('SUMMARY DATA'!$D:$D,$C880,'SUMMARY DATA'!$B:$B,""RWS"")&lt;&gt;1
    ),
    """",
    IFERROR(TEXTJOIN(CHAR(10),TRUE,FILTER('SUMMARY DATA'!I:I,'SUMMARY DATA'!$D:$D=$C880,'SUMMARY DATA'!$B:$B=""RWS"")),"""")
  )
)"),"")</f>
      </c>
      <c r="K880" s="2"/>
      <c r="L880" s="2"/>
      <c r="M880" s="2"/>
      <c r="N880" s="2"/>
      <c r="O880" s="2"/>
      <c r="P880" s="2"/>
      <c r="Q880" s="2"/>
      <c r="R880" s="2"/>
      <c r="S880" s="2"/>
      <c r="T880" s="2"/>
      <c r="U880" s="2"/>
      <c r="V880" s="2"/>
      <c r="W880" s="2"/>
      <c r="X880" s="2"/>
      <c r="Y880" s="2"/>
      <c r="Z880" s="2"/>
      <c r="AA880" s="2"/>
      <c r="AB880" s="2"/>
    </row>
    <row r="881" spans="1:28" customHeight="true">
      <c r="A881" s="2" t="s">
        <v>1410</v>
      </c>
      <c r="B881" s="15">
        <v>46095</v>
      </c>
      <c r="C881" s="2" t="s">
        <v>1411</v>
      </c>
      <c r="D881" s="3">
        <v>512</v>
      </c>
      <c r="E881" s="16" t="str">
        <f>IFERROR(__xludf.DUMMYFUNCTION("IFERROR(
  TEXTJOIN(CHAR(10),TRUE,FILTER('SUMMARY DATA'!E:E,'SUMMARY DATA'!$A:$A=$A881,'SUMMARY DATA'!$C:$C=$B881,'SUMMARY DATA'!$B:$B=""RWS"")),
  IF(
    OR(
      ISNUMBER(SEARCH(""CDM CASH DEPOSIT"",$C881)),
      ISNUMBER(SEARCH(""CASH DEPOSIT"",$C88"&amp;"1)),
      COUNTIFS('SUMMARY DATA'!$D:$D,$C881,'SUMMARY DATA'!$B:$B,""RWS"")&lt;&gt;1
    ),
    """",
    IFERROR(TEXTJOIN(CHAR(10),TRUE,FILTER('SUMMARY DATA'!E:E,'SUMMARY DATA'!$D:$D=$C881,'SUMMARY DATA'!$B:$B=""RWS"")),"""")
  )
)"),"")</f>
      </c>
      <c r="F881" s="17" t="str">
        <f>IFERROR(__xludf.DUMMYFUNCTION("IFERROR(
  TEXTJOIN(CHAR(10),TRUE,FILTER('SUMMARY DATA'!F:F,'SUMMARY DATA'!$A:$A=$A881,'SUMMARY DATA'!$C:$C=$B881,'SUMMARY DATA'!$B:$B=""RWS"")),
  IF(
    OR(
      ISNUMBER(SEARCH(""CDM CASH DEPOSIT"",$C881)),
      ISNUMBER(SEARCH(""CASH DEPOSIT"",$C88"&amp;"1)),
      COUNTIFS('SUMMARY DATA'!$D:$D,$C881,'SUMMARY DATA'!$B:$B,""RWS"")&lt;&gt;1
    ),
    """",
    IFERROR(TEXTJOIN(CHAR(10),TRUE,FILTER('SUMMARY DATA'!F:F,'SUMMARY DATA'!$D:$D=$C881,'SUMMARY DATA'!$B:$B=""RWS"")),"""")
  )
)"),"")</f>
      </c>
      <c r="G881" s="17" t="str">
        <f>IFERROR(__xludf.DUMMYFUNCTION("IFERROR(
  TEXTJOIN(CHAR(10),TRUE,FILTER('SUMMARY DATA'!G:G,'SUMMARY DATA'!$A:$A=$A881,'SUMMARY DATA'!$C:$C=$B881,'SUMMARY DATA'!$B:$B=""RWS"")),
  IF(
    OR(
      ISNUMBER(SEARCH(""CDM CASH DEPOSIT"",$C881)),
      ISNUMBER(SEARCH(""CASH DEPOSIT"",$C88"&amp;"1)),
      COUNTIFS('SUMMARY DATA'!$D:$D,$C881,'SUMMARY DATA'!$B:$B,""RWS"")&lt;&gt;1
    ),
    """",
    IFERROR(TEXTJOIN(CHAR(10),TRUE,FILTER('SUMMARY DATA'!G:G,'SUMMARY DATA'!$D:$D=$C881,'SUMMARY DATA'!$B:$B=""RWS"")),"""")
  )
)"),"")</f>
      </c>
      <c r="H881" s="18" t="str">
        <f>IFERROR(__xludf.DUMMYFUNCTION("IFERROR(
  TEXTJOIN(CHAR(10),TRUE,FILTER('SUMMARY DATA'!H:H,'SUMMARY DATA'!$A:$A=$A881,'SUMMARY DATA'!$C:$C=$B881,'SUMMARY DATA'!$B:$B=""RWS"",'SUMMARY DATA'!$H:$H=$D881)),
  IF(
    OR(
      ISNUMBER(SEARCH(""CDM CASH DEPOSIT"",$C881)),
      ISNUMBER(S"&amp;"EARCH(""CASH DEPOSIT"",$C881))
    ),
    """",
    IFERROR(TEXTJOIN(CHAR(10),TRUE,FILTER('SUMMARY DATA'!H:H,'SUMMARY DATA'!$D:$D=$C881,'SUMMARY DATA'!$B:$B=""RWS"",'SUMMARY DATA'!$H:$H=$D881)),"""")
  )
)"),"")</f>
      </c>
      <c r="I881" s="18" t="str">
        <f>IFERROR(__xludf.DUMMYFUNCTION("IF(H881="""","""",
SUM(ARRAYFORMULA(VALUE(SPLIT(H881,CHAR(10)))))
)"),"")</f>
      </c>
      <c r="J881" s="17" t="str">
        <f>IFERROR(__xludf.DUMMYFUNCTION("IFERROR(
  TEXTJOIN(CHAR(10),TRUE,FILTER('SUMMARY DATA'!I:I,'SUMMARY DATA'!$A:$A=$A881,'SUMMARY DATA'!$C:$C=$B881,'SUMMARY DATA'!$B:$B=""RWS"")),
  IF(
    OR(
      ISNUMBER(SEARCH(""CDM CASH DEPOSIT"",$C881)),
      ISNUMBER(SEARCH(""CASH DEPOSIT"",$C88"&amp;"1)),
      COUNTIFS('SUMMARY DATA'!$D:$D,$C881,'SUMMARY DATA'!$B:$B,""RWS"")&lt;&gt;1
    ),
    """",
    IFERROR(TEXTJOIN(CHAR(10),TRUE,FILTER('SUMMARY DATA'!I:I,'SUMMARY DATA'!$D:$D=$C881,'SUMMARY DATA'!$B:$B=""RWS"")),"""")
  )
)"),"")</f>
      </c>
      <c r="K881" s="2"/>
      <c r="L881" s="2"/>
      <c r="M881" s="2"/>
      <c r="N881" s="2"/>
      <c r="O881" s="2"/>
      <c r="P881" s="2"/>
      <c r="Q881" s="2"/>
      <c r="R881" s="2"/>
      <c r="S881" s="2"/>
      <c r="T881" s="2"/>
      <c r="U881" s="2"/>
      <c r="V881" s="2"/>
      <c r="W881" s="2"/>
      <c r="X881" s="2"/>
      <c r="Y881" s="2"/>
      <c r="Z881" s="2"/>
      <c r="AA881" s="2"/>
      <c r="AB881" s="2"/>
    </row>
    <row r="882" spans="1:28" customHeight="true">
      <c r="A882" s="2" t="s">
        <v>1412</v>
      </c>
      <c r="B882" s="15">
        <v>46096</v>
      </c>
      <c r="C882" s="2" t="s">
        <v>1413</v>
      </c>
      <c r="D882" s="3">
        <v>152.88</v>
      </c>
      <c r="E882" s="16" t="str">
        <f>IFERROR(__xludf.DUMMYFUNCTION("IFERROR(
  TEXTJOIN(CHAR(10),TRUE,FILTER('SUMMARY DATA'!E:E,'SUMMARY DATA'!$A:$A=$A882,'SUMMARY DATA'!$C:$C=$B882,'SUMMARY DATA'!$B:$B=""RWS"")),
  IF(
    OR(
      ISNUMBER(SEARCH(""CDM CASH DEPOSIT"",$C882)),
      ISNUMBER(SEARCH(""CASH DEPOSIT"",$C88"&amp;"2)),
      COUNTIFS('SUMMARY DATA'!$D:$D,$C882,'SUMMARY DATA'!$B:$B,""RWS"")&lt;&gt;1
    ),
    """",
    IFERROR(TEXTJOIN(CHAR(10),TRUE,FILTER('SUMMARY DATA'!E:E,'SUMMARY DATA'!$D:$D=$C882,'SUMMARY DATA'!$B:$B=""RWS"")),"""")
  )
)"),"")</f>
      </c>
      <c r="F882" s="17" t="str">
        <f>IFERROR(__xludf.DUMMYFUNCTION("IFERROR(
  TEXTJOIN(CHAR(10),TRUE,FILTER('SUMMARY DATA'!F:F,'SUMMARY DATA'!$A:$A=$A882,'SUMMARY DATA'!$C:$C=$B882,'SUMMARY DATA'!$B:$B=""RWS"")),
  IF(
    OR(
      ISNUMBER(SEARCH(""CDM CASH DEPOSIT"",$C882)),
      ISNUMBER(SEARCH(""CASH DEPOSIT"",$C88"&amp;"2)),
      COUNTIFS('SUMMARY DATA'!$D:$D,$C882,'SUMMARY DATA'!$B:$B,""RWS"")&lt;&gt;1
    ),
    """",
    IFERROR(TEXTJOIN(CHAR(10),TRUE,FILTER('SUMMARY DATA'!F:F,'SUMMARY DATA'!$D:$D=$C882,'SUMMARY DATA'!$B:$B=""RWS"")),"""")
  )
)"),"")</f>
      </c>
      <c r="G882" s="17" t="str">
        <f>IFERROR(__xludf.DUMMYFUNCTION("IFERROR(
  TEXTJOIN(CHAR(10),TRUE,FILTER('SUMMARY DATA'!G:G,'SUMMARY DATA'!$A:$A=$A882,'SUMMARY DATA'!$C:$C=$B882,'SUMMARY DATA'!$B:$B=""RWS"")),
  IF(
    OR(
      ISNUMBER(SEARCH(""CDM CASH DEPOSIT"",$C882)),
      ISNUMBER(SEARCH(""CASH DEPOSIT"",$C88"&amp;"2)),
      COUNTIFS('SUMMARY DATA'!$D:$D,$C882,'SUMMARY DATA'!$B:$B,""RWS"")&lt;&gt;1
    ),
    """",
    IFERROR(TEXTJOIN(CHAR(10),TRUE,FILTER('SUMMARY DATA'!G:G,'SUMMARY DATA'!$D:$D=$C882,'SUMMARY DATA'!$B:$B=""RWS"")),"""")
  )
)"),"")</f>
      </c>
      <c r="H882" s="18" t="str">
        <f>IFERROR(__xludf.DUMMYFUNCTION("IFERROR(
  TEXTJOIN(CHAR(10),TRUE,FILTER('SUMMARY DATA'!H:H,'SUMMARY DATA'!$A:$A=$A882,'SUMMARY DATA'!$C:$C=$B882,'SUMMARY DATA'!$B:$B=""RWS"",'SUMMARY DATA'!$H:$H=$D882)),
  IF(
    OR(
      ISNUMBER(SEARCH(""CDM CASH DEPOSIT"",$C882)),
      ISNUMBER(S"&amp;"EARCH(""CASH DEPOSIT"",$C882))
    ),
    """",
    IFERROR(TEXTJOIN(CHAR(10),TRUE,FILTER('SUMMARY DATA'!H:H,'SUMMARY DATA'!$D:$D=$C882,'SUMMARY DATA'!$B:$B=""RWS"",'SUMMARY DATA'!$H:$H=$D882)),"""")
  )
)"),"")</f>
      </c>
      <c r="I882" s="18" t="str">
        <f>IFERROR(__xludf.DUMMYFUNCTION("IF(H882="""","""",
SUM(ARRAYFORMULA(VALUE(SPLIT(H882,CHAR(10)))))
)"),"")</f>
      </c>
      <c r="J882" s="17" t="str">
        <f>IFERROR(__xludf.DUMMYFUNCTION("IFERROR(
  TEXTJOIN(CHAR(10),TRUE,FILTER('SUMMARY DATA'!I:I,'SUMMARY DATA'!$A:$A=$A882,'SUMMARY DATA'!$C:$C=$B882,'SUMMARY DATA'!$B:$B=""RWS"")),
  IF(
    OR(
      ISNUMBER(SEARCH(""CDM CASH DEPOSIT"",$C882)),
      ISNUMBER(SEARCH(""CASH DEPOSIT"",$C88"&amp;"2)),
      COUNTIFS('SUMMARY DATA'!$D:$D,$C882,'SUMMARY DATA'!$B:$B,""RWS"")&lt;&gt;1
    ),
    """",
    IFERROR(TEXTJOIN(CHAR(10),TRUE,FILTER('SUMMARY DATA'!I:I,'SUMMARY DATA'!$D:$D=$C882,'SUMMARY DATA'!$B:$B=""RWS"")),"""")
  )
)"),"")</f>
      </c>
      <c r="K882" s="2"/>
      <c r="L882" s="2"/>
      <c r="M882" s="2"/>
      <c r="N882" s="2"/>
      <c r="O882" s="2"/>
      <c r="P882" s="2"/>
      <c r="Q882" s="2"/>
      <c r="R882" s="2"/>
      <c r="S882" s="2"/>
      <c r="T882" s="2"/>
      <c r="U882" s="2"/>
      <c r="V882" s="2"/>
      <c r="W882" s="2"/>
      <c r="X882" s="2"/>
      <c r="Y882" s="2"/>
      <c r="Z882" s="2"/>
      <c r="AA882" s="2"/>
      <c r="AB882" s="2"/>
    </row>
    <row r="883" spans="1:28" customHeight="true">
      <c r="A883" s="2" t="s">
        <v>1414</v>
      </c>
      <c r="B883" s="15">
        <v>46096</v>
      </c>
      <c r="C883" s="2" t="s">
        <v>1415</v>
      </c>
      <c r="D883" s="3">
        <v>198.74</v>
      </c>
      <c r="E883" s="16" t="str">
        <f>IFERROR(__xludf.DUMMYFUNCTION("IFERROR(
  TEXTJOIN(CHAR(10),TRUE,FILTER('SUMMARY DATA'!E:E,'SUMMARY DATA'!$A:$A=$A883,'SUMMARY DATA'!$C:$C=$B883,'SUMMARY DATA'!$B:$B=""RWS"")),
  IF(
    OR(
      ISNUMBER(SEARCH(""CDM CASH DEPOSIT"",$C883)),
      ISNUMBER(SEARCH(""CASH DEPOSIT"",$C88"&amp;"3)),
      COUNTIFS('SUMMARY DATA'!$D:$D,$C883,'SUMMARY DATA'!$B:$B,""RWS"")&lt;&gt;1
    ),
    """",
    IFERROR(TEXTJOIN(CHAR(10),TRUE,FILTER('SUMMARY DATA'!E:E,'SUMMARY DATA'!$D:$D=$C883,'SUMMARY DATA'!$B:$B=""RWS"")),"""")
  )
)"),"")</f>
      </c>
      <c r="F883" s="17" t="str">
        <f>IFERROR(__xludf.DUMMYFUNCTION("IFERROR(
  TEXTJOIN(CHAR(10),TRUE,FILTER('SUMMARY DATA'!F:F,'SUMMARY DATA'!$A:$A=$A883,'SUMMARY DATA'!$C:$C=$B883,'SUMMARY DATA'!$B:$B=""RWS"")),
  IF(
    OR(
      ISNUMBER(SEARCH(""CDM CASH DEPOSIT"",$C883)),
      ISNUMBER(SEARCH(""CASH DEPOSIT"",$C88"&amp;"3)),
      COUNTIFS('SUMMARY DATA'!$D:$D,$C883,'SUMMARY DATA'!$B:$B,""RWS"")&lt;&gt;1
    ),
    """",
    IFERROR(TEXTJOIN(CHAR(10),TRUE,FILTER('SUMMARY DATA'!F:F,'SUMMARY DATA'!$D:$D=$C883,'SUMMARY DATA'!$B:$B=""RWS"")),"""")
  )
)"),"")</f>
      </c>
      <c r="G883" s="17" t="str">
        <f>IFERROR(__xludf.DUMMYFUNCTION("IFERROR(
  TEXTJOIN(CHAR(10),TRUE,FILTER('SUMMARY DATA'!G:G,'SUMMARY DATA'!$A:$A=$A883,'SUMMARY DATA'!$C:$C=$B883,'SUMMARY DATA'!$B:$B=""RWS"")),
  IF(
    OR(
      ISNUMBER(SEARCH(""CDM CASH DEPOSIT"",$C883)),
      ISNUMBER(SEARCH(""CASH DEPOSIT"",$C88"&amp;"3)),
      COUNTIFS('SUMMARY DATA'!$D:$D,$C883,'SUMMARY DATA'!$B:$B,""RWS"")&lt;&gt;1
    ),
    """",
    IFERROR(TEXTJOIN(CHAR(10),TRUE,FILTER('SUMMARY DATA'!G:G,'SUMMARY DATA'!$D:$D=$C883,'SUMMARY DATA'!$B:$B=""RWS"")),"""")
  )
)"),"")</f>
      </c>
      <c r="H883" s="18" t="str">
        <f>IFERROR(__xludf.DUMMYFUNCTION("IFERROR(
  TEXTJOIN(CHAR(10),TRUE,FILTER('SUMMARY DATA'!H:H,'SUMMARY DATA'!$A:$A=$A883,'SUMMARY DATA'!$C:$C=$B883,'SUMMARY DATA'!$B:$B=""RWS"",'SUMMARY DATA'!$H:$H=$D883)),
  IF(
    OR(
      ISNUMBER(SEARCH(""CDM CASH DEPOSIT"",$C883)),
      ISNUMBER(S"&amp;"EARCH(""CASH DEPOSIT"",$C883))
    ),
    """",
    IFERROR(TEXTJOIN(CHAR(10),TRUE,FILTER('SUMMARY DATA'!H:H,'SUMMARY DATA'!$D:$D=$C883,'SUMMARY DATA'!$B:$B=""RWS"",'SUMMARY DATA'!$H:$H=$D883)),"""")
  )
)"),"")</f>
      </c>
      <c r="I883" s="18" t="str">
        <f>IFERROR(__xludf.DUMMYFUNCTION("IF(H883="""","""",
SUM(ARRAYFORMULA(VALUE(SPLIT(H883,CHAR(10)))))
)"),"")</f>
      </c>
      <c r="J883" s="17" t="str">
        <f>IFERROR(__xludf.DUMMYFUNCTION("IFERROR(
  TEXTJOIN(CHAR(10),TRUE,FILTER('SUMMARY DATA'!I:I,'SUMMARY DATA'!$A:$A=$A883,'SUMMARY DATA'!$C:$C=$B883,'SUMMARY DATA'!$B:$B=""RWS"")),
  IF(
    OR(
      ISNUMBER(SEARCH(""CDM CASH DEPOSIT"",$C883)),
      ISNUMBER(SEARCH(""CASH DEPOSIT"",$C88"&amp;"3)),
      COUNTIFS('SUMMARY DATA'!$D:$D,$C883,'SUMMARY DATA'!$B:$B,""RWS"")&lt;&gt;1
    ),
    """",
    IFERROR(TEXTJOIN(CHAR(10),TRUE,FILTER('SUMMARY DATA'!I:I,'SUMMARY DATA'!$D:$D=$C883,'SUMMARY DATA'!$B:$B=""RWS"")),"""")
  )
)"),"")</f>
      </c>
      <c r="K883" s="2"/>
      <c r="L883" s="2"/>
      <c r="M883" s="2"/>
      <c r="N883" s="2"/>
      <c r="O883" s="2"/>
      <c r="P883" s="2"/>
      <c r="Q883" s="2"/>
      <c r="R883" s="2"/>
      <c r="S883" s="2"/>
      <c r="T883" s="2"/>
      <c r="U883" s="2"/>
      <c r="V883" s="2"/>
      <c r="W883" s="2"/>
      <c r="X883" s="2"/>
      <c r="Y883" s="2"/>
      <c r="Z883" s="2"/>
      <c r="AA883" s="2"/>
      <c r="AB883" s="2"/>
    </row>
    <row r="884" spans="1:28" customHeight="true">
      <c r="A884" s="2" t="s">
        <v>965</v>
      </c>
      <c r="B884" s="15">
        <v>46098</v>
      </c>
      <c r="C884" s="2" t="s">
        <v>1416</v>
      </c>
      <c r="D884" s="3">
        <v>99</v>
      </c>
      <c r="E884" s="16" t="s">
        <v>2716</v>
      </c>
      <c r="F884" s="17" t="s">
        <v>2717</v>
      </c>
      <c r="G884" s="17" t="s">
        <v>2393</v>
      </c>
      <c r="H884" s="18">
        <v>99</v>
      </c>
      <c r="I884" s="18">
        <v>99</v>
      </c>
      <c r="J884" s="17" t="s">
        <v>2394</v>
      </c>
      <c r="K884" s="2" t="s">
        <v>2395</v>
      </c>
      <c r="L884" s="2"/>
      <c r="M884" s="2"/>
      <c r="N884" s="2"/>
      <c r="O884" s="2"/>
      <c r="P884" s="2"/>
      <c r="Q884" s="2"/>
      <c r="R884" s="2"/>
      <c r="S884" s="2"/>
      <c r="T884" s="2"/>
      <c r="U884" s="2"/>
      <c r="V884" s="2"/>
      <c r="W884" s="2"/>
      <c r="X884" s="2"/>
      <c r="Y884" s="2"/>
      <c r="Z884" s="2"/>
      <c r="AA884" s="2"/>
      <c r="AB884" s="2"/>
    </row>
    <row r="885" spans="1:28" customHeight="true">
      <c r="A885" s="2" t="s">
        <v>1417</v>
      </c>
      <c r="B885" s="15">
        <v>46098</v>
      </c>
      <c r="C885" s="2" t="s">
        <v>1418</v>
      </c>
      <c r="D885" s="3">
        <v>198</v>
      </c>
      <c r="E885" s="16" t="str">
        <f>IFERROR(__xludf.DUMMYFUNCTION("IFERROR(
  TEXTJOIN(CHAR(10),TRUE,FILTER('SUMMARY DATA'!E:E,'SUMMARY DATA'!$A:$A=$A885,'SUMMARY DATA'!$C:$C=$B885,'SUMMARY DATA'!$B:$B=""RWS"")),
  IF(
    OR(
      ISNUMBER(SEARCH(""CDM CASH DEPOSIT"",$C885)),
      ISNUMBER(SEARCH(""CASH DEPOSIT"",$C88"&amp;"5)),
      COUNTIFS('SUMMARY DATA'!$D:$D,$C885,'SUMMARY DATA'!$B:$B,""RWS"")&lt;&gt;1
    ),
    """",
    IFERROR(TEXTJOIN(CHAR(10),TRUE,FILTER('SUMMARY DATA'!E:E,'SUMMARY DATA'!$D:$D=$C885,'SUMMARY DATA'!$B:$B=""RWS"")),"""")
  )
)"),"")</f>
      </c>
      <c r="F885" s="17" t="str">
        <f>IFERROR(__xludf.DUMMYFUNCTION("IFERROR(
  TEXTJOIN(CHAR(10),TRUE,FILTER('SUMMARY DATA'!F:F,'SUMMARY DATA'!$A:$A=$A885,'SUMMARY DATA'!$C:$C=$B885,'SUMMARY DATA'!$B:$B=""RWS"")),
  IF(
    OR(
      ISNUMBER(SEARCH(""CDM CASH DEPOSIT"",$C885)),
      ISNUMBER(SEARCH(""CASH DEPOSIT"",$C88"&amp;"5)),
      COUNTIFS('SUMMARY DATA'!$D:$D,$C885,'SUMMARY DATA'!$B:$B,""RWS"")&lt;&gt;1
    ),
    """",
    IFERROR(TEXTJOIN(CHAR(10),TRUE,FILTER('SUMMARY DATA'!F:F,'SUMMARY DATA'!$D:$D=$C885,'SUMMARY DATA'!$B:$B=""RWS"")),"""")
  )
)"),"")</f>
      </c>
      <c r="G885" s="17" t="str">
        <f>IFERROR(__xludf.DUMMYFUNCTION("IFERROR(
  TEXTJOIN(CHAR(10),TRUE,FILTER('SUMMARY DATA'!G:G,'SUMMARY DATA'!$A:$A=$A885,'SUMMARY DATA'!$C:$C=$B885,'SUMMARY DATA'!$B:$B=""RWS"")),
  IF(
    OR(
      ISNUMBER(SEARCH(""CDM CASH DEPOSIT"",$C885)),
      ISNUMBER(SEARCH(""CASH DEPOSIT"",$C88"&amp;"5)),
      COUNTIFS('SUMMARY DATA'!$D:$D,$C885,'SUMMARY DATA'!$B:$B,""RWS"")&lt;&gt;1
    ),
    """",
    IFERROR(TEXTJOIN(CHAR(10),TRUE,FILTER('SUMMARY DATA'!G:G,'SUMMARY DATA'!$D:$D=$C885,'SUMMARY DATA'!$B:$B=""RWS"")),"""")
  )
)"),"")</f>
      </c>
      <c r="H885" s="18" t="str">
        <f>IFERROR(__xludf.DUMMYFUNCTION("IFERROR(
  TEXTJOIN(CHAR(10),TRUE,FILTER('SUMMARY DATA'!H:H,'SUMMARY DATA'!$A:$A=$A885,'SUMMARY DATA'!$C:$C=$B885,'SUMMARY DATA'!$B:$B=""RWS"",'SUMMARY DATA'!$H:$H=$D885)),
  IF(
    OR(
      ISNUMBER(SEARCH(""CDM CASH DEPOSIT"",$C885)),
      ISNUMBER(S"&amp;"EARCH(""CASH DEPOSIT"",$C885))
    ),
    """",
    IFERROR(TEXTJOIN(CHAR(10),TRUE,FILTER('SUMMARY DATA'!H:H,'SUMMARY DATA'!$D:$D=$C885,'SUMMARY DATA'!$B:$B=""RWS"",'SUMMARY DATA'!$H:$H=$D885)),"""")
  )
)"),"")</f>
      </c>
      <c r="I885" s="18" t="str">
        <f>IFERROR(__xludf.DUMMYFUNCTION("IF(H885="""","""",
SUM(ARRAYFORMULA(VALUE(SPLIT(H885,CHAR(10)))))
)"),"")</f>
      </c>
      <c r="J885" s="17" t="str">
        <f>IFERROR(__xludf.DUMMYFUNCTION("IFERROR(
  TEXTJOIN(CHAR(10),TRUE,FILTER('SUMMARY DATA'!I:I,'SUMMARY DATA'!$A:$A=$A885,'SUMMARY DATA'!$C:$C=$B885,'SUMMARY DATA'!$B:$B=""RWS"")),
  IF(
    OR(
      ISNUMBER(SEARCH(""CDM CASH DEPOSIT"",$C885)),
      ISNUMBER(SEARCH(""CASH DEPOSIT"",$C88"&amp;"5)),
      COUNTIFS('SUMMARY DATA'!$D:$D,$C885,'SUMMARY DATA'!$B:$B,""RWS"")&lt;&gt;1
    ),
    """",
    IFERROR(TEXTJOIN(CHAR(10),TRUE,FILTER('SUMMARY DATA'!I:I,'SUMMARY DATA'!$D:$D=$C885,'SUMMARY DATA'!$B:$B=""RWS"")),"""")
  )
)"),"")</f>
      </c>
      <c r="K885" s="2"/>
      <c r="L885" s="2"/>
      <c r="M885" s="2"/>
      <c r="N885" s="2"/>
      <c r="O885" s="2"/>
      <c r="P885" s="2"/>
      <c r="Q885" s="2"/>
      <c r="R885" s="2"/>
      <c r="S885" s="2"/>
      <c r="T885" s="2"/>
      <c r="U885" s="2"/>
      <c r="V885" s="2"/>
      <c r="W885" s="2"/>
      <c r="X885" s="2"/>
      <c r="Y885" s="2"/>
      <c r="Z885" s="2"/>
      <c r="AA885" s="2"/>
      <c r="AB885" s="2"/>
    </row>
    <row r="886" spans="1:28" customHeight="true">
      <c r="A886" s="2" t="s">
        <v>1419</v>
      </c>
      <c r="B886" s="15">
        <v>46099</v>
      </c>
      <c r="C886" s="2" t="s">
        <v>1420</v>
      </c>
      <c r="D886" s="3">
        <v>9.88</v>
      </c>
      <c r="E886" s="16" t="str">
        <f>IFERROR(__xludf.DUMMYFUNCTION("IFERROR(
  TEXTJOIN(CHAR(10),TRUE,FILTER('SUMMARY DATA'!E:E,'SUMMARY DATA'!$A:$A=$A886,'SUMMARY DATA'!$C:$C=$B886,'SUMMARY DATA'!$B:$B=""RWS"")),
  IF(
    OR(
      ISNUMBER(SEARCH(""CDM CASH DEPOSIT"",$C886)),
      ISNUMBER(SEARCH(""CASH DEPOSIT"",$C88"&amp;"6)),
      COUNTIFS('SUMMARY DATA'!$D:$D,$C886,'SUMMARY DATA'!$B:$B,""RWS"")&lt;&gt;1
    ),
    """",
    IFERROR(TEXTJOIN(CHAR(10),TRUE,FILTER('SUMMARY DATA'!E:E,'SUMMARY DATA'!$D:$D=$C886,'SUMMARY DATA'!$B:$B=""RWS"")),"""")
  )
)"),"")</f>
      </c>
      <c r="F886" s="17" t="str">
        <f>IFERROR(__xludf.DUMMYFUNCTION("IFERROR(
  TEXTJOIN(CHAR(10),TRUE,FILTER('SUMMARY DATA'!F:F,'SUMMARY DATA'!$A:$A=$A886,'SUMMARY DATA'!$C:$C=$B886,'SUMMARY DATA'!$B:$B=""RWS"")),
  IF(
    OR(
      ISNUMBER(SEARCH(""CDM CASH DEPOSIT"",$C886)),
      ISNUMBER(SEARCH(""CASH DEPOSIT"",$C88"&amp;"6)),
      COUNTIFS('SUMMARY DATA'!$D:$D,$C886,'SUMMARY DATA'!$B:$B,""RWS"")&lt;&gt;1
    ),
    """",
    IFERROR(TEXTJOIN(CHAR(10),TRUE,FILTER('SUMMARY DATA'!F:F,'SUMMARY DATA'!$D:$D=$C886,'SUMMARY DATA'!$B:$B=""RWS"")),"""")
  )
)"),"")</f>
      </c>
      <c r="G886" s="17" t="str">
        <f>IFERROR(__xludf.DUMMYFUNCTION("IFERROR(
  TEXTJOIN(CHAR(10),TRUE,FILTER('SUMMARY DATA'!G:G,'SUMMARY DATA'!$A:$A=$A886,'SUMMARY DATA'!$C:$C=$B886,'SUMMARY DATA'!$B:$B=""RWS"")),
  IF(
    OR(
      ISNUMBER(SEARCH(""CDM CASH DEPOSIT"",$C886)),
      ISNUMBER(SEARCH(""CASH DEPOSIT"",$C88"&amp;"6)),
      COUNTIFS('SUMMARY DATA'!$D:$D,$C886,'SUMMARY DATA'!$B:$B,""RWS"")&lt;&gt;1
    ),
    """",
    IFERROR(TEXTJOIN(CHAR(10),TRUE,FILTER('SUMMARY DATA'!G:G,'SUMMARY DATA'!$D:$D=$C886,'SUMMARY DATA'!$B:$B=""RWS"")),"""")
  )
)"),"")</f>
      </c>
      <c r="H886" s="18" t="str">
        <f>IFERROR(__xludf.DUMMYFUNCTION("IFERROR(
  TEXTJOIN(CHAR(10),TRUE,FILTER('SUMMARY DATA'!H:H,'SUMMARY DATA'!$A:$A=$A886,'SUMMARY DATA'!$C:$C=$B886,'SUMMARY DATA'!$B:$B=""RWS"",'SUMMARY DATA'!$H:$H=$D886)),
  IF(
    OR(
      ISNUMBER(SEARCH(""CDM CASH DEPOSIT"",$C886)),
      ISNUMBER(S"&amp;"EARCH(""CASH DEPOSIT"",$C886))
    ),
    """",
    IFERROR(TEXTJOIN(CHAR(10),TRUE,FILTER('SUMMARY DATA'!H:H,'SUMMARY DATA'!$D:$D=$C886,'SUMMARY DATA'!$B:$B=""RWS"",'SUMMARY DATA'!$H:$H=$D886)),"""")
  )
)"),"")</f>
      </c>
      <c r="I886" s="18" t="str">
        <f>IFERROR(__xludf.DUMMYFUNCTION("IF(H886="""","""",
SUM(ARRAYFORMULA(VALUE(SPLIT(H886,CHAR(10)))))
)"),"")</f>
      </c>
      <c r="J886" s="17" t="str">
        <f>IFERROR(__xludf.DUMMYFUNCTION("IFERROR(
  TEXTJOIN(CHAR(10),TRUE,FILTER('SUMMARY DATA'!I:I,'SUMMARY DATA'!$A:$A=$A886,'SUMMARY DATA'!$C:$C=$B886,'SUMMARY DATA'!$B:$B=""RWS"")),
  IF(
    OR(
      ISNUMBER(SEARCH(""CDM CASH DEPOSIT"",$C886)),
      ISNUMBER(SEARCH(""CASH DEPOSIT"",$C88"&amp;"6)),
      COUNTIFS('SUMMARY DATA'!$D:$D,$C886,'SUMMARY DATA'!$B:$B,""RWS"")&lt;&gt;1
    ),
    """",
    IFERROR(TEXTJOIN(CHAR(10),TRUE,FILTER('SUMMARY DATA'!I:I,'SUMMARY DATA'!$D:$D=$C886,'SUMMARY DATA'!$B:$B=""RWS"")),"""")
  )
)"),"")</f>
      </c>
      <c r="K886" s="2"/>
      <c r="L886" s="2"/>
      <c r="M886" s="2"/>
      <c r="N886" s="2"/>
      <c r="O886" s="2"/>
      <c r="P886" s="2"/>
      <c r="Q886" s="2"/>
      <c r="R886" s="2"/>
      <c r="S886" s="2"/>
      <c r="T886" s="2"/>
      <c r="U886" s="2"/>
      <c r="V886" s="2"/>
      <c r="W886" s="2"/>
      <c r="X886" s="2"/>
      <c r="Y886" s="2"/>
      <c r="Z886" s="2"/>
      <c r="AA886" s="2"/>
      <c r="AB886" s="2"/>
    </row>
    <row r="887" spans="1:28" customHeight="true">
      <c r="A887" s="2" t="s">
        <v>1419</v>
      </c>
      <c r="B887" s="15">
        <v>46099</v>
      </c>
      <c r="C887" s="2" t="s">
        <v>1311</v>
      </c>
      <c r="D887" s="3">
        <v>159.99</v>
      </c>
      <c r="E887" s="16" t="str">
        <f>IFERROR(__xludf.DUMMYFUNCTION("IFERROR(
  TEXTJOIN(CHAR(10),TRUE,FILTER('SUMMARY DATA'!E:E,'SUMMARY DATA'!$A:$A=$A887,'SUMMARY DATA'!$C:$C=$B887,'SUMMARY DATA'!$B:$B=""RWS"")),
  IF(
    OR(
      ISNUMBER(SEARCH(""CDM CASH DEPOSIT"",$C887)),
      ISNUMBER(SEARCH(""CASH DEPOSIT"",$C88"&amp;"7)),
      COUNTIFS('SUMMARY DATA'!$D:$D,$C887,'SUMMARY DATA'!$B:$B,""RWS"")&lt;&gt;1
    ),
    """",
    IFERROR(TEXTJOIN(CHAR(10),TRUE,FILTER('SUMMARY DATA'!E:E,'SUMMARY DATA'!$D:$D=$C887,'SUMMARY DATA'!$B:$B=""RWS"")),"""")
  )
)"),"")</f>
      </c>
      <c r="F887" s="17" t="str">
        <f>IFERROR(__xludf.DUMMYFUNCTION("IFERROR(
  TEXTJOIN(CHAR(10),TRUE,FILTER('SUMMARY DATA'!F:F,'SUMMARY DATA'!$A:$A=$A887,'SUMMARY DATA'!$C:$C=$B887,'SUMMARY DATA'!$B:$B=""RWS"")),
  IF(
    OR(
      ISNUMBER(SEARCH(""CDM CASH DEPOSIT"",$C887)),
      ISNUMBER(SEARCH(""CASH DEPOSIT"",$C88"&amp;"7)),
      COUNTIFS('SUMMARY DATA'!$D:$D,$C887,'SUMMARY DATA'!$B:$B,""RWS"")&lt;&gt;1
    ),
    """",
    IFERROR(TEXTJOIN(CHAR(10),TRUE,FILTER('SUMMARY DATA'!F:F,'SUMMARY DATA'!$D:$D=$C887,'SUMMARY DATA'!$B:$B=""RWS"")),"""")
  )
)"),"")</f>
      </c>
      <c r="G887" s="17" t="str">
        <f>IFERROR(__xludf.DUMMYFUNCTION("IFERROR(
  TEXTJOIN(CHAR(10),TRUE,FILTER('SUMMARY DATA'!G:G,'SUMMARY DATA'!$A:$A=$A887,'SUMMARY DATA'!$C:$C=$B887,'SUMMARY DATA'!$B:$B=""RWS"")),
  IF(
    OR(
      ISNUMBER(SEARCH(""CDM CASH DEPOSIT"",$C887)),
      ISNUMBER(SEARCH(""CASH DEPOSIT"",$C88"&amp;"7)),
      COUNTIFS('SUMMARY DATA'!$D:$D,$C887,'SUMMARY DATA'!$B:$B,""RWS"")&lt;&gt;1
    ),
    """",
    IFERROR(TEXTJOIN(CHAR(10),TRUE,FILTER('SUMMARY DATA'!G:G,'SUMMARY DATA'!$D:$D=$C887,'SUMMARY DATA'!$B:$B=""RWS"")),"""")
  )
)"),"")</f>
      </c>
      <c r="H887" s="18" t="str">
        <f>IFERROR(__xludf.DUMMYFUNCTION("IFERROR(
  TEXTJOIN(CHAR(10),TRUE,FILTER('SUMMARY DATA'!H:H,'SUMMARY DATA'!$A:$A=$A887,'SUMMARY DATA'!$C:$C=$B887,'SUMMARY DATA'!$B:$B=""RWS"",'SUMMARY DATA'!$H:$H=$D887)),
  IF(
    OR(
      ISNUMBER(SEARCH(""CDM CASH DEPOSIT"",$C887)),
      ISNUMBER(S"&amp;"EARCH(""CASH DEPOSIT"",$C887))
    ),
    """",
    IFERROR(TEXTJOIN(CHAR(10),TRUE,FILTER('SUMMARY DATA'!H:H,'SUMMARY DATA'!$D:$D=$C887,'SUMMARY DATA'!$B:$B=""RWS"",'SUMMARY DATA'!$H:$H=$D887)),"""")
  )
)"),"")</f>
      </c>
      <c r="I887" s="18" t="str">
        <f>IFERROR(__xludf.DUMMYFUNCTION("IF(H887="""","""",
SUM(ARRAYFORMULA(VALUE(SPLIT(H887,CHAR(10)))))
)"),"")</f>
      </c>
      <c r="J887" s="17" t="str">
        <f>IFERROR(__xludf.DUMMYFUNCTION("IFERROR(
  TEXTJOIN(CHAR(10),TRUE,FILTER('SUMMARY DATA'!I:I,'SUMMARY DATA'!$A:$A=$A887,'SUMMARY DATA'!$C:$C=$B887,'SUMMARY DATA'!$B:$B=""RWS"")),
  IF(
    OR(
      ISNUMBER(SEARCH(""CDM CASH DEPOSIT"",$C887)),
      ISNUMBER(SEARCH(""CASH DEPOSIT"",$C88"&amp;"7)),
      COUNTIFS('SUMMARY DATA'!$D:$D,$C887,'SUMMARY DATA'!$B:$B,""RWS"")&lt;&gt;1
    ),
    """",
    IFERROR(TEXTJOIN(CHAR(10),TRUE,FILTER('SUMMARY DATA'!I:I,'SUMMARY DATA'!$D:$D=$C887,'SUMMARY DATA'!$B:$B=""RWS"")),"""")
  )
)"),"")</f>
      </c>
      <c r="K887" s="2"/>
      <c r="L887" s="2"/>
      <c r="M887" s="2"/>
      <c r="N887" s="2"/>
      <c r="O887" s="2"/>
      <c r="P887" s="2"/>
      <c r="Q887" s="2"/>
      <c r="R887" s="2"/>
      <c r="S887" s="2"/>
      <c r="T887" s="2"/>
      <c r="U887" s="2"/>
      <c r="V887" s="2"/>
      <c r="W887" s="2"/>
      <c r="X887" s="2"/>
      <c r="Y887" s="2"/>
      <c r="Z887" s="2"/>
      <c r="AA887" s="2"/>
      <c r="AB887" s="2"/>
    </row>
    <row r="888" spans="1:28" customHeight="true">
      <c r="A888" s="2"/>
      <c r="B888" s="15">
        <v>46099</v>
      </c>
      <c r="C888" s="2" t="s">
        <v>1421</v>
      </c>
      <c r="D888" s="3">
        <v>104.97</v>
      </c>
      <c r="E888" s="16" t="str">
        <f>IFERROR(__xludf.DUMMYFUNCTION("IFERROR(
  TEXTJOIN(CHAR(10),TRUE,FILTER('SUMMARY DATA'!E:E,'SUMMARY DATA'!$A:$A=$A888,'SUMMARY DATA'!$C:$C=$B888,'SUMMARY DATA'!$B:$B=""RWS"")),
  IF(
    OR(
      ISNUMBER(SEARCH(""CDM CASH DEPOSIT"",$C888)),
      ISNUMBER(SEARCH(""CASH DEPOSIT"",$C88"&amp;"8)),
      COUNTIFS('SUMMARY DATA'!$D:$D,$C888,'SUMMARY DATA'!$B:$B,""RWS"")&lt;&gt;1
    ),
    """",
    IFERROR(TEXTJOIN(CHAR(10),TRUE,FILTER('SUMMARY DATA'!E:E,'SUMMARY DATA'!$D:$D=$C888,'SUMMARY DATA'!$B:$B=""RWS"")),"""")
  )
)"),"")</f>
      </c>
      <c r="F888" s="17" t="str">
        <f>IFERROR(__xludf.DUMMYFUNCTION("IFERROR(
  TEXTJOIN(CHAR(10),TRUE,FILTER('SUMMARY DATA'!F:F,'SUMMARY DATA'!$A:$A=$A888,'SUMMARY DATA'!$C:$C=$B888,'SUMMARY DATA'!$B:$B=""RWS"")),
  IF(
    OR(
      ISNUMBER(SEARCH(""CDM CASH DEPOSIT"",$C888)),
      ISNUMBER(SEARCH(""CASH DEPOSIT"",$C88"&amp;"8)),
      COUNTIFS('SUMMARY DATA'!$D:$D,$C888,'SUMMARY DATA'!$B:$B,""RWS"")&lt;&gt;1
    ),
    """",
    IFERROR(TEXTJOIN(CHAR(10),TRUE,FILTER('SUMMARY DATA'!F:F,'SUMMARY DATA'!$D:$D=$C888,'SUMMARY DATA'!$B:$B=""RWS"")),"""")
  )
)"),"")</f>
      </c>
      <c r="G888" s="17" t="str">
        <f>IFERROR(__xludf.DUMMYFUNCTION("IFERROR(
  TEXTJOIN(CHAR(10),TRUE,FILTER('SUMMARY DATA'!G:G,'SUMMARY DATA'!$A:$A=$A888,'SUMMARY DATA'!$C:$C=$B888,'SUMMARY DATA'!$B:$B=""RWS"")),
  IF(
    OR(
      ISNUMBER(SEARCH(""CDM CASH DEPOSIT"",$C888)),
      ISNUMBER(SEARCH(""CASH DEPOSIT"",$C88"&amp;"8)),
      COUNTIFS('SUMMARY DATA'!$D:$D,$C888,'SUMMARY DATA'!$B:$B,""RWS"")&lt;&gt;1
    ),
    """",
    IFERROR(TEXTJOIN(CHAR(10),TRUE,FILTER('SUMMARY DATA'!G:G,'SUMMARY DATA'!$D:$D=$C888,'SUMMARY DATA'!$B:$B=""RWS"")),"""")
  )
)"),"")</f>
      </c>
      <c r="H888" s="18" t="str">
        <f>IFERROR(__xludf.DUMMYFUNCTION("IFERROR(
  TEXTJOIN(CHAR(10),TRUE,FILTER('SUMMARY DATA'!H:H,'SUMMARY DATA'!$A:$A=$A888,'SUMMARY DATA'!$C:$C=$B888,'SUMMARY DATA'!$B:$B=""RWS"",'SUMMARY DATA'!$H:$H=$D888)),
  IF(
    OR(
      ISNUMBER(SEARCH(""CDM CASH DEPOSIT"",$C888)),
      ISNUMBER(S"&amp;"EARCH(""CASH DEPOSIT"",$C888))
    ),
    """",
    IFERROR(TEXTJOIN(CHAR(10),TRUE,FILTER('SUMMARY DATA'!H:H,'SUMMARY DATA'!$D:$D=$C888,'SUMMARY DATA'!$B:$B=""RWS"",'SUMMARY DATA'!$H:$H=$D888)),"""")
  )
)"),"")</f>
      </c>
      <c r="I888" s="18" t="str">
        <f>IFERROR(__xludf.DUMMYFUNCTION("IF(H888="""","""",
SUM(ARRAYFORMULA(VALUE(SPLIT(H888,CHAR(10)))))
)"),"")</f>
      </c>
      <c r="J888" s="17" t="str">
        <f>IFERROR(__xludf.DUMMYFUNCTION("IFERROR(
  TEXTJOIN(CHAR(10),TRUE,FILTER('SUMMARY DATA'!I:I,'SUMMARY DATA'!$A:$A=$A888,'SUMMARY DATA'!$C:$C=$B888,'SUMMARY DATA'!$B:$B=""RWS"")),
  IF(
    OR(
      ISNUMBER(SEARCH(""CDM CASH DEPOSIT"",$C888)),
      ISNUMBER(SEARCH(""CASH DEPOSIT"",$C88"&amp;"8)),
      COUNTIFS('SUMMARY DATA'!$D:$D,$C888,'SUMMARY DATA'!$B:$B,""RWS"")&lt;&gt;1
    ),
    """",
    IFERROR(TEXTJOIN(CHAR(10),TRUE,FILTER('SUMMARY DATA'!I:I,'SUMMARY DATA'!$D:$D=$C888,'SUMMARY DATA'!$B:$B=""RWS"")),"""")
  )
)"),"")</f>
      </c>
      <c r="K888" s="2"/>
      <c r="L888" s="2"/>
      <c r="M888" s="2"/>
      <c r="N888" s="2"/>
      <c r="O888" s="2"/>
      <c r="P888" s="2"/>
      <c r="Q888" s="2"/>
      <c r="R888" s="2"/>
      <c r="S888" s="2"/>
      <c r="T888" s="2"/>
      <c r="U888" s="2"/>
      <c r="V888" s="2"/>
      <c r="W888" s="2"/>
      <c r="X888" s="2"/>
      <c r="Y888" s="2"/>
      <c r="Z888" s="2"/>
      <c r="AA888" s="2"/>
      <c r="AB888" s="2"/>
    </row>
    <row r="889" spans="1:28" customHeight="true">
      <c r="A889" s="2" t="s">
        <v>1412</v>
      </c>
      <c r="B889" s="15">
        <v>46102</v>
      </c>
      <c r="C889" s="2" t="s">
        <v>1413</v>
      </c>
      <c r="D889" s="3">
        <v>11.98</v>
      </c>
      <c r="E889" s="16" t="str">
        <f>IFERROR(__xludf.DUMMYFUNCTION("IFERROR(
  TEXTJOIN(CHAR(10),TRUE,FILTER('SUMMARY DATA'!E:E,'SUMMARY DATA'!$A:$A=$A889,'SUMMARY DATA'!$C:$C=$B889,'SUMMARY DATA'!$B:$B=""RWS"")),
  IF(
    OR(
      ISNUMBER(SEARCH(""CDM CASH DEPOSIT"",$C889)),
      ISNUMBER(SEARCH(""CASH DEPOSIT"",$C88"&amp;"9)),
      COUNTIFS('SUMMARY DATA'!$D:$D,$C889,'SUMMARY DATA'!$B:$B,""RWS"")&lt;&gt;1
    ),
    """",
    IFERROR(TEXTJOIN(CHAR(10),TRUE,FILTER('SUMMARY DATA'!E:E,'SUMMARY DATA'!$D:$D=$C889,'SUMMARY DATA'!$B:$B=""RWS"")),"""")
  )
)"),"")</f>
      </c>
      <c r="F889" s="17" t="str">
        <f>IFERROR(__xludf.DUMMYFUNCTION("IFERROR(
  TEXTJOIN(CHAR(10),TRUE,FILTER('SUMMARY DATA'!F:F,'SUMMARY DATA'!$A:$A=$A889,'SUMMARY DATA'!$C:$C=$B889,'SUMMARY DATA'!$B:$B=""RWS"")),
  IF(
    OR(
      ISNUMBER(SEARCH(""CDM CASH DEPOSIT"",$C889)),
      ISNUMBER(SEARCH(""CASH DEPOSIT"",$C88"&amp;"9)),
      COUNTIFS('SUMMARY DATA'!$D:$D,$C889,'SUMMARY DATA'!$B:$B,""RWS"")&lt;&gt;1
    ),
    """",
    IFERROR(TEXTJOIN(CHAR(10),TRUE,FILTER('SUMMARY DATA'!F:F,'SUMMARY DATA'!$D:$D=$C889,'SUMMARY DATA'!$B:$B=""RWS"")),"""")
  )
)"),"")</f>
      </c>
      <c r="G889" s="17" t="str">
        <f>IFERROR(__xludf.DUMMYFUNCTION("IFERROR(
  TEXTJOIN(CHAR(10),TRUE,FILTER('SUMMARY DATA'!G:G,'SUMMARY DATA'!$A:$A=$A889,'SUMMARY DATA'!$C:$C=$B889,'SUMMARY DATA'!$B:$B=""RWS"")),
  IF(
    OR(
      ISNUMBER(SEARCH(""CDM CASH DEPOSIT"",$C889)),
      ISNUMBER(SEARCH(""CASH DEPOSIT"",$C88"&amp;"9)),
      COUNTIFS('SUMMARY DATA'!$D:$D,$C889,'SUMMARY DATA'!$B:$B,""RWS"")&lt;&gt;1
    ),
    """",
    IFERROR(TEXTJOIN(CHAR(10),TRUE,FILTER('SUMMARY DATA'!G:G,'SUMMARY DATA'!$D:$D=$C889,'SUMMARY DATA'!$B:$B=""RWS"")),"""")
  )
)"),"")</f>
      </c>
      <c r="H889" s="18" t="str">
        <f>IFERROR(__xludf.DUMMYFUNCTION("IFERROR(
  TEXTJOIN(CHAR(10),TRUE,FILTER('SUMMARY DATA'!H:H,'SUMMARY DATA'!$A:$A=$A889,'SUMMARY DATA'!$C:$C=$B889,'SUMMARY DATA'!$B:$B=""RWS"",'SUMMARY DATA'!$H:$H=$D889)),
  IF(
    OR(
      ISNUMBER(SEARCH(""CDM CASH DEPOSIT"",$C889)),
      ISNUMBER(S"&amp;"EARCH(""CASH DEPOSIT"",$C889))
    ),
    """",
    IFERROR(TEXTJOIN(CHAR(10),TRUE,FILTER('SUMMARY DATA'!H:H,'SUMMARY DATA'!$D:$D=$C889,'SUMMARY DATA'!$B:$B=""RWS"",'SUMMARY DATA'!$H:$H=$D889)),"""")
  )
)"),"")</f>
      </c>
      <c r="I889" s="18" t="str">
        <f>IFERROR(__xludf.DUMMYFUNCTION("IF(H889="""","""",
SUM(ARRAYFORMULA(VALUE(SPLIT(H889,CHAR(10)))))
)"),"")</f>
      </c>
      <c r="J889" s="17" t="str">
        <f>IFERROR(__xludf.DUMMYFUNCTION("IFERROR(
  TEXTJOIN(CHAR(10),TRUE,FILTER('SUMMARY DATA'!I:I,'SUMMARY DATA'!$A:$A=$A889,'SUMMARY DATA'!$C:$C=$B889,'SUMMARY DATA'!$B:$B=""RWS"")),
  IF(
    OR(
      ISNUMBER(SEARCH(""CDM CASH DEPOSIT"",$C889)),
      ISNUMBER(SEARCH(""CASH DEPOSIT"",$C88"&amp;"9)),
      COUNTIFS('SUMMARY DATA'!$D:$D,$C889,'SUMMARY DATA'!$B:$B,""RWS"")&lt;&gt;1
    ),
    """",
    IFERROR(TEXTJOIN(CHAR(10),TRUE,FILTER('SUMMARY DATA'!I:I,'SUMMARY DATA'!$D:$D=$C889,'SUMMARY DATA'!$B:$B=""RWS"")),"""")
  )
)"),"")</f>
      </c>
      <c r="K889" s="2"/>
      <c r="L889" s="2"/>
      <c r="M889" s="2"/>
      <c r="N889" s="2"/>
      <c r="O889" s="2"/>
      <c r="P889" s="2"/>
      <c r="Q889" s="2"/>
      <c r="R889" s="2"/>
      <c r="S889" s="2"/>
      <c r="T889" s="2"/>
      <c r="U889" s="2"/>
      <c r="V889" s="2"/>
      <c r="W889" s="2"/>
      <c r="X889" s="2"/>
      <c r="Y889" s="2"/>
      <c r="Z889" s="2"/>
      <c r="AA889" s="2"/>
      <c r="AB889" s="2"/>
    </row>
    <row r="890" spans="1:28" customHeight="true">
      <c r="A890" s="2"/>
      <c r="B890" s="15">
        <v>46104</v>
      </c>
      <c r="C890" s="2" t="s">
        <v>1422</v>
      </c>
      <c r="D890" s="3">
        <v>120.48</v>
      </c>
      <c r="E890" s="16" t="str">
        <f>IFERROR(__xludf.DUMMYFUNCTION("IFERROR(
  TEXTJOIN(CHAR(10),TRUE,FILTER('SUMMARY DATA'!E:E,'SUMMARY DATA'!$A:$A=$A890,'SUMMARY DATA'!$C:$C=$B890,'SUMMARY DATA'!$B:$B=""RWS"")),
  IF(
    OR(
      ISNUMBER(SEARCH(""CDM CASH DEPOSIT"",$C890)),
      ISNUMBER(SEARCH(""CASH DEPOSIT"",$C89"&amp;"0)),
      COUNTIFS('SUMMARY DATA'!$D:$D,$C890,'SUMMARY DATA'!$B:$B,""RWS"")&lt;&gt;1
    ),
    """",
    IFERROR(TEXTJOIN(CHAR(10),TRUE,FILTER('SUMMARY DATA'!E:E,'SUMMARY DATA'!$D:$D=$C890,'SUMMARY DATA'!$B:$B=""RWS"")),"""")
  )
)"),"")</f>
      </c>
      <c r="F890" s="17" t="str">
        <f>IFERROR(__xludf.DUMMYFUNCTION("IFERROR(
  TEXTJOIN(CHAR(10),TRUE,FILTER('SUMMARY DATA'!F:F,'SUMMARY DATA'!$A:$A=$A890,'SUMMARY DATA'!$C:$C=$B890,'SUMMARY DATA'!$B:$B=""RWS"")),
  IF(
    OR(
      ISNUMBER(SEARCH(""CDM CASH DEPOSIT"",$C890)),
      ISNUMBER(SEARCH(""CASH DEPOSIT"",$C89"&amp;"0)),
      COUNTIFS('SUMMARY DATA'!$D:$D,$C890,'SUMMARY DATA'!$B:$B,""RWS"")&lt;&gt;1
    ),
    """",
    IFERROR(TEXTJOIN(CHAR(10),TRUE,FILTER('SUMMARY DATA'!F:F,'SUMMARY DATA'!$D:$D=$C890,'SUMMARY DATA'!$B:$B=""RWS"")),"""")
  )
)"),"")</f>
      </c>
      <c r="G890" s="17" t="str">
        <f>IFERROR(__xludf.DUMMYFUNCTION("IFERROR(
  TEXTJOIN(CHAR(10),TRUE,FILTER('SUMMARY DATA'!G:G,'SUMMARY DATA'!$A:$A=$A890,'SUMMARY DATA'!$C:$C=$B890,'SUMMARY DATA'!$B:$B=""RWS"")),
  IF(
    OR(
      ISNUMBER(SEARCH(""CDM CASH DEPOSIT"",$C890)),
      ISNUMBER(SEARCH(""CASH DEPOSIT"",$C89"&amp;"0)),
      COUNTIFS('SUMMARY DATA'!$D:$D,$C890,'SUMMARY DATA'!$B:$B,""RWS"")&lt;&gt;1
    ),
    """",
    IFERROR(TEXTJOIN(CHAR(10),TRUE,FILTER('SUMMARY DATA'!G:G,'SUMMARY DATA'!$D:$D=$C890,'SUMMARY DATA'!$B:$B=""RWS"")),"""")
  )
)"),"")</f>
      </c>
      <c r="H890" s="18" t="str">
        <f>IFERROR(__xludf.DUMMYFUNCTION("IFERROR(
  TEXTJOIN(CHAR(10),TRUE,FILTER('SUMMARY DATA'!H:H,'SUMMARY DATA'!$A:$A=$A890,'SUMMARY DATA'!$C:$C=$B890,'SUMMARY DATA'!$B:$B=""RWS"",'SUMMARY DATA'!$H:$H=$D890)),
  IF(
    OR(
      ISNUMBER(SEARCH(""CDM CASH DEPOSIT"",$C890)),
      ISNUMBER(S"&amp;"EARCH(""CASH DEPOSIT"",$C890))
    ),
    """",
    IFERROR(TEXTJOIN(CHAR(10),TRUE,FILTER('SUMMARY DATA'!H:H,'SUMMARY DATA'!$D:$D=$C890,'SUMMARY DATA'!$B:$B=""RWS"",'SUMMARY DATA'!$H:$H=$D890)),"""")
  )
)"),"")</f>
      </c>
      <c r="I890" s="18" t="str">
        <f>IFERROR(__xludf.DUMMYFUNCTION("IF(H890="""","""",
SUM(ARRAYFORMULA(VALUE(SPLIT(H890,CHAR(10)))))
)"),"")</f>
      </c>
      <c r="J890" s="17" t="str">
        <f>IFERROR(__xludf.DUMMYFUNCTION("IFERROR(
  TEXTJOIN(CHAR(10),TRUE,FILTER('SUMMARY DATA'!I:I,'SUMMARY DATA'!$A:$A=$A890,'SUMMARY DATA'!$C:$C=$B890,'SUMMARY DATA'!$B:$B=""RWS"")),
  IF(
    OR(
      ISNUMBER(SEARCH(""CDM CASH DEPOSIT"",$C890)),
      ISNUMBER(SEARCH(""CASH DEPOSIT"",$C89"&amp;"0)),
      COUNTIFS('SUMMARY DATA'!$D:$D,$C890,'SUMMARY DATA'!$B:$B,""RWS"")&lt;&gt;1
    ),
    """",
    IFERROR(TEXTJOIN(CHAR(10),TRUE,FILTER('SUMMARY DATA'!I:I,'SUMMARY DATA'!$D:$D=$C890,'SUMMARY DATA'!$B:$B=""RWS"")),"""")
  )
)"),"")</f>
      </c>
      <c r="K890" s="2"/>
      <c r="L890" s="2"/>
      <c r="M890" s="2"/>
      <c r="N890" s="2"/>
      <c r="O890" s="2"/>
      <c r="P890" s="2"/>
      <c r="Q890" s="2"/>
      <c r="R890" s="2"/>
      <c r="S890" s="2"/>
      <c r="T890" s="2"/>
      <c r="U890" s="2"/>
      <c r="V890" s="2"/>
      <c r="W890" s="2"/>
      <c r="X890" s="2"/>
      <c r="Y890" s="2"/>
      <c r="Z890" s="2"/>
      <c r="AA890" s="2"/>
      <c r="AB890" s="2"/>
    </row>
    <row r="891" spans="1:28" customHeight="true">
      <c r="A891" s="2"/>
      <c r="B891" s="15">
        <v>46105</v>
      </c>
      <c r="C891" s="2" t="s">
        <v>997</v>
      </c>
      <c r="D891" s="3">
        <v>167</v>
      </c>
      <c r="E891" s="16" t="str">
        <f>IFERROR(__xludf.DUMMYFUNCTION("IFERROR(
  TEXTJOIN(CHAR(10),TRUE,FILTER('SUMMARY DATA'!E:E,'SUMMARY DATA'!$A:$A=$A891,'SUMMARY DATA'!$C:$C=$B891,'SUMMARY DATA'!$B:$B=""RWS"")),
  IF(
    OR(
      ISNUMBER(SEARCH(""CDM CASH DEPOSIT"",$C891)),
      ISNUMBER(SEARCH(""CASH DEPOSIT"",$C89"&amp;"1)),
      COUNTIFS('SUMMARY DATA'!$D:$D,$C891,'SUMMARY DATA'!$B:$B,""RWS"")&lt;&gt;1
    ),
    """",
    IFERROR(TEXTJOIN(CHAR(10),TRUE,FILTER('SUMMARY DATA'!E:E,'SUMMARY DATA'!$D:$D=$C891,'SUMMARY DATA'!$B:$B=""RWS"")),"""")
  )
)"),"")</f>
      </c>
      <c r="F891" s="17" t="str">
        <f>IFERROR(__xludf.DUMMYFUNCTION("IFERROR(
  TEXTJOIN(CHAR(10),TRUE,FILTER('SUMMARY DATA'!F:F,'SUMMARY DATA'!$A:$A=$A891,'SUMMARY DATA'!$C:$C=$B891,'SUMMARY DATA'!$B:$B=""RWS"")),
  IF(
    OR(
      ISNUMBER(SEARCH(""CDM CASH DEPOSIT"",$C891)),
      ISNUMBER(SEARCH(""CASH DEPOSIT"",$C89"&amp;"1)),
      COUNTIFS('SUMMARY DATA'!$D:$D,$C891,'SUMMARY DATA'!$B:$B,""RWS"")&lt;&gt;1
    ),
    """",
    IFERROR(TEXTJOIN(CHAR(10),TRUE,FILTER('SUMMARY DATA'!F:F,'SUMMARY DATA'!$D:$D=$C891,'SUMMARY DATA'!$B:$B=""RWS"")),"""")
  )
)"),"")</f>
      </c>
      <c r="G891" s="17" t="str">
        <f>IFERROR(__xludf.DUMMYFUNCTION("IFERROR(
  TEXTJOIN(CHAR(10),TRUE,FILTER('SUMMARY DATA'!G:G,'SUMMARY DATA'!$A:$A=$A891,'SUMMARY DATA'!$C:$C=$B891,'SUMMARY DATA'!$B:$B=""RWS"")),
  IF(
    OR(
      ISNUMBER(SEARCH(""CDM CASH DEPOSIT"",$C891)),
      ISNUMBER(SEARCH(""CASH DEPOSIT"",$C89"&amp;"1)),
      COUNTIFS('SUMMARY DATA'!$D:$D,$C891,'SUMMARY DATA'!$B:$B,""RWS"")&lt;&gt;1
    ),
    """",
    IFERROR(TEXTJOIN(CHAR(10),TRUE,FILTER('SUMMARY DATA'!G:G,'SUMMARY DATA'!$D:$D=$C891,'SUMMARY DATA'!$B:$B=""RWS"")),"""")
  )
)"),"")</f>
      </c>
      <c r="H891" s="18" t="str">
        <f>IFERROR(__xludf.DUMMYFUNCTION("IFERROR(
  TEXTJOIN(CHAR(10),TRUE,FILTER('SUMMARY DATA'!H:H,'SUMMARY DATA'!$A:$A=$A891,'SUMMARY DATA'!$C:$C=$B891,'SUMMARY DATA'!$B:$B=""RWS"",'SUMMARY DATA'!$H:$H=$D891)),
  IF(
    OR(
      ISNUMBER(SEARCH(""CDM CASH DEPOSIT"",$C891)),
      ISNUMBER(S"&amp;"EARCH(""CASH DEPOSIT"",$C891))
    ),
    """",
    IFERROR(TEXTJOIN(CHAR(10),TRUE,FILTER('SUMMARY DATA'!H:H,'SUMMARY DATA'!$D:$D=$C891,'SUMMARY DATA'!$B:$B=""RWS"",'SUMMARY DATA'!$H:$H=$D891)),"""")
  )
)"),"")</f>
      </c>
      <c r="I891" s="18" t="str">
        <f>IFERROR(__xludf.DUMMYFUNCTION("IF(H891="""","""",
SUM(ARRAYFORMULA(VALUE(SPLIT(H891,CHAR(10)))))
)"),"")</f>
      </c>
      <c r="J891" s="17" t="str">
        <f>IFERROR(__xludf.DUMMYFUNCTION("IFERROR(
  TEXTJOIN(CHAR(10),TRUE,FILTER('SUMMARY DATA'!I:I,'SUMMARY DATA'!$A:$A=$A891,'SUMMARY DATA'!$C:$C=$B891,'SUMMARY DATA'!$B:$B=""RWS"")),
  IF(
    OR(
      ISNUMBER(SEARCH(""CDM CASH DEPOSIT"",$C891)),
      ISNUMBER(SEARCH(""CASH DEPOSIT"",$C89"&amp;"1)),
      COUNTIFS('SUMMARY DATA'!$D:$D,$C891,'SUMMARY DATA'!$B:$B,""RWS"")&lt;&gt;1
    ),
    """",
    IFERROR(TEXTJOIN(CHAR(10),TRUE,FILTER('SUMMARY DATA'!I:I,'SUMMARY DATA'!$D:$D=$C891,'SUMMARY DATA'!$B:$B=""RWS"")),"""")
  )
)"),"")</f>
      </c>
      <c r="K891" s="2"/>
      <c r="L891" s="2"/>
      <c r="M891" s="2"/>
      <c r="N891" s="2"/>
      <c r="O891" s="2"/>
      <c r="P891" s="2"/>
      <c r="Q891" s="2"/>
      <c r="R891" s="2"/>
      <c r="S891" s="2"/>
      <c r="T891" s="2"/>
      <c r="U891" s="2"/>
      <c r="V891" s="2"/>
      <c r="W891" s="2"/>
      <c r="X891" s="2"/>
      <c r="Y891" s="2"/>
      <c r="Z891" s="2"/>
      <c r="AA891" s="2"/>
      <c r="AB891" s="2"/>
    </row>
    <row r="892" spans="1:28" customHeight="true">
      <c r="A892" s="2" t="s">
        <v>1423</v>
      </c>
      <c r="B892" s="15">
        <v>46105</v>
      </c>
      <c r="C892" s="2" t="s">
        <v>1424</v>
      </c>
      <c r="D892" s="3">
        <v>110.28</v>
      </c>
      <c r="E892" s="16" t="str">
        <f>IFERROR(__xludf.DUMMYFUNCTION("IFERROR(
  TEXTJOIN(CHAR(10),TRUE,FILTER('SUMMARY DATA'!E:E,'SUMMARY DATA'!$A:$A=$A892,'SUMMARY DATA'!$C:$C=$B892,'SUMMARY DATA'!$B:$B=""RWS"")),
  IF(
    OR(
      ISNUMBER(SEARCH(""CDM CASH DEPOSIT"",$C892)),
      ISNUMBER(SEARCH(""CASH DEPOSIT"",$C89"&amp;"2)),
      COUNTIFS('SUMMARY DATA'!$D:$D,$C892,'SUMMARY DATA'!$B:$B,""RWS"")&lt;&gt;1
    ),
    """",
    IFERROR(TEXTJOIN(CHAR(10),TRUE,FILTER('SUMMARY DATA'!E:E,'SUMMARY DATA'!$D:$D=$C892,'SUMMARY DATA'!$B:$B=""RWS"")),"""")
  )
)"),"")</f>
      </c>
      <c r="F892" s="17" t="str">
        <f>IFERROR(__xludf.DUMMYFUNCTION("IFERROR(
  TEXTJOIN(CHAR(10),TRUE,FILTER('SUMMARY DATA'!F:F,'SUMMARY DATA'!$A:$A=$A892,'SUMMARY DATA'!$C:$C=$B892,'SUMMARY DATA'!$B:$B=""RWS"")),
  IF(
    OR(
      ISNUMBER(SEARCH(""CDM CASH DEPOSIT"",$C892)),
      ISNUMBER(SEARCH(""CASH DEPOSIT"",$C89"&amp;"2)),
      COUNTIFS('SUMMARY DATA'!$D:$D,$C892,'SUMMARY DATA'!$B:$B,""RWS"")&lt;&gt;1
    ),
    """",
    IFERROR(TEXTJOIN(CHAR(10),TRUE,FILTER('SUMMARY DATA'!F:F,'SUMMARY DATA'!$D:$D=$C892,'SUMMARY DATA'!$B:$B=""RWS"")),"""")
  )
)"),"")</f>
      </c>
      <c r="G892" s="17" t="str">
        <f>IFERROR(__xludf.DUMMYFUNCTION("IFERROR(
  TEXTJOIN(CHAR(10),TRUE,FILTER('SUMMARY DATA'!G:G,'SUMMARY DATA'!$A:$A=$A892,'SUMMARY DATA'!$C:$C=$B892,'SUMMARY DATA'!$B:$B=""RWS"")),
  IF(
    OR(
      ISNUMBER(SEARCH(""CDM CASH DEPOSIT"",$C892)),
      ISNUMBER(SEARCH(""CASH DEPOSIT"",$C89"&amp;"2)),
      COUNTIFS('SUMMARY DATA'!$D:$D,$C892,'SUMMARY DATA'!$B:$B,""RWS"")&lt;&gt;1
    ),
    """",
    IFERROR(TEXTJOIN(CHAR(10),TRUE,FILTER('SUMMARY DATA'!G:G,'SUMMARY DATA'!$D:$D=$C892,'SUMMARY DATA'!$B:$B=""RWS"")),"""")
  )
)"),"")</f>
      </c>
      <c r="H892" s="18" t="str">
        <f>IFERROR(__xludf.DUMMYFUNCTION("IFERROR(
  TEXTJOIN(CHAR(10),TRUE,FILTER('SUMMARY DATA'!H:H,'SUMMARY DATA'!$A:$A=$A892,'SUMMARY DATA'!$C:$C=$B892,'SUMMARY DATA'!$B:$B=""RWS"",'SUMMARY DATA'!$H:$H=$D892)),
  IF(
    OR(
      ISNUMBER(SEARCH(""CDM CASH DEPOSIT"",$C892)),
      ISNUMBER(S"&amp;"EARCH(""CASH DEPOSIT"",$C892))
    ),
    """",
    IFERROR(TEXTJOIN(CHAR(10),TRUE,FILTER('SUMMARY DATA'!H:H,'SUMMARY DATA'!$D:$D=$C892,'SUMMARY DATA'!$B:$B=""RWS"",'SUMMARY DATA'!$H:$H=$D892)),"""")
  )
)"),"")</f>
      </c>
      <c r="I892" s="18" t="str">
        <f>IFERROR(__xludf.DUMMYFUNCTION("IF(H892="""","""",
SUM(ARRAYFORMULA(VALUE(SPLIT(H892,CHAR(10)))))
)"),"")</f>
      </c>
      <c r="J892" s="17" t="str">
        <f>IFERROR(__xludf.DUMMYFUNCTION("IFERROR(
  TEXTJOIN(CHAR(10),TRUE,FILTER('SUMMARY DATA'!I:I,'SUMMARY DATA'!$A:$A=$A892,'SUMMARY DATA'!$C:$C=$B892,'SUMMARY DATA'!$B:$B=""RWS"")),
  IF(
    OR(
      ISNUMBER(SEARCH(""CDM CASH DEPOSIT"",$C892)),
      ISNUMBER(SEARCH(""CASH DEPOSIT"",$C89"&amp;"2)),
      COUNTIFS('SUMMARY DATA'!$D:$D,$C892,'SUMMARY DATA'!$B:$B,""RWS"")&lt;&gt;1
    ),
    """",
    IFERROR(TEXTJOIN(CHAR(10),TRUE,FILTER('SUMMARY DATA'!I:I,'SUMMARY DATA'!$D:$D=$C892,'SUMMARY DATA'!$B:$B=""RWS"")),"""")
  )
)"),"")</f>
      </c>
      <c r="K892" s="2"/>
      <c r="L892" s="2"/>
      <c r="M892" s="2"/>
      <c r="N892" s="2"/>
      <c r="O892" s="2"/>
      <c r="P892" s="2"/>
      <c r="Q892" s="2"/>
      <c r="R892" s="2"/>
      <c r="S892" s="2"/>
      <c r="T892" s="2"/>
      <c r="U892" s="2"/>
      <c r="V892" s="2"/>
      <c r="W892" s="2"/>
      <c r="X892" s="2"/>
      <c r="Y892" s="2"/>
      <c r="Z892" s="2"/>
      <c r="AA892" s="2"/>
      <c r="AB892" s="2"/>
    </row>
    <row r="893" spans="1:28" customHeight="true">
      <c r="A893" s="2" t="s">
        <v>1425</v>
      </c>
      <c r="B893" s="15">
        <v>46105</v>
      </c>
      <c r="C893" s="2" t="s">
        <v>1426</v>
      </c>
      <c r="D893" s="3">
        <v>50</v>
      </c>
      <c r="E893" s="16" t="str">
        <f>IFERROR(__xludf.DUMMYFUNCTION("IFERROR(
  TEXTJOIN(CHAR(10),TRUE,FILTER('SUMMARY DATA'!E:E,'SUMMARY DATA'!$A:$A=$A893,'SUMMARY DATA'!$C:$C=$B893,'SUMMARY DATA'!$B:$B=""RWS"")),
  IF(
    OR(
      ISNUMBER(SEARCH(""CDM CASH DEPOSIT"",$C893)),
      ISNUMBER(SEARCH(""CASH DEPOSIT"",$C89"&amp;"3)),
      COUNTIFS('SUMMARY DATA'!$D:$D,$C893,'SUMMARY DATA'!$B:$B,""RWS"")&lt;&gt;1
    ),
    """",
    IFERROR(TEXTJOIN(CHAR(10),TRUE,FILTER('SUMMARY DATA'!E:E,'SUMMARY DATA'!$D:$D=$C893,'SUMMARY DATA'!$B:$B=""RWS"")),"""")
  )
)"),"")</f>
      </c>
      <c r="F893" s="17" t="str">
        <f>IFERROR(__xludf.DUMMYFUNCTION("IFERROR(
  TEXTJOIN(CHAR(10),TRUE,FILTER('SUMMARY DATA'!F:F,'SUMMARY DATA'!$A:$A=$A893,'SUMMARY DATA'!$C:$C=$B893,'SUMMARY DATA'!$B:$B=""RWS"")),
  IF(
    OR(
      ISNUMBER(SEARCH(""CDM CASH DEPOSIT"",$C893)),
      ISNUMBER(SEARCH(""CASH DEPOSIT"",$C89"&amp;"3)),
      COUNTIFS('SUMMARY DATA'!$D:$D,$C893,'SUMMARY DATA'!$B:$B,""RWS"")&lt;&gt;1
    ),
    """",
    IFERROR(TEXTJOIN(CHAR(10),TRUE,FILTER('SUMMARY DATA'!F:F,'SUMMARY DATA'!$D:$D=$C893,'SUMMARY DATA'!$B:$B=""RWS"")),"""")
  )
)"),"")</f>
      </c>
      <c r="G893" s="17" t="str">
        <f>IFERROR(__xludf.DUMMYFUNCTION("IFERROR(
  TEXTJOIN(CHAR(10),TRUE,FILTER('SUMMARY DATA'!G:G,'SUMMARY DATA'!$A:$A=$A893,'SUMMARY DATA'!$C:$C=$B893,'SUMMARY DATA'!$B:$B=""RWS"")),
  IF(
    OR(
      ISNUMBER(SEARCH(""CDM CASH DEPOSIT"",$C893)),
      ISNUMBER(SEARCH(""CASH DEPOSIT"",$C89"&amp;"3)),
      COUNTIFS('SUMMARY DATA'!$D:$D,$C893,'SUMMARY DATA'!$B:$B,""RWS"")&lt;&gt;1
    ),
    """",
    IFERROR(TEXTJOIN(CHAR(10),TRUE,FILTER('SUMMARY DATA'!G:G,'SUMMARY DATA'!$D:$D=$C893,'SUMMARY DATA'!$B:$B=""RWS"")),"""")
  )
)"),"")</f>
      </c>
      <c r="H893" s="18" t="str">
        <f>IFERROR(__xludf.DUMMYFUNCTION("IFERROR(
  TEXTJOIN(CHAR(10),TRUE,FILTER('SUMMARY DATA'!H:H,'SUMMARY DATA'!$A:$A=$A893,'SUMMARY DATA'!$C:$C=$B893,'SUMMARY DATA'!$B:$B=""RWS"",'SUMMARY DATA'!$H:$H=$D893)),
  IF(
    OR(
      ISNUMBER(SEARCH(""CDM CASH DEPOSIT"",$C893)),
      ISNUMBER(S"&amp;"EARCH(""CASH DEPOSIT"",$C893))
    ),
    """",
    IFERROR(TEXTJOIN(CHAR(10),TRUE,FILTER('SUMMARY DATA'!H:H,'SUMMARY DATA'!$D:$D=$C893,'SUMMARY DATA'!$B:$B=""RWS"",'SUMMARY DATA'!$H:$H=$D893)),"""")
  )
)"),"")</f>
      </c>
      <c r="I893" s="18" t="str">
        <f>IFERROR(__xludf.DUMMYFUNCTION("IF(H893="""","""",
SUM(ARRAYFORMULA(VALUE(SPLIT(H893,CHAR(10)))))
)"),"")</f>
      </c>
      <c r="J893" s="17" t="str">
        <f>IFERROR(__xludf.DUMMYFUNCTION("IFERROR(
  TEXTJOIN(CHAR(10),TRUE,FILTER('SUMMARY DATA'!I:I,'SUMMARY DATA'!$A:$A=$A893,'SUMMARY DATA'!$C:$C=$B893,'SUMMARY DATA'!$B:$B=""RWS"")),
  IF(
    OR(
      ISNUMBER(SEARCH(""CDM CASH DEPOSIT"",$C893)),
      ISNUMBER(SEARCH(""CASH DEPOSIT"",$C89"&amp;"3)),
      COUNTIFS('SUMMARY DATA'!$D:$D,$C893,'SUMMARY DATA'!$B:$B,""RWS"")&lt;&gt;1
    ),
    """",
    IFERROR(TEXTJOIN(CHAR(10),TRUE,FILTER('SUMMARY DATA'!I:I,'SUMMARY DATA'!$D:$D=$C893,'SUMMARY DATA'!$B:$B=""RWS"")),"""")
  )
)"),"")</f>
      </c>
      <c r="K893" s="2"/>
      <c r="L893" s="2"/>
      <c r="M893" s="2"/>
      <c r="N893" s="2"/>
      <c r="O893" s="2"/>
      <c r="P893" s="2"/>
      <c r="Q893" s="2"/>
      <c r="R893" s="2"/>
      <c r="S893" s="2"/>
      <c r="T893" s="2"/>
      <c r="U893" s="2"/>
      <c r="V893" s="2"/>
      <c r="W893" s="2"/>
      <c r="X893" s="2"/>
      <c r="Y893" s="2"/>
      <c r="Z893" s="2"/>
      <c r="AA893" s="2"/>
      <c r="AB893" s="2"/>
    </row>
    <row r="894" spans="1:28" customHeight="true">
      <c r="A894" s="2" t="s">
        <v>1427</v>
      </c>
      <c r="B894" s="15">
        <v>46108</v>
      </c>
      <c r="C894" s="2" t="s">
        <v>1428</v>
      </c>
      <c r="D894" s="3">
        <v>99</v>
      </c>
      <c r="E894" s="16" t="str">
        <f>IFERROR(__xludf.DUMMYFUNCTION("IFERROR(
  TEXTJOIN(CHAR(10),TRUE,FILTER('SUMMARY DATA'!E:E,'SUMMARY DATA'!$A:$A=$A894,'SUMMARY DATA'!$C:$C=$B894,'SUMMARY DATA'!$B:$B=""RWS"")),
  IF(
    OR(
      ISNUMBER(SEARCH(""CDM CASH DEPOSIT"",$C894)),
      ISNUMBER(SEARCH(""CASH DEPOSIT"",$C89"&amp;"4)),
      COUNTIFS('SUMMARY DATA'!$D:$D,$C894,'SUMMARY DATA'!$B:$B,""RWS"")&lt;&gt;1
    ),
    """",
    IFERROR(TEXTJOIN(CHAR(10),TRUE,FILTER('SUMMARY DATA'!E:E,'SUMMARY DATA'!$D:$D=$C894,'SUMMARY DATA'!$B:$B=""RWS"")),"""")
  )
)"),"")</f>
      </c>
      <c r="F894" s="17" t="str">
        <f>IFERROR(__xludf.DUMMYFUNCTION("IFERROR(
  TEXTJOIN(CHAR(10),TRUE,FILTER('SUMMARY DATA'!F:F,'SUMMARY DATA'!$A:$A=$A894,'SUMMARY DATA'!$C:$C=$B894,'SUMMARY DATA'!$B:$B=""RWS"")),
  IF(
    OR(
      ISNUMBER(SEARCH(""CDM CASH DEPOSIT"",$C894)),
      ISNUMBER(SEARCH(""CASH DEPOSIT"",$C89"&amp;"4)),
      COUNTIFS('SUMMARY DATA'!$D:$D,$C894,'SUMMARY DATA'!$B:$B,""RWS"")&lt;&gt;1
    ),
    """",
    IFERROR(TEXTJOIN(CHAR(10),TRUE,FILTER('SUMMARY DATA'!F:F,'SUMMARY DATA'!$D:$D=$C894,'SUMMARY DATA'!$B:$B=""RWS"")),"""")
  )
)"),"")</f>
      </c>
      <c r="G894" s="17" t="str">
        <f>IFERROR(__xludf.DUMMYFUNCTION("IFERROR(
  TEXTJOIN(CHAR(10),TRUE,FILTER('SUMMARY DATA'!G:G,'SUMMARY DATA'!$A:$A=$A894,'SUMMARY DATA'!$C:$C=$B894,'SUMMARY DATA'!$B:$B=""RWS"")),
  IF(
    OR(
      ISNUMBER(SEARCH(""CDM CASH DEPOSIT"",$C894)),
      ISNUMBER(SEARCH(""CASH DEPOSIT"",$C89"&amp;"4)),
      COUNTIFS('SUMMARY DATA'!$D:$D,$C894,'SUMMARY DATA'!$B:$B,""RWS"")&lt;&gt;1
    ),
    """",
    IFERROR(TEXTJOIN(CHAR(10),TRUE,FILTER('SUMMARY DATA'!G:G,'SUMMARY DATA'!$D:$D=$C894,'SUMMARY DATA'!$B:$B=""RWS"")),"""")
  )
)"),"")</f>
      </c>
      <c r="H894" s="18" t="str">
        <f>IFERROR(__xludf.DUMMYFUNCTION("IFERROR(
  TEXTJOIN(CHAR(10),TRUE,FILTER('SUMMARY DATA'!H:H,'SUMMARY DATA'!$A:$A=$A894,'SUMMARY DATA'!$C:$C=$B894,'SUMMARY DATA'!$B:$B=""RWS"",'SUMMARY DATA'!$H:$H=$D894)),
  IF(
    OR(
      ISNUMBER(SEARCH(""CDM CASH DEPOSIT"",$C894)),
      ISNUMBER(S"&amp;"EARCH(""CASH DEPOSIT"",$C894))
    ),
    """",
    IFERROR(TEXTJOIN(CHAR(10),TRUE,FILTER('SUMMARY DATA'!H:H,'SUMMARY DATA'!$D:$D=$C894,'SUMMARY DATA'!$B:$B=""RWS"",'SUMMARY DATA'!$H:$H=$D894)),"""")
  )
)"),"")</f>
      </c>
      <c r="I894" s="18" t="str">
        <f>IFERROR(__xludf.DUMMYFUNCTION("IF(H894="""","""",
SUM(ARRAYFORMULA(VALUE(SPLIT(H894,CHAR(10)))))
)"),"")</f>
      </c>
      <c r="J894" s="17" t="str">
        <f>IFERROR(__xludf.DUMMYFUNCTION("IFERROR(
  TEXTJOIN(CHAR(10),TRUE,FILTER('SUMMARY DATA'!I:I,'SUMMARY DATA'!$A:$A=$A894,'SUMMARY DATA'!$C:$C=$B894,'SUMMARY DATA'!$B:$B=""RWS"")),
  IF(
    OR(
      ISNUMBER(SEARCH(""CDM CASH DEPOSIT"",$C894)),
      ISNUMBER(SEARCH(""CASH DEPOSIT"",$C89"&amp;"4)),
      COUNTIFS('SUMMARY DATA'!$D:$D,$C894,'SUMMARY DATA'!$B:$B,""RWS"")&lt;&gt;1
    ),
    """",
    IFERROR(TEXTJOIN(CHAR(10),TRUE,FILTER('SUMMARY DATA'!I:I,'SUMMARY DATA'!$D:$D=$C894,'SUMMARY DATA'!$B:$B=""RWS"")),"""")
  )
)"),"")</f>
      </c>
      <c r="K894" s="2"/>
      <c r="L894" s="2"/>
      <c r="M894" s="2"/>
      <c r="N894" s="2"/>
      <c r="O894" s="2"/>
      <c r="P894" s="2"/>
      <c r="Q894" s="2"/>
      <c r="R894" s="2"/>
      <c r="S894" s="2"/>
      <c r="T894" s="2"/>
      <c r="U894" s="2"/>
      <c r="V894" s="2"/>
      <c r="W894" s="2"/>
      <c r="X894" s="2"/>
      <c r="Y894" s="2"/>
      <c r="Z894" s="2"/>
      <c r="AA894" s="2"/>
      <c r="AB894" s="2"/>
    </row>
    <row r="895" spans="1:28" customHeight="true">
      <c r="A895" s="2" t="s">
        <v>1429</v>
      </c>
      <c r="B895" s="15">
        <v>46109</v>
      </c>
      <c r="C895" s="2" t="s">
        <v>1430</v>
      </c>
      <c r="D895" s="3">
        <v>824.15</v>
      </c>
      <c r="E895" s="16" t="str">
        <f>IFERROR(__xludf.DUMMYFUNCTION("IFERROR(
  TEXTJOIN(CHAR(10),TRUE,FILTER('SUMMARY DATA'!E:E,'SUMMARY DATA'!$A:$A=$A895,'SUMMARY DATA'!$C:$C=$B895,'SUMMARY DATA'!$B:$B=""RWS"")),
  IF(
    OR(
      ISNUMBER(SEARCH(""CDM CASH DEPOSIT"",$C895)),
      ISNUMBER(SEARCH(""CASH DEPOSIT"",$C89"&amp;"5)),
      COUNTIFS('SUMMARY DATA'!$D:$D,$C895,'SUMMARY DATA'!$B:$B,""RWS"")&lt;&gt;1
    ),
    """",
    IFERROR(TEXTJOIN(CHAR(10),TRUE,FILTER('SUMMARY DATA'!E:E,'SUMMARY DATA'!$D:$D=$C895,'SUMMARY DATA'!$B:$B=""RWS"")),"""")
  )
)"),"")</f>
      </c>
      <c r="F895" s="17" t="str">
        <f>IFERROR(__xludf.DUMMYFUNCTION("IFERROR(
  TEXTJOIN(CHAR(10),TRUE,FILTER('SUMMARY DATA'!F:F,'SUMMARY DATA'!$A:$A=$A895,'SUMMARY DATA'!$C:$C=$B895,'SUMMARY DATA'!$B:$B=""RWS"")),
  IF(
    OR(
      ISNUMBER(SEARCH(""CDM CASH DEPOSIT"",$C895)),
      ISNUMBER(SEARCH(""CASH DEPOSIT"",$C89"&amp;"5)),
      COUNTIFS('SUMMARY DATA'!$D:$D,$C895,'SUMMARY DATA'!$B:$B,""RWS"")&lt;&gt;1
    ),
    """",
    IFERROR(TEXTJOIN(CHAR(10),TRUE,FILTER('SUMMARY DATA'!F:F,'SUMMARY DATA'!$D:$D=$C895,'SUMMARY DATA'!$B:$B=""RWS"")),"""")
  )
)"),"")</f>
      </c>
      <c r="G895" s="17" t="str">
        <f>IFERROR(__xludf.DUMMYFUNCTION("IFERROR(
  TEXTJOIN(CHAR(10),TRUE,FILTER('SUMMARY DATA'!G:G,'SUMMARY DATA'!$A:$A=$A895,'SUMMARY DATA'!$C:$C=$B895,'SUMMARY DATA'!$B:$B=""RWS"")),
  IF(
    OR(
      ISNUMBER(SEARCH(""CDM CASH DEPOSIT"",$C895)),
      ISNUMBER(SEARCH(""CASH DEPOSIT"",$C89"&amp;"5)),
      COUNTIFS('SUMMARY DATA'!$D:$D,$C895,'SUMMARY DATA'!$B:$B,""RWS"")&lt;&gt;1
    ),
    """",
    IFERROR(TEXTJOIN(CHAR(10),TRUE,FILTER('SUMMARY DATA'!G:G,'SUMMARY DATA'!$D:$D=$C895,'SUMMARY DATA'!$B:$B=""RWS"")),"""")
  )
)"),"")</f>
      </c>
      <c r="H895" s="18" t="str">
        <f>IFERROR(__xludf.DUMMYFUNCTION("IFERROR(
  TEXTJOIN(CHAR(10),TRUE,FILTER('SUMMARY DATA'!H:H,'SUMMARY DATA'!$A:$A=$A895,'SUMMARY DATA'!$C:$C=$B895,'SUMMARY DATA'!$B:$B=""RWS"",'SUMMARY DATA'!$H:$H=$D895)),
  IF(
    OR(
      ISNUMBER(SEARCH(""CDM CASH DEPOSIT"",$C895)),
      ISNUMBER(S"&amp;"EARCH(""CASH DEPOSIT"",$C895))
    ),
    """",
    IFERROR(TEXTJOIN(CHAR(10),TRUE,FILTER('SUMMARY DATA'!H:H,'SUMMARY DATA'!$D:$D=$C895,'SUMMARY DATA'!$B:$B=""RWS"",'SUMMARY DATA'!$H:$H=$D895)),"""")
  )
)"),"")</f>
      </c>
      <c r="I895" s="18" t="str">
        <f>IFERROR(__xludf.DUMMYFUNCTION("IF(H895="""","""",
SUM(ARRAYFORMULA(VALUE(SPLIT(H895,CHAR(10)))))
)"),"")</f>
      </c>
      <c r="J895" s="17" t="str">
        <f>IFERROR(__xludf.DUMMYFUNCTION("IFERROR(
  TEXTJOIN(CHAR(10),TRUE,FILTER('SUMMARY DATA'!I:I,'SUMMARY DATA'!$A:$A=$A895,'SUMMARY DATA'!$C:$C=$B895,'SUMMARY DATA'!$B:$B=""RWS"")),
  IF(
    OR(
      ISNUMBER(SEARCH(""CDM CASH DEPOSIT"",$C895)),
      ISNUMBER(SEARCH(""CASH DEPOSIT"",$C89"&amp;"5)),
      COUNTIFS('SUMMARY DATA'!$D:$D,$C895,'SUMMARY DATA'!$B:$B,""RWS"")&lt;&gt;1
    ),
    """",
    IFERROR(TEXTJOIN(CHAR(10),TRUE,FILTER('SUMMARY DATA'!I:I,'SUMMARY DATA'!$D:$D=$C895,'SUMMARY DATA'!$B:$B=""RWS"")),"""")
  )
)"),"")</f>
      </c>
      <c r="K895" s="2"/>
      <c r="L895" s="2"/>
      <c r="M895" s="2"/>
      <c r="N895" s="2"/>
      <c r="O895" s="2"/>
      <c r="P895" s="2"/>
      <c r="Q895" s="2"/>
      <c r="R895" s="2"/>
      <c r="S895" s="2"/>
      <c r="T895" s="2"/>
      <c r="U895" s="2"/>
      <c r="V895" s="2"/>
      <c r="W895" s="2"/>
      <c r="X895" s="2"/>
      <c r="Y895" s="2"/>
      <c r="Z895" s="2"/>
      <c r="AA895" s="2"/>
      <c r="AB895" s="2"/>
    </row>
    <row r="896" spans="1:28" customHeight="true">
      <c r="A896" s="2"/>
      <c r="B896" s="15">
        <v>46110</v>
      </c>
      <c r="C896" s="2" t="s">
        <v>1431</v>
      </c>
      <c r="D896" s="3">
        <v>36.6</v>
      </c>
      <c r="E896" s="16" t="str">
        <f>IFERROR(__xludf.DUMMYFUNCTION("IFERROR(
  TEXTJOIN(CHAR(10),TRUE,FILTER('SUMMARY DATA'!E:E,'SUMMARY DATA'!$A:$A=$A896,'SUMMARY DATA'!$C:$C=$B896,'SUMMARY DATA'!$B:$B=""RWS"")),
  IF(
    OR(
      ISNUMBER(SEARCH(""CDM CASH DEPOSIT"",$C896)),
      ISNUMBER(SEARCH(""CASH DEPOSIT"",$C89"&amp;"6)),
      COUNTIFS('SUMMARY DATA'!$D:$D,$C896,'SUMMARY DATA'!$B:$B,""RWS"")&lt;&gt;1
    ),
    """",
    IFERROR(TEXTJOIN(CHAR(10),TRUE,FILTER('SUMMARY DATA'!E:E,'SUMMARY DATA'!$D:$D=$C896,'SUMMARY DATA'!$B:$B=""RWS"")),"""")
  )
)"),"")</f>
      </c>
      <c r="F896" s="17" t="str">
        <f>IFERROR(__xludf.DUMMYFUNCTION("IFERROR(
  TEXTJOIN(CHAR(10),TRUE,FILTER('SUMMARY DATA'!F:F,'SUMMARY DATA'!$A:$A=$A896,'SUMMARY DATA'!$C:$C=$B896,'SUMMARY DATA'!$B:$B=""RWS"")),
  IF(
    OR(
      ISNUMBER(SEARCH(""CDM CASH DEPOSIT"",$C896)),
      ISNUMBER(SEARCH(""CASH DEPOSIT"",$C89"&amp;"6)),
      COUNTIFS('SUMMARY DATA'!$D:$D,$C896,'SUMMARY DATA'!$B:$B,""RWS"")&lt;&gt;1
    ),
    """",
    IFERROR(TEXTJOIN(CHAR(10),TRUE,FILTER('SUMMARY DATA'!F:F,'SUMMARY DATA'!$D:$D=$C896,'SUMMARY DATA'!$B:$B=""RWS"")),"""")
  )
)"),"")</f>
      </c>
      <c r="G896" s="17" t="str">
        <f>IFERROR(__xludf.DUMMYFUNCTION("IFERROR(
  TEXTJOIN(CHAR(10),TRUE,FILTER('SUMMARY DATA'!G:G,'SUMMARY DATA'!$A:$A=$A896,'SUMMARY DATA'!$C:$C=$B896,'SUMMARY DATA'!$B:$B=""RWS"")),
  IF(
    OR(
      ISNUMBER(SEARCH(""CDM CASH DEPOSIT"",$C896)),
      ISNUMBER(SEARCH(""CASH DEPOSIT"",$C89"&amp;"6)),
      COUNTIFS('SUMMARY DATA'!$D:$D,$C896,'SUMMARY DATA'!$B:$B,""RWS"")&lt;&gt;1
    ),
    """",
    IFERROR(TEXTJOIN(CHAR(10),TRUE,FILTER('SUMMARY DATA'!G:G,'SUMMARY DATA'!$D:$D=$C896,'SUMMARY DATA'!$B:$B=""RWS"")),"""")
  )
)"),"")</f>
      </c>
      <c r="H896" s="18" t="str">
        <f>IFERROR(__xludf.DUMMYFUNCTION("IFERROR(
  TEXTJOIN(CHAR(10),TRUE,FILTER('SUMMARY DATA'!H:H,'SUMMARY DATA'!$A:$A=$A896,'SUMMARY DATA'!$C:$C=$B896,'SUMMARY DATA'!$B:$B=""RWS"",'SUMMARY DATA'!$H:$H=$D896)),
  IF(
    OR(
      ISNUMBER(SEARCH(""CDM CASH DEPOSIT"",$C896)),
      ISNUMBER(S"&amp;"EARCH(""CASH DEPOSIT"",$C896))
    ),
    """",
    IFERROR(TEXTJOIN(CHAR(10),TRUE,FILTER('SUMMARY DATA'!H:H,'SUMMARY DATA'!$D:$D=$C896,'SUMMARY DATA'!$B:$B=""RWS"",'SUMMARY DATA'!$H:$H=$D896)),"""")
  )
)"),"")</f>
      </c>
      <c r="I896" s="18" t="str">
        <f>IFERROR(__xludf.DUMMYFUNCTION("IF(H896="""","""",
SUM(ARRAYFORMULA(VALUE(SPLIT(H896,CHAR(10)))))
)"),"")</f>
      </c>
      <c r="J896" s="17" t="str">
        <f>IFERROR(__xludf.DUMMYFUNCTION("IFERROR(
  TEXTJOIN(CHAR(10),TRUE,FILTER('SUMMARY DATA'!I:I,'SUMMARY DATA'!$A:$A=$A896,'SUMMARY DATA'!$C:$C=$B896,'SUMMARY DATA'!$B:$B=""RWS"")),
  IF(
    OR(
      ISNUMBER(SEARCH(""CDM CASH DEPOSIT"",$C896)),
      ISNUMBER(SEARCH(""CASH DEPOSIT"",$C89"&amp;"6)),
      COUNTIFS('SUMMARY DATA'!$D:$D,$C896,'SUMMARY DATA'!$B:$B,""RWS"")&lt;&gt;1
    ),
    """",
    IFERROR(TEXTJOIN(CHAR(10),TRUE,FILTER('SUMMARY DATA'!I:I,'SUMMARY DATA'!$D:$D=$C896,'SUMMARY DATA'!$B:$B=""RWS"")),"""")
  )
)"),"")</f>
      </c>
      <c r="K896" s="2"/>
      <c r="L896" s="2"/>
      <c r="M896" s="2"/>
      <c r="N896" s="2"/>
      <c r="O896" s="2"/>
      <c r="P896" s="2"/>
      <c r="Q896" s="2"/>
      <c r="R896" s="2"/>
      <c r="S896" s="2"/>
      <c r="T896" s="2"/>
      <c r="U896" s="2"/>
      <c r="V896" s="2"/>
      <c r="W896" s="2"/>
      <c r="X896" s="2"/>
      <c r="Y896" s="2"/>
      <c r="Z896" s="2"/>
      <c r="AA896" s="2"/>
      <c r="AB896" s="2"/>
    </row>
    <row r="897" spans="1:28" customHeight="true">
      <c r="A897" s="2" t="s">
        <v>1039</v>
      </c>
      <c r="B897" s="15">
        <v>46110</v>
      </c>
      <c r="C897" s="2" t="s">
        <v>1040</v>
      </c>
      <c r="D897" s="3">
        <v>63.99</v>
      </c>
      <c r="E897" s="16" t="str">
        <f>IFERROR(__xludf.DUMMYFUNCTION("IFERROR(
  TEXTJOIN(CHAR(10),TRUE,FILTER('SUMMARY DATA'!E:E,'SUMMARY DATA'!$A:$A=$A897,'SUMMARY DATA'!$C:$C=$B897,'SUMMARY DATA'!$B:$B=""RWS"")),
  IF(
    OR(
      ISNUMBER(SEARCH(""CDM CASH DEPOSIT"",$C897)),
      ISNUMBER(SEARCH(""CASH DEPOSIT"",$C89"&amp;"7)),
      COUNTIFS('SUMMARY DATA'!$D:$D,$C897,'SUMMARY DATA'!$B:$B,""RWS"")&lt;&gt;1
    ),
    """",
    IFERROR(TEXTJOIN(CHAR(10),TRUE,FILTER('SUMMARY DATA'!E:E,'SUMMARY DATA'!$D:$D=$C897,'SUMMARY DATA'!$B:$B=""RWS"")),"""")
  )
)"),"")</f>
      </c>
      <c r="F897" s="17" t="str">
        <f>IFERROR(__xludf.DUMMYFUNCTION("IFERROR(
  TEXTJOIN(CHAR(10),TRUE,FILTER('SUMMARY DATA'!F:F,'SUMMARY DATA'!$A:$A=$A897,'SUMMARY DATA'!$C:$C=$B897,'SUMMARY DATA'!$B:$B=""RWS"")),
  IF(
    OR(
      ISNUMBER(SEARCH(""CDM CASH DEPOSIT"",$C897)),
      ISNUMBER(SEARCH(""CASH DEPOSIT"",$C89"&amp;"7)),
      COUNTIFS('SUMMARY DATA'!$D:$D,$C897,'SUMMARY DATA'!$B:$B,""RWS"")&lt;&gt;1
    ),
    """",
    IFERROR(TEXTJOIN(CHAR(10),TRUE,FILTER('SUMMARY DATA'!F:F,'SUMMARY DATA'!$D:$D=$C897,'SUMMARY DATA'!$B:$B=""RWS"")),"""")
  )
)"),"")</f>
      </c>
      <c r="G897" s="17" t="str">
        <f>IFERROR(__xludf.DUMMYFUNCTION("IFERROR(
  TEXTJOIN(CHAR(10),TRUE,FILTER('SUMMARY DATA'!G:G,'SUMMARY DATA'!$A:$A=$A897,'SUMMARY DATA'!$C:$C=$B897,'SUMMARY DATA'!$B:$B=""RWS"")),
  IF(
    OR(
      ISNUMBER(SEARCH(""CDM CASH DEPOSIT"",$C897)),
      ISNUMBER(SEARCH(""CASH DEPOSIT"",$C89"&amp;"7)),
      COUNTIFS('SUMMARY DATA'!$D:$D,$C897,'SUMMARY DATA'!$B:$B,""RWS"")&lt;&gt;1
    ),
    """",
    IFERROR(TEXTJOIN(CHAR(10),TRUE,FILTER('SUMMARY DATA'!G:G,'SUMMARY DATA'!$D:$D=$C897,'SUMMARY DATA'!$B:$B=""RWS"")),"""")
  )
)"),"")</f>
      </c>
      <c r="H897" s="18" t="str">
        <f>IFERROR(__xludf.DUMMYFUNCTION("IFERROR(
  TEXTJOIN(CHAR(10),TRUE,FILTER('SUMMARY DATA'!H:H,'SUMMARY DATA'!$A:$A=$A897,'SUMMARY DATA'!$C:$C=$B897,'SUMMARY DATA'!$B:$B=""RWS"",'SUMMARY DATA'!$H:$H=$D897)),
  IF(
    OR(
      ISNUMBER(SEARCH(""CDM CASH DEPOSIT"",$C897)),
      ISNUMBER(S"&amp;"EARCH(""CASH DEPOSIT"",$C897))
    ),
    """",
    IFERROR(TEXTJOIN(CHAR(10),TRUE,FILTER('SUMMARY DATA'!H:H,'SUMMARY DATA'!$D:$D=$C897,'SUMMARY DATA'!$B:$B=""RWS"",'SUMMARY DATA'!$H:$H=$D897)),"""")
  )
)"),"")</f>
      </c>
      <c r="I897" s="18" t="str">
        <f>IFERROR(__xludf.DUMMYFUNCTION("IF(H897="""","""",
SUM(ARRAYFORMULA(VALUE(SPLIT(H897,CHAR(10)))))
)"),"")</f>
      </c>
      <c r="J897" s="17" t="str">
        <f>IFERROR(__xludf.DUMMYFUNCTION("IFERROR(
  TEXTJOIN(CHAR(10),TRUE,FILTER('SUMMARY DATA'!I:I,'SUMMARY DATA'!$A:$A=$A897,'SUMMARY DATA'!$C:$C=$B897,'SUMMARY DATA'!$B:$B=""RWS"")),
  IF(
    OR(
      ISNUMBER(SEARCH(""CDM CASH DEPOSIT"",$C897)),
      ISNUMBER(SEARCH(""CASH DEPOSIT"",$C89"&amp;"7)),
      COUNTIFS('SUMMARY DATA'!$D:$D,$C897,'SUMMARY DATA'!$B:$B,""RWS"")&lt;&gt;1
    ),
    """",
    IFERROR(TEXTJOIN(CHAR(10),TRUE,FILTER('SUMMARY DATA'!I:I,'SUMMARY DATA'!$D:$D=$C897,'SUMMARY DATA'!$B:$B=""RWS"")),"""")
  )
)"),"")</f>
      </c>
      <c r="K897" s="2"/>
      <c r="L897" s="2"/>
      <c r="M897" s="2"/>
      <c r="N897" s="2"/>
      <c r="O897" s="2"/>
      <c r="P897" s="2"/>
      <c r="Q897" s="2"/>
      <c r="R897" s="2"/>
      <c r="S897" s="2"/>
      <c r="T897" s="2"/>
      <c r="U897" s="2"/>
      <c r="V897" s="2"/>
      <c r="W897" s="2"/>
      <c r="X897" s="2"/>
      <c r="Y897" s="2"/>
      <c r="Z897" s="2"/>
      <c r="AA897" s="2"/>
      <c r="AB897" s="2"/>
    </row>
    <row r="898" spans="1:28" customHeight="true">
      <c r="A898" s="2"/>
      <c r="B898" s="15">
        <v>46111</v>
      </c>
      <c r="C898" s="2" t="s">
        <v>1432</v>
      </c>
      <c r="D898" s="3">
        <v>177.69</v>
      </c>
      <c r="E898" s="16" t="str">
        <f>IFERROR(__xludf.DUMMYFUNCTION("IFERROR(
  TEXTJOIN(CHAR(10),TRUE,FILTER('SUMMARY DATA'!E:E,'SUMMARY DATA'!$A:$A=$A898,'SUMMARY DATA'!$C:$C=$B898,'SUMMARY DATA'!$B:$B=""RWS"")),
  IF(
    OR(
      ISNUMBER(SEARCH(""CDM CASH DEPOSIT"",$C898)),
      ISNUMBER(SEARCH(""CASH DEPOSIT"",$C89"&amp;"8)),
      COUNTIFS('SUMMARY DATA'!$D:$D,$C898,'SUMMARY DATA'!$B:$B,""RWS"")&lt;&gt;1
    ),
    """",
    IFERROR(TEXTJOIN(CHAR(10),TRUE,FILTER('SUMMARY DATA'!E:E,'SUMMARY DATA'!$D:$D=$C898,'SUMMARY DATA'!$B:$B=""RWS"")),"""")
  )
)"),"")</f>
      </c>
      <c r="F898" s="17" t="str">
        <f>IFERROR(__xludf.DUMMYFUNCTION("IFERROR(
  TEXTJOIN(CHAR(10),TRUE,FILTER('SUMMARY DATA'!F:F,'SUMMARY DATA'!$A:$A=$A898,'SUMMARY DATA'!$C:$C=$B898,'SUMMARY DATA'!$B:$B=""RWS"")),
  IF(
    OR(
      ISNUMBER(SEARCH(""CDM CASH DEPOSIT"",$C898)),
      ISNUMBER(SEARCH(""CASH DEPOSIT"",$C89"&amp;"8)),
      COUNTIFS('SUMMARY DATA'!$D:$D,$C898,'SUMMARY DATA'!$B:$B,""RWS"")&lt;&gt;1
    ),
    """",
    IFERROR(TEXTJOIN(CHAR(10),TRUE,FILTER('SUMMARY DATA'!F:F,'SUMMARY DATA'!$D:$D=$C898,'SUMMARY DATA'!$B:$B=""RWS"")),"""")
  )
)"),"")</f>
      </c>
      <c r="G898" s="17" t="str">
        <f>IFERROR(__xludf.DUMMYFUNCTION("IFERROR(
  TEXTJOIN(CHAR(10),TRUE,FILTER('SUMMARY DATA'!G:G,'SUMMARY DATA'!$A:$A=$A898,'SUMMARY DATA'!$C:$C=$B898,'SUMMARY DATA'!$B:$B=""RWS"")),
  IF(
    OR(
      ISNUMBER(SEARCH(""CDM CASH DEPOSIT"",$C898)),
      ISNUMBER(SEARCH(""CASH DEPOSIT"",$C89"&amp;"8)),
      COUNTIFS('SUMMARY DATA'!$D:$D,$C898,'SUMMARY DATA'!$B:$B,""RWS"")&lt;&gt;1
    ),
    """",
    IFERROR(TEXTJOIN(CHAR(10),TRUE,FILTER('SUMMARY DATA'!G:G,'SUMMARY DATA'!$D:$D=$C898,'SUMMARY DATA'!$B:$B=""RWS"")),"""")
  )
)"),"")</f>
      </c>
      <c r="H898" s="18" t="str">
        <f>IFERROR(__xludf.DUMMYFUNCTION("IFERROR(
  TEXTJOIN(CHAR(10),TRUE,FILTER('SUMMARY DATA'!H:H,'SUMMARY DATA'!$A:$A=$A898,'SUMMARY DATA'!$C:$C=$B898,'SUMMARY DATA'!$B:$B=""RWS"",'SUMMARY DATA'!$H:$H=$D898)),
  IF(
    OR(
      ISNUMBER(SEARCH(""CDM CASH DEPOSIT"",$C898)),
      ISNUMBER(S"&amp;"EARCH(""CASH DEPOSIT"",$C898))
    ),
    """",
    IFERROR(TEXTJOIN(CHAR(10),TRUE,FILTER('SUMMARY DATA'!H:H,'SUMMARY DATA'!$D:$D=$C898,'SUMMARY DATA'!$B:$B=""RWS"",'SUMMARY DATA'!$H:$H=$D898)),"""")
  )
)"),"")</f>
      </c>
      <c r="I898" s="18" t="str">
        <f>IFERROR(__xludf.DUMMYFUNCTION("IF(H898="""","""",
SUM(ARRAYFORMULA(VALUE(SPLIT(H898,CHAR(10)))))
)"),"")</f>
      </c>
      <c r="J898" s="17" t="str">
        <f>IFERROR(__xludf.DUMMYFUNCTION("IFERROR(
  TEXTJOIN(CHAR(10),TRUE,FILTER('SUMMARY DATA'!I:I,'SUMMARY DATA'!$A:$A=$A898,'SUMMARY DATA'!$C:$C=$B898,'SUMMARY DATA'!$B:$B=""RWS"")),
  IF(
    OR(
      ISNUMBER(SEARCH(""CDM CASH DEPOSIT"",$C898)),
      ISNUMBER(SEARCH(""CASH DEPOSIT"",$C89"&amp;"8)),
      COUNTIFS('SUMMARY DATA'!$D:$D,$C898,'SUMMARY DATA'!$B:$B,""RWS"")&lt;&gt;1
    ),
    """",
    IFERROR(TEXTJOIN(CHAR(10),TRUE,FILTER('SUMMARY DATA'!I:I,'SUMMARY DATA'!$D:$D=$C898,'SUMMARY DATA'!$B:$B=""RWS"")),"""")
  )
)"),"")</f>
      </c>
      <c r="K898" s="2"/>
      <c r="L898" s="2"/>
      <c r="M898" s="2"/>
      <c r="N898" s="2"/>
      <c r="O898" s="2"/>
      <c r="P898" s="2"/>
      <c r="Q898" s="2"/>
      <c r="R898" s="2"/>
      <c r="S898" s="2"/>
      <c r="T898" s="2"/>
      <c r="U898" s="2"/>
      <c r="V898" s="2"/>
      <c r="W898" s="2"/>
      <c r="X898" s="2"/>
      <c r="Y898" s="2"/>
      <c r="Z898" s="2"/>
      <c r="AA898" s="2"/>
      <c r="AB898" s="2"/>
    </row>
    <row r="899" spans="1:28" customHeight="true">
      <c r="A899" s="2"/>
      <c r="B899" s="15">
        <v>46111</v>
      </c>
      <c r="C899" s="2" t="s">
        <v>1433</v>
      </c>
      <c r="D899" s="3">
        <v>386</v>
      </c>
      <c r="E899" s="16" t="str">
        <f>IFERROR(__xludf.DUMMYFUNCTION("IFERROR(
  TEXTJOIN(CHAR(10),TRUE,FILTER('SUMMARY DATA'!E:E,'SUMMARY DATA'!$A:$A=$A899,'SUMMARY DATA'!$C:$C=$B899,'SUMMARY DATA'!$B:$B=""RWS"")),
  IF(
    OR(
      ISNUMBER(SEARCH(""CDM CASH DEPOSIT"",$C899)),
      ISNUMBER(SEARCH(""CASH DEPOSIT"",$C89"&amp;"9)),
      COUNTIFS('SUMMARY DATA'!$D:$D,$C899,'SUMMARY DATA'!$B:$B,""RWS"")&lt;&gt;1
    ),
    """",
    IFERROR(TEXTJOIN(CHAR(10),TRUE,FILTER('SUMMARY DATA'!E:E,'SUMMARY DATA'!$D:$D=$C899,'SUMMARY DATA'!$B:$B=""RWS"")),"""")
  )
)"),"")</f>
      </c>
      <c r="F899" s="17" t="str">
        <f>IFERROR(__xludf.DUMMYFUNCTION("IFERROR(
  TEXTJOIN(CHAR(10),TRUE,FILTER('SUMMARY DATA'!F:F,'SUMMARY DATA'!$A:$A=$A899,'SUMMARY DATA'!$C:$C=$B899,'SUMMARY DATA'!$B:$B=""RWS"")),
  IF(
    OR(
      ISNUMBER(SEARCH(""CDM CASH DEPOSIT"",$C899)),
      ISNUMBER(SEARCH(""CASH DEPOSIT"",$C89"&amp;"9)),
      COUNTIFS('SUMMARY DATA'!$D:$D,$C899,'SUMMARY DATA'!$B:$B,""RWS"")&lt;&gt;1
    ),
    """",
    IFERROR(TEXTJOIN(CHAR(10),TRUE,FILTER('SUMMARY DATA'!F:F,'SUMMARY DATA'!$D:$D=$C899,'SUMMARY DATA'!$B:$B=""RWS"")),"""")
  )
)"),"")</f>
      </c>
      <c r="G899" s="17" t="str">
        <f>IFERROR(__xludf.DUMMYFUNCTION("IFERROR(
  TEXTJOIN(CHAR(10),TRUE,FILTER('SUMMARY DATA'!G:G,'SUMMARY DATA'!$A:$A=$A899,'SUMMARY DATA'!$C:$C=$B899,'SUMMARY DATA'!$B:$B=""RWS"")),
  IF(
    OR(
      ISNUMBER(SEARCH(""CDM CASH DEPOSIT"",$C899)),
      ISNUMBER(SEARCH(""CASH DEPOSIT"",$C89"&amp;"9)),
      COUNTIFS('SUMMARY DATA'!$D:$D,$C899,'SUMMARY DATA'!$B:$B,""RWS"")&lt;&gt;1
    ),
    """",
    IFERROR(TEXTJOIN(CHAR(10),TRUE,FILTER('SUMMARY DATA'!G:G,'SUMMARY DATA'!$D:$D=$C899,'SUMMARY DATA'!$B:$B=""RWS"")),"""")
  )
)"),"")</f>
      </c>
      <c r="H899" s="18" t="str">
        <f>IFERROR(__xludf.DUMMYFUNCTION("IFERROR(
  TEXTJOIN(CHAR(10),TRUE,FILTER('SUMMARY DATA'!H:H,'SUMMARY DATA'!$A:$A=$A899,'SUMMARY DATA'!$C:$C=$B899,'SUMMARY DATA'!$B:$B=""RWS"",'SUMMARY DATA'!$H:$H=$D899)),
  IF(
    OR(
      ISNUMBER(SEARCH(""CDM CASH DEPOSIT"",$C899)),
      ISNUMBER(S"&amp;"EARCH(""CASH DEPOSIT"",$C899))
    ),
    """",
    IFERROR(TEXTJOIN(CHAR(10),TRUE,FILTER('SUMMARY DATA'!H:H,'SUMMARY DATA'!$D:$D=$C899,'SUMMARY DATA'!$B:$B=""RWS"",'SUMMARY DATA'!$H:$H=$D899)),"""")
  )
)"),"")</f>
      </c>
      <c r="I899" s="18" t="str">
        <f>IFERROR(__xludf.DUMMYFUNCTION("IF(H899="""","""",
SUM(ARRAYFORMULA(VALUE(SPLIT(H899,CHAR(10)))))
)"),"")</f>
      </c>
      <c r="J899" s="17" t="str">
        <f>IFERROR(__xludf.DUMMYFUNCTION("IFERROR(
  TEXTJOIN(CHAR(10),TRUE,FILTER('SUMMARY DATA'!I:I,'SUMMARY DATA'!$A:$A=$A899,'SUMMARY DATA'!$C:$C=$B899,'SUMMARY DATA'!$B:$B=""RWS"")),
  IF(
    OR(
      ISNUMBER(SEARCH(""CDM CASH DEPOSIT"",$C899)),
      ISNUMBER(SEARCH(""CASH DEPOSIT"",$C89"&amp;"9)),
      COUNTIFS('SUMMARY DATA'!$D:$D,$C899,'SUMMARY DATA'!$B:$B,""RWS"")&lt;&gt;1
    ),
    """",
    IFERROR(TEXTJOIN(CHAR(10),TRUE,FILTER('SUMMARY DATA'!I:I,'SUMMARY DATA'!$D:$D=$C899,'SUMMARY DATA'!$B:$B=""RWS"")),"""")
  )
)"),"")</f>
      </c>
      <c r="K899" s="2"/>
      <c r="L899" s="2"/>
      <c r="M899" s="2"/>
      <c r="N899" s="2"/>
      <c r="O899" s="2"/>
      <c r="P899" s="2"/>
      <c r="Q899" s="2"/>
      <c r="R899" s="2"/>
      <c r="S899" s="2"/>
      <c r="T899" s="2"/>
      <c r="U899" s="2"/>
      <c r="V899" s="2"/>
      <c r="W899" s="2"/>
      <c r="X899" s="2"/>
      <c r="Y899" s="2"/>
      <c r="Z899" s="2"/>
      <c r="AA899" s="2"/>
      <c r="AB899" s="2"/>
    </row>
    <row r="900" spans="1:28" customHeight="true">
      <c r="A900" s="2"/>
      <c r="B900" s="15">
        <v>46112</v>
      </c>
      <c r="C900" s="2" t="s">
        <v>1434</v>
      </c>
      <c r="D900" s="3">
        <v>721</v>
      </c>
      <c r="E900" s="16" t="str">
        <f>IFERROR(__xludf.DUMMYFUNCTION("IFERROR(
  TEXTJOIN(CHAR(10),TRUE,FILTER('SUMMARY DATA'!E:E,'SUMMARY DATA'!$A:$A=$A900,'SUMMARY DATA'!$C:$C=$B900,'SUMMARY DATA'!$B:$B=""RWS"")),
  IF(
    OR(
      ISNUMBER(SEARCH(""CDM CASH DEPOSIT"",$C900)),
      ISNUMBER(SEARCH(""CASH DEPOSIT"",$C90"&amp;"0)),
      COUNTIFS('SUMMARY DATA'!$D:$D,$C900,'SUMMARY DATA'!$B:$B,""RWS"")&lt;&gt;1
    ),
    """",
    IFERROR(TEXTJOIN(CHAR(10),TRUE,FILTER('SUMMARY DATA'!E:E,'SUMMARY DATA'!$D:$D=$C900,'SUMMARY DATA'!$B:$B=""RWS"")),"""")
  )
)"),"")</f>
      </c>
      <c r="F900" s="17" t="str">
        <f>IFERROR(__xludf.DUMMYFUNCTION("IFERROR(
  TEXTJOIN(CHAR(10),TRUE,FILTER('SUMMARY DATA'!F:F,'SUMMARY DATA'!$A:$A=$A900,'SUMMARY DATA'!$C:$C=$B900,'SUMMARY DATA'!$B:$B=""RWS"")),
  IF(
    OR(
      ISNUMBER(SEARCH(""CDM CASH DEPOSIT"",$C900)),
      ISNUMBER(SEARCH(""CASH DEPOSIT"",$C90"&amp;"0)),
      COUNTIFS('SUMMARY DATA'!$D:$D,$C900,'SUMMARY DATA'!$B:$B,""RWS"")&lt;&gt;1
    ),
    """",
    IFERROR(TEXTJOIN(CHAR(10),TRUE,FILTER('SUMMARY DATA'!F:F,'SUMMARY DATA'!$D:$D=$C900,'SUMMARY DATA'!$B:$B=""RWS"")),"""")
  )
)"),"")</f>
      </c>
      <c r="G900" s="17" t="str">
        <f>IFERROR(__xludf.DUMMYFUNCTION("IFERROR(
  TEXTJOIN(CHAR(10),TRUE,FILTER('SUMMARY DATA'!G:G,'SUMMARY DATA'!$A:$A=$A900,'SUMMARY DATA'!$C:$C=$B900,'SUMMARY DATA'!$B:$B=""RWS"")),
  IF(
    OR(
      ISNUMBER(SEARCH(""CDM CASH DEPOSIT"",$C900)),
      ISNUMBER(SEARCH(""CASH DEPOSIT"",$C90"&amp;"0)),
      COUNTIFS('SUMMARY DATA'!$D:$D,$C900,'SUMMARY DATA'!$B:$B,""RWS"")&lt;&gt;1
    ),
    """",
    IFERROR(TEXTJOIN(CHAR(10),TRUE,FILTER('SUMMARY DATA'!G:G,'SUMMARY DATA'!$D:$D=$C900,'SUMMARY DATA'!$B:$B=""RWS"")),"""")
  )
)"),"")</f>
      </c>
      <c r="H900" s="18" t="str">
        <f>IFERROR(__xludf.DUMMYFUNCTION("IFERROR(
  TEXTJOIN(CHAR(10),TRUE,FILTER('SUMMARY DATA'!H:H,'SUMMARY DATA'!$A:$A=$A900,'SUMMARY DATA'!$C:$C=$B900,'SUMMARY DATA'!$B:$B=""RWS"",'SUMMARY DATA'!$H:$H=$D900)),
  IF(
    OR(
      ISNUMBER(SEARCH(""CDM CASH DEPOSIT"",$C900)),
      ISNUMBER(S"&amp;"EARCH(""CASH DEPOSIT"",$C900))
    ),
    """",
    IFERROR(TEXTJOIN(CHAR(10),TRUE,FILTER('SUMMARY DATA'!H:H,'SUMMARY DATA'!$D:$D=$C900,'SUMMARY DATA'!$B:$B=""RWS"",'SUMMARY DATA'!$H:$H=$D900)),"""")
  )
)"),"")</f>
      </c>
      <c r="I900" s="18" t="str">
        <f>IFERROR(__xludf.DUMMYFUNCTION("IF(H900="""","""",
SUM(ARRAYFORMULA(VALUE(SPLIT(H900,CHAR(10)))))
)"),"")</f>
      </c>
      <c r="J900" s="17" t="str">
        <f>IFERROR(__xludf.DUMMYFUNCTION("IFERROR(
  TEXTJOIN(CHAR(10),TRUE,FILTER('SUMMARY DATA'!I:I,'SUMMARY DATA'!$A:$A=$A900,'SUMMARY DATA'!$C:$C=$B900,'SUMMARY DATA'!$B:$B=""RWS"")),
  IF(
    OR(
      ISNUMBER(SEARCH(""CDM CASH DEPOSIT"",$C900)),
      ISNUMBER(SEARCH(""CASH DEPOSIT"",$C90"&amp;"0)),
      COUNTIFS('SUMMARY DATA'!$D:$D,$C900,'SUMMARY DATA'!$B:$B,""RWS"")&lt;&gt;1
    ),
    """",
    IFERROR(TEXTJOIN(CHAR(10),TRUE,FILTER('SUMMARY DATA'!I:I,'SUMMARY DATA'!$D:$D=$C900,'SUMMARY DATA'!$B:$B=""RWS"")),"""")
  )
)"),"")</f>
      </c>
      <c r="K900" s="2"/>
      <c r="L900" s="2"/>
      <c r="M900" s="2"/>
      <c r="N900" s="2"/>
      <c r="O900" s="2"/>
      <c r="P900" s="2"/>
      <c r="Q900" s="2"/>
      <c r="R900" s="2"/>
      <c r="S900" s="2"/>
      <c r="T900" s="2"/>
      <c r="U900" s="2"/>
      <c r="V900" s="2"/>
      <c r="W900" s="2"/>
      <c r="X900" s="2"/>
      <c r="Y900" s="2"/>
      <c r="Z900" s="2"/>
      <c r="AA900" s="2"/>
      <c r="AB900" s="2"/>
    </row>
    <row r="901" spans="1:28" customHeight="true">
      <c r="A901" s="2"/>
      <c r="B901" s="15">
        <v>46112</v>
      </c>
      <c r="C901" s="2" t="s">
        <v>97</v>
      </c>
      <c r="D901" s="3">
        <v>25</v>
      </c>
      <c r="E901" s="16" t="str">
        <f>IFERROR(__xludf.DUMMYFUNCTION("IFERROR(
  TEXTJOIN(CHAR(10),TRUE,FILTER('SUMMARY DATA'!E:E,'SUMMARY DATA'!$A:$A=$A901,'SUMMARY DATA'!$C:$C=$B901,'SUMMARY DATA'!$B:$B=""RWS"")),
  IF(
    OR(
      ISNUMBER(SEARCH(""CDM CASH DEPOSIT"",$C901)),
      ISNUMBER(SEARCH(""CASH DEPOSIT"",$C90"&amp;"1)),
      COUNTIFS('SUMMARY DATA'!$D:$D,$C901,'SUMMARY DATA'!$B:$B,""RWS"")&lt;&gt;1
    ),
    """",
    IFERROR(TEXTJOIN(CHAR(10),TRUE,FILTER('SUMMARY DATA'!E:E,'SUMMARY DATA'!$D:$D=$C901,'SUMMARY DATA'!$B:$B=""RWS"")),"""")
  )
)"),"")</f>
      </c>
      <c r="F901" s="17" t="str">
        <f>IFERROR(__xludf.DUMMYFUNCTION("IFERROR(
  TEXTJOIN(CHAR(10),TRUE,FILTER('SUMMARY DATA'!F:F,'SUMMARY DATA'!$A:$A=$A901,'SUMMARY DATA'!$C:$C=$B901,'SUMMARY DATA'!$B:$B=""RWS"")),
  IF(
    OR(
      ISNUMBER(SEARCH(""CDM CASH DEPOSIT"",$C901)),
      ISNUMBER(SEARCH(""CASH DEPOSIT"",$C90"&amp;"1)),
      COUNTIFS('SUMMARY DATA'!$D:$D,$C901,'SUMMARY DATA'!$B:$B,""RWS"")&lt;&gt;1
    ),
    """",
    IFERROR(TEXTJOIN(CHAR(10),TRUE,FILTER('SUMMARY DATA'!F:F,'SUMMARY DATA'!$D:$D=$C901,'SUMMARY DATA'!$B:$B=""RWS"")),"""")
  )
)"),"")</f>
      </c>
      <c r="G901" s="17" t="str">
        <f>IFERROR(__xludf.DUMMYFUNCTION("IFERROR(
  TEXTJOIN(CHAR(10),TRUE,FILTER('SUMMARY DATA'!G:G,'SUMMARY DATA'!$A:$A=$A901,'SUMMARY DATA'!$C:$C=$B901,'SUMMARY DATA'!$B:$B=""RWS"")),
  IF(
    OR(
      ISNUMBER(SEARCH(""CDM CASH DEPOSIT"",$C901)),
      ISNUMBER(SEARCH(""CASH DEPOSIT"",$C90"&amp;"1)),
      COUNTIFS('SUMMARY DATA'!$D:$D,$C901,'SUMMARY DATA'!$B:$B,""RWS"")&lt;&gt;1
    ),
    """",
    IFERROR(TEXTJOIN(CHAR(10),TRUE,FILTER('SUMMARY DATA'!G:G,'SUMMARY DATA'!$D:$D=$C901,'SUMMARY DATA'!$B:$B=""RWS"")),"""")
  )
)"),"")</f>
      </c>
      <c r="H901" s="18" t="str">
        <f>IFERROR(__xludf.DUMMYFUNCTION("IFERROR(
  TEXTJOIN(CHAR(10),TRUE,FILTER('SUMMARY DATA'!H:H,'SUMMARY DATA'!$A:$A=$A901,'SUMMARY DATA'!$C:$C=$B901,'SUMMARY DATA'!$B:$B=""RWS"",'SUMMARY DATA'!$H:$H=$D901)),
  IF(
    OR(
      ISNUMBER(SEARCH(""CDM CASH DEPOSIT"",$C901)),
      ISNUMBER(S"&amp;"EARCH(""CASH DEPOSIT"",$C901))
    ),
    """",
    IFERROR(TEXTJOIN(CHAR(10),TRUE,FILTER('SUMMARY DATA'!H:H,'SUMMARY DATA'!$D:$D=$C901,'SUMMARY DATA'!$B:$B=""RWS"",'SUMMARY DATA'!$H:$H=$D901)),"""")
  )
)"),"")</f>
      </c>
      <c r="I901" s="18" t="str">
        <f>IFERROR(__xludf.DUMMYFUNCTION("IF(H901="""","""",
SUM(ARRAYFORMULA(VALUE(SPLIT(H901,CHAR(10)))))
)"),"")</f>
      </c>
      <c r="J901" s="17" t="str">
        <f>IFERROR(__xludf.DUMMYFUNCTION("IFERROR(
  TEXTJOIN(CHAR(10),TRUE,FILTER('SUMMARY DATA'!I:I,'SUMMARY DATA'!$A:$A=$A901,'SUMMARY DATA'!$C:$C=$B901,'SUMMARY DATA'!$B:$B=""RWS"")),
  IF(
    OR(
      ISNUMBER(SEARCH(""CDM CASH DEPOSIT"",$C901)),
      ISNUMBER(SEARCH(""CASH DEPOSIT"",$C90"&amp;"1)),
      COUNTIFS('SUMMARY DATA'!$D:$D,$C901,'SUMMARY DATA'!$B:$B,""RWS"")&lt;&gt;1
    ),
    """",
    IFERROR(TEXTJOIN(CHAR(10),TRUE,FILTER('SUMMARY DATA'!I:I,'SUMMARY DATA'!$D:$D=$C901,'SUMMARY DATA'!$B:$B=""RWS"")),"""")
  )
)"),"")</f>
      </c>
      <c r="K901" s="2"/>
      <c r="L901" s="2"/>
      <c r="M901" s="2"/>
      <c r="N901" s="2"/>
      <c r="O901" s="2"/>
      <c r="P901" s="2"/>
      <c r="Q901" s="2"/>
      <c r="R901" s="2"/>
      <c r="S901" s="2"/>
      <c r="T901" s="2"/>
      <c r="U901" s="2"/>
      <c r="V901" s="2"/>
      <c r="W901" s="2"/>
      <c r="X901" s="2"/>
      <c r="Y901" s="2"/>
      <c r="Z901" s="2"/>
      <c r="AA901" s="2"/>
      <c r="AB901" s="2"/>
    </row>
    <row r="902" spans="1:28" customHeight="true">
      <c r="A902" s="2" t="s">
        <v>1435</v>
      </c>
      <c r="B902" s="15">
        <v>46112</v>
      </c>
      <c r="C902" s="2" t="s">
        <v>1436</v>
      </c>
      <c r="D902" s="3">
        <v>99</v>
      </c>
      <c r="E902" s="16" t="str">
        <f>IFERROR(__xludf.DUMMYFUNCTION("IFERROR(
  TEXTJOIN(CHAR(10),TRUE,FILTER('SUMMARY DATA'!E:E,'SUMMARY DATA'!$A:$A=$A902,'SUMMARY DATA'!$C:$C=$B902,'SUMMARY DATA'!$B:$B=""RWS"")),
  IF(
    OR(
      ISNUMBER(SEARCH(""CDM CASH DEPOSIT"",$C902)),
      ISNUMBER(SEARCH(""CASH DEPOSIT"",$C90"&amp;"2)),
      COUNTIFS('SUMMARY DATA'!$D:$D,$C902,'SUMMARY DATA'!$B:$B,""RWS"")&lt;&gt;1
    ),
    """",
    IFERROR(TEXTJOIN(CHAR(10),TRUE,FILTER('SUMMARY DATA'!E:E,'SUMMARY DATA'!$D:$D=$C902,'SUMMARY DATA'!$B:$B=""RWS"")),"""")
  )
)"),"")</f>
      </c>
      <c r="F902" s="17" t="str">
        <f>IFERROR(__xludf.DUMMYFUNCTION("IFERROR(
  TEXTJOIN(CHAR(10),TRUE,FILTER('SUMMARY DATA'!F:F,'SUMMARY DATA'!$A:$A=$A902,'SUMMARY DATA'!$C:$C=$B902,'SUMMARY DATA'!$B:$B=""RWS"")),
  IF(
    OR(
      ISNUMBER(SEARCH(""CDM CASH DEPOSIT"",$C902)),
      ISNUMBER(SEARCH(""CASH DEPOSIT"",$C90"&amp;"2)),
      COUNTIFS('SUMMARY DATA'!$D:$D,$C902,'SUMMARY DATA'!$B:$B,""RWS"")&lt;&gt;1
    ),
    """",
    IFERROR(TEXTJOIN(CHAR(10),TRUE,FILTER('SUMMARY DATA'!F:F,'SUMMARY DATA'!$D:$D=$C902,'SUMMARY DATA'!$B:$B=""RWS"")),"""")
  )
)"),"")</f>
      </c>
      <c r="G902" s="17" t="str">
        <f>IFERROR(__xludf.DUMMYFUNCTION("IFERROR(
  TEXTJOIN(CHAR(10),TRUE,FILTER('SUMMARY DATA'!G:G,'SUMMARY DATA'!$A:$A=$A902,'SUMMARY DATA'!$C:$C=$B902,'SUMMARY DATA'!$B:$B=""RWS"")),
  IF(
    OR(
      ISNUMBER(SEARCH(""CDM CASH DEPOSIT"",$C902)),
      ISNUMBER(SEARCH(""CASH DEPOSIT"",$C90"&amp;"2)),
      COUNTIFS('SUMMARY DATA'!$D:$D,$C902,'SUMMARY DATA'!$B:$B,""RWS"")&lt;&gt;1
    ),
    """",
    IFERROR(TEXTJOIN(CHAR(10),TRUE,FILTER('SUMMARY DATA'!G:G,'SUMMARY DATA'!$D:$D=$C902,'SUMMARY DATA'!$B:$B=""RWS"")),"""")
  )
)"),"")</f>
      </c>
      <c r="H902" s="18" t="str">
        <f>IFERROR(__xludf.DUMMYFUNCTION("IFERROR(
  TEXTJOIN(CHAR(10),TRUE,FILTER('SUMMARY DATA'!H:H,'SUMMARY DATA'!$A:$A=$A902,'SUMMARY DATA'!$C:$C=$B902,'SUMMARY DATA'!$B:$B=""RWS"",'SUMMARY DATA'!$H:$H=$D902)),
  IF(
    OR(
      ISNUMBER(SEARCH(""CDM CASH DEPOSIT"",$C902)),
      ISNUMBER(S"&amp;"EARCH(""CASH DEPOSIT"",$C902))
    ),
    """",
    IFERROR(TEXTJOIN(CHAR(10),TRUE,FILTER('SUMMARY DATA'!H:H,'SUMMARY DATA'!$D:$D=$C902,'SUMMARY DATA'!$B:$B=""RWS"",'SUMMARY DATA'!$H:$H=$D902)),"""")
  )
)"),"")</f>
      </c>
      <c r="I902" s="18" t="str">
        <f>IFERROR(__xludf.DUMMYFUNCTION("IF(H902="""","""",
SUM(ARRAYFORMULA(VALUE(SPLIT(H902,CHAR(10)))))
)"),"")</f>
      </c>
      <c r="J902" s="17" t="str">
        <f>IFERROR(__xludf.DUMMYFUNCTION("IFERROR(
  TEXTJOIN(CHAR(10),TRUE,FILTER('SUMMARY DATA'!I:I,'SUMMARY DATA'!$A:$A=$A902,'SUMMARY DATA'!$C:$C=$B902,'SUMMARY DATA'!$B:$B=""RWS"")),
  IF(
    OR(
      ISNUMBER(SEARCH(""CDM CASH DEPOSIT"",$C902)),
      ISNUMBER(SEARCH(""CASH DEPOSIT"",$C90"&amp;"2)),
      COUNTIFS('SUMMARY DATA'!$D:$D,$C902,'SUMMARY DATA'!$B:$B,""RWS"")&lt;&gt;1
    ),
    """",
    IFERROR(TEXTJOIN(CHAR(10),TRUE,FILTER('SUMMARY DATA'!I:I,'SUMMARY DATA'!$D:$D=$C902,'SUMMARY DATA'!$B:$B=""RWS"")),"""")
  )
)"),"")</f>
      </c>
      <c r="K902" s="2"/>
      <c r="L902" s="2"/>
      <c r="M902" s="2"/>
      <c r="N902" s="2"/>
      <c r="O902" s="2"/>
      <c r="P902" s="2"/>
      <c r="Q902" s="2"/>
      <c r="R902" s="2"/>
      <c r="S902" s="2"/>
      <c r="T902" s="2"/>
      <c r="U902" s="2"/>
      <c r="V902" s="2"/>
      <c r="W902" s="2"/>
      <c r="X902" s="2"/>
      <c r="Y902" s="2"/>
      <c r="Z902" s="2"/>
      <c r="AA902" s="2"/>
      <c r="AB902" s="2"/>
    </row>
    <row r="903" spans="1:28" customHeight="true">
      <c r="A903" s="19"/>
      <c r="B903" s="20">
        <v>45756</v>
      </c>
      <c r="C903" s="19" t="s">
        <v>1437</v>
      </c>
      <c r="D903" s="21">
        <v>10</v>
      </c>
      <c r="E903" s="22" t="str">
        <f>IFERROR(__xludf.DUMMYFUNCTION("IFERROR(
  TEXTJOIN(CHAR(10),TRUE,FILTER('SUMMARY DATA'!E:E,'SUMMARY DATA'!$A:$A=$A4,'SUMMARY DATA'!$C:$C=$B4,'SUMMARY DATA'!$B:$B=""GRP"")),
  IF(
    OR(
      ISNUMBER(SEARCH(""CDM CASH DEPOSIT"",$C4)),
      ISNUMBER(SEARCH(""CASH DEPOSIT"",$C4)),
   "&amp;"   COUNTIFS('SUMMARY DATA'!$D:$D,$C4,'SUMMARY DATA'!$B:$B,""GRP"")&lt;&gt;1
    ),
    """",
    IFERROR(TEXTJOIN(CHAR(10),TRUE,FILTER('SUMMARY DATA'!E:E,'SUMMARY DATA'!$D:$D=$C4,'SUMMARY DATA'!$B:$B=""GRP"")),"""")
  )
)"),"")</f>
      </c>
      <c r="F903" s="23" t="str">
        <f>IFERROR(__xludf.DUMMYFUNCTION("IFERROR(
  TEXTJOIN(CHAR(10),TRUE,FILTER('SUMMARY DATA'!F:F,'SUMMARY DATA'!$A:$A=$A4,'SUMMARY DATA'!$C:$C=$B4,'SUMMARY DATA'!$B:$B=""GRP"")),
  IF(
    OR(
      ISNUMBER(SEARCH(""CDM CASH DEPOSIT"",$C4)),
      ISNUMBER(SEARCH(""CASH DEPOSIT"",$C4)),
   "&amp;"   COUNTIFS('SUMMARY DATA'!$D:$D,$C4,'SUMMARY DATA'!$B:$B,""GRP"")&lt;&gt;1
    ),
    """",
    IFERROR(TEXTJOIN(CHAR(10),TRUE,FILTER('SUMMARY DATA'!F:F,'SUMMARY DATA'!$D:$D=$C4,'SUMMARY DATA'!$B:$B=""GRP"")),"""")
  )
)"),"")</f>
      </c>
      <c r="G903" s="17" t="str">
        <f>IFERROR(__xludf.DUMMYFUNCTION("IFERROR(
  TEXTJOIN(CHAR(10),TRUE,FILTER('SUMMARY DATA'!G:G,'SUMMARY DATA'!$A:$A=$A903,'SUMMARY DATA'!$C:$C=$B903,'SUMMARY DATA'!$B:$B=""RWS"")),
  IF(
    OR(
      ISNUMBER(SEARCH(""CDM CASH DEPOSIT"",$C903)),
      ISNUMBER(SEARCH(""CASH DEPOSIT"",$C90"&amp;"3)),
      COUNTIFS('SUMMARY DATA'!$D:$D,$C903,'SUMMARY DATA'!$B:$B,""RWS"")&lt;&gt;1
    ),
    """",
    IFERROR(TEXTJOIN(CHAR(10),TRUE,FILTER('SUMMARY DATA'!G:G,'SUMMARY DATA'!$D:$D=$C903,'SUMMARY DATA'!$B:$B=""RWS"")),"""")
  )
)"),"")</f>
      </c>
      <c r="H903" s="18" t="str">
        <f>IFERROR(__xludf.DUMMYFUNCTION("IFERROR(
  TEXTJOIN(CHAR(10),TRUE,FILTER('SUMMARY DATA'!H:H,'SUMMARY DATA'!$A:$A=$A903,'SUMMARY DATA'!$C:$C=$B903,'SUMMARY DATA'!$B:$B=""RWS"",'SUMMARY DATA'!$H:$H=$D903)),
  IF(
    OR(
      ISNUMBER(SEARCH(""CDM CASH DEPOSIT"",$C903)),
      ISNUMBER(S"&amp;"EARCH(""CASH DEPOSIT"",$C903))
    ),
    """",
    IFERROR(TEXTJOIN(CHAR(10),TRUE,FILTER('SUMMARY DATA'!H:H,'SUMMARY DATA'!$D:$D=$C903,'SUMMARY DATA'!$B:$B=""RWS"",'SUMMARY DATA'!$H:$H=$D903)),"""")
  )
)"),"")</f>
      </c>
      <c r="I903" s="18" t="str">
        <f>IFERROR(__xludf.DUMMYFUNCTION("IF(H903="""","""",
SUM(ARRAYFORMULA(VALUE(SPLIT(H903,CHAR(10)))))
)"),"")</f>
      </c>
      <c r="J903" s="17" t="str">
        <f>IFERROR(__xludf.DUMMYFUNCTION("IFERROR(
  TEXTJOIN(CHAR(10),TRUE,FILTER('SUMMARY DATA'!I:I,'SUMMARY DATA'!$A:$A=$A903,'SUMMARY DATA'!$C:$C=$B903,'SUMMARY DATA'!$B:$B=""RWS"")),
  IF(
    OR(
      ISNUMBER(SEARCH(""CDM CASH DEPOSIT"",$C903)),
      ISNUMBER(SEARCH(""CASH DEPOSIT"",$C90"&amp;"3)),
      COUNTIFS('SUMMARY DATA'!$D:$D,$C903,'SUMMARY DATA'!$B:$B,""RWS"")&lt;&gt;1
    ),
    """",
    IFERROR(TEXTJOIN(CHAR(10),TRUE,FILTER('SUMMARY DATA'!I:I,'SUMMARY DATA'!$D:$D=$C903,'SUMMARY DATA'!$B:$B=""RWS"")),"""")
  )
)"),"")</f>
      </c>
      <c r="K903" s="2"/>
      <c r="L903" s="2"/>
      <c r="M903" s="2"/>
      <c r="N903" s="2"/>
      <c r="O903" s="2"/>
      <c r="P903" s="2"/>
      <c r="Q903" s="2"/>
      <c r="R903" s="2"/>
      <c r="S903" s="2"/>
      <c r="T903" s="2"/>
      <c r="U903" s="2"/>
      <c r="V903" s="2"/>
      <c r="W903" s="2"/>
      <c r="X903" s="2"/>
      <c r="Y903" s="2"/>
      <c r="Z903" s="2"/>
      <c r="AA903" s="2"/>
      <c r="AB903" s="2"/>
    </row>
    <row r="904" spans="1:28" customHeight="true">
      <c r="A904" s="25"/>
      <c r="B904" s="26">
        <v>45757</v>
      </c>
      <c r="C904" s="25" t="s">
        <v>1438</v>
      </c>
      <c r="D904" s="27">
        <v>608.52</v>
      </c>
      <c r="E904" s="28" t="str">
        <f>IFERROR(__xludf.DUMMYFUNCTION("IFERROR(
  TEXTJOIN(CHAR(10),TRUE,FILTER('SUMMARY DATA'!E:E,'SUMMARY DATA'!$A:$A=$A5,'SUMMARY DATA'!$C:$C=$B5,'SUMMARY DATA'!$B:$B=""GRP"")),
  IF(
    OR(
      ISNUMBER(SEARCH(""CDM CASH DEPOSIT"",$C5)),
      ISNUMBER(SEARCH(""CASH DEPOSIT"",$C5)),
   "&amp;"   COUNTIFS('SUMMARY DATA'!$D:$D,$C5,'SUMMARY DATA'!$B:$B,""GRP"")&lt;&gt;1
    ),
    """",
    IFERROR(TEXTJOIN(CHAR(10),TRUE,FILTER('SUMMARY DATA'!E:E,'SUMMARY DATA'!$D:$D=$C5,'SUMMARY DATA'!$B:$B=""GRP"")),"""")
  )
)"),"")</f>
      </c>
      <c r="F904" s="29" t="str">
        <f>IFERROR(__xludf.DUMMYFUNCTION("IFERROR(
  TEXTJOIN(CHAR(10),TRUE,FILTER('SUMMARY DATA'!F:F,'SUMMARY DATA'!$A:$A=$A5,'SUMMARY DATA'!$C:$C=$B5,'SUMMARY DATA'!$B:$B=""GRP"")),
  IF(
    OR(
      ISNUMBER(SEARCH(""CDM CASH DEPOSIT"",$C5)),
      ISNUMBER(SEARCH(""CASH DEPOSIT"",$C5)),
   "&amp;"   COUNTIFS('SUMMARY DATA'!$D:$D,$C5,'SUMMARY DATA'!$B:$B,""GRP"")&lt;&gt;1
    ),
    """",
    IFERROR(TEXTJOIN(CHAR(10),TRUE,FILTER('SUMMARY DATA'!F:F,'SUMMARY DATA'!$D:$D=$C5,'SUMMARY DATA'!$B:$B=""GRP"")),"""")
  )
)"),"")</f>
      </c>
      <c r="G904" s="17" t="str">
        <f>IFERROR(__xludf.DUMMYFUNCTION("IFERROR(
  TEXTJOIN(CHAR(10),TRUE,FILTER('SUMMARY DATA'!G:G,'SUMMARY DATA'!$A:$A=$A904,'SUMMARY DATA'!$C:$C=$B904,'SUMMARY DATA'!$B:$B=""RWS"")),
  IF(
    OR(
      ISNUMBER(SEARCH(""CDM CASH DEPOSIT"",$C904)),
      ISNUMBER(SEARCH(""CASH DEPOSIT"",$C90"&amp;"4)),
      COUNTIFS('SUMMARY DATA'!$D:$D,$C904,'SUMMARY DATA'!$B:$B,""RWS"")&lt;&gt;1
    ),
    """",
    IFERROR(TEXTJOIN(CHAR(10),TRUE,FILTER('SUMMARY DATA'!G:G,'SUMMARY DATA'!$D:$D=$C904,'SUMMARY DATA'!$B:$B=""RWS"")),"""")
  )
)"),"")</f>
      </c>
      <c r="H904" s="18" t="str">
        <f>IFERROR(__xludf.DUMMYFUNCTION("IFERROR(
  TEXTJOIN(CHAR(10),TRUE,FILTER('SUMMARY DATA'!H:H,'SUMMARY DATA'!$A:$A=$A904,'SUMMARY DATA'!$C:$C=$B904,'SUMMARY DATA'!$B:$B=""RWS"",'SUMMARY DATA'!$H:$H=$D904)),
  IF(
    OR(
      ISNUMBER(SEARCH(""CDM CASH DEPOSIT"",$C904)),
      ISNUMBER(S"&amp;"EARCH(""CASH DEPOSIT"",$C904))
    ),
    """",
    IFERROR(TEXTJOIN(CHAR(10),TRUE,FILTER('SUMMARY DATA'!H:H,'SUMMARY DATA'!$D:$D=$C904,'SUMMARY DATA'!$B:$B=""RWS"",'SUMMARY DATA'!$H:$H=$D904)),"""")
  )
)"),"")</f>
      </c>
      <c r="I904" s="18" t="str">
        <f>IFERROR(__xludf.DUMMYFUNCTION("IF(H904="""","""",
SUM(ARRAYFORMULA(VALUE(SPLIT(H904,CHAR(10)))))
)"),"")</f>
      </c>
      <c r="J904" s="17" t="str">
        <f>IFERROR(__xludf.DUMMYFUNCTION("IFERROR(
  TEXTJOIN(CHAR(10),TRUE,FILTER('SUMMARY DATA'!I:I,'SUMMARY DATA'!$A:$A=$A904,'SUMMARY DATA'!$C:$C=$B904,'SUMMARY DATA'!$B:$B=""RWS"")),
  IF(
    OR(
      ISNUMBER(SEARCH(""CDM CASH DEPOSIT"",$C904)),
      ISNUMBER(SEARCH(""CASH DEPOSIT"",$C90"&amp;"4)),
      COUNTIFS('SUMMARY DATA'!$D:$D,$C904,'SUMMARY DATA'!$B:$B,""RWS"")&lt;&gt;1
    ),
    """",
    IFERROR(TEXTJOIN(CHAR(10),TRUE,FILTER('SUMMARY DATA'!I:I,'SUMMARY DATA'!$D:$D=$C904,'SUMMARY DATA'!$B:$B=""RWS"")),"""")
  )
)"),"")</f>
      </c>
      <c r="K904" s="2"/>
      <c r="L904" s="2"/>
      <c r="M904" s="2"/>
      <c r="N904" s="2"/>
      <c r="O904" s="2"/>
      <c r="P904" s="2"/>
      <c r="Q904" s="2"/>
      <c r="R904" s="2"/>
      <c r="S904" s="2"/>
      <c r="T904" s="2"/>
      <c r="U904" s="2"/>
      <c r="V904" s="2"/>
      <c r="W904" s="2"/>
      <c r="X904" s="2"/>
      <c r="Y904" s="2"/>
      <c r="Z904" s="2"/>
      <c r="AA904" s="2"/>
      <c r="AB904" s="2"/>
    </row>
    <row r="905" spans="1:28" customHeight="true">
      <c r="A905" s="19"/>
      <c r="B905" s="20">
        <v>45757</v>
      </c>
      <c r="C905" s="19" t="s">
        <v>1439</v>
      </c>
      <c r="D905" s="21">
        <v>88</v>
      </c>
      <c r="E905" s="16" t="str">
        <f>IFERROR(__xludf.DUMMYFUNCTION("IFERROR(
  TEXTJOIN(CHAR(10),TRUE,FILTER('SUMMARY DATA'!E:E,'SUMMARY DATA'!$A:$A=$A6,'SUMMARY DATA'!$C:$C=$B6,'SUMMARY DATA'!$B:$B=""GRP"")),
  IF(
    OR(
      ISNUMBER(SEARCH(""CDM CASH DEPOSIT"",$C6)),
      ISNUMBER(SEARCH(""CASH DEPOSIT"",$C6)),
   "&amp;"   COUNTIFS('SUMMARY DATA'!$D:$D,$C6,'SUMMARY DATA'!$B:$B,""GRP"")&lt;&gt;1
    ),
    """",
    IFERROR(TEXTJOIN(CHAR(10),TRUE,FILTER('SUMMARY DATA'!E:E,'SUMMARY DATA'!$D:$D=$C6,'SUMMARY DATA'!$B:$B=""GRP"")),"""")
  )
)"),"")</f>
      </c>
      <c r="F905" s="17" t="str">
        <f>IFERROR(__xludf.DUMMYFUNCTION("IFERROR(
  TEXTJOIN(CHAR(10),TRUE,FILTER('SUMMARY DATA'!F:F,'SUMMARY DATA'!$A:$A=$A6,'SUMMARY DATA'!$C:$C=$B6,'SUMMARY DATA'!$B:$B=""GRP"")),
  IF(
    OR(
      ISNUMBER(SEARCH(""CDM CASH DEPOSIT"",$C6)),
      ISNUMBER(SEARCH(""CASH DEPOSIT"",$C6)),
   "&amp;"   COUNTIFS('SUMMARY DATA'!$D:$D,$C6,'SUMMARY DATA'!$B:$B,""GRP"")&lt;&gt;1
    ),
    """",
    IFERROR(TEXTJOIN(CHAR(10),TRUE,FILTER('SUMMARY DATA'!F:F,'SUMMARY DATA'!$D:$D=$C6,'SUMMARY DATA'!$B:$B=""GRP"")),"""")
  )
)"),"")</f>
      </c>
      <c r="G905" s="17" t="str">
        <f>IFERROR(__xludf.DUMMYFUNCTION("IFERROR(
  TEXTJOIN(CHAR(10),TRUE,FILTER('SUMMARY DATA'!G:G,'SUMMARY DATA'!$A:$A=$A905,'SUMMARY DATA'!$C:$C=$B905,'SUMMARY DATA'!$B:$B=""RWS"")),
  IF(
    OR(
      ISNUMBER(SEARCH(""CDM CASH DEPOSIT"",$C905)),
      ISNUMBER(SEARCH(""CASH DEPOSIT"",$C90"&amp;"5)),
      COUNTIFS('SUMMARY DATA'!$D:$D,$C905,'SUMMARY DATA'!$B:$B,""RWS"")&lt;&gt;1
    ),
    """",
    IFERROR(TEXTJOIN(CHAR(10),TRUE,FILTER('SUMMARY DATA'!G:G,'SUMMARY DATA'!$D:$D=$C905,'SUMMARY DATA'!$B:$B=""RWS"")),"""")
  )
)"),"")</f>
      </c>
      <c r="H905" s="18" t="str">
        <f>IFERROR(__xludf.DUMMYFUNCTION("IFERROR(
  TEXTJOIN(CHAR(10),TRUE,FILTER('SUMMARY DATA'!H:H,'SUMMARY DATA'!$A:$A=$A905,'SUMMARY DATA'!$C:$C=$B905,'SUMMARY DATA'!$B:$B=""RWS"",'SUMMARY DATA'!$H:$H=$D905)),
  IF(
    OR(
      ISNUMBER(SEARCH(""CDM CASH DEPOSIT"",$C905)),
      ISNUMBER(S"&amp;"EARCH(""CASH DEPOSIT"",$C905))
    ),
    """",
    IFERROR(TEXTJOIN(CHAR(10),TRUE,FILTER('SUMMARY DATA'!H:H,'SUMMARY DATA'!$D:$D=$C905,'SUMMARY DATA'!$B:$B=""RWS"",'SUMMARY DATA'!$H:$H=$D905)),"""")
  )
)"),"")</f>
      </c>
      <c r="I905" s="18" t="str">
        <f>IFERROR(__xludf.DUMMYFUNCTION("IF(H905="""","""",
SUM(ARRAYFORMULA(VALUE(SPLIT(H905,CHAR(10)))))
)"),"")</f>
      </c>
      <c r="J905" s="17" t="str">
        <f>IFERROR(__xludf.DUMMYFUNCTION("IFERROR(
  TEXTJOIN(CHAR(10),TRUE,FILTER('SUMMARY DATA'!I:I,'SUMMARY DATA'!$A:$A=$A905,'SUMMARY DATA'!$C:$C=$B905,'SUMMARY DATA'!$B:$B=""RWS"")),
  IF(
    OR(
      ISNUMBER(SEARCH(""CDM CASH DEPOSIT"",$C905)),
      ISNUMBER(SEARCH(""CASH DEPOSIT"",$C90"&amp;"5)),
      COUNTIFS('SUMMARY DATA'!$D:$D,$C905,'SUMMARY DATA'!$B:$B,""RWS"")&lt;&gt;1
    ),
    """",
    IFERROR(TEXTJOIN(CHAR(10),TRUE,FILTER('SUMMARY DATA'!I:I,'SUMMARY DATA'!$D:$D=$C905,'SUMMARY DATA'!$B:$B=""RWS"")),"""")
  )
)"),"")</f>
      </c>
      <c r="K905" s="2"/>
      <c r="L905" s="2"/>
      <c r="M905" s="2"/>
      <c r="N905" s="2"/>
      <c r="O905" s="2"/>
      <c r="P905" s="2"/>
      <c r="Q905" s="2"/>
      <c r="R905" s="2"/>
      <c r="S905" s="2"/>
      <c r="T905" s="2"/>
      <c r="U905" s="2"/>
      <c r="V905" s="2"/>
      <c r="W905" s="2"/>
      <c r="X905" s="2"/>
      <c r="Y905" s="2"/>
      <c r="Z905" s="2"/>
      <c r="AA905" s="2"/>
      <c r="AB905" s="2"/>
    </row>
    <row r="906" spans="1:28" customHeight="true">
      <c r="A906" s="25" t="s">
        <v>1440</v>
      </c>
      <c r="B906" s="26">
        <v>45757</v>
      </c>
      <c r="C906" s="25" t="s">
        <v>1441</v>
      </c>
      <c r="D906" s="27">
        <v>15.8</v>
      </c>
      <c r="E906" s="16" t="str">
        <f>IFERROR(__xludf.DUMMYFUNCTION("IFERROR(
  TEXTJOIN(CHAR(10),TRUE,FILTER('SUMMARY DATA'!E:E,'SUMMARY DATA'!$A:$A=$A7,'SUMMARY DATA'!$C:$C=$B7,'SUMMARY DATA'!$B:$B=""GRP"")),
  IF(
    OR(
      ISNUMBER(SEARCH(""CDM CASH DEPOSIT"",$C7)),
      ISNUMBER(SEARCH(""CASH DEPOSIT"",$C7)),
   "&amp;"   COUNTIFS('SUMMARY DATA'!$D:$D,$C7,'SUMMARY DATA'!$B:$B,""GRP"")&lt;&gt;1
    ),
    """",
    IFERROR(TEXTJOIN(CHAR(10),TRUE,FILTER('SUMMARY DATA'!E:E,'SUMMARY DATA'!$D:$D=$C7,'SUMMARY DATA'!$B:$B=""GRP"")),"""")
  )
)"),"")</f>
      </c>
      <c r="F906" s="17" t="str">
        <f>IFERROR(__xludf.DUMMYFUNCTION("IFERROR(
  TEXTJOIN(CHAR(10),TRUE,FILTER('SUMMARY DATA'!F:F,'SUMMARY DATA'!$A:$A=$A7,'SUMMARY DATA'!$C:$C=$B7,'SUMMARY DATA'!$B:$B=""GRP"")),
  IF(
    OR(
      ISNUMBER(SEARCH(""CDM CASH DEPOSIT"",$C7)),
      ISNUMBER(SEARCH(""CASH DEPOSIT"",$C7)),
   "&amp;"   COUNTIFS('SUMMARY DATA'!$D:$D,$C7,'SUMMARY DATA'!$B:$B,""GRP"")&lt;&gt;1
    ),
    """",
    IFERROR(TEXTJOIN(CHAR(10),TRUE,FILTER('SUMMARY DATA'!F:F,'SUMMARY DATA'!$D:$D=$C7,'SUMMARY DATA'!$B:$B=""GRP"")),"""")
  )
)"),"")</f>
      </c>
      <c r="G906" s="17" t="str">
        <f>IFERROR(__xludf.DUMMYFUNCTION("IFERROR(
  TEXTJOIN(CHAR(10),TRUE,FILTER('SUMMARY DATA'!G:G,'SUMMARY DATA'!$A:$A=$A906,'SUMMARY DATA'!$C:$C=$B906,'SUMMARY DATA'!$B:$B=""RWS"")),
  IF(
    OR(
      ISNUMBER(SEARCH(""CDM CASH DEPOSIT"",$C906)),
      ISNUMBER(SEARCH(""CASH DEPOSIT"",$C90"&amp;"6)),
      COUNTIFS('SUMMARY DATA'!$D:$D,$C906,'SUMMARY DATA'!$B:$B,""RWS"")&lt;&gt;1
    ),
    """",
    IFERROR(TEXTJOIN(CHAR(10),TRUE,FILTER('SUMMARY DATA'!G:G,'SUMMARY DATA'!$D:$D=$C906,'SUMMARY DATA'!$B:$B=""RWS"")),"""")
  )
)"),"")</f>
      </c>
      <c r="H906" s="18" t="str">
        <f>IFERROR(__xludf.DUMMYFUNCTION("IFERROR(
  TEXTJOIN(CHAR(10),TRUE,FILTER('SUMMARY DATA'!H:H,'SUMMARY DATA'!$A:$A=$A906,'SUMMARY DATA'!$C:$C=$B906,'SUMMARY DATA'!$B:$B=""RWS"",'SUMMARY DATA'!$H:$H=$D906)),
  IF(
    OR(
      ISNUMBER(SEARCH(""CDM CASH DEPOSIT"",$C906)),
      ISNUMBER(S"&amp;"EARCH(""CASH DEPOSIT"",$C906))
    ),
    """",
    IFERROR(TEXTJOIN(CHAR(10),TRUE,FILTER('SUMMARY DATA'!H:H,'SUMMARY DATA'!$D:$D=$C906,'SUMMARY DATA'!$B:$B=""RWS"",'SUMMARY DATA'!$H:$H=$D906)),"""")
  )
)"),"")</f>
      </c>
      <c r="I906" s="18" t="str">
        <f>IFERROR(__xludf.DUMMYFUNCTION("IF(H906="""","""",
SUM(ARRAYFORMULA(VALUE(SPLIT(H906,CHAR(10)))))
)"),"")</f>
      </c>
      <c r="J906" s="17" t="str">
        <f>IFERROR(__xludf.DUMMYFUNCTION("IFERROR(
  TEXTJOIN(CHAR(10),TRUE,FILTER('SUMMARY DATA'!I:I,'SUMMARY DATA'!$A:$A=$A906,'SUMMARY DATA'!$C:$C=$B906,'SUMMARY DATA'!$B:$B=""RWS"")),
  IF(
    OR(
      ISNUMBER(SEARCH(""CDM CASH DEPOSIT"",$C906)),
      ISNUMBER(SEARCH(""CASH DEPOSIT"",$C90"&amp;"6)),
      COUNTIFS('SUMMARY DATA'!$D:$D,$C906,'SUMMARY DATA'!$B:$B,""RWS"")&lt;&gt;1
    ),
    """",
    IFERROR(TEXTJOIN(CHAR(10),TRUE,FILTER('SUMMARY DATA'!I:I,'SUMMARY DATA'!$D:$D=$C906,'SUMMARY DATA'!$B:$B=""RWS"")),"""")
  )
)"),"")</f>
      </c>
      <c r="K906" s="2"/>
      <c r="L906" s="2"/>
      <c r="M906" s="2"/>
      <c r="N906" s="2"/>
      <c r="O906" s="2"/>
      <c r="P906" s="2"/>
      <c r="Q906" s="2"/>
      <c r="R906" s="2"/>
      <c r="S906" s="2"/>
      <c r="T906" s="2"/>
      <c r="U906" s="2"/>
      <c r="V906" s="2"/>
      <c r="W906" s="2"/>
      <c r="X906" s="2"/>
      <c r="Y906" s="2"/>
      <c r="Z906" s="2"/>
      <c r="AA906" s="2"/>
      <c r="AB906" s="2"/>
    </row>
    <row r="907" spans="1:28" customHeight="true">
      <c r="A907" s="19" t="s">
        <v>1442</v>
      </c>
      <c r="B907" s="20">
        <v>45760</v>
      </c>
      <c r="C907" s="19" t="s">
        <v>240</v>
      </c>
      <c r="D907" s="21">
        <v>959.55</v>
      </c>
      <c r="E907" s="16" t="str">
        <f>IFERROR(__xludf.DUMMYFUNCTION("IFERROR(
  TEXTJOIN(CHAR(10),TRUE,FILTER('SUMMARY DATA'!E:E,'SUMMARY DATA'!$A:$A=$A8,'SUMMARY DATA'!$C:$C=$B8,'SUMMARY DATA'!$B:$B=""GRP"")),
  IF(
    OR(
      ISNUMBER(SEARCH(""CDM CASH DEPOSIT"",$C8)),
      ISNUMBER(SEARCH(""CASH DEPOSIT"",$C8)),
   "&amp;"   COUNTIFS('SUMMARY DATA'!$D:$D,$C8,'SUMMARY DATA'!$B:$B,""GRP"")&lt;&gt;1
    ),
    """",
    IFERROR(TEXTJOIN(CHAR(10),TRUE,FILTER('SUMMARY DATA'!E:E,'SUMMARY DATA'!$D:$D=$C8,'SUMMARY DATA'!$B:$B=""GRP"")),"""")
  )
)"),"")</f>
      </c>
      <c r="F907" s="17" t="str">
        <f>IFERROR(__xludf.DUMMYFUNCTION("IFERROR(
  TEXTJOIN(CHAR(10),TRUE,FILTER('SUMMARY DATA'!F:F,'SUMMARY DATA'!$A:$A=$A8,'SUMMARY DATA'!$C:$C=$B8,'SUMMARY DATA'!$B:$B=""GRP"")),
  IF(
    OR(
      ISNUMBER(SEARCH(""CDM CASH DEPOSIT"",$C8)),
      ISNUMBER(SEARCH(""CASH DEPOSIT"",$C8)),
   "&amp;"   COUNTIFS('SUMMARY DATA'!$D:$D,$C8,'SUMMARY DATA'!$B:$B,""GRP"")&lt;&gt;1
    ),
    """",
    IFERROR(TEXTJOIN(CHAR(10),TRUE,FILTER('SUMMARY DATA'!F:F,'SUMMARY DATA'!$D:$D=$C8,'SUMMARY DATA'!$B:$B=""GRP"")),"""")
  )
)"),"")</f>
      </c>
      <c r="G907" s="17" t="str">
        <f>IFERROR(__xludf.DUMMYFUNCTION("IFERROR(
  TEXTJOIN(CHAR(10),TRUE,FILTER('SUMMARY DATA'!G:G,'SUMMARY DATA'!$A:$A=$A907,'SUMMARY DATA'!$C:$C=$B907,'SUMMARY DATA'!$B:$B=""RWS"")),
  IF(
    OR(
      ISNUMBER(SEARCH(""CDM CASH DEPOSIT"",$C907)),
      ISNUMBER(SEARCH(""CASH DEPOSIT"",$C90"&amp;"7)),
      COUNTIFS('SUMMARY DATA'!$D:$D,$C907,'SUMMARY DATA'!$B:$B,""RWS"")&lt;&gt;1
    ),
    """",
    IFERROR(TEXTJOIN(CHAR(10),TRUE,FILTER('SUMMARY DATA'!G:G,'SUMMARY DATA'!$D:$D=$C907,'SUMMARY DATA'!$B:$B=""RWS"")),"""")
  )
)"),"")</f>
      </c>
      <c r="H907" s="18" t="str">
        <f>IFERROR(__xludf.DUMMYFUNCTION("IFERROR(
  TEXTJOIN(CHAR(10),TRUE,FILTER('SUMMARY DATA'!H:H,'SUMMARY DATA'!$A:$A=$A907,'SUMMARY DATA'!$C:$C=$B907,'SUMMARY DATA'!$B:$B=""RWS"",'SUMMARY DATA'!$H:$H=$D907)),
  IF(
    OR(
      ISNUMBER(SEARCH(""CDM CASH DEPOSIT"",$C907)),
      ISNUMBER(S"&amp;"EARCH(""CASH DEPOSIT"",$C907))
    ),
    """",
    IFERROR(TEXTJOIN(CHAR(10),TRUE,FILTER('SUMMARY DATA'!H:H,'SUMMARY DATA'!$D:$D=$C907,'SUMMARY DATA'!$B:$B=""RWS"",'SUMMARY DATA'!$H:$H=$D907)),"""")
  )
)"),"")</f>
      </c>
      <c r="I907" s="18" t="str">
        <f>IFERROR(__xludf.DUMMYFUNCTION("IF(H907="""","""",
SUM(ARRAYFORMULA(VALUE(SPLIT(H907,CHAR(10)))))
)"),"")</f>
      </c>
      <c r="J907" s="17" t="str">
        <f>IFERROR(__xludf.DUMMYFUNCTION("IFERROR(
  TEXTJOIN(CHAR(10),TRUE,FILTER('SUMMARY DATA'!I:I,'SUMMARY DATA'!$A:$A=$A907,'SUMMARY DATA'!$C:$C=$B907,'SUMMARY DATA'!$B:$B=""RWS"")),
  IF(
    OR(
      ISNUMBER(SEARCH(""CDM CASH DEPOSIT"",$C907)),
      ISNUMBER(SEARCH(""CASH DEPOSIT"",$C90"&amp;"7)),
      COUNTIFS('SUMMARY DATA'!$D:$D,$C907,'SUMMARY DATA'!$B:$B,""RWS"")&lt;&gt;1
    ),
    """",
    IFERROR(TEXTJOIN(CHAR(10),TRUE,FILTER('SUMMARY DATA'!I:I,'SUMMARY DATA'!$D:$D=$C907,'SUMMARY DATA'!$B:$B=""RWS"")),"""")
  )
)"),"")</f>
      </c>
      <c r="K907" s="2"/>
      <c r="L907" s="2"/>
      <c r="M907" s="2"/>
      <c r="N907" s="2"/>
      <c r="O907" s="2"/>
      <c r="P907" s="2"/>
      <c r="Q907" s="2"/>
      <c r="R907" s="2"/>
      <c r="S907" s="2"/>
      <c r="T907" s="2"/>
      <c r="U907" s="2"/>
      <c r="V907" s="2"/>
      <c r="W907" s="2"/>
      <c r="X907" s="2"/>
      <c r="Y907" s="2"/>
      <c r="Z907" s="2"/>
      <c r="AA907" s="2"/>
      <c r="AB907" s="2"/>
    </row>
    <row r="908" spans="1:28" customHeight="true">
      <c r="A908" s="25"/>
      <c r="B908" s="26">
        <v>45760</v>
      </c>
      <c r="C908" s="25" t="s">
        <v>1443</v>
      </c>
      <c r="D908" s="27">
        <v>83.39</v>
      </c>
      <c r="E908" s="16" t="str">
        <f>IFERROR(__xludf.DUMMYFUNCTION("IFERROR(
  TEXTJOIN(CHAR(10),TRUE,FILTER('SUMMARY DATA'!E:E,'SUMMARY DATA'!$A:$A=$A9,'SUMMARY DATA'!$C:$C=$B9,'SUMMARY DATA'!$B:$B=""GRP"")),
  IF(
    OR(
      ISNUMBER(SEARCH(""CDM CASH DEPOSIT"",$C9)),
      ISNUMBER(SEARCH(""CASH DEPOSIT"",$C9)),
   "&amp;"   COUNTIFS('SUMMARY DATA'!$D:$D,$C9,'SUMMARY DATA'!$B:$B,""GRP"")&lt;&gt;1
    ),
    """",
    IFERROR(TEXTJOIN(CHAR(10),TRUE,FILTER('SUMMARY DATA'!E:E,'SUMMARY DATA'!$D:$D=$C9,'SUMMARY DATA'!$B:$B=""GRP"")),"""")
  )
)"),"")</f>
      </c>
      <c r="F908" s="17" t="str">
        <f>IFERROR(__xludf.DUMMYFUNCTION("IFERROR(
  TEXTJOIN(CHAR(10),TRUE,FILTER('SUMMARY DATA'!F:F,'SUMMARY DATA'!$A:$A=$A9,'SUMMARY DATA'!$C:$C=$B9,'SUMMARY DATA'!$B:$B=""GRP"")),
  IF(
    OR(
      ISNUMBER(SEARCH(""CDM CASH DEPOSIT"",$C9)),
      ISNUMBER(SEARCH(""CASH DEPOSIT"",$C9)),
   "&amp;"   COUNTIFS('SUMMARY DATA'!$D:$D,$C9,'SUMMARY DATA'!$B:$B,""GRP"")&lt;&gt;1
    ),
    """",
    IFERROR(TEXTJOIN(CHAR(10),TRUE,FILTER('SUMMARY DATA'!F:F,'SUMMARY DATA'!$D:$D=$C9,'SUMMARY DATA'!$B:$B=""GRP"")),"""")
  )
)"),"")</f>
      </c>
      <c r="G908" s="17" t="str">
        <f>IFERROR(__xludf.DUMMYFUNCTION("IFERROR(
  TEXTJOIN(CHAR(10),TRUE,FILTER('SUMMARY DATA'!G:G,'SUMMARY DATA'!$A:$A=$A908,'SUMMARY DATA'!$C:$C=$B908,'SUMMARY DATA'!$B:$B=""RWS"")),
  IF(
    OR(
      ISNUMBER(SEARCH(""CDM CASH DEPOSIT"",$C908)),
      ISNUMBER(SEARCH(""CASH DEPOSIT"",$C90"&amp;"8)),
      COUNTIFS('SUMMARY DATA'!$D:$D,$C908,'SUMMARY DATA'!$B:$B,""RWS"")&lt;&gt;1
    ),
    """",
    IFERROR(TEXTJOIN(CHAR(10),TRUE,FILTER('SUMMARY DATA'!G:G,'SUMMARY DATA'!$D:$D=$C908,'SUMMARY DATA'!$B:$B=""RWS"")),"""")
  )
)"),"")</f>
      </c>
      <c r="H908" s="18" t="str">
        <f>IFERROR(__xludf.DUMMYFUNCTION("IFERROR(
  TEXTJOIN(CHAR(10),TRUE,FILTER('SUMMARY DATA'!H:H,'SUMMARY DATA'!$A:$A=$A908,'SUMMARY DATA'!$C:$C=$B908,'SUMMARY DATA'!$B:$B=""RWS"",'SUMMARY DATA'!$H:$H=$D908)),
  IF(
    OR(
      ISNUMBER(SEARCH(""CDM CASH DEPOSIT"",$C908)),
      ISNUMBER(S"&amp;"EARCH(""CASH DEPOSIT"",$C908))
    ),
    """",
    IFERROR(TEXTJOIN(CHAR(10),TRUE,FILTER('SUMMARY DATA'!H:H,'SUMMARY DATA'!$D:$D=$C908,'SUMMARY DATA'!$B:$B=""RWS"",'SUMMARY DATA'!$H:$H=$D908)),"""")
  )
)"),"")</f>
      </c>
      <c r="I908" s="18" t="str">
        <f>IFERROR(__xludf.DUMMYFUNCTION("IF(H908="""","""",
SUM(ARRAYFORMULA(VALUE(SPLIT(H908,CHAR(10)))))
)"),"")</f>
      </c>
      <c r="J908" s="17" t="str">
        <f>IFERROR(__xludf.DUMMYFUNCTION("IFERROR(
  TEXTJOIN(CHAR(10),TRUE,FILTER('SUMMARY DATA'!I:I,'SUMMARY DATA'!$A:$A=$A908,'SUMMARY DATA'!$C:$C=$B908,'SUMMARY DATA'!$B:$B=""RWS"")),
  IF(
    OR(
      ISNUMBER(SEARCH(""CDM CASH DEPOSIT"",$C908)),
      ISNUMBER(SEARCH(""CASH DEPOSIT"",$C90"&amp;"8)),
      COUNTIFS('SUMMARY DATA'!$D:$D,$C908,'SUMMARY DATA'!$B:$B,""RWS"")&lt;&gt;1
    ),
    """",
    IFERROR(TEXTJOIN(CHAR(10),TRUE,FILTER('SUMMARY DATA'!I:I,'SUMMARY DATA'!$D:$D=$C908,'SUMMARY DATA'!$B:$B=""RWS"")),"""")
  )
)"),"")</f>
      </c>
      <c r="K908" s="2"/>
      <c r="L908" s="2"/>
      <c r="M908" s="2"/>
      <c r="N908" s="2"/>
      <c r="O908" s="2"/>
      <c r="P908" s="2"/>
      <c r="Q908" s="2"/>
      <c r="R908" s="2"/>
      <c r="S908" s="2"/>
      <c r="T908" s="2"/>
      <c r="U908" s="2"/>
      <c r="V908" s="2"/>
      <c r="W908" s="2"/>
      <c r="X908" s="2"/>
      <c r="Y908" s="2"/>
      <c r="Z908" s="2"/>
      <c r="AA908" s="2"/>
      <c r="AB908" s="2"/>
    </row>
    <row r="909" spans="1:28" customHeight="true">
      <c r="A909" s="19"/>
      <c r="B909" s="20">
        <v>45760</v>
      </c>
      <c r="C909" s="19" t="s">
        <v>1444</v>
      </c>
      <c r="D909" s="21">
        <v>10</v>
      </c>
      <c r="E909" s="16" t="str">
        <f>IFERROR(__xludf.DUMMYFUNCTION("IFERROR(
  TEXTJOIN(CHAR(10),TRUE,FILTER('SUMMARY DATA'!E:E,'SUMMARY DATA'!$A:$A=$A10,'SUMMARY DATA'!$C:$C=$B10,'SUMMARY DATA'!$B:$B=""GRP"")),
  IF(
    OR(
      ISNUMBER(SEARCH(""CDM CASH DEPOSIT"",$C10)),
      ISNUMBER(SEARCH(""CASH DEPOSIT"",$C10)),"&amp;"
      COUNTIFS('SUMMARY DATA'!$D:$D,$C10,'SUMMARY DATA'!$B:$B,""GRP"")&lt;&gt;1
    ),
    """",
    IFERROR(TEXTJOIN(CHAR(10),TRUE,FILTER('SUMMARY DATA'!E:E,'SUMMARY DATA'!$D:$D=$C10,'SUMMARY DATA'!$B:$B=""GRP"")),"""")
  )
)"),"")</f>
      </c>
      <c r="F909" s="17" t="str">
        <f>IFERROR(__xludf.DUMMYFUNCTION("IFERROR(
  TEXTJOIN(CHAR(10),TRUE,FILTER('SUMMARY DATA'!F:F,'SUMMARY DATA'!$A:$A=$A10,'SUMMARY DATA'!$C:$C=$B10,'SUMMARY DATA'!$B:$B=""GRP"")),
  IF(
    OR(
      ISNUMBER(SEARCH(""CDM CASH DEPOSIT"",$C10)),
      ISNUMBER(SEARCH(""CASH DEPOSIT"",$C10)),"&amp;"
      COUNTIFS('SUMMARY DATA'!$D:$D,$C10,'SUMMARY DATA'!$B:$B,""GRP"")&lt;&gt;1
    ),
    """",
    IFERROR(TEXTJOIN(CHAR(10),TRUE,FILTER('SUMMARY DATA'!F:F,'SUMMARY DATA'!$D:$D=$C10,'SUMMARY DATA'!$B:$B=""GRP"")),"""")
  )
)"),"")</f>
      </c>
      <c r="G909" s="17" t="str">
        <f>IFERROR(__xludf.DUMMYFUNCTION("IFERROR(
  TEXTJOIN(CHAR(10),TRUE,FILTER('SUMMARY DATA'!G:G,'SUMMARY DATA'!$A:$A=$A909,'SUMMARY DATA'!$C:$C=$B909,'SUMMARY DATA'!$B:$B=""RWS"")),
  IF(
    OR(
      ISNUMBER(SEARCH(""CDM CASH DEPOSIT"",$C909)),
      ISNUMBER(SEARCH(""CASH DEPOSIT"",$C90"&amp;"9)),
      COUNTIFS('SUMMARY DATA'!$D:$D,$C909,'SUMMARY DATA'!$B:$B,""RWS"")&lt;&gt;1
    ),
    """",
    IFERROR(TEXTJOIN(CHAR(10),TRUE,FILTER('SUMMARY DATA'!G:G,'SUMMARY DATA'!$D:$D=$C909,'SUMMARY DATA'!$B:$B=""RWS"")),"""")
  )
)"),"")</f>
      </c>
      <c r="H909" s="18" t="str">
        <f>IFERROR(__xludf.DUMMYFUNCTION("IFERROR(
  TEXTJOIN(CHAR(10),TRUE,FILTER('SUMMARY DATA'!H:H,'SUMMARY DATA'!$A:$A=$A909,'SUMMARY DATA'!$C:$C=$B909,'SUMMARY DATA'!$B:$B=""RWS"",'SUMMARY DATA'!$H:$H=$D909)),
  IF(
    OR(
      ISNUMBER(SEARCH(""CDM CASH DEPOSIT"",$C909)),
      ISNUMBER(S"&amp;"EARCH(""CASH DEPOSIT"",$C909))
    ),
    """",
    IFERROR(TEXTJOIN(CHAR(10),TRUE,FILTER('SUMMARY DATA'!H:H,'SUMMARY DATA'!$D:$D=$C909,'SUMMARY DATA'!$B:$B=""RWS"",'SUMMARY DATA'!$H:$H=$D909)),"""")
  )
)"),"")</f>
      </c>
      <c r="I909" s="18" t="str">
        <f>IFERROR(__xludf.DUMMYFUNCTION("IF(H909="""","""",
SUM(ARRAYFORMULA(VALUE(SPLIT(H909,CHAR(10)))))
)"),"")</f>
      </c>
      <c r="J909" s="17" t="str">
        <f>IFERROR(__xludf.DUMMYFUNCTION("IFERROR(
  TEXTJOIN(CHAR(10),TRUE,FILTER('SUMMARY DATA'!I:I,'SUMMARY DATA'!$A:$A=$A909,'SUMMARY DATA'!$C:$C=$B909,'SUMMARY DATA'!$B:$B=""RWS"")),
  IF(
    OR(
      ISNUMBER(SEARCH(""CDM CASH DEPOSIT"",$C909)),
      ISNUMBER(SEARCH(""CASH DEPOSIT"",$C90"&amp;"9)),
      COUNTIFS('SUMMARY DATA'!$D:$D,$C909,'SUMMARY DATA'!$B:$B,""RWS"")&lt;&gt;1
    ),
    """",
    IFERROR(TEXTJOIN(CHAR(10),TRUE,FILTER('SUMMARY DATA'!I:I,'SUMMARY DATA'!$D:$D=$C909,'SUMMARY DATA'!$B:$B=""RWS"")),"""")
  )
)"),"")</f>
      </c>
      <c r="K909" s="2"/>
      <c r="L909" s="2"/>
      <c r="M909" s="2"/>
      <c r="N909" s="2"/>
      <c r="O909" s="2"/>
      <c r="P909" s="2"/>
      <c r="Q909" s="2"/>
      <c r="R909" s="2"/>
      <c r="S909" s="2"/>
      <c r="T909" s="2"/>
      <c r="U909" s="2"/>
      <c r="V909" s="2"/>
      <c r="W909" s="2"/>
      <c r="X909" s="2"/>
      <c r="Y909" s="2"/>
      <c r="Z909" s="2"/>
      <c r="AA909" s="2"/>
      <c r="AB909" s="2"/>
    </row>
    <row r="910" spans="1:28" customHeight="true">
      <c r="A910" s="25"/>
      <c r="B910" s="26">
        <v>45761</v>
      </c>
      <c r="C910" s="25" t="s">
        <v>1445</v>
      </c>
      <c r="D910" s="27">
        <v>1497.88</v>
      </c>
      <c r="E910" s="16" t="str">
        <f>IFERROR(__xludf.DUMMYFUNCTION("IFERROR(
  TEXTJOIN(CHAR(10),TRUE,FILTER('SUMMARY DATA'!E:E,'SUMMARY DATA'!$A:$A=$A11,'SUMMARY DATA'!$C:$C=$B11,'SUMMARY DATA'!$B:$B=""GRP"")),
  IF(
    OR(
      ISNUMBER(SEARCH(""CDM CASH DEPOSIT"",$C11)),
      ISNUMBER(SEARCH(""CASH DEPOSIT"",$C11)),"&amp;"
      COUNTIFS('SUMMARY DATA'!$D:$D,$C11,'SUMMARY DATA'!$B:$B,""GRP"")&lt;&gt;1
    ),
    """",
    IFERROR(TEXTJOIN(CHAR(10),TRUE,FILTER('SUMMARY DATA'!E:E,'SUMMARY DATA'!$D:$D=$C11,'SUMMARY DATA'!$B:$B=""GRP"")),"""")
  )
)"),"")</f>
      </c>
      <c r="F910" s="17" t="str">
        <f>IFERROR(__xludf.DUMMYFUNCTION("IFERROR(
  TEXTJOIN(CHAR(10),TRUE,FILTER('SUMMARY DATA'!F:F,'SUMMARY DATA'!$A:$A=$A11,'SUMMARY DATA'!$C:$C=$B11,'SUMMARY DATA'!$B:$B=""GRP"")),
  IF(
    OR(
      ISNUMBER(SEARCH(""CDM CASH DEPOSIT"",$C11)),
      ISNUMBER(SEARCH(""CASH DEPOSIT"",$C11)),"&amp;"
      COUNTIFS('SUMMARY DATA'!$D:$D,$C11,'SUMMARY DATA'!$B:$B,""GRP"")&lt;&gt;1
    ),
    """",
    IFERROR(TEXTJOIN(CHAR(10),TRUE,FILTER('SUMMARY DATA'!F:F,'SUMMARY DATA'!$D:$D=$C11,'SUMMARY DATA'!$B:$B=""GRP"")),"""")
  )
)"),"")</f>
      </c>
      <c r="G910" s="17" t="str">
        <f>IFERROR(__xludf.DUMMYFUNCTION("IFERROR(
  TEXTJOIN(CHAR(10),TRUE,FILTER('SUMMARY DATA'!G:G,'SUMMARY DATA'!$A:$A=$A910,'SUMMARY DATA'!$C:$C=$B910,'SUMMARY DATA'!$B:$B=""RWS"")),
  IF(
    OR(
      ISNUMBER(SEARCH(""CDM CASH DEPOSIT"",$C910)),
      ISNUMBER(SEARCH(""CASH DEPOSIT"",$C91"&amp;"0)),
      COUNTIFS('SUMMARY DATA'!$D:$D,$C910,'SUMMARY DATA'!$B:$B,""RWS"")&lt;&gt;1
    ),
    """",
    IFERROR(TEXTJOIN(CHAR(10),TRUE,FILTER('SUMMARY DATA'!G:G,'SUMMARY DATA'!$D:$D=$C910,'SUMMARY DATA'!$B:$B=""RWS"")),"""")
  )
)"),"")</f>
      </c>
      <c r="H910" s="18" t="str">
        <f>IFERROR(__xludf.DUMMYFUNCTION("IFERROR(
  TEXTJOIN(CHAR(10),TRUE,FILTER('SUMMARY DATA'!H:H,'SUMMARY DATA'!$A:$A=$A910,'SUMMARY DATA'!$C:$C=$B910,'SUMMARY DATA'!$B:$B=""RWS"",'SUMMARY DATA'!$H:$H=$D910)),
  IF(
    OR(
      ISNUMBER(SEARCH(""CDM CASH DEPOSIT"",$C910)),
      ISNUMBER(S"&amp;"EARCH(""CASH DEPOSIT"",$C910))
    ),
    """",
    IFERROR(TEXTJOIN(CHAR(10),TRUE,FILTER('SUMMARY DATA'!H:H,'SUMMARY DATA'!$D:$D=$C910,'SUMMARY DATA'!$B:$B=""RWS"",'SUMMARY DATA'!$H:$H=$D910)),"""")
  )
)"),"")</f>
      </c>
      <c r="I910" s="18" t="str">
        <f>IFERROR(__xludf.DUMMYFUNCTION("IF(H910="""","""",
SUM(ARRAYFORMULA(VALUE(SPLIT(H910,CHAR(10)))))
)"),"")</f>
      </c>
      <c r="J910" s="17" t="str">
        <f>IFERROR(__xludf.DUMMYFUNCTION("IFERROR(
  TEXTJOIN(CHAR(10),TRUE,FILTER('SUMMARY DATA'!I:I,'SUMMARY DATA'!$A:$A=$A910,'SUMMARY DATA'!$C:$C=$B910,'SUMMARY DATA'!$B:$B=""RWS"")),
  IF(
    OR(
      ISNUMBER(SEARCH(""CDM CASH DEPOSIT"",$C910)),
      ISNUMBER(SEARCH(""CASH DEPOSIT"",$C91"&amp;"0)),
      COUNTIFS('SUMMARY DATA'!$D:$D,$C910,'SUMMARY DATA'!$B:$B,""RWS"")&lt;&gt;1
    ),
    """",
    IFERROR(TEXTJOIN(CHAR(10),TRUE,FILTER('SUMMARY DATA'!I:I,'SUMMARY DATA'!$D:$D=$C910,'SUMMARY DATA'!$B:$B=""RWS"")),"""")
  )
)"),"")</f>
      </c>
      <c r="K910" s="2"/>
      <c r="L910" s="2"/>
      <c r="M910" s="2"/>
      <c r="N910" s="2"/>
      <c r="O910" s="2"/>
      <c r="P910" s="2"/>
      <c r="Q910" s="2"/>
      <c r="R910" s="2"/>
      <c r="S910" s="2"/>
      <c r="T910" s="2"/>
      <c r="U910" s="2"/>
      <c r="V910" s="2"/>
      <c r="W910" s="2"/>
      <c r="X910" s="2"/>
      <c r="Y910" s="2"/>
      <c r="Z910" s="2"/>
      <c r="AA910" s="2"/>
      <c r="AB910" s="2"/>
    </row>
    <row r="911" spans="1:28" customHeight="true">
      <c r="A911" s="19" t="s">
        <v>1446</v>
      </c>
      <c r="B911" s="20">
        <v>45761</v>
      </c>
      <c r="C911" s="19" t="s">
        <v>1447</v>
      </c>
      <c r="D911" s="21">
        <v>316.78</v>
      </c>
      <c r="E911" s="16" t="str">
        <f>IFERROR(__xludf.DUMMYFUNCTION("IFERROR(
  TEXTJOIN(CHAR(10),TRUE,FILTER('SUMMARY DATA'!E:E,'SUMMARY DATA'!$A:$A=$A12,'SUMMARY DATA'!$C:$C=$B12,'SUMMARY DATA'!$B:$B=""GRP"")),
  IF(
    OR(
      ISNUMBER(SEARCH(""CDM CASH DEPOSIT"",$C12)),
      ISNUMBER(SEARCH(""CASH DEPOSIT"",$C12)),"&amp;"
      COUNTIFS('SUMMARY DATA'!$D:$D,$C12,'SUMMARY DATA'!$B:$B,""GRP"")&lt;&gt;1
    ),
    """",
    IFERROR(TEXTJOIN(CHAR(10),TRUE,FILTER('SUMMARY DATA'!E:E,'SUMMARY DATA'!$D:$D=$C12,'SUMMARY DATA'!$B:$B=""GRP"")),"""")
  )
)"),"")</f>
      </c>
      <c r="F911" s="17" t="str">
        <f>IFERROR(__xludf.DUMMYFUNCTION("IFERROR(
  TEXTJOIN(CHAR(10),TRUE,FILTER('SUMMARY DATA'!F:F,'SUMMARY DATA'!$A:$A=$A12,'SUMMARY DATA'!$C:$C=$B12,'SUMMARY DATA'!$B:$B=""GRP"")),
  IF(
    OR(
      ISNUMBER(SEARCH(""CDM CASH DEPOSIT"",$C12)),
      ISNUMBER(SEARCH(""CASH DEPOSIT"",$C12)),"&amp;"
      COUNTIFS('SUMMARY DATA'!$D:$D,$C12,'SUMMARY DATA'!$B:$B,""GRP"")&lt;&gt;1
    ),
    """",
    IFERROR(TEXTJOIN(CHAR(10),TRUE,FILTER('SUMMARY DATA'!F:F,'SUMMARY DATA'!$D:$D=$C12,'SUMMARY DATA'!$B:$B=""GRP"")),"""")
  )
)"),"")</f>
      </c>
      <c r="G911" s="17" t="str">
        <f>IFERROR(__xludf.DUMMYFUNCTION("IFERROR(
  TEXTJOIN(CHAR(10),TRUE,FILTER('SUMMARY DATA'!G:G,'SUMMARY DATA'!$A:$A=$A911,'SUMMARY DATA'!$C:$C=$B911,'SUMMARY DATA'!$B:$B=""RWS"")),
  IF(
    OR(
      ISNUMBER(SEARCH(""CDM CASH DEPOSIT"",$C911)),
      ISNUMBER(SEARCH(""CASH DEPOSIT"",$C91"&amp;"1)),
      COUNTIFS('SUMMARY DATA'!$D:$D,$C911,'SUMMARY DATA'!$B:$B,""RWS"")&lt;&gt;1
    ),
    """",
    IFERROR(TEXTJOIN(CHAR(10),TRUE,FILTER('SUMMARY DATA'!G:G,'SUMMARY DATA'!$D:$D=$C911,'SUMMARY DATA'!$B:$B=""RWS"")),"""")
  )
)"),"")</f>
      </c>
      <c r="H911" s="18" t="str">
        <f>IFERROR(__xludf.DUMMYFUNCTION("IFERROR(
  TEXTJOIN(CHAR(10),TRUE,FILTER('SUMMARY DATA'!H:H,'SUMMARY DATA'!$A:$A=$A911,'SUMMARY DATA'!$C:$C=$B911,'SUMMARY DATA'!$B:$B=""RWS"",'SUMMARY DATA'!$H:$H=$D911)),
  IF(
    OR(
      ISNUMBER(SEARCH(""CDM CASH DEPOSIT"",$C911)),
      ISNUMBER(S"&amp;"EARCH(""CASH DEPOSIT"",$C911))
    ),
    """",
    IFERROR(TEXTJOIN(CHAR(10),TRUE,FILTER('SUMMARY DATA'!H:H,'SUMMARY DATA'!$D:$D=$C911,'SUMMARY DATA'!$B:$B=""RWS"",'SUMMARY DATA'!$H:$H=$D911)),"""")
  )
)"),"")</f>
      </c>
      <c r="I911" s="18" t="str">
        <f>IFERROR(__xludf.DUMMYFUNCTION("IF(H911="""","""",
SUM(ARRAYFORMULA(VALUE(SPLIT(H911,CHAR(10)))))
)"),"")</f>
      </c>
      <c r="J911" s="17" t="str">
        <f>IFERROR(__xludf.DUMMYFUNCTION("IFERROR(
  TEXTJOIN(CHAR(10),TRUE,FILTER('SUMMARY DATA'!I:I,'SUMMARY DATA'!$A:$A=$A911,'SUMMARY DATA'!$C:$C=$B911,'SUMMARY DATA'!$B:$B=""RWS"")),
  IF(
    OR(
      ISNUMBER(SEARCH(""CDM CASH DEPOSIT"",$C911)),
      ISNUMBER(SEARCH(""CASH DEPOSIT"",$C91"&amp;"1)),
      COUNTIFS('SUMMARY DATA'!$D:$D,$C911,'SUMMARY DATA'!$B:$B,""RWS"")&lt;&gt;1
    ),
    """",
    IFERROR(TEXTJOIN(CHAR(10),TRUE,FILTER('SUMMARY DATA'!I:I,'SUMMARY DATA'!$D:$D=$C911,'SUMMARY DATA'!$B:$B=""RWS"")),"""")
  )
)"),"")</f>
      </c>
      <c r="K911" s="2"/>
      <c r="L911" s="2"/>
      <c r="M911" s="2"/>
      <c r="N911" s="2"/>
      <c r="O911" s="2"/>
      <c r="P911" s="2"/>
      <c r="Q911" s="2"/>
      <c r="R911" s="2"/>
      <c r="S911" s="2"/>
      <c r="T911" s="2"/>
      <c r="U911" s="2"/>
      <c r="V911" s="2"/>
      <c r="W911" s="2"/>
      <c r="X911" s="2"/>
      <c r="Y911" s="2"/>
      <c r="Z911" s="2"/>
      <c r="AA911" s="2"/>
      <c r="AB911" s="2"/>
    </row>
    <row r="912" spans="1:28" customHeight="true">
      <c r="A912" s="25"/>
      <c r="B912" s="26">
        <v>45761</v>
      </c>
      <c r="C912" s="25" t="s">
        <v>1448</v>
      </c>
      <c r="D912" s="27">
        <v>5</v>
      </c>
      <c r="E912" s="16" t="str">
        <f>IFERROR(__xludf.DUMMYFUNCTION("IFERROR(
  TEXTJOIN(CHAR(10),TRUE,FILTER('SUMMARY DATA'!E:E,'SUMMARY DATA'!$A:$A=$A13,'SUMMARY DATA'!$C:$C=$B13,'SUMMARY DATA'!$B:$B=""GRP"")),
  IF(
    OR(
      ISNUMBER(SEARCH(""CDM CASH DEPOSIT"",$C13)),
      ISNUMBER(SEARCH(""CASH DEPOSIT"",$C13)),"&amp;"
      COUNTIFS('SUMMARY DATA'!$D:$D,$C13,'SUMMARY DATA'!$B:$B,""GRP"")&lt;&gt;1
    ),
    """",
    IFERROR(TEXTJOIN(CHAR(10),TRUE,FILTER('SUMMARY DATA'!E:E,'SUMMARY DATA'!$D:$D=$C13,'SUMMARY DATA'!$B:$B=""GRP"")),"""")
  )
)"),"")</f>
      </c>
      <c r="F912" s="17" t="str">
        <f>IFERROR(__xludf.DUMMYFUNCTION("IFERROR(
  TEXTJOIN(CHAR(10),TRUE,FILTER('SUMMARY DATA'!F:F,'SUMMARY DATA'!$A:$A=$A13,'SUMMARY DATA'!$C:$C=$B13,'SUMMARY DATA'!$B:$B=""GRP"")),
  IF(
    OR(
      ISNUMBER(SEARCH(""CDM CASH DEPOSIT"",$C13)),
      ISNUMBER(SEARCH(""CASH DEPOSIT"",$C13)),"&amp;"
      COUNTIFS('SUMMARY DATA'!$D:$D,$C13,'SUMMARY DATA'!$B:$B,""GRP"")&lt;&gt;1
    ),
    """",
    IFERROR(TEXTJOIN(CHAR(10),TRUE,FILTER('SUMMARY DATA'!F:F,'SUMMARY DATA'!$D:$D=$C13,'SUMMARY DATA'!$B:$B=""GRP"")),"""")
  )
)"),"")</f>
      </c>
      <c r="G912" s="17" t="str">
        <f>IFERROR(__xludf.DUMMYFUNCTION("IFERROR(
  TEXTJOIN(CHAR(10),TRUE,FILTER('SUMMARY DATA'!G:G,'SUMMARY DATA'!$A:$A=$A912,'SUMMARY DATA'!$C:$C=$B912,'SUMMARY DATA'!$B:$B=""RWS"")),
  IF(
    OR(
      ISNUMBER(SEARCH(""CDM CASH DEPOSIT"",$C912)),
      ISNUMBER(SEARCH(""CASH DEPOSIT"",$C91"&amp;"2)),
      COUNTIFS('SUMMARY DATA'!$D:$D,$C912,'SUMMARY DATA'!$B:$B,""RWS"")&lt;&gt;1
    ),
    """",
    IFERROR(TEXTJOIN(CHAR(10),TRUE,FILTER('SUMMARY DATA'!G:G,'SUMMARY DATA'!$D:$D=$C912,'SUMMARY DATA'!$B:$B=""RWS"")),"""")
  )
)"),"")</f>
      </c>
      <c r="H912" s="18" t="str">
        <f>IFERROR(__xludf.DUMMYFUNCTION("IFERROR(
  TEXTJOIN(CHAR(10),TRUE,FILTER('SUMMARY DATA'!H:H,'SUMMARY DATA'!$A:$A=$A912,'SUMMARY DATA'!$C:$C=$B912,'SUMMARY DATA'!$B:$B=""RWS"",'SUMMARY DATA'!$H:$H=$D912)),
  IF(
    OR(
      ISNUMBER(SEARCH(""CDM CASH DEPOSIT"",$C912)),
      ISNUMBER(S"&amp;"EARCH(""CASH DEPOSIT"",$C912))
    ),
    """",
    IFERROR(TEXTJOIN(CHAR(10),TRUE,FILTER('SUMMARY DATA'!H:H,'SUMMARY DATA'!$D:$D=$C912,'SUMMARY DATA'!$B:$B=""RWS"",'SUMMARY DATA'!$H:$H=$D912)),"""")
  )
)"),"")</f>
      </c>
      <c r="I912" s="18" t="str">
        <f>IFERROR(__xludf.DUMMYFUNCTION("IF(H912="""","""",
SUM(ARRAYFORMULA(VALUE(SPLIT(H912,CHAR(10)))))
)"),"")</f>
      </c>
      <c r="J912" s="17" t="str">
        <f>IFERROR(__xludf.DUMMYFUNCTION("IFERROR(
  TEXTJOIN(CHAR(10),TRUE,FILTER('SUMMARY DATA'!I:I,'SUMMARY DATA'!$A:$A=$A912,'SUMMARY DATA'!$C:$C=$B912,'SUMMARY DATA'!$B:$B=""RWS"")),
  IF(
    OR(
      ISNUMBER(SEARCH(""CDM CASH DEPOSIT"",$C912)),
      ISNUMBER(SEARCH(""CASH DEPOSIT"",$C91"&amp;"2)),
      COUNTIFS('SUMMARY DATA'!$D:$D,$C912,'SUMMARY DATA'!$B:$B,""RWS"")&lt;&gt;1
    ),
    """",
    IFERROR(TEXTJOIN(CHAR(10),TRUE,FILTER('SUMMARY DATA'!I:I,'SUMMARY DATA'!$D:$D=$C912,'SUMMARY DATA'!$B:$B=""RWS"")),"""")
  )
)"),"")</f>
      </c>
      <c r="K912" s="2"/>
      <c r="L912" s="2"/>
      <c r="M912" s="2"/>
      <c r="N912" s="2"/>
      <c r="O912" s="2"/>
      <c r="P912" s="2"/>
      <c r="Q912" s="2"/>
      <c r="R912" s="2"/>
      <c r="S912" s="2"/>
      <c r="T912" s="2"/>
      <c r="U912" s="2"/>
      <c r="V912" s="2"/>
      <c r="W912" s="2"/>
      <c r="X912" s="2"/>
      <c r="Y912" s="2"/>
      <c r="Z912" s="2"/>
      <c r="AA912" s="2"/>
      <c r="AB912" s="2"/>
    </row>
    <row r="913" spans="1:28" customHeight="true">
      <c r="A913" s="19"/>
      <c r="B913" s="20">
        <v>45762</v>
      </c>
      <c r="C913" s="19" t="s">
        <v>1449</v>
      </c>
      <c r="D913" s="21">
        <v>632.64</v>
      </c>
      <c r="E913" s="16" t="str">
        <f>IFERROR(__xludf.DUMMYFUNCTION("IFERROR(
  TEXTJOIN(CHAR(10),TRUE,FILTER('SUMMARY DATA'!E:E,'SUMMARY DATA'!$A:$A=$A14,'SUMMARY DATA'!$C:$C=$B14,'SUMMARY DATA'!$B:$B=""GRP"")),
  IF(
    OR(
      ISNUMBER(SEARCH(""CDM CASH DEPOSIT"",$C14)),
      ISNUMBER(SEARCH(""CASH DEPOSIT"",$C14)),"&amp;"
      COUNTIFS('SUMMARY DATA'!$D:$D,$C14,'SUMMARY DATA'!$B:$B,""GRP"")&lt;&gt;1
    ),
    """",
    IFERROR(TEXTJOIN(CHAR(10),TRUE,FILTER('SUMMARY DATA'!E:E,'SUMMARY DATA'!$D:$D=$C14,'SUMMARY DATA'!$B:$B=""GRP"")),"""")
  )
)"),"")</f>
      </c>
      <c r="F913" s="17" t="str">
        <f>IFERROR(__xludf.DUMMYFUNCTION("IFERROR(
  TEXTJOIN(CHAR(10),TRUE,FILTER('SUMMARY DATA'!F:F,'SUMMARY DATA'!$A:$A=$A14,'SUMMARY DATA'!$C:$C=$B14,'SUMMARY DATA'!$B:$B=""GRP"")),
  IF(
    OR(
      ISNUMBER(SEARCH(""CDM CASH DEPOSIT"",$C14)),
      ISNUMBER(SEARCH(""CASH DEPOSIT"",$C14)),"&amp;"
      COUNTIFS('SUMMARY DATA'!$D:$D,$C14,'SUMMARY DATA'!$B:$B,""GRP"")&lt;&gt;1
    ),
    """",
    IFERROR(TEXTJOIN(CHAR(10),TRUE,FILTER('SUMMARY DATA'!F:F,'SUMMARY DATA'!$D:$D=$C14,'SUMMARY DATA'!$B:$B=""GRP"")),"""")
  )
)"),"")</f>
      </c>
      <c r="G913" s="17" t="str">
        <f>IFERROR(__xludf.DUMMYFUNCTION("IFERROR(
  TEXTJOIN(CHAR(10),TRUE,FILTER('SUMMARY DATA'!G:G,'SUMMARY DATA'!$A:$A=$A913,'SUMMARY DATA'!$C:$C=$B913,'SUMMARY DATA'!$B:$B=""RWS"")),
  IF(
    OR(
      ISNUMBER(SEARCH(""CDM CASH DEPOSIT"",$C913)),
      ISNUMBER(SEARCH(""CASH DEPOSIT"",$C91"&amp;"3)),
      COUNTIFS('SUMMARY DATA'!$D:$D,$C913,'SUMMARY DATA'!$B:$B,""RWS"")&lt;&gt;1
    ),
    """",
    IFERROR(TEXTJOIN(CHAR(10),TRUE,FILTER('SUMMARY DATA'!G:G,'SUMMARY DATA'!$D:$D=$C913,'SUMMARY DATA'!$B:$B=""RWS"")),"""")
  )
)"),"")</f>
      </c>
      <c r="H913" s="18" t="str">
        <f>IFERROR(__xludf.DUMMYFUNCTION("IFERROR(
  TEXTJOIN(CHAR(10),TRUE,FILTER('SUMMARY DATA'!H:H,'SUMMARY DATA'!$A:$A=$A913,'SUMMARY DATA'!$C:$C=$B913,'SUMMARY DATA'!$B:$B=""RWS"",'SUMMARY DATA'!$H:$H=$D913)),
  IF(
    OR(
      ISNUMBER(SEARCH(""CDM CASH DEPOSIT"",$C913)),
      ISNUMBER(S"&amp;"EARCH(""CASH DEPOSIT"",$C913))
    ),
    """",
    IFERROR(TEXTJOIN(CHAR(10),TRUE,FILTER('SUMMARY DATA'!H:H,'SUMMARY DATA'!$D:$D=$C913,'SUMMARY DATA'!$B:$B=""RWS"",'SUMMARY DATA'!$H:$H=$D913)),"""")
  )
)"),"")</f>
      </c>
      <c r="I913" s="18" t="str">
        <f>IFERROR(__xludf.DUMMYFUNCTION("IF(H913="""","""",
SUM(ARRAYFORMULA(VALUE(SPLIT(H913,CHAR(10)))))
)"),"")</f>
      </c>
      <c r="J913" s="17" t="str">
        <f>IFERROR(__xludf.DUMMYFUNCTION("IFERROR(
  TEXTJOIN(CHAR(10),TRUE,FILTER('SUMMARY DATA'!I:I,'SUMMARY DATA'!$A:$A=$A913,'SUMMARY DATA'!$C:$C=$B913,'SUMMARY DATA'!$B:$B=""RWS"")),
  IF(
    OR(
      ISNUMBER(SEARCH(""CDM CASH DEPOSIT"",$C913)),
      ISNUMBER(SEARCH(""CASH DEPOSIT"",$C91"&amp;"3)),
      COUNTIFS('SUMMARY DATA'!$D:$D,$C913,'SUMMARY DATA'!$B:$B,""RWS"")&lt;&gt;1
    ),
    """",
    IFERROR(TEXTJOIN(CHAR(10),TRUE,FILTER('SUMMARY DATA'!I:I,'SUMMARY DATA'!$D:$D=$C913,'SUMMARY DATA'!$B:$B=""RWS"")),"""")
  )
)"),"")</f>
      </c>
      <c r="K913" s="2"/>
      <c r="L913" s="2"/>
      <c r="M913" s="2"/>
      <c r="N913" s="2"/>
      <c r="O913" s="2"/>
      <c r="P913" s="2"/>
      <c r="Q913" s="2"/>
      <c r="R913" s="2"/>
      <c r="S913" s="2"/>
      <c r="T913" s="2"/>
      <c r="U913" s="2"/>
      <c r="V913" s="2"/>
      <c r="W913" s="2"/>
      <c r="X913" s="2"/>
      <c r="Y913" s="2"/>
      <c r="Z913" s="2"/>
      <c r="AA913" s="2"/>
      <c r="AB913" s="2"/>
    </row>
    <row r="914" spans="1:28" customHeight="true">
      <c r="A914" s="25" t="s">
        <v>1450</v>
      </c>
      <c r="B914" s="26">
        <v>45762</v>
      </c>
      <c r="C914" s="25" t="s">
        <v>1451</v>
      </c>
      <c r="D914" s="27">
        <v>355.54</v>
      </c>
      <c r="E914" s="16" t="str">
        <f>IFERROR(__xludf.DUMMYFUNCTION("IFERROR(
  TEXTJOIN(CHAR(10),TRUE,FILTER('SUMMARY DATA'!E:E,'SUMMARY DATA'!$A:$A=$A15,'SUMMARY DATA'!$C:$C=$B15,'SUMMARY DATA'!$B:$B=""GRP"")),
  IF(
    OR(
      ISNUMBER(SEARCH(""CDM CASH DEPOSIT"",$C15)),
      ISNUMBER(SEARCH(""CASH DEPOSIT"",$C15)),"&amp;"
      COUNTIFS('SUMMARY DATA'!$D:$D,$C15,'SUMMARY DATA'!$B:$B,""GRP"")&lt;&gt;1
    ),
    """",
    IFERROR(TEXTJOIN(CHAR(10),TRUE,FILTER('SUMMARY DATA'!E:E,'SUMMARY DATA'!$D:$D=$C15,'SUMMARY DATA'!$B:$B=""GRP"")),"""")
  )
)"),"")</f>
      </c>
      <c r="F914" s="17" t="str">
        <f>IFERROR(__xludf.DUMMYFUNCTION("IFERROR(
  TEXTJOIN(CHAR(10),TRUE,FILTER('SUMMARY DATA'!F:F,'SUMMARY DATA'!$A:$A=$A15,'SUMMARY DATA'!$C:$C=$B15,'SUMMARY DATA'!$B:$B=""GRP"")),
  IF(
    OR(
      ISNUMBER(SEARCH(""CDM CASH DEPOSIT"",$C15)),
      ISNUMBER(SEARCH(""CASH DEPOSIT"",$C15)),"&amp;"
      COUNTIFS('SUMMARY DATA'!$D:$D,$C15,'SUMMARY DATA'!$B:$B,""GRP"")&lt;&gt;1
    ),
    """",
    IFERROR(TEXTJOIN(CHAR(10),TRUE,FILTER('SUMMARY DATA'!F:F,'SUMMARY DATA'!$D:$D=$C15,'SUMMARY DATA'!$B:$B=""GRP"")),"""")
  )
)"),"")</f>
      </c>
      <c r="G914" s="17" t="str">
        <f>IFERROR(__xludf.DUMMYFUNCTION("IFERROR(
  TEXTJOIN(CHAR(10),TRUE,FILTER('SUMMARY DATA'!G:G,'SUMMARY DATA'!$A:$A=$A914,'SUMMARY DATA'!$C:$C=$B914,'SUMMARY DATA'!$B:$B=""RWS"")),
  IF(
    OR(
      ISNUMBER(SEARCH(""CDM CASH DEPOSIT"",$C914)),
      ISNUMBER(SEARCH(""CASH DEPOSIT"",$C91"&amp;"4)),
      COUNTIFS('SUMMARY DATA'!$D:$D,$C914,'SUMMARY DATA'!$B:$B,""RWS"")&lt;&gt;1
    ),
    """",
    IFERROR(TEXTJOIN(CHAR(10),TRUE,FILTER('SUMMARY DATA'!G:G,'SUMMARY DATA'!$D:$D=$C914,'SUMMARY DATA'!$B:$B=""RWS"")),"""")
  )
)"),"")</f>
      </c>
      <c r="H914" s="18" t="str">
        <f>IFERROR(__xludf.DUMMYFUNCTION("IFERROR(
  TEXTJOIN(CHAR(10),TRUE,FILTER('SUMMARY DATA'!H:H,'SUMMARY DATA'!$A:$A=$A914,'SUMMARY DATA'!$C:$C=$B914,'SUMMARY DATA'!$B:$B=""RWS"",'SUMMARY DATA'!$H:$H=$D914)),
  IF(
    OR(
      ISNUMBER(SEARCH(""CDM CASH DEPOSIT"",$C914)),
      ISNUMBER(S"&amp;"EARCH(""CASH DEPOSIT"",$C914))
    ),
    """",
    IFERROR(TEXTJOIN(CHAR(10),TRUE,FILTER('SUMMARY DATA'!H:H,'SUMMARY DATA'!$D:$D=$C914,'SUMMARY DATA'!$B:$B=""RWS"",'SUMMARY DATA'!$H:$H=$D914)),"""")
  )
)"),"")</f>
      </c>
      <c r="I914" s="18" t="str">
        <f>IFERROR(__xludf.DUMMYFUNCTION("IF(H914="""","""",
SUM(ARRAYFORMULA(VALUE(SPLIT(H914,CHAR(10)))))
)"),"")</f>
      </c>
      <c r="J914" s="17" t="str">
        <f>IFERROR(__xludf.DUMMYFUNCTION("IFERROR(
  TEXTJOIN(CHAR(10),TRUE,FILTER('SUMMARY DATA'!I:I,'SUMMARY DATA'!$A:$A=$A914,'SUMMARY DATA'!$C:$C=$B914,'SUMMARY DATA'!$B:$B=""RWS"")),
  IF(
    OR(
      ISNUMBER(SEARCH(""CDM CASH DEPOSIT"",$C914)),
      ISNUMBER(SEARCH(""CASH DEPOSIT"",$C91"&amp;"4)),
      COUNTIFS('SUMMARY DATA'!$D:$D,$C914,'SUMMARY DATA'!$B:$B,""RWS"")&lt;&gt;1
    ),
    """",
    IFERROR(TEXTJOIN(CHAR(10),TRUE,FILTER('SUMMARY DATA'!I:I,'SUMMARY DATA'!$D:$D=$C914,'SUMMARY DATA'!$B:$B=""RWS"")),"""")
  )
)"),"")</f>
      </c>
      <c r="K914" s="2"/>
      <c r="L914" s="2"/>
      <c r="M914" s="2"/>
      <c r="N914" s="2"/>
      <c r="O914" s="2"/>
      <c r="P914" s="2"/>
      <c r="Q914" s="2"/>
      <c r="R914" s="2"/>
      <c r="S914" s="2"/>
      <c r="T914" s="2"/>
      <c r="U914" s="2"/>
      <c r="V914" s="2"/>
      <c r="W914" s="2"/>
      <c r="X914" s="2"/>
      <c r="Y914" s="2"/>
      <c r="Z914" s="2"/>
      <c r="AA914" s="2"/>
      <c r="AB914" s="2"/>
    </row>
    <row r="915" spans="1:28" customHeight="true">
      <c r="A915" s="19"/>
      <c r="B915" s="20">
        <v>45762</v>
      </c>
      <c r="C915" s="19" t="s">
        <v>1452</v>
      </c>
      <c r="D915" s="21">
        <v>105.88</v>
      </c>
      <c r="E915" s="16" t="str">
        <f>IFERROR(__xludf.DUMMYFUNCTION("IFERROR(
  TEXTJOIN(CHAR(10),TRUE,FILTER('SUMMARY DATA'!E:E,'SUMMARY DATA'!$A:$A=$A16,'SUMMARY DATA'!$C:$C=$B16,'SUMMARY DATA'!$B:$B=""GRP"")),
  IF(
    OR(
      ISNUMBER(SEARCH(""CDM CASH DEPOSIT"",$C16)),
      ISNUMBER(SEARCH(""CASH DEPOSIT"",$C16)),"&amp;"
      COUNTIFS('SUMMARY DATA'!$D:$D,$C16,'SUMMARY DATA'!$B:$B,""GRP"")&lt;&gt;1
    ),
    """",
    IFERROR(TEXTJOIN(CHAR(10),TRUE,FILTER('SUMMARY DATA'!E:E,'SUMMARY DATA'!$D:$D=$C16,'SUMMARY DATA'!$B:$B=""GRP"")),"""")
  )
)"),"")</f>
      </c>
      <c r="F915" s="17" t="str">
        <f>IFERROR(__xludf.DUMMYFUNCTION("IFERROR(
  TEXTJOIN(CHAR(10),TRUE,FILTER('SUMMARY DATA'!F:F,'SUMMARY DATA'!$A:$A=$A16,'SUMMARY DATA'!$C:$C=$B16,'SUMMARY DATA'!$B:$B=""GRP"")),
  IF(
    OR(
      ISNUMBER(SEARCH(""CDM CASH DEPOSIT"",$C16)),
      ISNUMBER(SEARCH(""CASH DEPOSIT"",$C16)),"&amp;"
      COUNTIFS('SUMMARY DATA'!$D:$D,$C16,'SUMMARY DATA'!$B:$B,""GRP"")&lt;&gt;1
    ),
    """",
    IFERROR(TEXTJOIN(CHAR(10),TRUE,FILTER('SUMMARY DATA'!F:F,'SUMMARY DATA'!$D:$D=$C16,'SUMMARY DATA'!$B:$B=""GRP"")),"""")
  )
)"),"")</f>
      </c>
      <c r="G915" s="17" t="str">
        <f>IFERROR(__xludf.DUMMYFUNCTION("IFERROR(
  TEXTJOIN(CHAR(10),TRUE,FILTER('SUMMARY DATA'!G:G,'SUMMARY DATA'!$A:$A=$A915,'SUMMARY DATA'!$C:$C=$B915,'SUMMARY DATA'!$B:$B=""RWS"")),
  IF(
    OR(
      ISNUMBER(SEARCH(""CDM CASH DEPOSIT"",$C915)),
      ISNUMBER(SEARCH(""CASH DEPOSIT"",$C91"&amp;"5)),
      COUNTIFS('SUMMARY DATA'!$D:$D,$C915,'SUMMARY DATA'!$B:$B,""RWS"")&lt;&gt;1
    ),
    """",
    IFERROR(TEXTJOIN(CHAR(10),TRUE,FILTER('SUMMARY DATA'!G:G,'SUMMARY DATA'!$D:$D=$C915,'SUMMARY DATA'!$B:$B=""RWS"")),"""")
  )
)"),"")</f>
      </c>
      <c r="H915" s="18" t="str">
        <f>IFERROR(__xludf.DUMMYFUNCTION("IFERROR(
  TEXTJOIN(CHAR(10),TRUE,FILTER('SUMMARY DATA'!H:H,'SUMMARY DATA'!$A:$A=$A915,'SUMMARY DATA'!$C:$C=$B915,'SUMMARY DATA'!$B:$B=""RWS"",'SUMMARY DATA'!$H:$H=$D915)),
  IF(
    OR(
      ISNUMBER(SEARCH(""CDM CASH DEPOSIT"",$C915)),
      ISNUMBER(S"&amp;"EARCH(""CASH DEPOSIT"",$C915))
    ),
    """",
    IFERROR(TEXTJOIN(CHAR(10),TRUE,FILTER('SUMMARY DATA'!H:H,'SUMMARY DATA'!$D:$D=$C915,'SUMMARY DATA'!$B:$B=""RWS"",'SUMMARY DATA'!$H:$H=$D915)),"""")
  )
)"),"")</f>
      </c>
      <c r="I915" s="18" t="str">
        <f>IFERROR(__xludf.DUMMYFUNCTION("IF(H915="""","""",
SUM(ARRAYFORMULA(VALUE(SPLIT(H915,CHAR(10)))))
)"),"")</f>
      </c>
      <c r="J915" s="17" t="str">
        <f>IFERROR(__xludf.DUMMYFUNCTION("IFERROR(
  TEXTJOIN(CHAR(10),TRUE,FILTER('SUMMARY DATA'!I:I,'SUMMARY DATA'!$A:$A=$A915,'SUMMARY DATA'!$C:$C=$B915,'SUMMARY DATA'!$B:$B=""RWS"")),
  IF(
    OR(
      ISNUMBER(SEARCH(""CDM CASH DEPOSIT"",$C915)),
      ISNUMBER(SEARCH(""CASH DEPOSIT"",$C91"&amp;"5)),
      COUNTIFS('SUMMARY DATA'!$D:$D,$C915,'SUMMARY DATA'!$B:$B,""RWS"")&lt;&gt;1
    ),
    """",
    IFERROR(TEXTJOIN(CHAR(10),TRUE,FILTER('SUMMARY DATA'!I:I,'SUMMARY DATA'!$D:$D=$C915,'SUMMARY DATA'!$B:$B=""RWS"")),"""")
  )
)"),"")</f>
      </c>
      <c r="K915" s="2"/>
      <c r="L915" s="2"/>
      <c r="M915" s="2"/>
      <c r="N915" s="2"/>
      <c r="O915" s="2"/>
      <c r="P915" s="2"/>
      <c r="Q915" s="2"/>
      <c r="R915" s="2"/>
      <c r="S915" s="2"/>
      <c r="T915" s="2"/>
      <c r="U915" s="2"/>
      <c r="V915" s="2"/>
      <c r="W915" s="2"/>
      <c r="X915" s="2"/>
      <c r="Y915" s="2"/>
      <c r="Z915" s="2"/>
      <c r="AA915" s="2"/>
      <c r="AB915" s="2"/>
    </row>
    <row r="916" spans="1:28" customHeight="true">
      <c r="A916" s="25"/>
      <c r="B916" s="26">
        <v>45762</v>
      </c>
      <c r="C916" s="25" t="s">
        <v>1453</v>
      </c>
      <c r="D916" s="27">
        <v>55.99</v>
      </c>
      <c r="E916" s="16" t="str">
        <f>IFERROR(__xludf.DUMMYFUNCTION("IFERROR(
  TEXTJOIN(CHAR(10),TRUE,FILTER('SUMMARY DATA'!E:E,'SUMMARY DATA'!$A:$A=$A17,'SUMMARY DATA'!$C:$C=$B17,'SUMMARY DATA'!$B:$B=""GRP"")),
  IF(
    OR(
      ISNUMBER(SEARCH(""CDM CASH DEPOSIT"",$C17)),
      ISNUMBER(SEARCH(""CASH DEPOSIT"",$C17)),"&amp;"
      COUNTIFS('SUMMARY DATA'!$D:$D,$C17,'SUMMARY DATA'!$B:$B,""GRP"")&lt;&gt;1
    ),
    """",
    IFERROR(TEXTJOIN(CHAR(10),TRUE,FILTER('SUMMARY DATA'!E:E,'SUMMARY DATA'!$D:$D=$C17,'SUMMARY DATA'!$B:$B=""GRP"")),"""")
  )
)"),"")</f>
      </c>
      <c r="F916" s="17" t="str">
        <f>IFERROR(__xludf.DUMMYFUNCTION("IFERROR(
  TEXTJOIN(CHAR(10),TRUE,FILTER('SUMMARY DATA'!F:F,'SUMMARY DATA'!$A:$A=$A17,'SUMMARY DATA'!$C:$C=$B17,'SUMMARY DATA'!$B:$B=""GRP"")),
  IF(
    OR(
      ISNUMBER(SEARCH(""CDM CASH DEPOSIT"",$C17)),
      ISNUMBER(SEARCH(""CASH DEPOSIT"",$C17)),"&amp;"
      COUNTIFS('SUMMARY DATA'!$D:$D,$C17,'SUMMARY DATA'!$B:$B,""GRP"")&lt;&gt;1
    ),
    """",
    IFERROR(TEXTJOIN(CHAR(10),TRUE,FILTER('SUMMARY DATA'!F:F,'SUMMARY DATA'!$D:$D=$C17,'SUMMARY DATA'!$B:$B=""GRP"")),"""")
  )
)"),"")</f>
      </c>
      <c r="G916" s="17" t="str">
        <f>IFERROR(__xludf.DUMMYFUNCTION("IFERROR(
  TEXTJOIN(CHAR(10),TRUE,FILTER('SUMMARY DATA'!G:G,'SUMMARY DATA'!$A:$A=$A916,'SUMMARY DATA'!$C:$C=$B916,'SUMMARY DATA'!$B:$B=""RWS"")),
  IF(
    OR(
      ISNUMBER(SEARCH(""CDM CASH DEPOSIT"",$C916)),
      ISNUMBER(SEARCH(""CASH DEPOSIT"",$C91"&amp;"6)),
      COUNTIFS('SUMMARY DATA'!$D:$D,$C916,'SUMMARY DATA'!$B:$B,""RWS"")&lt;&gt;1
    ),
    """",
    IFERROR(TEXTJOIN(CHAR(10),TRUE,FILTER('SUMMARY DATA'!G:G,'SUMMARY DATA'!$D:$D=$C916,'SUMMARY DATA'!$B:$B=""RWS"")),"""")
  )
)"),"")</f>
      </c>
      <c r="H916" s="18" t="str">
        <f>IFERROR(__xludf.DUMMYFUNCTION("IFERROR(
  TEXTJOIN(CHAR(10),TRUE,FILTER('SUMMARY DATA'!H:H,'SUMMARY DATA'!$A:$A=$A916,'SUMMARY DATA'!$C:$C=$B916,'SUMMARY DATA'!$B:$B=""RWS"",'SUMMARY DATA'!$H:$H=$D916)),
  IF(
    OR(
      ISNUMBER(SEARCH(""CDM CASH DEPOSIT"",$C916)),
      ISNUMBER(S"&amp;"EARCH(""CASH DEPOSIT"",$C916))
    ),
    """",
    IFERROR(TEXTJOIN(CHAR(10),TRUE,FILTER('SUMMARY DATA'!H:H,'SUMMARY DATA'!$D:$D=$C916,'SUMMARY DATA'!$B:$B=""RWS"",'SUMMARY DATA'!$H:$H=$D916)),"""")
  )
)"),"")</f>
      </c>
      <c r="I916" s="18" t="str">
        <f>IFERROR(__xludf.DUMMYFUNCTION("IF(H916="""","""",
SUM(ARRAYFORMULA(VALUE(SPLIT(H916,CHAR(10)))))
)"),"")</f>
      </c>
      <c r="J916" s="17" t="str">
        <f>IFERROR(__xludf.DUMMYFUNCTION("IFERROR(
  TEXTJOIN(CHAR(10),TRUE,FILTER('SUMMARY DATA'!I:I,'SUMMARY DATA'!$A:$A=$A916,'SUMMARY DATA'!$C:$C=$B916,'SUMMARY DATA'!$B:$B=""RWS"")),
  IF(
    OR(
      ISNUMBER(SEARCH(""CDM CASH DEPOSIT"",$C916)),
      ISNUMBER(SEARCH(""CASH DEPOSIT"",$C91"&amp;"6)),
      COUNTIFS('SUMMARY DATA'!$D:$D,$C916,'SUMMARY DATA'!$B:$B,""RWS"")&lt;&gt;1
    ),
    """",
    IFERROR(TEXTJOIN(CHAR(10),TRUE,FILTER('SUMMARY DATA'!I:I,'SUMMARY DATA'!$D:$D=$C916,'SUMMARY DATA'!$B:$B=""RWS"")),"""")
  )
)"),"")</f>
      </c>
      <c r="K916" s="2"/>
      <c r="L916" s="2"/>
      <c r="M916" s="2"/>
      <c r="N916" s="2"/>
      <c r="O916" s="2"/>
      <c r="P916" s="2"/>
      <c r="Q916" s="2"/>
      <c r="R916" s="2"/>
      <c r="S916" s="2"/>
      <c r="T916" s="2"/>
      <c r="U916" s="2"/>
      <c r="V916" s="2"/>
      <c r="W916" s="2"/>
      <c r="X916" s="2"/>
      <c r="Y916" s="2"/>
      <c r="Z916" s="2"/>
      <c r="AA916" s="2"/>
      <c r="AB916" s="2"/>
    </row>
    <row r="917" spans="1:28" customHeight="true">
      <c r="A917" s="19"/>
      <c r="B917" s="20">
        <v>45762</v>
      </c>
      <c r="C917" s="19" t="s">
        <v>1454</v>
      </c>
      <c r="D917" s="21">
        <v>5</v>
      </c>
      <c r="E917" s="16" t="str">
        <f>IFERROR(__xludf.DUMMYFUNCTION("IFERROR(
  TEXTJOIN(CHAR(10),TRUE,FILTER('SUMMARY DATA'!E:E,'SUMMARY DATA'!$A:$A=$A18,'SUMMARY DATA'!$C:$C=$B18,'SUMMARY DATA'!$B:$B=""GRP"")),
  IF(
    OR(
      ISNUMBER(SEARCH(""CDM CASH DEPOSIT"",$C18)),
      ISNUMBER(SEARCH(""CASH DEPOSIT"",$C18)),"&amp;"
      COUNTIFS('SUMMARY DATA'!$D:$D,$C18,'SUMMARY DATA'!$B:$B,""GRP"")&lt;&gt;1
    ),
    """",
    IFERROR(TEXTJOIN(CHAR(10),TRUE,FILTER('SUMMARY DATA'!E:E,'SUMMARY DATA'!$D:$D=$C18,'SUMMARY DATA'!$B:$B=""GRP"")),"""")
  )
)"),"")</f>
      </c>
      <c r="F917" s="17" t="str">
        <f>IFERROR(__xludf.DUMMYFUNCTION("IFERROR(
  TEXTJOIN(CHAR(10),TRUE,FILTER('SUMMARY DATA'!F:F,'SUMMARY DATA'!$A:$A=$A18,'SUMMARY DATA'!$C:$C=$B18,'SUMMARY DATA'!$B:$B=""GRP"")),
  IF(
    OR(
      ISNUMBER(SEARCH(""CDM CASH DEPOSIT"",$C18)),
      ISNUMBER(SEARCH(""CASH DEPOSIT"",$C18)),"&amp;"
      COUNTIFS('SUMMARY DATA'!$D:$D,$C18,'SUMMARY DATA'!$B:$B,""GRP"")&lt;&gt;1
    ),
    """",
    IFERROR(TEXTJOIN(CHAR(10),TRUE,FILTER('SUMMARY DATA'!F:F,'SUMMARY DATA'!$D:$D=$C18,'SUMMARY DATA'!$B:$B=""GRP"")),"""")
  )
)"),"")</f>
      </c>
      <c r="G917" s="17" t="str">
        <f>IFERROR(__xludf.DUMMYFUNCTION("IFERROR(
  TEXTJOIN(CHAR(10),TRUE,FILTER('SUMMARY DATA'!G:G,'SUMMARY DATA'!$A:$A=$A917,'SUMMARY DATA'!$C:$C=$B917,'SUMMARY DATA'!$B:$B=""RWS"")),
  IF(
    OR(
      ISNUMBER(SEARCH(""CDM CASH DEPOSIT"",$C917)),
      ISNUMBER(SEARCH(""CASH DEPOSIT"",$C91"&amp;"7)),
      COUNTIFS('SUMMARY DATA'!$D:$D,$C917,'SUMMARY DATA'!$B:$B,""RWS"")&lt;&gt;1
    ),
    """",
    IFERROR(TEXTJOIN(CHAR(10),TRUE,FILTER('SUMMARY DATA'!G:G,'SUMMARY DATA'!$D:$D=$C917,'SUMMARY DATA'!$B:$B=""RWS"")),"""")
  )
)"),"")</f>
      </c>
      <c r="H917" s="18" t="str">
        <f>IFERROR(__xludf.DUMMYFUNCTION("IFERROR(
  TEXTJOIN(CHAR(10),TRUE,FILTER('SUMMARY DATA'!H:H,'SUMMARY DATA'!$A:$A=$A917,'SUMMARY DATA'!$C:$C=$B917,'SUMMARY DATA'!$B:$B=""RWS"",'SUMMARY DATA'!$H:$H=$D917)),
  IF(
    OR(
      ISNUMBER(SEARCH(""CDM CASH DEPOSIT"",$C917)),
      ISNUMBER(S"&amp;"EARCH(""CASH DEPOSIT"",$C917))
    ),
    """",
    IFERROR(TEXTJOIN(CHAR(10),TRUE,FILTER('SUMMARY DATA'!H:H,'SUMMARY DATA'!$D:$D=$C917,'SUMMARY DATA'!$B:$B=""RWS"",'SUMMARY DATA'!$H:$H=$D917)),"""")
  )
)"),"")</f>
      </c>
      <c r="I917" s="18" t="str">
        <f>IFERROR(__xludf.DUMMYFUNCTION("IF(H917="""","""",
SUM(ARRAYFORMULA(VALUE(SPLIT(H917,CHAR(10)))))
)"),"")</f>
      </c>
      <c r="J917" s="17" t="str">
        <f>IFERROR(__xludf.DUMMYFUNCTION("IFERROR(
  TEXTJOIN(CHAR(10),TRUE,FILTER('SUMMARY DATA'!I:I,'SUMMARY DATA'!$A:$A=$A917,'SUMMARY DATA'!$C:$C=$B917,'SUMMARY DATA'!$B:$B=""RWS"")),
  IF(
    OR(
      ISNUMBER(SEARCH(""CDM CASH DEPOSIT"",$C917)),
      ISNUMBER(SEARCH(""CASH DEPOSIT"",$C91"&amp;"7)),
      COUNTIFS('SUMMARY DATA'!$D:$D,$C917,'SUMMARY DATA'!$B:$B,""RWS"")&lt;&gt;1
    ),
    """",
    IFERROR(TEXTJOIN(CHAR(10),TRUE,FILTER('SUMMARY DATA'!I:I,'SUMMARY DATA'!$D:$D=$C917,'SUMMARY DATA'!$B:$B=""RWS"")),"""")
  )
)"),"")</f>
      </c>
      <c r="K917" s="2"/>
      <c r="L917" s="2"/>
      <c r="M917" s="2"/>
      <c r="N917" s="2"/>
      <c r="O917" s="2"/>
      <c r="P917" s="2"/>
      <c r="Q917" s="2"/>
      <c r="R917" s="2"/>
      <c r="S917" s="2"/>
      <c r="T917" s="2"/>
      <c r="U917" s="2"/>
      <c r="V917" s="2"/>
      <c r="W917" s="2"/>
      <c r="X917" s="2"/>
      <c r="Y917" s="2"/>
      <c r="Z917" s="2"/>
      <c r="AA917" s="2"/>
      <c r="AB917" s="2"/>
    </row>
    <row r="918" spans="1:28" customHeight="true">
      <c r="A918" s="25"/>
      <c r="B918" s="26">
        <v>45763</v>
      </c>
      <c r="C918" s="25" t="s">
        <v>48</v>
      </c>
      <c r="D918" s="27">
        <v>600</v>
      </c>
      <c r="E918" s="16" t="str">
        <f>IFERROR(__xludf.DUMMYFUNCTION("IFERROR(
  TEXTJOIN(CHAR(10),TRUE,FILTER('SUMMARY DATA'!E:E,'SUMMARY DATA'!$A:$A=$A19,'SUMMARY DATA'!$C:$C=$B19,'SUMMARY DATA'!$B:$B=""GRP"")),
  IF(
    OR(
      ISNUMBER(SEARCH(""CDM CASH DEPOSIT"",$C19)),
      ISNUMBER(SEARCH(""CASH DEPOSIT"",$C19)),"&amp;"
      COUNTIFS('SUMMARY DATA'!$D:$D,$C19,'SUMMARY DATA'!$B:$B,""GRP"")&lt;&gt;1
    ),
    """",
    IFERROR(TEXTJOIN(CHAR(10),TRUE,FILTER('SUMMARY DATA'!E:E,'SUMMARY DATA'!$D:$D=$C19,'SUMMARY DATA'!$B:$B=""GRP"")),"""")
  )
)"),"")</f>
      </c>
      <c r="F918" s="17" t="str">
        <f>IFERROR(__xludf.DUMMYFUNCTION("IFERROR(
  TEXTJOIN(CHAR(10),TRUE,FILTER('SUMMARY DATA'!F:F,'SUMMARY DATA'!$A:$A=$A19,'SUMMARY DATA'!$C:$C=$B19,'SUMMARY DATA'!$B:$B=""GRP"")),
  IF(
    OR(
      ISNUMBER(SEARCH(""CDM CASH DEPOSIT"",$C19)),
      ISNUMBER(SEARCH(""CASH DEPOSIT"",$C19)),"&amp;"
      COUNTIFS('SUMMARY DATA'!$D:$D,$C19,'SUMMARY DATA'!$B:$B,""GRP"")&lt;&gt;1
    ),
    """",
    IFERROR(TEXTJOIN(CHAR(10),TRUE,FILTER('SUMMARY DATA'!F:F,'SUMMARY DATA'!$D:$D=$C19,'SUMMARY DATA'!$B:$B=""GRP"")),"""")
  )
)"),"")</f>
      </c>
      <c r="G918" s="17" t="str">
        <f>IFERROR(__xludf.DUMMYFUNCTION("IFERROR(
  TEXTJOIN(CHAR(10),TRUE,FILTER('SUMMARY DATA'!G:G,'SUMMARY DATA'!$A:$A=$A918,'SUMMARY DATA'!$C:$C=$B918,'SUMMARY DATA'!$B:$B=""RWS"")),
  IF(
    OR(
      ISNUMBER(SEARCH(""CDM CASH DEPOSIT"",$C918)),
      ISNUMBER(SEARCH(""CASH DEPOSIT"",$C91"&amp;"8)),
      COUNTIFS('SUMMARY DATA'!$D:$D,$C918,'SUMMARY DATA'!$B:$B,""RWS"")&lt;&gt;1
    ),
    """",
    IFERROR(TEXTJOIN(CHAR(10),TRUE,FILTER('SUMMARY DATA'!G:G,'SUMMARY DATA'!$D:$D=$C918,'SUMMARY DATA'!$B:$B=""RWS"")),"""")
  )
)"),"")</f>
      </c>
      <c r="H918" s="18" t="str">
        <f>IFERROR(__xludf.DUMMYFUNCTION("IFERROR(
  TEXTJOIN(CHAR(10),TRUE,FILTER('SUMMARY DATA'!H:H,'SUMMARY DATA'!$A:$A=$A918,'SUMMARY DATA'!$C:$C=$B918,'SUMMARY DATA'!$B:$B=""RWS"",'SUMMARY DATA'!$H:$H=$D918)),
  IF(
    OR(
      ISNUMBER(SEARCH(""CDM CASH DEPOSIT"",$C918)),
      ISNUMBER(S"&amp;"EARCH(""CASH DEPOSIT"",$C918))
    ),
    """",
    IFERROR(TEXTJOIN(CHAR(10),TRUE,FILTER('SUMMARY DATA'!H:H,'SUMMARY DATA'!$D:$D=$C918,'SUMMARY DATA'!$B:$B=""RWS"",'SUMMARY DATA'!$H:$H=$D918)),"""")
  )
)"),"")</f>
      </c>
      <c r="I918" s="18" t="str">
        <f>IFERROR(__xludf.DUMMYFUNCTION("IF(H918="""","""",
SUM(ARRAYFORMULA(VALUE(SPLIT(H918,CHAR(10)))))
)"),"")</f>
      </c>
      <c r="J918" s="17" t="str">
        <f>IFERROR(__xludf.DUMMYFUNCTION("IFERROR(
  TEXTJOIN(CHAR(10),TRUE,FILTER('SUMMARY DATA'!I:I,'SUMMARY DATA'!$A:$A=$A918,'SUMMARY DATA'!$C:$C=$B918,'SUMMARY DATA'!$B:$B=""RWS"")),
  IF(
    OR(
      ISNUMBER(SEARCH(""CDM CASH DEPOSIT"",$C918)),
      ISNUMBER(SEARCH(""CASH DEPOSIT"",$C91"&amp;"8)),
      COUNTIFS('SUMMARY DATA'!$D:$D,$C918,'SUMMARY DATA'!$B:$B,""RWS"")&lt;&gt;1
    ),
    """",
    IFERROR(TEXTJOIN(CHAR(10),TRUE,FILTER('SUMMARY DATA'!I:I,'SUMMARY DATA'!$D:$D=$C918,'SUMMARY DATA'!$B:$B=""RWS"")),"""")
  )
)"),"")</f>
      </c>
      <c r="K918" s="2"/>
      <c r="L918" s="2"/>
      <c r="M918" s="2"/>
      <c r="N918" s="2"/>
      <c r="O918" s="2"/>
      <c r="P918" s="2"/>
      <c r="Q918" s="2"/>
      <c r="R918" s="2"/>
      <c r="S918" s="2"/>
      <c r="T918" s="2"/>
      <c r="U918" s="2"/>
      <c r="V918" s="2"/>
      <c r="W918" s="2"/>
      <c r="X918" s="2"/>
      <c r="Y918" s="2"/>
      <c r="Z918" s="2"/>
      <c r="AA918" s="2"/>
      <c r="AB918" s="2"/>
    </row>
    <row r="919" spans="1:28" customHeight="true">
      <c r="A919" s="19" t="s">
        <v>1442</v>
      </c>
      <c r="B919" s="20">
        <v>45763</v>
      </c>
      <c r="C919" s="19" t="s">
        <v>1455</v>
      </c>
      <c r="D919" s="21">
        <v>306</v>
      </c>
      <c r="E919" s="16" t="str">
        <f>IFERROR(__xludf.DUMMYFUNCTION("IFERROR(
  TEXTJOIN(CHAR(10),TRUE,FILTER('SUMMARY DATA'!E:E,'SUMMARY DATA'!$A:$A=$A20,'SUMMARY DATA'!$C:$C=$B20,'SUMMARY DATA'!$B:$B=""GRP"")),
  IF(
    OR(
      ISNUMBER(SEARCH(""CDM CASH DEPOSIT"",$C20)),
      ISNUMBER(SEARCH(""CASH DEPOSIT"",$C20)),"&amp;"
      COUNTIFS('SUMMARY DATA'!$D:$D,$C20,'SUMMARY DATA'!$B:$B,""GRP"")&lt;&gt;1
    ),
    """",
    IFERROR(TEXTJOIN(CHAR(10),TRUE,FILTER('SUMMARY DATA'!E:E,'SUMMARY DATA'!$D:$D=$C20,'SUMMARY DATA'!$B:$B=""GRP"")),"""")
  )
)"),"")</f>
      </c>
      <c r="F919" s="17" t="str">
        <f>IFERROR(__xludf.DUMMYFUNCTION("IFERROR(
  TEXTJOIN(CHAR(10),TRUE,FILTER('SUMMARY DATA'!F:F,'SUMMARY DATA'!$A:$A=$A20,'SUMMARY DATA'!$C:$C=$B20,'SUMMARY DATA'!$B:$B=""GRP"")),
  IF(
    OR(
      ISNUMBER(SEARCH(""CDM CASH DEPOSIT"",$C20)),
      ISNUMBER(SEARCH(""CASH DEPOSIT"",$C20)),"&amp;"
      COUNTIFS('SUMMARY DATA'!$D:$D,$C20,'SUMMARY DATA'!$B:$B,""GRP"")&lt;&gt;1
    ),
    """",
    IFERROR(TEXTJOIN(CHAR(10),TRUE,FILTER('SUMMARY DATA'!F:F,'SUMMARY DATA'!$D:$D=$C20,'SUMMARY DATA'!$B:$B=""GRP"")),"""")
  )
)"),"")</f>
      </c>
      <c r="G919" s="17" t="str">
        <f>IFERROR(__xludf.DUMMYFUNCTION("IFERROR(
  TEXTJOIN(CHAR(10),TRUE,FILTER('SUMMARY DATA'!G:G,'SUMMARY DATA'!$A:$A=$A919,'SUMMARY DATA'!$C:$C=$B919,'SUMMARY DATA'!$B:$B=""RWS"")),
  IF(
    OR(
      ISNUMBER(SEARCH(""CDM CASH DEPOSIT"",$C919)),
      ISNUMBER(SEARCH(""CASH DEPOSIT"",$C91"&amp;"9)),
      COUNTIFS('SUMMARY DATA'!$D:$D,$C919,'SUMMARY DATA'!$B:$B,""RWS"")&lt;&gt;1
    ),
    """",
    IFERROR(TEXTJOIN(CHAR(10),TRUE,FILTER('SUMMARY DATA'!G:G,'SUMMARY DATA'!$D:$D=$C919,'SUMMARY DATA'!$B:$B=""RWS"")),"""")
  )
)"),"")</f>
      </c>
      <c r="H919" s="18" t="str">
        <f>IFERROR(__xludf.DUMMYFUNCTION("IFERROR(
  TEXTJOIN(CHAR(10),TRUE,FILTER('SUMMARY DATA'!H:H,'SUMMARY DATA'!$A:$A=$A919,'SUMMARY DATA'!$C:$C=$B919,'SUMMARY DATA'!$B:$B=""RWS"",'SUMMARY DATA'!$H:$H=$D919)),
  IF(
    OR(
      ISNUMBER(SEARCH(""CDM CASH DEPOSIT"",$C919)),
      ISNUMBER(S"&amp;"EARCH(""CASH DEPOSIT"",$C919))
    ),
    """",
    IFERROR(TEXTJOIN(CHAR(10),TRUE,FILTER('SUMMARY DATA'!H:H,'SUMMARY DATA'!$D:$D=$C919,'SUMMARY DATA'!$B:$B=""RWS"",'SUMMARY DATA'!$H:$H=$D919)),"""")
  )
)"),"")</f>
      </c>
      <c r="I919" s="18" t="str">
        <f>IFERROR(__xludf.DUMMYFUNCTION("IF(H919="""","""",
SUM(ARRAYFORMULA(VALUE(SPLIT(H919,CHAR(10)))))
)"),"")</f>
      </c>
      <c r="J919" s="17" t="str">
        <f>IFERROR(__xludf.DUMMYFUNCTION("IFERROR(
  TEXTJOIN(CHAR(10),TRUE,FILTER('SUMMARY DATA'!I:I,'SUMMARY DATA'!$A:$A=$A919,'SUMMARY DATA'!$C:$C=$B919,'SUMMARY DATA'!$B:$B=""RWS"")),
  IF(
    OR(
      ISNUMBER(SEARCH(""CDM CASH DEPOSIT"",$C919)),
      ISNUMBER(SEARCH(""CASH DEPOSIT"",$C91"&amp;"9)),
      COUNTIFS('SUMMARY DATA'!$D:$D,$C919,'SUMMARY DATA'!$B:$B,""RWS"")&lt;&gt;1
    ),
    """",
    IFERROR(TEXTJOIN(CHAR(10),TRUE,FILTER('SUMMARY DATA'!I:I,'SUMMARY DATA'!$D:$D=$C919,'SUMMARY DATA'!$B:$B=""RWS"")),"""")
  )
)"),"")</f>
      </c>
      <c r="K919" s="2"/>
      <c r="L919" s="2"/>
      <c r="M919" s="2"/>
      <c r="N919" s="2"/>
      <c r="O919" s="2"/>
      <c r="P919" s="2"/>
      <c r="Q919" s="2"/>
      <c r="R919" s="2"/>
      <c r="S919" s="2"/>
      <c r="T919" s="2"/>
      <c r="U919" s="2"/>
      <c r="V919" s="2"/>
      <c r="W919" s="2"/>
      <c r="X919" s="2"/>
      <c r="Y919" s="2"/>
      <c r="Z919" s="2"/>
      <c r="AA919" s="2"/>
      <c r="AB919" s="2"/>
    </row>
    <row r="920" spans="1:28" customHeight="true">
      <c r="A920" s="25"/>
      <c r="B920" s="26">
        <v>45763</v>
      </c>
      <c r="C920" s="25" t="s">
        <v>1456</v>
      </c>
      <c r="D920" s="27">
        <v>135</v>
      </c>
      <c r="E920" s="16" t="str">
        <f>IFERROR(__xludf.DUMMYFUNCTION("IFERROR(
  TEXTJOIN(CHAR(10),TRUE,FILTER('SUMMARY DATA'!E:E,'SUMMARY DATA'!$A:$A=$A21,'SUMMARY DATA'!$C:$C=$B21,'SUMMARY DATA'!$B:$B=""GRP"")),
  IF(
    OR(
      ISNUMBER(SEARCH(""CDM CASH DEPOSIT"",$C21)),
      ISNUMBER(SEARCH(""CASH DEPOSIT"",$C21)),"&amp;"
      COUNTIFS('SUMMARY DATA'!$D:$D,$C21,'SUMMARY DATA'!$B:$B,""GRP"")&lt;&gt;1
    ),
    """",
    IFERROR(TEXTJOIN(CHAR(10),TRUE,FILTER('SUMMARY DATA'!E:E,'SUMMARY DATA'!$D:$D=$C21,'SUMMARY DATA'!$B:$B=""GRP"")),"""")
  )
)"),"")</f>
      </c>
      <c r="F920" s="17" t="str">
        <f>IFERROR(__xludf.DUMMYFUNCTION("IFERROR(
  TEXTJOIN(CHAR(10),TRUE,FILTER('SUMMARY DATA'!F:F,'SUMMARY DATA'!$A:$A=$A21,'SUMMARY DATA'!$C:$C=$B21,'SUMMARY DATA'!$B:$B=""GRP"")),
  IF(
    OR(
      ISNUMBER(SEARCH(""CDM CASH DEPOSIT"",$C21)),
      ISNUMBER(SEARCH(""CASH DEPOSIT"",$C21)),"&amp;"
      COUNTIFS('SUMMARY DATA'!$D:$D,$C21,'SUMMARY DATA'!$B:$B,""GRP"")&lt;&gt;1
    ),
    """",
    IFERROR(TEXTJOIN(CHAR(10),TRUE,FILTER('SUMMARY DATA'!F:F,'SUMMARY DATA'!$D:$D=$C21,'SUMMARY DATA'!$B:$B=""GRP"")),"""")
  )
)"),"")</f>
      </c>
      <c r="G920" s="17" t="str">
        <f>IFERROR(__xludf.DUMMYFUNCTION("IFERROR(
  TEXTJOIN(CHAR(10),TRUE,FILTER('SUMMARY DATA'!G:G,'SUMMARY DATA'!$A:$A=$A920,'SUMMARY DATA'!$C:$C=$B920,'SUMMARY DATA'!$B:$B=""RWS"")),
  IF(
    OR(
      ISNUMBER(SEARCH(""CDM CASH DEPOSIT"",$C920)),
      ISNUMBER(SEARCH(""CASH DEPOSIT"",$C92"&amp;"0)),
      COUNTIFS('SUMMARY DATA'!$D:$D,$C920,'SUMMARY DATA'!$B:$B,""RWS"")&lt;&gt;1
    ),
    """",
    IFERROR(TEXTJOIN(CHAR(10),TRUE,FILTER('SUMMARY DATA'!G:G,'SUMMARY DATA'!$D:$D=$C920,'SUMMARY DATA'!$B:$B=""RWS"")),"""")
  )
)"),"")</f>
      </c>
      <c r="H920" s="18" t="str">
        <f>IFERROR(__xludf.DUMMYFUNCTION("IFERROR(
  TEXTJOIN(CHAR(10),TRUE,FILTER('SUMMARY DATA'!H:H,'SUMMARY DATA'!$A:$A=$A920,'SUMMARY DATA'!$C:$C=$B920,'SUMMARY DATA'!$B:$B=""RWS"",'SUMMARY DATA'!$H:$H=$D920)),
  IF(
    OR(
      ISNUMBER(SEARCH(""CDM CASH DEPOSIT"",$C920)),
      ISNUMBER(S"&amp;"EARCH(""CASH DEPOSIT"",$C920))
    ),
    """",
    IFERROR(TEXTJOIN(CHAR(10),TRUE,FILTER('SUMMARY DATA'!H:H,'SUMMARY DATA'!$D:$D=$C920,'SUMMARY DATA'!$B:$B=""RWS"",'SUMMARY DATA'!$H:$H=$D920)),"""")
  )
)"),"")</f>
      </c>
      <c r="I920" s="18" t="str">
        <f>IFERROR(__xludf.DUMMYFUNCTION("IF(H920="""","""",
SUM(ARRAYFORMULA(VALUE(SPLIT(H920,CHAR(10)))))
)"),"")</f>
      </c>
      <c r="J920" s="17" t="str">
        <f>IFERROR(__xludf.DUMMYFUNCTION("IFERROR(
  TEXTJOIN(CHAR(10),TRUE,FILTER('SUMMARY DATA'!I:I,'SUMMARY DATA'!$A:$A=$A920,'SUMMARY DATA'!$C:$C=$B920,'SUMMARY DATA'!$B:$B=""RWS"")),
  IF(
    OR(
      ISNUMBER(SEARCH(""CDM CASH DEPOSIT"",$C920)),
      ISNUMBER(SEARCH(""CASH DEPOSIT"",$C92"&amp;"0)),
      COUNTIFS('SUMMARY DATA'!$D:$D,$C920,'SUMMARY DATA'!$B:$B,""RWS"")&lt;&gt;1
    ),
    """",
    IFERROR(TEXTJOIN(CHAR(10),TRUE,FILTER('SUMMARY DATA'!I:I,'SUMMARY DATA'!$D:$D=$C920,'SUMMARY DATA'!$B:$B=""RWS"")),"""")
  )
)"),"")</f>
      </c>
      <c r="K920" s="2"/>
      <c r="L920" s="2"/>
      <c r="M920" s="2"/>
      <c r="N920" s="2"/>
      <c r="O920" s="2"/>
      <c r="P920" s="2"/>
      <c r="Q920" s="2"/>
      <c r="R920" s="2"/>
      <c r="S920" s="2"/>
      <c r="T920" s="2"/>
      <c r="U920" s="2"/>
      <c r="V920" s="2"/>
      <c r="W920" s="2"/>
      <c r="X920" s="2"/>
      <c r="Y920" s="2"/>
      <c r="Z920" s="2"/>
      <c r="AA920" s="2"/>
      <c r="AB920" s="2"/>
    </row>
    <row r="921" spans="1:28" customHeight="true">
      <c r="A921" s="19"/>
      <c r="B921" s="20">
        <v>45763</v>
      </c>
      <c r="C921" s="19" t="s">
        <v>1457</v>
      </c>
      <c r="D921" s="21">
        <v>78.98</v>
      </c>
      <c r="E921" s="16" t="str">
        <f>IFERROR(__xludf.DUMMYFUNCTION("IFERROR(
  TEXTJOIN(CHAR(10),TRUE,FILTER('SUMMARY DATA'!E:E,'SUMMARY DATA'!$A:$A=$A22,'SUMMARY DATA'!$C:$C=$B22,'SUMMARY DATA'!$B:$B=""GRP"")),
  IF(
    OR(
      ISNUMBER(SEARCH(""CDM CASH DEPOSIT"",$C22)),
      ISNUMBER(SEARCH(""CASH DEPOSIT"",$C22)),"&amp;"
      COUNTIFS('SUMMARY DATA'!$D:$D,$C22,'SUMMARY DATA'!$B:$B,""GRP"")&lt;&gt;1
    ),
    """",
    IFERROR(TEXTJOIN(CHAR(10),TRUE,FILTER('SUMMARY DATA'!E:E,'SUMMARY DATA'!$D:$D=$C22,'SUMMARY DATA'!$B:$B=""GRP"")),"""")
  )
)"),"")</f>
      </c>
      <c r="F921" s="17" t="str">
        <f>IFERROR(__xludf.DUMMYFUNCTION("IFERROR(
  TEXTJOIN(CHAR(10),TRUE,FILTER('SUMMARY DATA'!F:F,'SUMMARY DATA'!$A:$A=$A22,'SUMMARY DATA'!$C:$C=$B22,'SUMMARY DATA'!$B:$B=""GRP"")),
  IF(
    OR(
      ISNUMBER(SEARCH(""CDM CASH DEPOSIT"",$C22)),
      ISNUMBER(SEARCH(""CASH DEPOSIT"",$C22)),"&amp;"
      COUNTIFS('SUMMARY DATA'!$D:$D,$C22,'SUMMARY DATA'!$B:$B,""GRP"")&lt;&gt;1
    ),
    """",
    IFERROR(TEXTJOIN(CHAR(10),TRUE,FILTER('SUMMARY DATA'!F:F,'SUMMARY DATA'!$D:$D=$C22,'SUMMARY DATA'!$B:$B=""GRP"")),"""")
  )
)"),"")</f>
      </c>
      <c r="G921" s="17" t="str">
        <f>IFERROR(__xludf.DUMMYFUNCTION("IFERROR(
  TEXTJOIN(CHAR(10),TRUE,FILTER('SUMMARY DATA'!G:G,'SUMMARY DATA'!$A:$A=$A921,'SUMMARY DATA'!$C:$C=$B921,'SUMMARY DATA'!$B:$B=""RWS"")),
  IF(
    OR(
      ISNUMBER(SEARCH(""CDM CASH DEPOSIT"",$C921)),
      ISNUMBER(SEARCH(""CASH DEPOSIT"",$C92"&amp;"1)),
      COUNTIFS('SUMMARY DATA'!$D:$D,$C921,'SUMMARY DATA'!$B:$B,""RWS"")&lt;&gt;1
    ),
    """",
    IFERROR(TEXTJOIN(CHAR(10),TRUE,FILTER('SUMMARY DATA'!G:G,'SUMMARY DATA'!$D:$D=$C921,'SUMMARY DATA'!$B:$B=""RWS"")),"""")
  )
)"),"")</f>
      </c>
      <c r="H921" s="18" t="str">
        <f>IFERROR(__xludf.DUMMYFUNCTION("IFERROR(
  TEXTJOIN(CHAR(10),TRUE,FILTER('SUMMARY DATA'!H:H,'SUMMARY DATA'!$A:$A=$A921,'SUMMARY DATA'!$C:$C=$B921,'SUMMARY DATA'!$B:$B=""RWS"",'SUMMARY DATA'!$H:$H=$D921)),
  IF(
    OR(
      ISNUMBER(SEARCH(""CDM CASH DEPOSIT"",$C921)),
      ISNUMBER(S"&amp;"EARCH(""CASH DEPOSIT"",$C921))
    ),
    """",
    IFERROR(TEXTJOIN(CHAR(10),TRUE,FILTER('SUMMARY DATA'!H:H,'SUMMARY DATA'!$D:$D=$C921,'SUMMARY DATA'!$B:$B=""RWS"",'SUMMARY DATA'!$H:$H=$D921)),"""")
  )
)"),"")</f>
      </c>
      <c r="I921" s="18" t="str">
        <f>IFERROR(__xludf.DUMMYFUNCTION("IF(H921="""","""",
SUM(ARRAYFORMULA(VALUE(SPLIT(H921,CHAR(10)))))
)"),"")</f>
      </c>
      <c r="J921" s="17" t="str">
        <f>IFERROR(__xludf.DUMMYFUNCTION("IFERROR(
  TEXTJOIN(CHAR(10),TRUE,FILTER('SUMMARY DATA'!I:I,'SUMMARY DATA'!$A:$A=$A921,'SUMMARY DATA'!$C:$C=$B921,'SUMMARY DATA'!$B:$B=""RWS"")),
  IF(
    OR(
      ISNUMBER(SEARCH(""CDM CASH DEPOSIT"",$C921)),
      ISNUMBER(SEARCH(""CASH DEPOSIT"",$C92"&amp;"1)),
      COUNTIFS('SUMMARY DATA'!$D:$D,$C921,'SUMMARY DATA'!$B:$B,""RWS"")&lt;&gt;1
    ),
    """",
    IFERROR(TEXTJOIN(CHAR(10),TRUE,FILTER('SUMMARY DATA'!I:I,'SUMMARY DATA'!$D:$D=$C921,'SUMMARY DATA'!$B:$B=""RWS"")),"""")
  )
)"),"")</f>
      </c>
      <c r="K921" s="2"/>
      <c r="L921" s="2"/>
      <c r="M921" s="2"/>
      <c r="N921" s="2"/>
      <c r="O921" s="2"/>
      <c r="P921" s="2"/>
      <c r="Q921" s="2"/>
      <c r="R921" s="2"/>
      <c r="S921" s="2"/>
      <c r="T921" s="2"/>
      <c r="U921" s="2"/>
      <c r="V921" s="2"/>
      <c r="W921" s="2"/>
      <c r="X921" s="2"/>
      <c r="Y921" s="2"/>
      <c r="Z921" s="2"/>
      <c r="AA921" s="2"/>
      <c r="AB921" s="2"/>
    </row>
    <row r="922" spans="1:28" customHeight="true">
      <c r="A922" s="25" t="s">
        <v>1458</v>
      </c>
      <c r="B922" s="26">
        <v>45763</v>
      </c>
      <c r="C922" s="25" t="s">
        <v>1459</v>
      </c>
      <c r="D922" s="27">
        <v>57.99</v>
      </c>
      <c r="E922" s="16" t="str">
        <f>IFERROR(__xludf.DUMMYFUNCTION("IFERROR(
  TEXTJOIN(CHAR(10),TRUE,FILTER('SUMMARY DATA'!E:E,'SUMMARY DATA'!$A:$A=$A23,'SUMMARY DATA'!$C:$C=$B23,'SUMMARY DATA'!$B:$B=""GRP"")),
  IF(
    OR(
      ISNUMBER(SEARCH(""CDM CASH DEPOSIT"",$C23)),
      ISNUMBER(SEARCH(""CASH DEPOSIT"",$C23)),"&amp;"
      COUNTIFS('SUMMARY DATA'!$D:$D,$C23,'SUMMARY DATA'!$B:$B,""GRP"")&lt;&gt;1
    ),
    """",
    IFERROR(TEXTJOIN(CHAR(10),TRUE,FILTER('SUMMARY DATA'!E:E,'SUMMARY DATA'!$D:$D=$C23,'SUMMARY DATA'!$B:$B=""GRP"")),"""")
  )
)"),"")</f>
      </c>
      <c r="F922" s="17" t="str">
        <f>IFERROR(__xludf.DUMMYFUNCTION("IFERROR(
  TEXTJOIN(CHAR(10),TRUE,FILTER('SUMMARY DATA'!F:F,'SUMMARY DATA'!$A:$A=$A23,'SUMMARY DATA'!$C:$C=$B23,'SUMMARY DATA'!$B:$B=""GRP"")),
  IF(
    OR(
      ISNUMBER(SEARCH(""CDM CASH DEPOSIT"",$C23)),
      ISNUMBER(SEARCH(""CASH DEPOSIT"",$C23)),"&amp;"
      COUNTIFS('SUMMARY DATA'!$D:$D,$C23,'SUMMARY DATA'!$B:$B,""GRP"")&lt;&gt;1
    ),
    """",
    IFERROR(TEXTJOIN(CHAR(10),TRUE,FILTER('SUMMARY DATA'!F:F,'SUMMARY DATA'!$D:$D=$C23,'SUMMARY DATA'!$B:$B=""GRP"")),"""")
  )
)"),"")</f>
      </c>
      <c r="G922" s="17" t="str">
        <f>IFERROR(__xludf.DUMMYFUNCTION("IFERROR(
  TEXTJOIN(CHAR(10),TRUE,FILTER('SUMMARY DATA'!G:G,'SUMMARY DATA'!$A:$A=$A922,'SUMMARY DATA'!$C:$C=$B922,'SUMMARY DATA'!$B:$B=""RWS"")),
  IF(
    OR(
      ISNUMBER(SEARCH(""CDM CASH DEPOSIT"",$C922)),
      ISNUMBER(SEARCH(""CASH DEPOSIT"",$C92"&amp;"2)),
      COUNTIFS('SUMMARY DATA'!$D:$D,$C922,'SUMMARY DATA'!$B:$B,""RWS"")&lt;&gt;1
    ),
    """",
    IFERROR(TEXTJOIN(CHAR(10),TRUE,FILTER('SUMMARY DATA'!G:G,'SUMMARY DATA'!$D:$D=$C922,'SUMMARY DATA'!$B:$B=""RWS"")),"""")
  )
)"),"")</f>
      </c>
      <c r="H922" s="18" t="str">
        <f>IFERROR(__xludf.DUMMYFUNCTION("IFERROR(
  TEXTJOIN(CHAR(10),TRUE,FILTER('SUMMARY DATA'!H:H,'SUMMARY DATA'!$A:$A=$A922,'SUMMARY DATA'!$C:$C=$B922,'SUMMARY DATA'!$B:$B=""RWS"",'SUMMARY DATA'!$H:$H=$D922)),
  IF(
    OR(
      ISNUMBER(SEARCH(""CDM CASH DEPOSIT"",$C922)),
      ISNUMBER(S"&amp;"EARCH(""CASH DEPOSIT"",$C922))
    ),
    """",
    IFERROR(TEXTJOIN(CHAR(10),TRUE,FILTER('SUMMARY DATA'!H:H,'SUMMARY DATA'!$D:$D=$C922,'SUMMARY DATA'!$B:$B=""RWS"",'SUMMARY DATA'!$H:$H=$D922)),"""")
  )
)"),"")</f>
      </c>
      <c r="I922" s="18" t="str">
        <f>IFERROR(__xludf.DUMMYFUNCTION("IF(H922="""","""",
SUM(ARRAYFORMULA(VALUE(SPLIT(H922,CHAR(10)))))
)"),"")</f>
      </c>
      <c r="J922" s="17" t="str">
        <f>IFERROR(__xludf.DUMMYFUNCTION("IFERROR(
  TEXTJOIN(CHAR(10),TRUE,FILTER('SUMMARY DATA'!I:I,'SUMMARY DATA'!$A:$A=$A922,'SUMMARY DATA'!$C:$C=$B922,'SUMMARY DATA'!$B:$B=""RWS"")),
  IF(
    OR(
      ISNUMBER(SEARCH(""CDM CASH DEPOSIT"",$C922)),
      ISNUMBER(SEARCH(""CASH DEPOSIT"",$C92"&amp;"2)),
      COUNTIFS('SUMMARY DATA'!$D:$D,$C922,'SUMMARY DATA'!$B:$B,""RWS"")&lt;&gt;1
    ),
    """",
    IFERROR(TEXTJOIN(CHAR(10),TRUE,FILTER('SUMMARY DATA'!I:I,'SUMMARY DATA'!$D:$D=$C922,'SUMMARY DATA'!$B:$B=""RWS"")),"""")
  )
)"),"")</f>
      </c>
      <c r="K922" s="2"/>
      <c r="L922" s="2"/>
      <c r="M922" s="2"/>
      <c r="N922" s="2"/>
      <c r="O922" s="2"/>
      <c r="P922" s="2"/>
      <c r="Q922" s="2"/>
      <c r="R922" s="2"/>
      <c r="S922" s="2"/>
      <c r="T922" s="2"/>
      <c r="U922" s="2"/>
      <c r="V922" s="2"/>
      <c r="W922" s="2"/>
      <c r="X922" s="2"/>
      <c r="Y922" s="2"/>
      <c r="Z922" s="2"/>
      <c r="AA922" s="2"/>
      <c r="AB922" s="2"/>
    </row>
    <row r="923" spans="1:28" customHeight="true">
      <c r="A923" s="19"/>
      <c r="B923" s="20">
        <v>45763</v>
      </c>
      <c r="C923" s="19" t="s">
        <v>1460</v>
      </c>
      <c r="D923" s="21">
        <v>19.88</v>
      </c>
      <c r="E923" s="16" t="str">
        <f>IFERROR(__xludf.DUMMYFUNCTION("IFERROR(
  TEXTJOIN(CHAR(10),TRUE,FILTER('SUMMARY DATA'!E:E,'SUMMARY DATA'!$A:$A=$A24,'SUMMARY DATA'!$C:$C=$B24,'SUMMARY DATA'!$B:$B=""GRP"")),
  IF(
    OR(
      ISNUMBER(SEARCH(""CDM CASH DEPOSIT"",$C24)),
      ISNUMBER(SEARCH(""CASH DEPOSIT"",$C24)),"&amp;"
      COUNTIFS('SUMMARY DATA'!$D:$D,$C24,'SUMMARY DATA'!$B:$B,""GRP"")&lt;&gt;1
    ),
    """",
    IFERROR(TEXTJOIN(CHAR(10),TRUE,FILTER('SUMMARY DATA'!E:E,'SUMMARY DATA'!$D:$D=$C24,'SUMMARY DATA'!$B:$B=""GRP"")),"""")
  )
)"),"")</f>
      </c>
      <c r="F923" s="17" t="str">
        <f>IFERROR(__xludf.DUMMYFUNCTION("IFERROR(
  TEXTJOIN(CHAR(10),TRUE,FILTER('SUMMARY DATA'!F:F,'SUMMARY DATA'!$A:$A=$A24,'SUMMARY DATA'!$C:$C=$B24,'SUMMARY DATA'!$B:$B=""GRP"")),
  IF(
    OR(
      ISNUMBER(SEARCH(""CDM CASH DEPOSIT"",$C24)),
      ISNUMBER(SEARCH(""CASH DEPOSIT"",$C24)),"&amp;"
      COUNTIFS('SUMMARY DATA'!$D:$D,$C24,'SUMMARY DATA'!$B:$B,""GRP"")&lt;&gt;1
    ),
    """",
    IFERROR(TEXTJOIN(CHAR(10),TRUE,FILTER('SUMMARY DATA'!F:F,'SUMMARY DATA'!$D:$D=$C24,'SUMMARY DATA'!$B:$B=""GRP"")),"""")
  )
)"),"")</f>
      </c>
      <c r="G923" s="17" t="str">
        <f>IFERROR(__xludf.DUMMYFUNCTION("IFERROR(
  TEXTJOIN(CHAR(10),TRUE,FILTER('SUMMARY DATA'!G:G,'SUMMARY DATA'!$A:$A=$A923,'SUMMARY DATA'!$C:$C=$B923,'SUMMARY DATA'!$B:$B=""RWS"")),
  IF(
    OR(
      ISNUMBER(SEARCH(""CDM CASH DEPOSIT"",$C923)),
      ISNUMBER(SEARCH(""CASH DEPOSIT"",$C92"&amp;"3)),
      COUNTIFS('SUMMARY DATA'!$D:$D,$C923,'SUMMARY DATA'!$B:$B,""RWS"")&lt;&gt;1
    ),
    """",
    IFERROR(TEXTJOIN(CHAR(10),TRUE,FILTER('SUMMARY DATA'!G:G,'SUMMARY DATA'!$D:$D=$C923,'SUMMARY DATA'!$B:$B=""RWS"")),"""")
  )
)"),"")</f>
      </c>
      <c r="H923" s="18" t="str">
        <f>IFERROR(__xludf.DUMMYFUNCTION("IFERROR(
  TEXTJOIN(CHAR(10),TRUE,FILTER('SUMMARY DATA'!H:H,'SUMMARY DATA'!$A:$A=$A923,'SUMMARY DATA'!$C:$C=$B923,'SUMMARY DATA'!$B:$B=""RWS"",'SUMMARY DATA'!$H:$H=$D923)),
  IF(
    OR(
      ISNUMBER(SEARCH(""CDM CASH DEPOSIT"",$C923)),
      ISNUMBER(S"&amp;"EARCH(""CASH DEPOSIT"",$C923))
    ),
    """",
    IFERROR(TEXTJOIN(CHAR(10),TRUE,FILTER('SUMMARY DATA'!H:H,'SUMMARY DATA'!$D:$D=$C923,'SUMMARY DATA'!$B:$B=""RWS"",'SUMMARY DATA'!$H:$H=$D923)),"""")
  )
)"),"")</f>
      </c>
      <c r="I923" s="18" t="str">
        <f>IFERROR(__xludf.DUMMYFUNCTION("IF(H923="""","""",
SUM(ARRAYFORMULA(VALUE(SPLIT(H923,CHAR(10)))))
)"),"")</f>
      </c>
      <c r="J923" s="17" t="str">
        <f>IFERROR(__xludf.DUMMYFUNCTION("IFERROR(
  TEXTJOIN(CHAR(10),TRUE,FILTER('SUMMARY DATA'!I:I,'SUMMARY DATA'!$A:$A=$A923,'SUMMARY DATA'!$C:$C=$B923,'SUMMARY DATA'!$B:$B=""RWS"")),
  IF(
    OR(
      ISNUMBER(SEARCH(""CDM CASH DEPOSIT"",$C923)),
      ISNUMBER(SEARCH(""CASH DEPOSIT"",$C92"&amp;"3)),
      COUNTIFS('SUMMARY DATA'!$D:$D,$C923,'SUMMARY DATA'!$B:$B,""RWS"")&lt;&gt;1
    ),
    """",
    IFERROR(TEXTJOIN(CHAR(10),TRUE,FILTER('SUMMARY DATA'!I:I,'SUMMARY DATA'!$D:$D=$C923,'SUMMARY DATA'!$B:$B=""RWS"")),"""")
  )
)"),"")</f>
      </c>
      <c r="K923" s="2"/>
      <c r="L923" s="2"/>
      <c r="M923" s="2"/>
      <c r="N923" s="2"/>
      <c r="O923" s="2"/>
      <c r="P923" s="2"/>
      <c r="Q923" s="2"/>
      <c r="R923" s="2"/>
      <c r="S923" s="2"/>
      <c r="T923" s="2"/>
      <c r="U923" s="2"/>
      <c r="V923" s="2"/>
      <c r="W923" s="2"/>
      <c r="X923" s="2"/>
      <c r="Y923" s="2"/>
      <c r="Z923" s="2"/>
      <c r="AA923" s="2"/>
      <c r="AB923" s="2"/>
    </row>
    <row r="924" spans="1:28" customHeight="true">
      <c r="A924" s="25"/>
      <c r="B924" s="26">
        <v>45763</v>
      </c>
      <c r="C924" s="25" t="s">
        <v>400</v>
      </c>
      <c r="D924" s="27">
        <v>15.8</v>
      </c>
      <c r="E924" s="16" t="str">
        <f>IFERROR(__xludf.DUMMYFUNCTION("IFERROR(
  TEXTJOIN(CHAR(10),TRUE,FILTER('SUMMARY DATA'!E:E,'SUMMARY DATA'!$A:$A=$A25,'SUMMARY DATA'!$C:$C=$B25,'SUMMARY DATA'!$B:$B=""GRP"")),
  IF(
    OR(
      ISNUMBER(SEARCH(""CDM CASH DEPOSIT"",$C25)),
      ISNUMBER(SEARCH(""CASH DEPOSIT"",$C25)),"&amp;"
      COUNTIFS('SUMMARY DATA'!$D:$D,$C25,'SUMMARY DATA'!$B:$B,""GRP"")&lt;&gt;1
    ),
    """",
    IFERROR(TEXTJOIN(CHAR(10),TRUE,FILTER('SUMMARY DATA'!E:E,'SUMMARY DATA'!$D:$D=$C25,'SUMMARY DATA'!$B:$B=""GRP"")),"""")
  )
)"),"")</f>
      </c>
      <c r="F924" s="17" t="str">
        <f>IFERROR(__xludf.DUMMYFUNCTION("IFERROR(
  TEXTJOIN(CHAR(10),TRUE,FILTER('SUMMARY DATA'!F:F,'SUMMARY DATA'!$A:$A=$A25,'SUMMARY DATA'!$C:$C=$B25,'SUMMARY DATA'!$B:$B=""GRP"")),
  IF(
    OR(
      ISNUMBER(SEARCH(""CDM CASH DEPOSIT"",$C25)),
      ISNUMBER(SEARCH(""CASH DEPOSIT"",$C25)),"&amp;"
      COUNTIFS('SUMMARY DATA'!$D:$D,$C25,'SUMMARY DATA'!$B:$B,""GRP"")&lt;&gt;1
    ),
    """",
    IFERROR(TEXTJOIN(CHAR(10),TRUE,FILTER('SUMMARY DATA'!F:F,'SUMMARY DATA'!$D:$D=$C25,'SUMMARY DATA'!$B:$B=""GRP"")),"""")
  )
)"),"")</f>
      </c>
      <c r="G924" s="17" t="str">
        <f>IFERROR(__xludf.DUMMYFUNCTION("IFERROR(
  TEXTJOIN(CHAR(10),TRUE,FILTER('SUMMARY DATA'!G:G,'SUMMARY DATA'!$A:$A=$A924,'SUMMARY DATA'!$C:$C=$B924,'SUMMARY DATA'!$B:$B=""RWS"")),
  IF(
    OR(
      ISNUMBER(SEARCH(""CDM CASH DEPOSIT"",$C924)),
      ISNUMBER(SEARCH(""CASH DEPOSIT"",$C92"&amp;"4)),
      COUNTIFS('SUMMARY DATA'!$D:$D,$C924,'SUMMARY DATA'!$B:$B,""RWS"")&lt;&gt;1
    ),
    """",
    IFERROR(TEXTJOIN(CHAR(10),TRUE,FILTER('SUMMARY DATA'!G:G,'SUMMARY DATA'!$D:$D=$C924,'SUMMARY DATA'!$B:$B=""RWS"")),"""")
  )
)"),"")</f>
      </c>
      <c r="H924" s="18" t="str">
        <f>IFERROR(__xludf.DUMMYFUNCTION("IFERROR(
  TEXTJOIN(CHAR(10),TRUE,FILTER('SUMMARY DATA'!H:H,'SUMMARY DATA'!$A:$A=$A924,'SUMMARY DATA'!$C:$C=$B924,'SUMMARY DATA'!$B:$B=""RWS"",'SUMMARY DATA'!$H:$H=$D924)),
  IF(
    OR(
      ISNUMBER(SEARCH(""CDM CASH DEPOSIT"",$C924)),
      ISNUMBER(S"&amp;"EARCH(""CASH DEPOSIT"",$C924))
    ),
    """",
    IFERROR(TEXTJOIN(CHAR(10),TRUE,FILTER('SUMMARY DATA'!H:H,'SUMMARY DATA'!$D:$D=$C924,'SUMMARY DATA'!$B:$B=""RWS"",'SUMMARY DATA'!$H:$H=$D924)),"""")
  )
)"),"")</f>
      </c>
      <c r="I924" s="18" t="str">
        <f>IFERROR(__xludf.DUMMYFUNCTION("IF(H924="""","""",
SUM(ARRAYFORMULA(VALUE(SPLIT(H924,CHAR(10)))))
)"),"")</f>
      </c>
      <c r="J924" s="17" t="str">
        <f>IFERROR(__xludf.DUMMYFUNCTION("IFERROR(
  TEXTJOIN(CHAR(10),TRUE,FILTER('SUMMARY DATA'!I:I,'SUMMARY DATA'!$A:$A=$A924,'SUMMARY DATA'!$C:$C=$B924,'SUMMARY DATA'!$B:$B=""RWS"")),
  IF(
    OR(
      ISNUMBER(SEARCH(""CDM CASH DEPOSIT"",$C924)),
      ISNUMBER(SEARCH(""CASH DEPOSIT"",$C92"&amp;"4)),
      COUNTIFS('SUMMARY DATA'!$D:$D,$C924,'SUMMARY DATA'!$B:$B,""RWS"")&lt;&gt;1
    ),
    """",
    IFERROR(TEXTJOIN(CHAR(10),TRUE,FILTER('SUMMARY DATA'!I:I,'SUMMARY DATA'!$D:$D=$C924,'SUMMARY DATA'!$B:$B=""RWS"")),"""")
  )
)"),"")</f>
      </c>
      <c r="K924" s="2"/>
      <c r="L924" s="2"/>
      <c r="M924" s="2"/>
      <c r="N924" s="2"/>
      <c r="O924" s="2"/>
      <c r="P924" s="2"/>
      <c r="Q924" s="2"/>
      <c r="R924" s="2"/>
      <c r="S924" s="2"/>
      <c r="T924" s="2"/>
      <c r="U924" s="2"/>
      <c r="V924" s="2"/>
      <c r="W924" s="2"/>
      <c r="X924" s="2"/>
      <c r="Y924" s="2"/>
      <c r="Z924" s="2"/>
      <c r="AA924" s="2"/>
      <c r="AB924" s="2"/>
    </row>
    <row r="925" spans="1:28" customHeight="true">
      <c r="A925" s="19"/>
      <c r="B925" s="20">
        <v>45763</v>
      </c>
      <c r="C925" s="19" t="s">
        <v>1461</v>
      </c>
      <c r="D925" s="21">
        <v>10</v>
      </c>
      <c r="E925" s="16" t="str">
        <f>IFERROR(__xludf.DUMMYFUNCTION("IFERROR(
  TEXTJOIN(CHAR(10),TRUE,FILTER('SUMMARY DATA'!E:E,'SUMMARY DATA'!$A:$A=$A26,'SUMMARY DATA'!$C:$C=$B26,'SUMMARY DATA'!$B:$B=""GRP"")),
  IF(
    OR(
      ISNUMBER(SEARCH(""CDM CASH DEPOSIT"",$C26)),
      ISNUMBER(SEARCH(""CASH DEPOSIT"",$C26)),"&amp;"
      COUNTIFS('SUMMARY DATA'!$D:$D,$C26,'SUMMARY DATA'!$B:$B,""GRP"")&lt;&gt;1
    ),
    """",
    IFERROR(TEXTJOIN(CHAR(10),TRUE,FILTER('SUMMARY DATA'!E:E,'SUMMARY DATA'!$D:$D=$C26,'SUMMARY DATA'!$B:$B=""GRP"")),"""")
  )
)"),"")</f>
      </c>
      <c r="F925" s="17" t="str">
        <f>IFERROR(__xludf.DUMMYFUNCTION("IFERROR(
  TEXTJOIN(CHAR(10),TRUE,FILTER('SUMMARY DATA'!F:F,'SUMMARY DATA'!$A:$A=$A26,'SUMMARY DATA'!$C:$C=$B26,'SUMMARY DATA'!$B:$B=""GRP"")),
  IF(
    OR(
      ISNUMBER(SEARCH(""CDM CASH DEPOSIT"",$C26)),
      ISNUMBER(SEARCH(""CASH DEPOSIT"",$C26)),"&amp;"
      COUNTIFS('SUMMARY DATA'!$D:$D,$C26,'SUMMARY DATA'!$B:$B,""GRP"")&lt;&gt;1
    ),
    """",
    IFERROR(TEXTJOIN(CHAR(10),TRUE,FILTER('SUMMARY DATA'!F:F,'SUMMARY DATA'!$D:$D=$C26,'SUMMARY DATA'!$B:$B=""GRP"")),"""")
  )
)"),"")</f>
      </c>
      <c r="G925" s="17" t="str">
        <f>IFERROR(__xludf.DUMMYFUNCTION("IFERROR(
  TEXTJOIN(CHAR(10),TRUE,FILTER('SUMMARY DATA'!G:G,'SUMMARY DATA'!$A:$A=$A925,'SUMMARY DATA'!$C:$C=$B925,'SUMMARY DATA'!$B:$B=""RWS"")),
  IF(
    OR(
      ISNUMBER(SEARCH(""CDM CASH DEPOSIT"",$C925)),
      ISNUMBER(SEARCH(""CASH DEPOSIT"",$C92"&amp;"5)),
      COUNTIFS('SUMMARY DATA'!$D:$D,$C925,'SUMMARY DATA'!$B:$B,""RWS"")&lt;&gt;1
    ),
    """",
    IFERROR(TEXTJOIN(CHAR(10),TRUE,FILTER('SUMMARY DATA'!G:G,'SUMMARY DATA'!$D:$D=$C925,'SUMMARY DATA'!$B:$B=""RWS"")),"""")
  )
)"),"")</f>
      </c>
      <c r="H925" s="18" t="str">
        <f>IFERROR(__xludf.DUMMYFUNCTION("IFERROR(
  TEXTJOIN(CHAR(10),TRUE,FILTER('SUMMARY DATA'!H:H,'SUMMARY DATA'!$A:$A=$A925,'SUMMARY DATA'!$C:$C=$B925,'SUMMARY DATA'!$B:$B=""RWS"",'SUMMARY DATA'!$H:$H=$D925)),
  IF(
    OR(
      ISNUMBER(SEARCH(""CDM CASH DEPOSIT"",$C925)),
      ISNUMBER(S"&amp;"EARCH(""CASH DEPOSIT"",$C925))
    ),
    """",
    IFERROR(TEXTJOIN(CHAR(10),TRUE,FILTER('SUMMARY DATA'!H:H,'SUMMARY DATA'!$D:$D=$C925,'SUMMARY DATA'!$B:$B=""RWS"",'SUMMARY DATA'!$H:$H=$D925)),"""")
  )
)"),"")</f>
      </c>
      <c r="I925" s="18" t="str">
        <f>IFERROR(__xludf.DUMMYFUNCTION("IF(H925="""","""",
SUM(ARRAYFORMULA(VALUE(SPLIT(H925,CHAR(10)))))
)"),"")</f>
      </c>
      <c r="J925" s="17" t="str">
        <f>IFERROR(__xludf.DUMMYFUNCTION("IFERROR(
  TEXTJOIN(CHAR(10),TRUE,FILTER('SUMMARY DATA'!I:I,'SUMMARY DATA'!$A:$A=$A925,'SUMMARY DATA'!$C:$C=$B925,'SUMMARY DATA'!$B:$B=""RWS"")),
  IF(
    OR(
      ISNUMBER(SEARCH(""CDM CASH DEPOSIT"",$C925)),
      ISNUMBER(SEARCH(""CASH DEPOSIT"",$C92"&amp;"5)),
      COUNTIFS('SUMMARY DATA'!$D:$D,$C925,'SUMMARY DATA'!$B:$B,""RWS"")&lt;&gt;1
    ),
    """",
    IFERROR(TEXTJOIN(CHAR(10),TRUE,FILTER('SUMMARY DATA'!I:I,'SUMMARY DATA'!$D:$D=$C925,'SUMMARY DATA'!$B:$B=""RWS"")),"""")
  )
)"),"")</f>
      </c>
      <c r="K925" s="2"/>
      <c r="L925" s="2"/>
      <c r="M925" s="2"/>
      <c r="N925" s="2"/>
      <c r="O925" s="2"/>
      <c r="P925" s="2"/>
      <c r="Q925" s="2"/>
      <c r="R925" s="2"/>
      <c r="S925" s="2"/>
      <c r="T925" s="2"/>
      <c r="U925" s="2"/>
      <c r="V925" s="2"/>
      <c r="W925" s="2"/>
      <c r="X925" s="2"/>
      <c r="Y925" s="2"/>
      <c r="Z925" s="2"/>
      <c r="AA925" s="2"/>
      <c r="AB925" s="2"/>
    </row>
    <row r="926" spans="1:28" customHeight="true">
      <c r="A926" s="25" t="s">
        <v>1442</v>
      </c>
      <c r="B926" s="26">
        <v>45764</v>
      </c>
      <c r="C926" s="25" t="s">
        <v>1462</v>
      </c>
      <c r="D926" s="27">
        <v>304</v>
      </c>
      <c r="E926" s="16" t="str">
        <f>IFERROR(__xludf.DUMMYFUNCTION("IFERROR(
  TEXTJOIN(CHAR(10),TRUE,FILTER('SUMMARY DATA'!E:E,'SUMMARY DATA'!$A:$A=$A27,'SUMMARY DATA'!$C:$C=$B27,'SUMMARY DATA'!$B:$B=""GRP"")),
  IF(
    OR(
      ISNUMBER(SEARCH(""CDM CASH DEPOSIT"",$C27)),
      ISNUMBER(SEARCH(""CASH DEPOSIT"",$C27)),"&amp;"
      COUNTIFS('SUMMARY DATA'!$D:$D,$C27,'SUMMARY DATA'!$B:$B,""GRP"")&lt;&gt;1
    ),
    """",
    IFERROR(TEXTJOIN(CHAR(10),TRUE,FILTER('SUMMARY DATA'!E:E,'SUMMARY DATA'!$D:$D=$C27,'SUMMARY DATA'!$B:$B=""GRP"")),"""")
  )
)"),"")</f>
      </c>
      <c r="F926" s="17" t="str">
        <f>IFERROR(__xludf.DUMMYFUNCTION("IFERROR(
  TEXTJOIN(CHAR(10),TRUE,FILTER('SUMMARY DATA'!F:F,'SUMMARY DATA'!$A:$A=$A27,'SUMMARY DATA'!$C:$C=$B27,'SUMMARY DATA'!$B:$B=""GRP"")),
  IF(
    OR(
      ISNUMBER(SEARCH(""CDM CASH DEPOSIT"",$C27)),
      ISNUMBER(SEARCH(""CASH DEPOSIT"",$C27)),"&amp;"
      COUNTIFS('SUMMARY DATA'!$D:$D,$C27,'SUMMARY DATA'!$B:$B,""GRP"")&lt;&gt;1
    ),
    """",
    IFERROR(TEXTJOIN(CHAR(10),TRUE,FILTER('SUMMARY DATA'!F:F,'SUMMARY DATA'!$D:$D=$C27,'SUMMARY DATA'!$B:$B=""GRP"")),"""")
  )
)"),"")</f>
      </c>
      <c r="G926" s="17" t="str">
        <f>IFERROR(__xludf.DUMMYFUNCTION("IFERROR(
  TEXTJOIN(CHAR(10),TRUE,FILTER('SUMMARY DATA'!G:G,'SUMMARY DATA'!$A:$A=$A926,'SUMMARY DATA'!$C:$C=$B926,'SUMMARY DATA'!$B:$B=""RWS"")),
  IF(
    OR(
      ISNUMBER(SEARCH(""CDM CASH DEPOSIT"",$C926)),
      ISNUMBER(SEARCH(""CASH DEPOSIT"",$C92"&amp;"6)),
      COUNTIFS('SUMMARY DATA'!$D:$D,$C926,'SUMMARY DATA'!$B:$B,""RWS"")&lt;&gt;1
    ),
    """",
    IFERROR(TEXTJOIN(CHAR(10),TRUE,FILTER('SUMMARY DATA'!G:G,'SUMMARY DATA'!$D:$D=$C926,'SUMMARY DATA'!$B:$B=""RWS"")),"""")
  )
)"),"")</f>
      </c>
      <c r="H926" s="18" t="str">
        <f>IFERROR(__xludf.DUMMYFUNCTION("IFERROR(
  TEXTJOIN(CHAR(10),TRUE,FILTER('SUMMARY DATA'!H:H,'SUMMARY DATA'!$A:$A=$A926,'SUMMARY DATA'!$C:$C=$B926,'SUMMARY DATA'!$B:$B=""RWS"",'SUMMARY DATA'!$H:$H=$D926)),
  IF(
    OR(
      ISNUMBER(SEARCH(""CDM CASH DEPOSIT"",$C926)),
      ISNUMBER(S"&amp;"EARCH(""CASH DEPOSIT"",$C926))
    ),
    """",
    IFERROR(TEXTJOIN(CHAR(10),TRUE,FILTER('SUMMARY DATA'!H:H,'SUMMARY DATA'!$D:$D=$C926,'SUMMARY DATA'!$B:$B=""RWS"",'SUMMARY DATA'!$H:$H=$D926)),"""")
  )
)"),"")</f>
      </c>
      <c r="I926" s="18" t="str">
        <f>IFERROR(__xludf.DUMMYFUNCTION("IF(H926="""","""",
SUM(ARRAYFORMULA(VALUE(SPLIT(H926,CHAR(10)))))
)"),"")</f>
      </c>
      <c r="J926" s="17" t="str">
        <f>IFERROR(__xludf.DUMMYFUNCTION("IFERROR(
  TEXTJOIN(CHAR(10),TRUE,FILTER('SUMMARY DATA'!I:I,'SUMMARY DATA'!$A:$A=$A926,'SUMMARY DATA'!$C:$C=$B926,'SUMMARY DATA'!$B:$B=""RWS"")),
  IF(
    OR(
      ISNUMBER(SEARCH(""CDM CASH DEPOSIT"",$C926)),
      ISNUMBER(SEARCH(""CASH DEPOSIT"",$C92"&amp;"6)),
      COUNTIFS('SUMMARY DATA'!$D:$D,$C926,'SUMMARY DATA'!$B:$B,""RWS"")&lt;&gt;1
    ),
    """",
    IFERROR(TEXTJOIN(CHAR(10),TRUE,FILTER('SUMMARY DATA'!I:I,'SUMMARY DATA'!$D:$D=$C926,'SUMMARY DATA'!$B:$B=""RWS"")),"""")
  )
)"),"")</f>
      </c>
      <c r="K926" s="2"/>
      <c r="L926" s="2"/>
      <c r="M926" s="2"/>
      <c r="N926" s="2"/>
      <c r="O926" s="2"/>
      <c r="P926" s="2"/>
      <c r="Q926" s="2"/>
      <c r="R926" s="2"/>
      <c r="S926" s="2"/>
      <c r="T926" s="2"/>
      <c r="U926" s="2"/>
      <c r="V926" s="2"/>
      <c r="W926" s="2"/>
      <c r="X926" s="2"/>
      <c r="Y926" s="2"/>
      <c r="Z926" s="2"/>
      <c r="AA926" s="2"/>
      <c r="AB926" s="2"/>
    </row>
    <row r="927" spans="1:28" customHeight="true">
      <c r="A927" s="19"/>
      <c r="B927" s="20">
        <v>45764</v>
      </c>
      <c r="C927" s="19" t="s">
        <v>1069</v>
      </c>
      <c r="D927" s="21">
        <v>264.95</v>
      </c>
      <c r="E927" s="16" t="str">
        <f>IFERROR(__xludf.DUMMYFUNCTION("IFERROR(
  TEXTJOIN(CHAR(10),TRUE,FILTER('SUMMARY DATA'!E:E,'SUMMARY DATA'!$A:$A=$A28,'SUMMARY DATA'!$C:$C=$B28,'SUMMARY DATA'!$B:$B=""GRP"")),
  IF(
    OR(
      ISNUMBER(SEARCH(""CDM CASH DEPOSIT"",$C28)),
      ISNUMBER(SEARCH(""CASH DEPOSIT"",$C28)),"&amp;"
      COUNTIFS('SUMMARY DATA'!$D:$D,$C28,'SUMMARY DATA'!$B:$B,""GRP"")&lt;&gt;1
    ),
    """",
    IFERROR(TEXTJOIN(CHAR(10),TRUE,FILTER('SUMMARY DATA'!E:E,'SUMMARY DATA'!$D:$D=$C28,'SUMMARY DATA'!$B:$B=""GRP"")),"""")
  )
)"),"")</f>
      </c>
      <c r="F927" s="17" t="str">
        <f>IFERROR(__xludf.DUMMYFUNCTION("IFERROR(
  TEXTJOIN(CHAR(10),TRUE,FILTER('SUMMARY DATA'!F:F,'SUMMARY DATA'!$A:$A=$A28,'SUMMARY DATA'!$C:$C=$B28,'SUMMARY DATA'!$B:$B=""GRP"")),
  IF(
    OR(
      ISNUMBER(SEARCH(""CDM CASH DEPOSIT"",$C28)),
      ISNUMBER(SEARCH(""CASH DEPOSIT"",$C28)),"&amp;"
      COUNTIFS('SUMMARY DATA'!$D:$D,$C28,'SUMMARY DATA'!$B:$B,""GRP"")&lt;&gt;1
    ),
    """",
    IFERROR(TEXTJOIN(CHAR(10),TRUE,FILTER('SUMMARY DATA'!F:F,'SUMMARY DATA'!$D:$D=$C28,'SUMMARY DATA'!$B:$B=""GRP"")),"""")
  )
)"),"")</f>
      </c>
      <c r="G927" s="17" t="str">
        <f>IFERROR(__xludf.DUMMYFUNCTION("IFERROR(
  TEXTJOIN(CHAR(10),TRUE,FILTER('SUMMARY DATA'!G:G,'SUMMARY DATA'!$A:$A=$A927,'SUMMARY DATA'!$C:$C=$B927,'SUMMARY DATA'!$B:$B=""RWS"")),
  IF(
    OR(
      ISNUMBER(SEARCH(""CDM CASH DEPOSIT"",$C927)),
      ISNUMBER(SEARCH(""CASH DEPOSIT"",$C92"&amp;"7)),
      COUNTIFS('SUMMARY DATA'!$D:$D,$C927,'SUMMARY DATA'!$B:$B,""RWS"")&lt;&gt;1
    ),
    """",
    IFERROR(TEXTJOIN(CHAR(10),TRUE,FILTER('SUMMARY DATA'!G:G,'SUMMARY DATA'!$D:$D=$C927,'SUMMARY DATA'!$B:$B=""RWS"")),"""")
  )
)"),"")</f>
      </c>
      <c r="H927" s="18" t="str">
        <f>IFERROR(__xludf.DUMMYFUNCTION("IFERROR(
  TEXTJOIN(CHAR(10),TRUE,FILTER('SUMMARY DATA'!H:H,'SUMMARY DATA'!$A:$A=$A927,'SUMMARY DATA'!$C:$C=$B927,'SUMMARY DATA'!$B:$B=""RWS"",'SUMMARY DATA'!$H:$H=$D927)),
  IF(
    OR(
      ISNUMBER(SEARCH(""CDM CASH DEPOSIT"",$C927)),
      ISNUMBER(S"&amp;"EARCH(""CASH DEPOSIT"",$C927))
    ),
    """",
    IFERROR(TEXTJOIN(CHAR(10),TRUE,FILTER('SUMMARY DATA'!H:H,'SUMMARY DATA'!$D:$D=$C927,'SUMMARY DATA'!$B:$B=""RWS"",'SUMMARY DATA'!$H:$H=$D927)),"""")
  )
)"),"")</f>
      </c>
      <c r="I927" s="18" t="str">
        <f>IFERROR(__xludf.DUMMYFUNCTION("IF(H927="""","""",
SUM(ARRAYFORMULA(VALUE(SPLIT(H927,CHAR(10)))))
)"),"")</f>
      </c>
      <c r="J927" s="17" t="str">
        <f>IFERROR(__xludf.DUMMYFUNCTION("IFERROR(
  TEXTJOIN(CHAR(10),TRUE,FILTER('SUMMARY DATA'!I:I,'SUMMARY DATA'!$A:$A=$A927,'SUMMARY DATA'!$C:$C=$B927,'SUMMARY DATA'!$B:$B=""RWS"")),
  IF(
    OR(
      ISNUMBER(SEARCH(""CDM CASH DEPOSIT"",$C927)),
      ISNUMBER(SEARCH(""CASH DEPOSIT"",$C92"&amp;"7)),
      COUNTIFS('SUMMARY DATA'!$D:$D,$C927,'SUMMARY DATA'!$B:$B,""RWS"")&lt;&gt;1
    ),
    """",
    IFERROR(TEXTJOIN(CHAR(10),TRUE,FILTER('SUMMARY DATA'!I:I,'SUMMARY DATA'!$D:$D=$C927,'SUMMARY DATA'!$B:$B=""RWS"")),"""")
  )
)"),"")</f>
      </c>
      <c r="K927" s="2"/>
      <c r="L927" s="2"/>
      <c r="M927" s="2"/>
      <c r="N927" s="2"/>
      <c r="O927" s="2"/>
      <c r="P927" s="2"/>
      <c r="Q927" s="2"/>
      <c r="R927" s="2"/>
      <c r="S927" s="2"/>
      <c r="T927" s="2"/>
      <c r="U927" s="2"/>
      <c r="V927" s="2"/>
      <c r="W927" s="2"/>
      <c r="X927" s="2"/>
      <c r="Y927" s="2"/>
      <c r="Z927" s="2"/>
      <c r="AA927" s="2"/>
      <c r="AB927" s="2"/>
    </row>
    <row r="928" spans="1:28" customHeight="true">
      <c r="A928" s="25"/>
      <c r="B928" s="26">
        <v>45764</v>
      </c>
      <c r="C928" s="25" t="s">
        <v>1463</v>
      </c>
      <c r="D928" s="27">
        <v>169.96</v>
      </c>
      <c r="E928" s="16" t="str">
        <f>IFERROR(__xludf.DUMMYFUNCTION("IFERROR(
  TEXTJOIN(CHAR(10),TRUE,FILTER('SUMMARY DATA'!E:E,'SUMMARY DATA'!$A:$A=$A29,'SUMMARY DATA'!$C:$C=$B29,'SUMMARY DATA'!$B:$B=""GRP"")),
  IF(
    OR(
      ISNUMBER(SEARCH(""CDM CASH DEPOSIT"",$C29)),
      ISNUMBER(SEARCH(""CASH DEPOSIT"",$C29)),"&amp;"
      COUNTIFS('SUMMARY DATA'!$D:$D,$C29,'SUMMARY DATA'!$B:$B,""GRP"")&lt;&gt;1
    ),
    """",
    IFERROR(TEXTJOIN(CHAR(10),TRUE,FILTER('SUMMARY DATA'!E:E,'SUMMARY DATA'!$D:$D=$C29,'SUMMARY DATA'!$B:$B=""GRP"")),"""")
  )
)"),"")</f>
      </c>
      <c r="F928" s="17" t="str">
        <f>IFERROR(__xludf.DUMMYFUNCTION("IFERROR(
  TEXTJOIN(CHAR(10),TRUE,FILTER('SUMMARY DATA'!F:F,'SUMMARY DATA'!$A:$A=$A29,'SUMMARY DATA'!$C:$C=$B29,'SUMMARY DATA'!$B:$B=""GRP"")),
  IF(
    OR(
      ISNUMBER(SEARCH(""CDM CASH DEPOSIT"",$C29)),
      ISNUMBER(SEARCH(""CASH DEPOSIT"",$C29)),"&amp;"
      COUNTIFS('SUMMARY DATA'!$D:$D,$C29,'SUMMARY DATA'!$B:$B,""GRP"")&lt;&gt;1
    ),
    """",
    IFERROR(TEXTJOIN(CHAR(10),TRUE,FILTER('SUMMARY DATA'!F:F,'SUMMARY DATA'!$D:$D=$C29,'SUMMARY DATA'!$B:$B=""GRP"")),"""")
  )
)"),"")</f>
      </c>
      <c r="G928" s="17" t="str">
        <f>IFERROR(__xludf.DUMMYFUNCTION("IFERROR(
  TEXTJOIN(CHAR(10),TRUE,FILTER('SUMMARY DATA'!G:G,'SUMMARY DATA'!$A:$A=$A928,'SUMMARY DATA'!$C:$C=$B928,'SUMMARY DATA'!$B:$B=""RWS"")),
  IF(
    OR(
      ISNUMBER(SEARCH(""CDM CASH DEPOSIT"",$C928)),
      ISNUMBER(SEARCH(""CASH DEPOSIT"",$C92"&amp;"8)),
      COUNTIFS('SUMMARY DATA'!$D:$D,$C928,'SUMMARY DATA'!$B:$B,""RWS"")&lt;&gt;1
    ),
    """",
    IFERROR(TEXTJOIN(CHAR(10),TRUE,FILTER('SUMMARY DATA'!G:G,'SUMMARY DATA'!$D:$D=$C928,'SUMMARY DATA'!$B:$B=""RWS"")),"""")
  )
)"),"")</f>
      </c>
      <c r="H928" s="18" t="str">
        <f>IFERROR(__xludf.DUMMYFUNCTION("IFERROR(
  TEXTJOIN(CHAR(10),TRUE,FILTER('SUMMARY DATA'!H:H,'SUMMARY DATA'!$A:$A=$A928,'SUMMARY DATA'!$C:$C=$B928,'SUMMARY DATA'!$B:$B=""RWS"",'SUMMARY DATA'!$H:$H=$D928)),
  IF(
    OR(
      ISNUMBER(SEARCH(""CDM CASH DEPOSIT"",$C928)),
      ISNUMBER(S"&amp;"EARCH(""CASH DEPOSIT"",$C928))
    ),
    """",
    IFERROR(TEXTJOIN(CHAR(10),TRUE,FILTER('SUMMARY DATA'!H:H,'SUMMARY DATA'!$D:$D=$C928,'SUMMARY DATA'!$B:$B=""RWS"",'SUMMARY DATA'!$H:$H=$D928)),"""")
  )
)"),"")</f>
      </c>
      <c r="I928" s="18" t="str">
        <f>IFERROR(__xludf.DUMMYFUNCTION("IF(H928="""","""",
SUM(ARRAYFORMULA(VALUE(SPLIT(H928,CHAR(10)))))
)"),"")</f>
      </c>
      <c r="J928" s="17" t="str">
        <f>IFERROR(__xludf.DUMMYFUNCTION("IFERROR(
  TEXTJOIN(CHAR(10),TRUE,FILTER('SUMMARY DATA'!I:I,'SUMMARY DATA'!$A:$A=$A928,'SUMMARY DATA'!$C:$C=$B928,'SUMMARY DATA'!$B:$B=""RWS"")),
  IF(
    OR(
      ISNUMBER(SEARCH(""CDM CASH DEPOSIT"",$C928)),
      ISNUMBER(SEARCH(""CASH DEPOSIT"",$C92"&amp;"8)),
      COUNTIFS('SUMMARY DATA'!$D:$D,$C928,'SUMMARY DATA'!$B:$B,""RWS"")&lt;&gt;1
    ),
    """",
    IFERROR(TEXTJOIN(CHAR(10),TRUE,FILTER('SUMMARY DATA'!I:I,'SUMMARY DATA'!$D:$D=$C928,'SUMMARY DATA'!$B:$B=""RWS"")),"""")
  )
)"),"")</f>
      </c>
      <c r="K928" s="2"/>
      <c r="L928" s="2"/>
      <c r="M928" s="2"/>
      <c r="N928" s="2"/>
      <c r="O928" s="2"/>
      <c r="P928" s="2"/>
      <c r="Q928" s="2"/>
      <c r="R928" s="2"/>
      <c r="S928" s="2"/>
      <c r="T928" s="2"/>
      <c r="U928" s="2"/>
      <c r="V928" s="2"/>
      <c r="W928" s="2"/>
      <c r="X928" s="2"/>
      <c r="Y928" s="2"/>
      <c r="Z928" s="2"/>
      <c r="AA928" s="2"/>
      <c r="AB928" s="2"/>
    </row>
    <row r="929" spans="1:28" customHeight="true">
      <c r="A929" s="19" t="s">
        <v>1442</v>
      </c>
      <c r="B929" s="20">
        <v>45764</v>
      </c>
      <c r="C929" s="19" t="s">
        <v>1464</v>
      </c>
      <c r="D929" s="21">
        <v>119.4</v>
      </c>
      <c r="E929" s="16" t="str">
        <f>IFERROR(__xludf.DUMMYFUNCTION("IFERROR(
  TEXTJOIN(CHAR(10),TRUE,FILTER('SUMMARY DATA'!E:E,'SUMMARY DATA'!$A:$A=$A30,'SUMMARY DATA'!$C:$C=$B30,'SUMMARY DATA'!$B:$B=""GRP"")),
  IF(
    OR(
      ISNUMBER(SEARCH(""CDM CASH DEPOSIT"",$C30)),
      ISNUMBER(SEARCH(""CASH DEPOSIT"",$C30)),"&amp;"
      COUNTIFS('SUMMARY DATA'!$D:$D,$C30,'SUMMARY DATA'!$B:$B,""GRP"")&lt;&gt;1
    ),
    """",
    IFERROR(TEXTJOIN(CHAR(10),TRUE,FILTER('SUMMARY DATA'!E:E,'SUMMARY DATA'!$D:$D=$C30,'SUMMARY DATA'!$B:$B=""GRP"")),"""")
  )
)"),"")</f>
      </c>
      <c r="F929" s="17" t="str">
        <f>IFERROR(__xludf.DUMMYFUNCTION("IFERROR(
  TEXTJOIN(CHAR(10),TRUE,FILTER('SUMMARY DATA'!F:F,'SUMMARY DATA'!$A:$A=$A30,'SUMMARY DATA'!$C:$C=$B30,'SUMMARY DATA'!$B:$B=""GRP"")),
  IF(
    OR(
      ISNUMBER(SEARCH(""CDM CASH DEPOSIT"",$C30)),
      ISNUMBER(SEARCH(""CASH DEPOSIT"",$C30)),"&amp;"
      COUNTIFS('SUMMARY DATA'!$D:$D,$C30,'SUMMARY DATA'!$B:$B,""GRP"")&lt;&gt;1
    ),
    """",
    IFERROR(TEXTJOIN(CHAR(10),TRUE,FILTER('SUMMARY DATA'!F:F,'SUMMARY DATA'!$D:$D=$C30,'SUMMARY DATA'!$B:$B=""GRP"")),"""")
  )
)"),"")</f>
      </c>
      <c r="G929" s="17" t="str">
        <f>IFERROR(__xludf.DUMMYFUNCTION("IFERROR(
  TEXTJOIN(CHAR(10),TRUE,FILTER('SUMMARY DATA'!G:G,'SUMMARY DATA'!$A:$A=$A929,'SUMMARY DATA'!$C:$C=$B929,'SUMMARY DATA'!$B:$B=""RWS"")),
  IF(
    OR(
      ISNUMBER(SEARCH(""CDM CASH DEPOSIT"",$C929)),
      ISNUMBER(SEARCH(""CASH DEPOSIT"",$C92"&amp;"9)),
      COUNTIFS('SUMMARY DATA'!$D:$D,$C929,'SUMMARY DATA'!$B:$B,""RWS"")&lt;&gt;1
    ),
    """",
    IFERROR(TEXTJOIN(CHAR(10),TRUE,FILTER('SUMMARY DATA'!G:G,'SUMMARY DATA'!$D:$D=$C929,'SUMMARY DATA'!$B:$B=""RWS"")),"""")
  )
)"),"")</f>
      </c>
      <c r="H929" s="18" t="str">
        <f>IFERROR(__xludf.DUMMYFUNCTION("IFERROR(
  TEXTJOIN(CHAR(10),TRUE,FILTER('SUMMARY DATA'!H:H,'SUMMARY DATA'!$A:$A=$A929,'SUMMARY DATA'!$C:$C=$B929,'SUMMARY DATA'!$B:$B=""RWS"",'SUMMARY DATA'!$H:$H=$D929)),
  IF(
    OR(
      ISNUMBER(SEARCH(""CDM CASH DEPOSIT"",$C929)),
      ISNUMBER(S"&amp;"EARCH(""CASH DEPOSIT"",$C929))
    ),
    """",
    IFERROR(TEXTJOIN(CHAR(10),TRUE,FILTER('SUMMARY DATA'!H:H,'SUMMARY DATA'!$D:$D=$C929,'SUMMARY DATA'!$B:$B=""RWS"",'SUMMARY DATA'!$H:$H=$D929)),"""")
  )
)"),"")</f>
      </c>
      <c r="I929" s="18" t="str">
        <f>IFERROR(__xludf.DUMMYFUNCTION("IF(H929="""","""",
SUM(ARRAYFORMULA(VALUE(SPLIT(H929,CHAR(10)))))
)"),"")</f>
      </c>
      <c r="J929" s="17" t="str">
        <f>IFERROR(__xludf.DUMMYFUNCTION("IFERROR(
  TEXTJOIN(CHAR(10),TRUE,FILTER('SUMMARY DATA'!I:I,'SUMMARY DATA'!$A:$A=$A929,'SUMMARY DATA'!$C:$C=$B929,'SUMMARY DATA'!$B:$B=""RWS"")),
  IF(
    OR(
      ISNUMBER(SEARCH(""CDM CASH DEPOSIT"",$C929)),
      ISNUMBER(SEARCH(""CASH DEPOSIT"",$C92"&amp;"9)),
      COUNTIFS('SUMMARY DATA'!$D:$D,$C929,'SUMMARY DATA'!$B:$B,""RWS"")&lt;&gt;1
    ),
    """",
    IFERROR(TEXTJOIN(CHAR(10),TRUE,FILTER('SUMMARY DATA'!I:I,'SUMMARY DATA'!$D:$D=$C929,'SUMMARY DATA'!$B:$B=""RWS"")),"""")
  )
)"),"")</f>
      </c>
      <c r="K929" s="2"/>
      <c r="L929" s="2"/>
      <c r="M929" s="2"/>
      <c r="N929" s="2"/>
      <c r="O929" s="2"/>
      <c r="P929" s="2"/>
      <c r="Q929" s="2"/>
      <c r="R929" s="2"/>
      <c r="S929" s="2"/>
      <c r="T929" s="2"/>
      <c r="U929" s="2"/>
      <c r="V929" s="2"/>
      <c r="W929" s="2"/>
      <c r="X929" s="2"/>
      <c r="Y929" s="2"/>
      <c r="Z929" s="2"/>
      <c r="AA929" s="2"/>
      <c r="AB929" s="2"/>
    </row>
    <row r="930" spans="1:28" customHeight="true">
      <c r="A930" s="25"/>
      <c r="B930" s="26">
        <v>45765</v>
      </c>
      <c r="C930" s="25" t="s">
        <v>1463</v>
      </c>
      <c r="D930" s="27">
        <v>89.85</v>
      </c>
      <c r="E930" s="16" t="str">
        <f>IFERROR(__xludf.DUMMYFUNCTION("IFERROR(
  TEXTJOIN(CHAR(10),TRUE,FILTER('SUMMARY DATA'!E:E,'SUMMARY DATA'!$A:$A=$A31,'SUMMARY DATA'!$C:$C=$B31,'SUMMARY DATA'!$B:$B=""GRP"")),
  IF(
    OR(
      ISNUMBER(SEARCH(""CDM CASH DEPOSIT"",$C31)),
      ISNUMBER(SEARCH(""CASH DEPOSIT"",$C31)),"&amp;"
      COUNTIFS('SUMMARY DATA'!$D:$D,$C31,'SUMMARY DATA'!$B:$B,""GRP"")&lt;&gt;1
    ),
    """",
    IFERROR(TEXTJOIN(CHAR(10),TRUE,FILTER('SUMMARY DATA'!E:E,'SUMMARY DATA'!$D:$D=$C31,'SUMMARY DATA'!$B:$B=""GRP"")),"""")
  )
)"),"")</f>
      </c>
      <c r="F930" s="17" t="str">
        <f>IFERROR(__xludf.DUMMYFUNCTION("IFERROR(
  TEXTJOIN(CHAR(10),TRUE,FILTER('SUMMARY DATA'!F:F,'SUMMARY DATA'!$A:$A=$A31,'SUMMARY DATA'!$C:$C=$B31,'SUMMARY DATA'!$B:$B=""GRP"")),
  IF(
    OR(
      ISNUMBER(SEARCH(""CDM CASH DEPOSIT"",$C31)),
      ISNUMBER(SEARCH(""CASH DEPOSIT"",$C31)),"&amp;"
      COUNTIFS('SUMMARY DATA'!$D:$D,$C31,'SUMMARY DATA'!$B:$B,""GRP"")&lt;&gt;1
    ),
    """",
    IFERROR(TEXTJOIN(CHAR(10),TRUE,FILTER('SUMMARY DATA'!F:F,'SUMMARY DATA'!$D:$D=$C31,'SUMMARY DATA'!$B:$B=""GRP"")),"""")
  )
)"),"")</f>
      </c>
      <c r="G930" s="17" t="str">
        <f>IFERROR(__xludf.DUMMYFUNCTION("IFERROR(
  TEXTJOIN(CHAR(10),TRUE,FILTER('SUMMARY DATA'!G:G,'SUMMARY DATA'!$A:$A=$A930,'SUMMARY DATA'!$C:$C=$B930,'SUMMARY DATA'!$B:$B=""RWS"")),
  IF(
    OR(
      ISNUMBER(SEARCH(""CDM CASH DEPOSIT"",$C930)),
      ISNUMBER(SEARCH(""CASH DEPOSIT"",$C93"&amp;"0)),
      COUNTIFS('SUMMARY DATA'!$D:$D,$C930,'SUMMARY DATA'!$B:$B,""RWS"")&lt;&gt;1
    ),
    """",
    IFERROR(TEXTJOIN(CHAR(10),TRUE,FILTER('SUMMARY DATA'!G:G,'SUMMARY DATA'!$D:$D=$C930,'SUMMARY DATA'!$B:$B=""RWS"")),"""")
  )
)"),"")</f>
      </c>
      <c r="H930" s="18" t="str">
        <f>IFERROR(__xludf.DUMMYFUNCTION("IFERROR(
  TEXTJOIN(CHAR(10),TRUE,FILTER('SUMMARY DATA'!H:H,'SUMMARY DATA'!$A:$A=$A930,'SUMMARY DATA'!$C:$C=$B930,'SUMMARY DATA'!$B:$B=""RWS"",'SUMMARY DATA'!$H:$H=$D930)),
  IF(
    OR(
      ISNUMBER(SEARCH(""CDM CASH DEPOSIT"",$C930)),
      ISNUMBER(S"&amp;"EARCH(""CASH DEPOSIT"",$C930))
    ),
    """",
    IFERROR(TEXTJOIN(CHAR(10),TRUE,FILTER('SUMMARY DATA'!H:H,'SUMMARY DATA'!$D:$D=$C930,'SUMMARY DATA'!$B:$B=""RWS"",'SUMMARY DATA'!$H:$H=$D930)),"""")
  )
)"),"")</f>
      </c>
      <c r="I930" s="18" t="str">
        <f>IFERROR(__xludf.DUMMYFUNCTION("IF(H930="""","""",
SUM(ARRAYFORMULA(VALUE(SPLIT(H930,CHAR(10)))))
)"),"")</f>
      </c>
      <c r="J930" s="17" t="str">
        <f>IFERROR(__xludf.DUMMYFUNCTION("IFERROR(
  TEXTJOIN(CHAR(10),TRUE,FILTER('SUMMARY DATA'!I:I,'SUMMARY DATA'!$A:$A=$A930,'SUMMARY DATA'!$C:$C=$B930,'SUMMARY DATA'!$B:$B=""RWS"")),
  IF(
    OR(
      ISNUMBER(SEARCH(""CDM CASH DEPOSIT"",$C930)),
      ISNUMBER(SEARCH(""CASH DEPOSIT"",$C93"&amp;"0)),
      COUNTIFS('SUMMARY DATA'!$D:$D,$C930,'SUMMARY DATA'!$B:$B,""RWS"")&lt;&gt;1
    ),
    """",
    IFERROR(TEXTJOIN(CHAR(10),TRUE,FILTER('SUMMARY DATA'!I:I,'SUMMARY DATA'!$D:$D=$C930,'SUMMARY DATA'!$B:$B=""RWS"")),"""")
  )
)"),"")</f>
      </c>
      <c r="K930" s="2"/>
      <c r="L930" s="2"/>
      <c r="M930" s="2"/>
      <c r="N930" s="2"/>
      <c r="O930" s="2"/>
      <c r="P930" s="2"/>
      <c r="Q930" s="2"/>
      <c r="R930" s="2"/>
      <c r="S930" s="2"/>
      <c r="T930" s="2"/>
      <c r="U930" s="2"/>
      <c r="V930" s="2"/>
      <c r="W930" s="2"/>
      <c r="X930" s="2"/>
      <c r="Y930" s="2"/>
      <c r="Z930" s="2"/>
      <c r="AA930" s="2"/>
      <c r="AB930" s="2"/>
    </row>
    <row r="931" spans="1:28" customHeight="true">
      <c r="A931" s="19"/>
      <c r="B931" s="20">
        <v>45765</v>
      </c>
      <c r="C931" s="19" t="s">
        <v>1465</v>
      </c>
      <c r="D931" s="21">
        <v>39.9</v>
      </c>
      <c r="E931" s="16" t="str">
        <f>IFERROR(__xludf.DUMMYFUNCTION("IFERROR(
  TEXTJOIN(CHAR(10),TRUE,FILTER('SUMMARY DATA'!E:E,'SUMMARY DATA'!$A:$A=$A32,'SUMMARY DATA'!$C:$C=$B32,'SUMMARY DATA'!$B:$B=""GRP"")),
  IF(
    OR(
      ISNUMBER(SEARCH(""CDM CASH DEPOSIT"",$C32)),
      ISNUMBER(SEARCH(""CASH DEPOSIT"",$C32)),"&amp;"
      COUNTIFS('SUMMARY DATA'!$D:$D,$C32,'SUMMARY DATA'!$B:$B,""GRP"")&lt;&gt;1
    ),
    """",
    IFERROR(TEXTJOIN(CHAR(10),TRUE,FILTER('SUMMARY DATA'!E:E,'SUMMARY DATA'!$D:$D=$C32,'SUMMARY DATA'!$B:$B=""GRP"")),"""")
  )
)"),"")</f>
      </c>
      <c r="F931" s="17" t="str">
        <f>IFERROR(__xludf.DUMMYFUNCTION("IFERROR(
  TEXTJOIN(CHAR(10),TRUE,FILTER('SUMMARY DATA'!F:F,'SUMMARY DATA'!$A:$A=$A32,'SUMMARY DATA'!$C:$C=$B32,'SUMMARY DATA'!$B:$B=""GRP"")),
  IF(
    OR(
      ISNUMBER(SEARCH(""CDM CASH DEPOSIT"",$C32)),
      ISNUMBER(SEARCH(""CASH DEPOSIT"",$C32)),"&amp;"
      COUNTIFS('SUMMARY DATA'!$D:$D,$C32,'SUMMARY DATA'!$B:$B,""GRP"")&lt;&gt;1
    ),
    """",
    IFERROR(TEXTJOIN(CHAR(10),TRUE,FILTER('SUMMARY DATA'!F:F,'SUMMARY DATA'!$D:$D=$C32,'SUMMARY DATA'!$B:$B=""GRP"")),"""")
  )
)"),"")</f>
      </c>
      <c r="G931" s="17" t="str">
        <f>IFERROR(__xludf.DUMMYFUNCTION("IFERROR(
  TEXTJOIN(CHAR(10),TRUE,FILTER('SUMMARY DATA'!G:G,'SUMMARY DATA'!$A:$A=$A931,'SUMMARY DATA'!$C:$C=$B931,'SUMMARY DATA'!$B:$B=""RWS"")),
  IF(
    OR(
      ISNUMBER(SEARCH(""CDM CASH DEPOSIT"",$C931)),
      ISNUMBER(SEARCH(""CASH DEPOSIT"",$C93"&amp;"1)),
      COUNTIFS('SUMMARY DATA'!$D:$D,$C931,'SUMMARY DATA'!$B:$B,""RWS"")&lt;&gt;1
    ),
    """",
    IFERROR(TEXTJOIN(CHAR(10),TRUE,FILTER('SUMMARY DATA'!G:G,'SUMMARY DATA'!$D:$D=$C931,'SUMMARY DATA'!$B:$B=""RWS"")),"""")
  )
)"),"")</f>
      </c>
      <c r="H931" s="18" t="str">
        <f>IFERROR(__xludf.DUMMYFUNCTION("IFERROR(
  TEXTJOIN(CHAR(10),TRUE,FILTER('SUMMARY DATA'!H:H,'SUMMARY DATA'!$A:$A=$A931,'SUMMARY DATA'!$C:$C=$B931,'SUMMARY DATA'!$B:$B=""RWS"",'SUMMARY DATA'!$H:$H=$D931)),
  IF(
    OR(
      ISNUMBER(SEARCH(""CDM CASH DEPOSIT"",$C931)),
      ISNUMBER(S"&amp;"EARCH(""CASH DEPOSIT"",$C931))
    ),
    """",
    IFERROR(TEXTJOIN(CHAR(10),TRUE,FILTER('SUMMARY DATA'!H:H,'SUMMARY DATA'!$D:$D=$C931,'SUMMARY DATA'!$B:$B=""RWS"",'SUMMARY DATA'!$H:$H=$D931)),"""")
  )
)"),"")</f>
      </c>
      <c r="I931" s="18" t="str">
        <f>IFERROR(__xludf.DUMMYFUNCTION("IF(H931="""","""",
SUM(ARRAYFORMULA(VALUE(SPLIT(H931,CHAR(10)))))
)"),"")</f>
      </c>
      <c r="J931" s="17" t="str">
        <f>IFERROR(__xludf.DUMMYFUNCTION("IFERROR(
  TEXTJOIN(CHAR(10),TRUE,FILTER('SUMMARY DATA'!I:I,'SUMMARY DATA'!$A:$A=$A931,'SUMMARY DATA'!$C:$C=$B931,'SUMMARY DATA'!$B:$B=""RWS"")),
  IF(
    OR(
      ISNUMBER(SEARCH(""CDM CASH DEPOSIT"",$C931)),
      ISNUMBER(SEARCH(""CASH DEPOSIT"",$C93"&amp;"1)),
      COUNTIFS('SUMMARY DATA'!$D:$D,$C931,'SUMMARY DATA'!$B:$B,""RWS"")&lt;&gt;1
    ),
    """",
    IFERROR(TEXTJOIN(CHAR(10),TRUE,FILTER('SUMMARY DATA'!I:I,'SUMMARY DATA'!$D:$D=$C931,'SUMMARY DATA'!$B:$B=""RWS"")),"""")
  )
)"),"")</f>
      </c>
      <c r="K931" s="2"/>
      <c r="L931" s="2"/>
      <c r="M931" s="2"/>
      <c r="N931" s="2"/>
      <c r="O931" s="2"/>
      <c r="P931" s="2"/>
      <c r="Q931" s="2"/>
      <c r="R931" s="2"/>
      <c r="S931" s="2"/>
      <c r="T931" s="2"/>
      <c r="U931" s="2"/>
      <c r="V931" s="2"/>
      <c r="W931" s="2"/>
      <c r="X931" s="2"/>
      <c r="Y931" s="2"/>
      <c r="Z931" s="2"/>
      <c r="AA931" s="2"/>
      <c r="AB931" s="2"/>
    </row>
    <row r="932" spans="1:28" customHeight="true">
      <c r="A932" s="25" t="s">
        <v>1466</v>
      </c>
      <c r="B932" s="26">
        <v>45765</v>
      </c>
      <c r="C932" s="25" t="s">
        <v>1467</v>
      </c>
      <c r="D932" s="27">
        <v>5</v>
      </c>
      <c r="E932" s="16" t="str">
        <f>IFERROR(__xludf.DUMMYFUNCTION("IFERROR(
  TEXTJOIN(CHAR(10),TRUE,FILTER('SUMMARY DATA'!E:E,'SUMMARY DATA'!$A:$A=$A33,'SUMMARY DATA'!$C:$C=$B33,'SUMMARY DATA'!$B:$B=""GRP"")),
  IF(
    OR(
      ISNUMBER(SEARCH(""CDM CASH DEPOSIT"",$C33)),
      ISNUMBER(SEARCH(""CASH DEPOSIT"",$C33)),"&amp;"
      COUNTIFS('SUMMARY DATA'!$D:$D,$C33,'SUMMARY DATA'!$B:$B,""GRP"")&lt;&gt;1
    ),
    """",
    IFERROR(TEXTJOIN(CHAR(10),TRUE,FILTER('SUMMARY DATA'!E:E,'SUMMARY DATA'!$D:$D=$C33,'SUMMARY DATA'!$B:$B=""GRP"")),"""")
  )
)"),"")</f>
      </c>
      <c r="F932" s="17" t="str">
        <f>IFERROR(__xludf.DUMMYFUNCTION("IFERROR(
  TEXTJOIN(CHAR(10),TRUE,FILTER('SUMMARY DATA'!F:F,'SUMMARY DATA'!$A:$A=$A33,'SUMMARY DATA'!$C:$C=$B33,'SUMMARY DATA'!$B:$B=""GRP"")),
  IF(
    OR(
      ISNUMBER(SEARCH(""CDM CASH DEPOSIT"",$C33)),
      ISNUMBER(SEARCH(""CASH DEPOSIT"",$C33)),"&amp;"
      COUNTIFS('SUMMARY DATA'!$D:$D,$C33,'SUMMARY DATA'!$B:$B,""GRP"")&lt;&gt;1
    ),
    """",
    IFERROR(TEXTJOIN(CHAR(10),TRUE,FILTER('SUMMARY DATA'!F:F,'SUMMARY DATA'!$D:$D=$C33,'SUMMARY DATA'!$B:$B=""GRP"")),"""")
  )
)"),"")</f>
      </c>
      <c r="G932" s="17" t="str">
        <f>IFERROR(__xludf.DUMMYFUNCTION("IFERROR(
  TEXTJOIN(CHAR(10),TRUE,FILTER('SUMMARY DATA'!G:G,'SUMMARY DATA'!$A:$A=$A932,'SUMMARY DATA'!$C:$C=$B932,'SUMMARY DATA'!$B:$B=""RWS"")),
  IF(
    OR(
      ISNUMBER(SEARCH(""CDM CASH DEPOSIT"",$C932)),
      ISNUMBER(SEARCH(""CASH DEPOSIT"",$C93"&amp;"2)),
      COUNTIFS('SUMMARY DATA'!$D:$D,$C932,'SUMMARY DATA'!$B:$B,""RWS"")&lt;&gt;1
    ),
    """",
    IFERROR(TEXTJOIN(CHAR(10),TRUE,FILTER('SUMMARY DATA'!G:G,'SUMMARY DATA'!$D:$D=$C932,'SUMMARY DATA'!$B:$B=""RWS"")),"""")
  )
)"),"")</f>
      </c>
      <c r="H932" s="18" t="str">
        <f>IFERROR(__xludf.DUMMYFUNCTION("IFERROR(
  TEXTJOIN(CHAR(10),TRUE,FILTER('SUMMARY DATA'!H:H,'SUMMARY DATA'!$A:$A=$A932,'SUMMARY DATA'!$C:$C=$B932,'SUMMARY DATA'!$B:$B=""RWS"",'SUMMARY DATA'!$H:$H=$D932)),
  IF(
    OR(
      ISNUMBER(SEARCH(""CDM CASH DEPOSIT"",$C932)),
      ISNUMBER(S"&amp;"EARCH(""CASH DEPOSIT"",$C932))
    ),
    """",
    IFERROR(TEXTJOIN(CHAR(10),TRUE,FILTER('SUMMARY DATA'!H:H,'SUMMARY DATA'!$D:$D=$C932,'SUMMARY DATA'!$B:$B=""RWS"",'SUMMARY DATA'!$H:$H=$D932)),"""")
  )
)"),"")</f>
      </c>
      <c r="I932" s="18" t="str">
        <f>IFERROR(__xludf.DUMMYFUNCTION("IF(H932="""","""",
SUM(ARRAYFORMULA(VALUE(SPLIT(H932,CHAR(10)))))
)"),"")</f>
      </c>
      <c r="J932" s="17" t="str">
        <f>IFERROR(__xludf.DUMMYFUNCTION("IFERROR(
  TEXTJOIN(CHAR(10),TRUE,FILTER('SUMMARY DATA'!I:I,'SUMMARY DATA'!$A:$A=$A932,'SUMMARY DATA'!$C:$C=$B932,'SUMMARY DATA'!$B:$B=""RWS"")),
  IF(
    OR(
      ISNUMBER(SEARCH(""CDM CASH DEPOSIT"",$C932)),
      ISNUMBER(SEARCH(""CASH DEPOSIT"",$C93"&amp;"2)),
      COUNTIFS('SUMMARY DATA'!$D:$D,$C932,'SUMMARY DATA'!$B:$B,""RWS"")&lt;&gt;1
    ),
    """",
    IFERROR(TEXTJOIN(CHAR(10),TRUE,FILTER('SUMMARY DATA'!I:I,'SUMMARY DATA'!$D:$D=$C932,'SUMMARY DATA'!$B:$B=""RWS"")),"""")
  )
)"),"")</f>
      </c>
      <c r="K932" s="2"/>
      <c r="L932" s="2"/>
      <c r="M932" s="2"/>
      <c r="N932" s="2"/>
      <c r="O932" s="2"/>
      <c r="P932" s="2"/>
      <c r="Q932" s="2"/>
      <c r="R932" s="2"/>
      <c r="S932" s="2"/>
      <c r="T932" s="2"/>
      <c r="U932" s="2"/>
      <c r="V932" s="2"/>
      <c r="W932" s="2"/>
      <c r="X932" s="2"/>
      <c r="Y932" s="2"/>
      <c r="Z932" s="2"/>
      <c r="AA932" s="2"/>
      <c r="AB932" s="2"/>
    </row>
    <row r="933" spans="1:28" customHeight="true">
      <c r="A933" s="19"/>
      <c r="B933" s="20">
        <v>45765</v>
      </c>
      <c r="C933" s="19" t="s">
        <v>1468</v>
      </c>
      <c r="D933" s="21">
        <v>5</v>
      </c>
      <c r="E933" s="16" t="str">
        <f>IFERROR(__xludf.DUMMYFUNCTION("IFERROR(
  TEXTJOIN(CHAR(10),TRUE,FILTER('SUMMARY DATA'!E:E,'SUMMARY DATA'!$A:$A=$A34,'SUMMARY DATA'!$C:$C=$B34,'SUMMARY DATA'!$B:$B=""GRP"")),
  IF(
    OR(
      ISNUMBER(SEARCH(""CDM CASH DEPOSIT"",$C34)),
      ISNUMBER(SEARCH(""CASH DEPOSIT"",$C34)),"&amp;"
      COUNTIFS('SUMMARY DATA'!$D:$D,$C34,'SUMMARY DATA'!$B:$B,""GRP"")&lt;&gt;1
    ),
    """",
    IFERROR(TEXTJOIN(CHAR(10),TRUE,FILTER('SUMMARY DATA'!E:E,'SUMMARY DATA'!$D:$D=$C34,'SUMMARY DATA'!$B:$B=""GRP"")),"""")
  )
)"),"")</f>
      </c>
      <c r="F933" s="17" t="str">
        <f>IFERROR(__xludf.DUMMYFUNCTION("IFERROR(
  TEXTJOIN(CHAR(10),TRUE,FILTER('SUMMARY DATA'!F:F,'SUMMARY DATA'!$A:$A=$A34,'SUMMARY DATA'!$C:$C=$B34,'SUMMARY DATA'!$B:$B=""GRP"")),
  IF(
    OR(
      ISNUMBER(SEARCH(""CDM CASH DEPOSIT"",$C34)),
      ISNUMBER(SEARCH(""CASH DEPOSIT"",$C34)),"&amp;"
      COUNTIFS('SUMMARY DATA'!$D:$D,$C34,'SUMMARY DATA'!$B:$B,""GRP"")&lt;&gt;1
    ),
    """",
    IFERROR(TEXTJOIN(CHAR(10),TRUE,FILTER('SUMMARY DATA'!F:F,'SUMMARY DATA'!$D:$D=$C34,'SUMMARY DATA'!$B:$B=""GRP"")),"""")
  )
)"),"")</f>
      </c>
      <c r="G933" s="17" t="str">
        <f>IFERROR(__xludf.DUMMYFUNCTION("IFERROR(
  TEXTJOIN(CHAR(10),TRUE,FILTER('SUMMARY DATA'!G:G,'SUMMARY DATA'!$A:$A=$A933,'SUMMARY DATA'!$C:$C=$B933,'SUMMARY DATA'!$B:$B=""RWS"")),
  IF(
    OR(
      ISNUMBER(SEARCH(""CDM CASH DEPOSIT"",$C933)),
      ISNUMBER(SEARCH(""CASH DEPOSIT"",$C93"&amp;"3)),
      COUNTIFS('SUMMARY DATA'!$D:$D,$C933,'SUMMARY DATA'!$B:$B,""RWS"")&lt;&gt;1
    ),
    """",
    IFERROR(TEXTJOIN(CHAR(10),TRUE,FILTER('SUMMARY DATA'!G:G,'SUMMARY DATA'!$D:$D=$C933,'SUMMARY DATA'!$B:$B=""RWS"")),"""")
  )
)"),"")</f>
      </c>
      <c r="H933" s="18" t="str">
        <f>IFERROR(__xludf.DUMMYFUNCTION("IFERROR(
  TEXTJOIN(CHAR(10),TRUE,FILTER('SUMMARY DATA'!H:H,'SUMMARY DATA'!$A:$A=$A933,'SUMMARY DATA'!$C:$C=$B933,'SUMMARY DATA'!$B:$B=""RWS"",'SUMMARY DATA'!$H:$H=$D933)),
  IF(
    OR(
      ISNUMBER(SEARCH(""CDM CASH DEPOSIT"",$C933)),
      ISNUMBER(S"&amp;"EARCH(""CASH DEPOSIT"",$C933))
    ),
    """",
    IFERROR(TEXTJOIN(CHAR(10),TRUE,FILTER('SUMMARY DATA'!H:H,'SUMMARY DATA'!$D:$D=$C933,'SUMMARY DATA'!$B:$B=""RWS"",'SUMMARY DATA'!$H:$H=$D933)),"""")
  )
)"),"")</f>
      </c>
      <c r="I933" s="18" t="str">
        <f>IFERROR(__xludf.DUMMYFUNCTION("IF(H933="""","""",
SUM(ARRAYFORMULA(VALUE(SPLIT(H933,CHAR(10)))))
)"),"")</f>
      </c>
      <c r="J933" s="17" t="str">
        <f>IFERROR(__xludf.DUMMYFUNCTION("IFERROR(
  TEXTJOIN(CHAR(10),TRUE,FILTER('SUMMARY DATA'!I:I,'SUMMARY DATA'!$A:$A=$A933,'SUMMARY DATA'!$C:$C=$B933,'SUMMARY DATA'!$B:$B=""RWS"")),
  IF(
    OR(
      ISNUMBER(SEARCH(""CDM CASH DEPOSIT"",$C933)),
      ISNUMBER(SEARCH(""CASH DEPOSIT"",$C93"&amp;"3)),
      COUNTIFS('SUMMARY DATA'!$D:$D,$C933,'SUMMARY DATA'!$B:$B,""RWS"")&lt;&gt;1
    ),
    """",
    IFERROR(TEXTJOIN(CHAR(10),TRUE,FILTER('SUMMARY DATA'!I:I,'SUMMARY DATA'!$D:$D=$C933,'SUMMARY DATA'!$B:$B=""RWS"")),"""")
  )
)"),"")</f>
      </c>
      <c r="K933" s="2"/>
      <c r="L933" s="2"/>
      <c r="M933" s="2"/>
      <c r="N933" s="2"/>
      <c r="O933" s="2"/>
      <c r="P933" s="2"/>
      <c r="Q933" s="2"/>
      <c r="R933" s="2"/>
      <c r="S933" s="2"/>
      <c r="T933" s="2"/>
      <c r="U933" s="2"/>
      <c r="V933" s="2"/>
      <c r="W933" s="2"/>
      <c r="X933" s="2"/>
      <c r="Y933" s="2"/>
      <c r="Z933" s="2"/>
      <c r="AA933" s="2"/>
      <c r="AB933" s="2"/>
    </row>
    <row r="934" spans="1:28" customHeight="true">
      <c r="A934" s="25"/>
      <c r="B934" s="26">
        <v>45766</v>
      </c>
      <c r="C934" s="25" t="s">
        <v>1469</v>
      </c>
      <c r="D934" s="27">
        <v>499</v>
      </c>
      <c r="E934" s="16" t="str">
        <f>IFERROR(__xludf.DUMMYFUNCTION("IFERROR(
  TEXTJOIN(CHAR(10),TRUE,FILTER('SUMMARY DATA'!E:E,'SUMMARY DATA'!$A:$A=$A35,'SUMMARY DATA'!$C:$C=$B35,'SUMMARY DATA'!$B:$B=""GRP"")),
  IF(
    OR(
      ISNUMBER(SEARCH(""CDM CASH DEPOSIT"",$C35)),
      ISNUMBER(SEARCH(""CASH DEPOSIT"",$C35)),"&amp;"
      COUNTIFS('SUMMARY DATA'!$D:$D,$C35,'SUMMARY DATA'!$B:$B,""GRP"")&lt;&gt;1
    ),
    """",
    IFERROR(TEXTJOIN(CHAR(10),TRUE,FILTER('SUMMARY DATA'!E:E,'SUMMARY DATA'!$D:$D=$C35,'SUMMARY DATA'!$B:$B=""GRP"")),"""")
  )
)"),"")</f>
      </c>
      <c r="F934" s="17" t="str">
        <f>IFERROR(__xludf.DUMMYFUNCTION("IFERROR(
  TEXTJOIN(CHAR(10),TRUE,FILTER('SUMMARY DATA'!F:F,'SUMMARY DATA'!$A:$A=$A35,'SUMMARY DATA'!$C:$C=$B35,'SUMMARY DATA'!$B:$B=""GRP"")),
  IF(
    OR(
      ISNUMBER(SEARCH(""CDM CASH DEPOSIT"",$C35)),
      ISNUMBER(SEARCH(""CASH DEPOSIT"",$C35)),"&amp;"
      COUNTIFS('SUMMARY DATA'!$D:$D,$C35,'SUMMARY DATA'!$B:$B,""GRP"")&lt;&gt;1
    ),
    """",
    IFERROR(TEXTJOIN(CHAR(10),TRUE,FILTER('SUMMARY DATA'!F:F,'SUMMARY DATA'!$D:$D=$C35,'SUMMARY DATA'!$B:$B=""GRP"")),"""")
  )
)"),"")</f>
      </c>
      <c r="G934" s="17" t="str">
        <f>IFERROR(__xludf.DUMMYFUNCTION("IFERROR(
  TEXTJOIN(CHAR(10),TRUE,FILTER('SUMMARY DATA'!G:G,'SUMMARY DATA'!$A:$A=$A934,'SUMMARY DATA'!$C:$C=$B934,'SUMMARY DATA'!$B:$B=""RWS"")),
  IF(
    OR(
      ISNUMBER(SEARCH(""CDM CASH DEPOSIT"",$C934)),
      ISNUMBER(SEARCH(""CASH DEPOSIT"",$C93"&amp;"4)),
      COUNTIFS('SUMMARY DATA'!$D:$D,$C934,'SUMMARY DATA'!$B:$B,""RWS"")&lt;&gt;1
    ),
    """",
    IFERROR(TEXTJOIN(CHAR(10),TRUE,FILTER('SUMMARY DATA'!G:G,'SUMMARY DATA'!$D:$D=$C934,'SUMMARY DATA'!$B:$B=""RWS"")),"""")
  )
)"),"")</f>
      </c>
      <c r="H934" s="18" t="str">
        <f>IFERROR(__xludf.DUMMYFUNCTION("IFERROR(
  TEXTJOIN(CHAR(10),TRUE,FILTER('SUMMARY DATA'!H:H,'SUMMARY DATA'!$A:$A=$A934,'SUMMARY DATA'!$C:$C=$B934,'SUMMARY DATA'!$B:$B=""RWS"",'SUMMARY DATA'!$H:$H=$D934)),
  IF(
    OR(
      ISNUMBER(SEARCH(""CDM CASH DEPOSIT"",$C934)),
      ISNUMBER(S"&amp;"EARCH(""CASH DEPOSIT"",$C934))
    ),
    """",
    IFERROR(TEXTJOIN(CHAR(10),TRUE,FILTER('SUMMARY DATA'!H:H,'SUMMARY DATA'!$D:$D=$C934,'SUMMARY DATA'!$B:$B=""RWS"",'SUMMARY DATA'!$H:$H=$D934)),"""")
  )
)"),"")</f>
      </c>
      <c r="I934" s="18" t="str">
        <f>IFERROR(__xludf.DUMMYFUNCTION("IF(H934="""","""",
SUM(ARRAYFORMULA(VALUE(SPLIT(H934,CHAR(10)))))
)"),"")</f>
      </c>
      <c r="J934" s="17" t="str">
        <f>IFERROR(__xludf.DUMMYFUNCTION("IFERROR(
  TEXTJOIN(CHAR(10),TRUE,FILTER('SUMMARY DATA'!I:I,'SUMMARY DATA'!$A:$A=$A934,'SUMMARY DATA'!$C:$C=$B934,'SUMMARY DATA'!$B:$B=""RWS"")),
  IF(
    OR(
      ISNUMBER(SEARCH(""CDM CASH DEPOSIT"",$C934)),
      ISNUMBER(SEARCH(""CASH DEPOSIT"",$C93"&amp;"4)),
      COUNTIFS('SUMMARY DATA'!$D:$D,$C934,'SUMMARY DATA'!$B:$B,""RWS"")&lt;&gt;1
    ),
    """",
    IFERROR(TEXTJOIN(CHAR(10),TRUE,FILTER('SUMMARY DATA'!I:I,'SUMMARY DATA'!$D:$D=$C934,'SUMMARY DATA'!$B:$B=""RWS"")),"""")
  )
)"),"")</f>
      </c>
      <c r="K934" s="2"/>
      <c r="L934" s="2"/>
      <c r="M934" s="2"/>
      <c r="N934" s="2"/>
      <c r="O934" s="2"/>
      <c r="P934" s="2"/>
      <c r="Q934" s="2"/>
      <c r="R934" s="2"/>
      <c r="S934" s="2"/>
      <c r="T934" s="2"/>
      <c r="U934" s="2"/>
      <c r="V934" s="2"/>
      <c r="W934" s="2"/>
      <c r="X934" s="2"/>
      <c r="Y934" s="2"/>
      <c r="Z934" s="2"/>
      <c r="AA934" s="2"/>
      <c r="AB934" s="2"/>
    </row>
    <row r="935" spans="1:28" customHeight="true">
      <c r="A935" s="19"/>
      <c r="B935" s="20">
        <v>45766</v>
      </c>
      <c r="C935" s="19" t="s">
        <v>1470</v>
      </c>
      <c r="D935" s="21">
        <v>10</v>
      </c>
      <c r="E935" s="22" t="str">
        <f>IFERROR(__xludf.DUMMYFUNCTION("IFERROR(
  TEXTJOIN(CHAR(10),TRUE,FILTER('SUMMARY DATA'!E:E,'SUMMARY DATA'!$A:$A=$A36,'SUMMARY DATA'!$C:$C=$B36,'SUMMARY DATA'!$B:$B=""GRP"")),
  IF(
    OR(
      ISNUMBER(SEARCH(""CDM CASH DEPOSIT"",$C36)),
      ISNUMBER(SEARCH(""CASH DEPOSIT"",$C36)),"&amp;"
      COUNTIFS('SUMMARY DATA'!$D:$D,$C36,'SUMMARY DATA'!$B:$B,""GRP"")&lt;&gt;1
    ),
    """",
    IFERROR(TEXTJOIN(CHAR(10),TRUE,FILTER('SUMMARY DATA'!E:E,'SUMMARY DATA'!$D:$D=$C36,'SUMMARY DATA'!$B:$B=""GRP"")),"""")
  )
)"),"")</f>
      </c>
      <c r="F935" s="23" t="str">
        <f>IFERROR(__xludf.DUMMYFUNCTION("IFERROR(
  TEXTJOIN(CHAR(10),TRUE,FILTER('SUMMARY DATA'!F:F,'SUMMARY DATA'!$A:$A=$A36,'SUMMARY DATA'!$C:$C=$B36,'SUMMARY DATA'!$B:$B=""GRP"")),
  IF(
    OR(
      ISNUMBER(SEARCH(""CDM CASH DEPOSIT"",$C36)),
      ISNUMBER(SEARCH(""CASH DEPOSIT"",$C36)),"&amp;"
      COUNTIFS('SUMMARY DATA'!$D:$D,$C36,'SUMMARY DATA'!$B:$B,""GRP"")&lt;&gt;1
    ),
    """",
    IFERROR(TEXTJOIN(CHAR(10),TRUE,FILTER('SUMMARY DATA'!F:F,'SUMMARY DATA'!$D:$D=$C36,'SUMMARY DATA'!$B:$B=""GRP"")),"""")
  )
)"),"")</f>
      </c>
      <c r="G935" s="17" t="str">
        <f>IFERROR(__xludf.DUMMYFUNCTION("IFERROR(
  TEXTJOIN(CHAR(10),TRUE,FILTER('SUMMARY DATA'!G:G,'SUMMARY DATA'!$A:$A=$A935,'SUMMARY DATA'!$C:$C=$B935,'SUMMARY DATA'!$B:$B=""RWS"")),
  IF(
    OR(
      ISNUMBER(SEARCH(""CDM CASH DEPOSIT"",$C935)),
      ISNUMBER(SEARCH(""CASH DEPOSIT"",$C93"&amp;"5)),
      COUNTIFS('SUMMARY DATA'!$D:$D,$C935,'SUMMARY DATA'!$B:$B,""RWS"")&lt;&gt;1
    ),
    """",
    IFERROR(TEXTJOIN(CHAR(10),TRUE,FILTER('SUMMARY DATA'!G:G,'SUMMARY DATA'!$D:$D=$C935,'SUMMARY DATA'!$B:$B=""RWS"")),"""")
  )
)"),"")</f>
      </c>
      <c r="H935" s="18" t="str">
        <f>IFERROR(__xludf.DUMMYFUNCTION("IFERROR(
  TEXTJOIN(CHAR(10),TRUE,FILTER('SUMMARY DATA'!H:H,'SUMMARY DATA'!$A:$A=$A935,'SUMMARY DATA'!$C:$C=$B935,'SUMMARY DATA'!$B:$B=""RWS"",'SUMMARY DATA'!$H:$H=$D935)),
  IF(
    OR(
      ISNUMBER(SEARCH(""CDM CASH DEPOSIT"",$C935)),
      ISNUMBER(S"&amp;"EARCH(""CASH DEPOSIT"",$C935))
    ),
    """",
    IFERROR(TEXTJOIN(CHAR(10),TRUE,FILTER('SUMMARY DATA'!H:H,'SUMMARY DATA'!$D:$D=$C935,'SUMMARY DATA'!$B:$B=""RWS"",'SUMMARY DATA'!$H:$H=$D935)),"""")
  )
)"),"")</f>
      </c>
      <c r="I935" s="18" t="str">
        <f>IFERROR(__xludf.DUMMYFUNCTION("IF(H935="""","""",
SUM(ARRAYFORMULA(VALUE(SPLIT(H935,CHAR(10)))))
)"),"")</f>
      </c>
      <c r="J935" s="17" t="str">
        <f>IFERROR(__xludf.DUMMYFUNCTION("IFERROR(
  TEXTJOIN(CHAR(10),TRUE,FILTER('SUMMARY DATA'!I:I,'SUMMARY DATA'!$A:$A=$A935,'SUMMARY DATA'!$C:$C=$B935,'SUMMARY DATA'!$B:$B=""RWS"")),
  IF(
    OR(
      ISNUMBER(SEARCH(""CDM CASH DEPOSIT"",$C935)),
      ISNUMBER(SEARCH(""CASH DEPOSIT"",$C93"&amp;"5)),
      COUNTIFS('SUMMARY DATA'!$D:$D,$C935,'SUMMARY DATA'!$B:$B,""RWS"")&lt;&gt;1
    ),
    """",
    IFERROR(TEXTJOIN(CHAR(10),TRUE,FILTER('SUMMARY DATA'!I:I,'SUMMARY DATA'!$D:$D=$C935,'SUMMARY DATA'!$B:$B=""RWS"")),"""")
  )
)"),"")</f>
      </c>
      <c r="K935" s="2"/>
      <c r="L935" s="2"/>
      <c r="M935" s="2"/>
      <c r="N935" s="2"/>
      <c r="O935" s="2"/>
      <c r="P935" s="2"/>
      <c r="Q935" s="2"/>
      <c r="R935" s="2"/>
      <c r="S935" s="2"/>
      <c r="T935" s="2"/>
      <c r="U935" s="2"/>
      <c r="V935" s="2"/>
      <c r="W935" s="2"/>
      <c r="X935" s="2"/>
      <c r="Y935" s="2"/>
      <c r="Z935" s="2"/>
      <c r="AA935" s="2"/>
      <c r="AB935" s="2"/>
    </row>
    <row r="936" spans="1:28" customHeight="true">
      <c r="A936" s="25"/>
      <c r="B936" s="26">
        <v>45767</v>
      </c>
      <c r="C936" s="25" t="s">
        <v>1471</v>
      </c>
      <c r="D936" s="27">
        <v>122.89</v>
      </c>
      <c r="E936" s="28" t="str">
        <f>IFERROR(__xludf.DUMMYFUNCTION("IFERROR(
  TEXTJOIN(CHAR(10),TRUE,FILTER('SUMMARY DATA'!E:E,'SUMMARY DATA'!$A:$A=$A37,'SUMMARY DATA'!$C:$C=$B37,'SUMMARY DATA'!$B:$B=""GRP"")),
  IF(
    OR(
      ISNUMBER(SEARCH(""CDM CASH DEPOSIT"",$C37)),
      ISNUMBER(SEARCH(""CASH DEPOSIT"",$C37)),"&amp;"
      COUNTIFS('SUMMARY DATA'!$D:$D,$C37,'SUMMARY DATA'!$B:$B,""GRP"")&lt;&gt;1
    ),
    """",
    IFERROR(TEXTJOIN(CHAR(10),TRUE,FILTER('SUMMARY DATA'!E:E,'SUMMARY DATA'!$D:$D=$C37,'SUMMARY DATA'!$B:$B=""GRP"")),"""")
  )
)"),"")</f>
      </c>
      <c r="F936" s="29" t="str">
        <f>IFERROR(__xludf.DUMMYFUNCTION("IFERROR(
  TEXTJOIN(CHAR(10),TRUE,FILTER('SUMMARY DATA'!F:F,'SUMMARY DATA'!$A:$A=$A37,'SUMMARY DATA'!$C:$C=$B37,'SUMMARY DATA'!$B:$B=""GRP"")),
  IF(
    OR(
      ISNUMBER(SEARCH(""CDM CASH DEPOSIT"",$C37)),
      ISNUMBER(SEARCH(""CASH DEPOSIT"",$C37)),"&amp;"
      COUNTIFS('SUMMARY DATA'!$D:$D,$C37,'SUMMARY DATA'!$B:$B,""GRP"")&lt;&gt;1
    ),
    """",
    IFERROR(TEXTJOIN(CHAR(10),TRUE,FILTER('SUMMARY DATA'!F:F,'SUMMARY DATA'!$D:$D=$C37,'SUMMARY DATA'!$B:$B=""GRP"")),"""")
  )
)"),"")</f>
      </c>
      <c r="G936" s="17" t="str">
        <f>IFERROR(__xludf.DUMMYFUNCTION("IFERROR(
  TEXTJOIN(CHAR(10),TRUE,FILTER('SUMMARY DATA'!G:G,'SUMMARY DATA'!$A:$A=$A936,'SUMMARY DATA'!$C:$C=$B936,'SUMMARY DATA'!$B:$B=""RWS"")),
  IF(
    OR(
      ISNUMBER(SEARCH(""CDM CASH DEPOSIT"",$C936)),
      ISNUMBER(SEARCH(""CASH DEPOSIT"",$C93"&amp;"6)),
      COUNTIFS('SUMMARY DATA'!$D:$D,$C936,'SUMMARY DATA'!$B:$B,""RWS"")&lt;&gt;1
    ),
    """",
    IFERROR(TEXTJOIN(CHAR(10),TRUE,FILTER('SUMMARY DATA'!G:G,'SUMMARY DATA'!$D:$D=$C936,'SUMMARY DATA'!$B:$B=""RWS"")),"""")
  )
)"),"")</f>
      </c>
      <c r="H936" s="18" t="str">
        <f>IFERROR(__xludf.DUMMYFUNCTION("IFERROR(
  TEXTJOIN(CHAR(10),TRUE,FILTER('SUMMARY DATA'!H:H,'SUMMARY DATA'!$A:$A=$A936,'SUMMARY DATA'!$C:$C=$B936,'SUMMARY DATA'!$B:$B=""RWS"",'SUMMARY DATA'!$H:$H=$D936)),
  IF(
    OR(
      ISNUMBER(SEARCH(""CDM CASH DEPOSIT"",$C936)),
      ISNUMBER(S"&amp;"EARCH(""CASH DEPOSIT"",$C936))
    ),
    """",
    IFERROR(TEXTJOIN(CHAR(10),TRUE,FILTER('SUMMARY DATA'!H:H,'SUMMARY DATA'!$D:$D=$C936,'SUMMARY DATA'!$B:$B=""RWS"",'SUMMARY DATA'!$H:$H=$D936)),"""")
  )
)"),"")</f>
      </c>
      <c r="I936" s="18" t="str">
        <f>IFERROR(__xludf.DUMMYFUNCTION("IF(H936="""","""",
SUM(ARRAYFORMULA(VALUE(SPLIT(H936,CHAR(10)))))
)"),"")</f>
      </c>
      <c r="J936" s="17" t="str">
        <f>IFERROR(__xludf.DUMMYFUNCTION("IFERROR(
  TEXTJOIN(CHAR(10),TRUE,FILTER('SUMMARY DATA'!I:I,'SUMMARY DATA'!$A:$A=$A936,'SUMMARY DATA'!$C:$C=$B936,'SUMMARY DATA'!$B:$B=""RWS"")),
  IF(
    OR(
      ISNUMBER(SEARCH(""CDM CASH DEPOSIT"",$C936)),
      ISNUMBER(SEARCH(""CASH DEPOSIT"",$C93"&amp;"6)),
      COUNTIFS('SUMMARY DATA'!$D:$D,$C936,'SUMMARY DATA'!$B:$B,""RWS"")&lt;&gt;1
    ),
    """",
    IFERROR(TEXTJOIN(CHAR(10),TRUE,FILTER('SUMMARY DATA'!I:I,'SUMMARY DATA'!$D:$D=$C936,'SUMMARY DATA'!$B:$B=""RWS"")),"""")
  )
)"),"")</f>
      </c>
      <c r="K936" s="2"/>
      <c r="L936" s="2"/>
      <c r="M936" s="2"/>
      <c r="N936" s="2"/>
      <c r="O936" s="2"/>
      <c r="P936" s="2"/>
      <c r="Q936" s="2"/>
      <c r="R936" s="2"/>
      <c r="S936" s="2"/>
      <c r="T936" s="2"/>
      <c r="U936" s="2"/>
      <c r="V936" s="2"/>
      <c r="W936" s="2"/>
      <c r="X936" s="2"/>
      <c r="Y936" s="2"/>
      <c r="Z936" s="2"/>
      <c r="AA936" s="2"/>
      <c r="AB936" s="2"/>
    </row>
    <row r="937" spans="1:28" customHeight="true">
      <c r="A937" s="19" t="s">
        <v>992</v>
      </c>
      <c r="B937" s="20">
        <v>45767</v>
      </c>
      <c r="C937" s="19" t="s">
        <v>1472</v>
      </c>
      <c r="D937" s="21">
        <v>10</v>
      </c>
      <c r="E937" s="22" t="str">
        <f>IFERROR(__xludf.DUMMYFUNCTION("IFERROR(
  TEXTJOIN(CHAR(10),TRUE,FILTER('SUMMARY DATA'!E:E,'SUMMARY DATA'!$A:$A=$A38,'SUMMARY DATA'!$C:$C=$B38,'SUMMARY DATA'!$B:$B=""GRP"")),
  IF(
    OR(
      ISNUMBER(SEARCH(""CDM CASH DEPOSIT"",$C38)),
      ISNUMBER(SEARCH(""CASH DEPOSIT"",$C38)),"&amp;"
      COUNTIFS('SUMMARY DATA'!$D:$D,$C38,'SUMMARY DATA'!$B:$B,""GRP"")&lt;&gt;1
    ),
    """",
    IFERROR(TEXTJOIN(CHAR(10),TRUE,FILTER('SUMMARY DATA'!E:E,'SUMMARY DATA'!$D:$D=$C38,'SUMMARY DATA'!$B:$B=""GRP"")),"""")
  )
)"),"")</f>
      </c>
      <c r="F937" s="23" t="str">
        <f>IFERROR(__xludf.DUMMYFUNCTION("IFERROR(
  TEXTJOIN(CHAR(10),TRUE,FILTER('SUMMARY DATA'!F:F,'SUMMARY DATA'!$A:$A=$A38,'SUMMARY DATA'!$C:$C=$B38,'SUMMARY DATA'!$B:$B=""GRP"")),
  IF(
    OR(
      ISNUMBER(SEARCH(""CDM CASH DEPOSIT"",$C38)),
      ISNUMBER(SEARCH(""CASH DEPOSIT"",$C38)),"&amp;"
      COUNTIFS('SUMMARY DATA'!$D:$D,$C38,'SUMMARY DATA'!$B:$B,""GRP"")&lt;&gt;1
    ),
    """",
    IFERROR(TEXTJOIN(CHAR(10),TRUE,FILTER('SUMMARY DATA'!F:F,'SUMMARY DATA'!$D:$D=$C38,'SUMMARY DATA'!$B:$B=""GRP"")),"""")
  )
)"),"")</f>
      </c>
      <c r="G937" s="17" t="str">
        <f>IFERROR(__xludf.DUMMYFUNCTION("IFERROR(
  TEXTJOIN(CHAR(10),TRUE,FILTER('SUMMARY DATA'!G:G,'SUMMARY DATA'!$A:$A=$A937,'SUMMARY DATA'!$C:$C=$B937,'SUMMARY DATA'!$B:$B=""RWS"")),
  IF(
    OR(
      ISNUMBER(SEARCH(""CDM CASH DEPOSIT"",$C937)),
      ISNUMBER(SEARCH(""CASH DEPOSIT"",$C93"&amp;"7)),
      COUNTIFS('SUMMARY DATA'!$D:$D,$C937,'SUMMARY DATA'!$B:$B,""RWS"")&lt;&gt;1
    ),
    """",
    IFERROR(TEXTJOIN(CHAR(10),TRUE,FILTER('SUMMARY DATA'!G:G,'SUMMARY DATA'!$D:$D=$C937,'SUMMARY DATA'!$B:$B=""RWS"")),"""")
  )
)"),"")</f>
      </c>
      <c r="H937" s="18" t="str">
        <f>IFERROR(__xludf.DUMMYFUNCTION("IFERROR(
  TEXTJOIN(CHAR(10),TRUE,FILTER('SUMMARY DATA'!H:H,'SUMMARY DATA'!$A:$A=$A937,'SUMMARY DATA'!$C:$C=$B937,'SUMMARY DATA'!$B:$B=""RWS"",'SUMMARY DATA'!$H:$H=$D937)),
  IF(
    OR(
      ISNUMBER(SEARCH(""CDM CASH DEPOSIT"",$C937)),
      ISNUMBER(S"&amp;"EARCH(""CASH DEPOSIT"",$C937))
    ),
    """",
    IFERROR(TEXTJOIN(CHAR(10),TRUE,FILTER('SUMMARY DATA'!H:H,'SUMMARY DATA'!$D:$D=$C937,'SUMMARY DATA'!$B:$B=""RWS"",'SUMMARY DATA'!$H:$H=$D937)),"""")
  )
)"),"")</f>
      </c>
      <c r="I937" s="18" t="str">
        <f>IFERROR(__xludf.DUMMYFUNCTION("IF(H937="""","""",
SUM(ARRAYFORMULA(VALUE(SPLIT(H937,CHAR(10)))))
)"),"")</f>
      </c>
      <c r="J937" s="17" t="str">
        <f>IFERROR(__xludf.DUMMYFUNCTION("IFERROR(
  TEXTJOIN(CHAR(10),TRUE,FILTER('SUMMARY DATA'!I:I,'SUMMARY DATA'!$A:$A=$A937,'SUMMARY DATA'!$C:$C=$B937,'SUMMARY DATA'!$B:$B=""RWS"")),
  IF(
    OR(
      ISNUMBER(SEARCH(""CDM CASH DEPOSIT"",$C937)),
      ISNUMBER(SEARCH(""CASH DEPOSIT"",$C93"&amp;"7)),
      COUNTIFS('SUMMARY DATA'!$D:$D,$C937,'SUMMARY DATA'!$B:$B,""RWS"")&lt;&gt;1
    ),
    """",
    IFERROR(TEXTJOIN(CHAR(10),TRUE,FILTER('SUMMARY DATA'!I:I,'SUMMARY DATA'!$D:$D=$C937,'SUMMARY DATA'!$B:$B=""RWS"")),"""")
  )
)"),"")</f>
      </c>
      <c r="K937" s="2"/>
      <c r="L937" s="2"/>
      <c r="M937" s="2"/>
      <c r="N937" s="2"/>
      <c r="O937" s="2"/>
      <c r="P937" s="2"/>
      <c r="Q937" s="2"/>
      <c r="R937" s="2"/>
      <c r="S937" s="2"/>
      <c r="T937" s="2"/>
      <c r="U937" s="2"/>
      <c r="V937" s="2"/>
      <c r="W937" s="2"/>
      <c r="X937" s="2"/>
      <c r="Y937" s="2"/>
      <c r="Z937" s="2"/>
      <c r="AA937" s="2"/>
      <c r="AB937" s="2"/>
    </row>
    <row r="938" spans="1:28" customHeight="true">
      <c r="A938" s="25"/>
      <c r="B938" s="26">
        <v>45767</v>
      </c>
      <c r="C938" s="25" t="s">
        <v>1473</v>
      </c>
      <c r="D938" s="27">
        <v>10</v>
      </c>
      <c r="E938" s="28" t="str">
        <f>IFERROR(__xludf.DUMMYFUNCTION("IFERROR(
  TEXTJOIN(CHAR(10),TRUE,FILTER('SUMMARY DATA'!E:E,'SUMMARY DATA'!$A:$A=$A39,'SUMMARY DATA'!$C:$C=$B39,'SUMMARY DATA'!$B:$B=""GRP"")),
  IF(
    OR(
      ISNUMBER(SEARCH(""CDM CASH DEPOSIT"",$C39)),
      ISNUMBER(SEARCH(""CASH DEPOSIT"",$C39)),"&amp;"
      COUNTIFS('SUMMARY DATA'!$D:$D,$C39,'SUMMARY DATA'!$B:$B,""GRP"")&lt;&gt;1
    ),
    """",
    IFERROR(TEXTJOIN(CHAR(10),TRUE,FILTER('SUMMARY DATA'!E:E,'SUMMARY DATA'!$D:$D=$C39,'SUMMARY DATA'!$B:$B=""GRP"")),"""")
  )
)"),"")</f>
      </c>
      <c r="F938" s="29" t="str">
        <f>IFERROR(__xludf.DUMMYFUNCTION("IFERROR(
  TEXTJOIN(CHAR(10),TRUE,FILTER('SUMMARY DATA'!F:F,'SUMMARY DATA'!$A:$A=$A39,'SUMMARY DATA'!$C:$C=$B39,'SUMMARY DATA'!$B:$B=""GRP"")),
  IF(
    OR(
      ISNUMBER(SEARCH(""CDM CASH DEPOSIT"",$C39)),
      ISNUMBER(SEARCH(""CASH DEPOSIT"",$C39)),"&amp;"
      COUNTIFS('SUMMARY DATA'!$D:$D,$C39,'SUMMARY DATA'!$B:$B,""GRP"")&lt;&gt;1
    ),
    """",
    IFERROR(TEXTJOIN(CHAR(10),TRUE,FILTER('SUMMARY DATA'!F:F,'SUMMARY DATA'!$D:$D=$C39,'SUMMARY DATA'!$B:$B=""GRP"")),"""")
  )
)"),"")</f>
      </c>
      <c r="G938" s="17" t="str">
        <f>IFERROR(__xludf.DUMMYFUNCTION("IFERROR(
  TEXTJOIN(CHAR(10),TRUE,FILTER('SUMMARY DATA'!G:G,'SUMMARY DATA'!$A:$A=$A938,'SUMMARY DATA'!$C:$C=$B938,'SUMMARY DATA'!$B:$B=""RWS"")),
  IF(
    OR(
      ISNUMBER(SEARCH(""CDM CASH DEPOSIT"",$C938)),
      ISNUMBER(SEARCH(""CASH DEPOSIT"",$C93"&amp;"8)),
      COUNTIFS('SUMMARY DATA'!$D:$D,$C938,'SUMMARY DATA'!$B:$B,""RWS"")&lt;&gt;1
    ),
    """",
    IFERROR(TEXTJOIN(CHAR(10),TRUE,FILTER('SUMMARY DATA'!G:G,'SUMMARY DATA'!$D:$D=$C938,'SUMMARY DATA'!$B:$B=""RWS"")),"""")
  )
)"),"")</f>
      </c>
      <c r="H938" s="18" t="str">
        <f>IFERROR(__xludf.DUMMYFUNCTION("IFERROR(
  TEXTJOIN(CHAR(10),TRUE,FILTER('SUMMARY DATA'!H:H,'SUMMARY DATA'!$A:$A=$A938,'SUMMARY DATA'!$C:$C=$B938,'SUMMARY DATA'!$B:$B=""RWS"",'SUMMARY DATA'!$H:$H=$D938)),
  IF(
    OR(
      ISNUMBER(SEARCH(""CDM CASH DEPOSIT"",$C938)),
      ISNUMBER(S"&amp;"EARCH(""CASH DEPOSIT"",$C938))
    ),
    """",
    IFERROR(TEXTJOIN(CHAR(10),TRUE,FILTER('SUMMARY DATA'!H:H,'SUMMARY DATA'!$D:$D=$C938,'SUMMARY DATA'!$B:$B=""RWS"",'SUMMARY DATA'!$H:$H=$D938)),"""")
  )
)"),"")</f>
      </c>
      <c r="I938" s="18" t="str">
        <f>IFERROR(__xludf.DUMMYFUNCTION("IF(H938="""","""",
SUM(ARRAYFORMULA(VALUE(SPLIT(H938,CHAR(10)))))
)"),"")</f>
      </c>
      <c r="J938" s="17" t="str">
        <f>IFERROR(__xludf.DUMMYFUNCTION("IFERROR(
  TEXTJOIN(CHAR(10),TRUE,FILTER('SUMMARY DATA'!I:I,'SUMMARY DATA'!$A:$A=$A938,'SUMMARY DATA'!$C:$C=$B938,'SUMMARY DATA'!$B:$B=""RWS"")),
  IF(
    OR(
      ISNUMBER(SEARCH(""CDM CASH DEPOSIT"",$C938)),
      ISNUMBER(SEARCH(""CASH DEPOSIT"",$C93"&amp;"8)),
      COUNTIFS('SUMMARY DATA'!$D:$D,$C938,'SUMMARY DATA'!$B:$B,""RWS"")&lt;&gt;1
    ),
    """",
    IFERROR(TEXTJOIN(CHAR(10),TRUE,FILTER('SUMMARY DATA'!I:I,'SUMMARY DATA'!$D:$D=$C938,'SUMMARY DATA'!$B:$B=""RWS"")),"""")
  )
)"),"")</f>
      </c>
      <c r="K938" s="2"/>
      <c r="L938" s="2"/>
      <c r="M938" s="2"/>
      <c r="N938" s="2"/>
      <c r="O938" s="2"/>
      <c r="P938" s="2"/>
      <c r="Q938" s="2"/>
      <c r="R938" s="2"/>
      <c r="S938" s="2"/>
      <c r="T938" s="2"/>
      <c r="U938" s="2"/>
      <c r="V938" s="2"/>
      <c r="W938" s="2"/>
      <c r="X938" s="2"/>
      <c r="Y938" s="2"/>
      <c r="Z938" s="2"/>
      <c r="AA938" s="2"/>
      <c r="AB938" s="2"/>
    </row>
    <row r="939" spans="1:28" customHeight="true">
      <c r="A939" s="19"/>
      <c r="B939" s="20">
        <v>45768</v>
      </c>
      <c r="C939" s="19" t="s">
        <v>1474</v>
      </c>
      <c r="D939" s="21">
        <v>993.62</v>
      </c>
      <c r="E939" s="22" t="str">
        <f>IFERROR(__xludf.DUMMYFUNCTION("IFERROR(
  TEXTJOIN(CHAR(10),TRUE,FILTER('SUMMARY DATA'!E:E,'SUMMARY DATA'!$A:$A=$A40,'SUMMARY DATA'!$C:$C=$B40,'SUMMARY DATA'!$B:$B=""GRP"")),
  IF(
    OR(
      ISNUMBER(SEARCH(""CDM CASH DEPOSIT"",$C40)),
      ISNUMBER(SEARCH(""CASH DEPOSIT"",$C40)),"&amp;"
      COUNTIFS('SUMMARY DATA'!$D:$D,$C40,'SUMMARY DATA'!$B:$B,""GRP"")&lt;&gt;1
    ),
    """",
    IFERROR(TEXTJOIN(CHAR(10),TRUE,FILTER('SUMMARY DATA'!E:E,'SUMMARY DATA'!$D:$D=$C40,'SUMMARY DATA'!$B:$B=""GRP"")),"""")
  )
)"),"")</f>
      </c>
      <c r="F939" s="23" t="str">
        <f>IFERROR(__xludf.DUMMYFUNCTION("IFERROR(
  TEXTJOIN(CHAR(10),TRUE,FILTER('SUMMARY DATA'!F:F,'SUMMARY DATA'!$A:$A=$A40,'SUMMARY DATA'!$C:$C=$B40,'SUMMARY DATA'!$B:$B=""GRP"")),
  IF(
    OR(
      ISNUMBER(SEARCH(""CDM CASH DEPOSIT"",$C40)),
      ISNUMBER(SEARCH(""CASH DEPOSIT"",$C40)),"&amp;"
      COUNTIFS('SUMMARY DATA'!$D:$D,$C40,'SUMMARY DATA'!$B:$B,""GRP"")&lt;&gt;1
    ),
    """",
    IFERROR(TEXTJOIN(CHAR(10),TRUE,FILTER('SUMMARY DATA'!F:F,'SUMMARY DATA'!$D:$D=$C40,'SUMMARY DATA'!$B:$B=""GRP"")),"""")
  )
)"),"")</f>
      </c>
      <c r="G939" s="17" t="str">
        <f>IFERROR(__xludf.DUMMYFUNCTION("IFERROR(
  TEXTJOIN(CHAR(10),TRUE,FILTER('SUMMARY DATA'!G:G,'SUMMARY DATA'!$A:$A=$A939,'SUMMARY DATA'!$C:$C=$B939,'SUMMARY DATA'!$B:$B=""RWS"")),
  IF(
    OR(
      ISNUMBER(SEARCH(""CDM CASH DEPOSIT"",$C939)),
      ISNUMBER(SEARCH(""CASH DEPOSIT"",$C93"&amp;"9)),
      COUNTIFS('SUMMARY DATA'!$D:$D,$C939,'SUMMARY DATA'!$B:$B,""RWS"")&lt;&gt;1
    ),
    """",
    IFERROR(TEXTJOIN(CHAR(10),TRUE,FILTER('SUMMARY DATA'!G:G,'SUMMARY DATA'!$D:$D=$C939,'SUMMARY DATA'!$B:$B=""RWS"")),"""")
  )
)"),"")</f>
      </c>
      <c r="H939" s="18" t="str">
        <f>IFERROR(__xludf.DUMMYFUNCTION("IFERROR(
  TEXTJOIN(CHAR(10),TRUE,FILTER('SUMMARY DATA'!H:H,'SUMMARY DATA'!$A:$A=$A939,'SUMMARY DATA'!$C:$C=$B939,'SUMMARY DATA'!$B:$B=""RWS"",'SUMMARY DATA'!$H:$H=$D939)),
  IF(
    OR(
      ISNUMBER(SEARCH(""CDM CASH DEPOSIT"",$C939)),
      ISNUMBER(S"&amp;"EARCH(""CASH DEPOSIT"",$C939))
    ),
    """",
    IFERROR(TEXTJOIN(CHAR(10),TRUE,FILTER('SUMMARY DATA'!H:H,'SUMMARY DATA'!$D:$D=$C939,'SUMMARY DATA'!$B:$B=""RWS"",'SUMMARY DATA'!$H:$H=$D939)),"""")
  )
)"),"")</f>
      </c>
      <c r="I939" s="18" t="str">
        <f>IFERROR(__xludf.DUMMYFUNCTION("IF(H939="""","""",
SUM(ARRAYFORMULA(VALUE(SPLIT(H939,CHAR(10)))))
)"),"")</f>
      </c>
      <c r="J939" s="17" t="str">
        <f>IFERROR(__xludf.DUMMYFUNCTION("IFERROR(
  TEXTJOIN(CHAR(10),TRUE,FILTER('SUMMARY DATA'!I:I,'SUMMARY DATA'!$A:$A=$A939,'SUMMARY DATA'!$C:$C=$B939,'SUMMARY DATA'!$B:$B=""RWS"")),
  IF(
    OR(
      ISNUMBER(SEARCH(""CDM CASH DEPOSIT"",$C939)),
      ISNUMBER(SEARCH(""CASH DEPOSIT"",$C93"&amp;"9)),
      COUNTIFS('SUMMARY DATA'!$D:$D,$C939,'SUMMARY DATA'!$B:$B,""RWS"")&lt;&gt;1
    ),
    """",
    IFERROR(TEXTJOIN(CHAR(10),TRUE,FILTER('SUMMARY DATA'!I:I,'SUMMARY DATA'!$D:$D=$C939,'SUMMARY DATA'!$B:$B=""RWS"")),"""")
  )
)"),"")</f>
      </c>
      <c r="K939" s="2"/>
      <c r="L939" s="2"/>
      <c r="M939" s="2"/>
      <c r="N939" s="2"/>
      <c r="O939" s="2"/>
      <c r="P939" s="2"/>
      <c r="Q939" s="2"/>
      <c r="R939" s="2"/>
      <c r="S939" s="2"/>
      <c r="T939" s="2"/>
      <c r="U939" s="2"/>
      <c r="V939" s="2"/>
      <c r="W939" s="2"/>
      <c r="X939" s="2"/>
      <c r="Y939" s="2"/>
      <c r="Z939" s="2"/>
      <c r="AA939" s="2"/>
      <c r="AB939" s="2"/>
    </row>
    <row r="940" spans="1:28" customHeight="true">
      <c r="A940" s="25"/>
      <c r="B940" s="26">
        <v>45768</v>
      </c>
      <c r="C940" s="25" t="s">
        <v>1475</v>
      </c>
      <c r="D940" s="27">
        <v>145</v>
      </c>
      <c r="E940" s="28" t="str">
        <f>IFERROR(__xludf.DUMMYFUNCTION("IFERROR(
  TEXTJOIN(CHAR(10),TRUE,FILTER('SUMMARY DATA'!E:E,'SUMMARY DATA'!$A:$A=$A41,'SUMMARY DATA'!$C:$C=$B41,'SUMMARY DATA'!$B:$B=""GRP"")),
  IF(
    OR(
      ISNUMBER(SEARCH(""CDM CASH DEPOSIT"",$C41)),
      ISNUMBER(SEARCH(""CASH DEPOSIT"",$C41)),"&amp;"
      COUNTIFS('SUMMARY DATA'!$D:$D,$C41,'SUMMARY DATA'!$B:$B,""GRP"")&lt;&gt;1
    ),
    """",
    IFERROR(TEXTJOIN(CHAR(10),TRUE,FILTER('SUMMARY DATA'!E:E,'SUMMARY DATA'!$D:$D=$C41,'SUMMARY DATA'!$B:$B=""GRP"")),"""")
  )
)"),"")</f>
      </c>
      <c r="F940" s="29" t="str">
        <f>IFERROR(__xludf.DUMMYFUNCTION("IFERROR(
  TEXTJOIN(CHAR(10),TRUE,FILTER('SUMMARY DATA'!F:F,'SUMMARY DATA'!$A:$A=$A41,'SUMMARY DATA'!$C:$C=$B41,'SUMMARY DATA'!$B:$B=""GRP"")),
  IF(
    OR(
      ISNUMBER(SEARCH(""CDM CASH DEPOSIT"",$C41)),
      ISNUMBER(SEARCH(""CASH DEPOSIT"",$C41)),"&amp;"
      COUNTIFS('SUMMARY DATA'!$D:$D,$C41,'SUMMARY DATA'!$B:$B,""GRP"")&lt;&gt;1
    ),
    """",
    IFERROR(TEXTJOIN(CHAR(10),TRUE,FILTER('SUMMARY DATA'!F:F,'SUMMARY DATA'!$D:$D=$C41,'SUMMARY DATA'!$B:$B=""GRP"")),"""")
  )
)"),"")</f>
      </c>
      <c r="G940" s="17" t="str">
        <f>IFERROR(__xludf.DUMMYFUNCTION("IFERROR(
  TEXTJOIN(CHAR(10),TRUE,FILTER('SUMMARY DATA'!G:G,'SUMMARY DATA'!$A:$A=$A940,'SUMMARY DATA'!$C:$C=$B940,'SUMMARY DATA'!$B:$B=""RWS"")),
  IF(
    OR(
      ISNUMBER(SEARCH(""CDM CASH DEPOSIT"",$C940)),
      ISNUMBER(SEARCH(""CASH DEPOSIT"",$C94"&amp;"0)),
      COUNTIFS('SUMMARY DATA'!$D:$D,$C940,'SUMMARY DATA'!$B:$B,""RWS"")&lt;&gt;1
    ),
    """",
    IFERROR(TEXTJOIN(CHAR(10),TRUE,FILTER('SUMMARY DATA'!G:G,'SUMMARY DATA'!$D:$D=$C940,'SUMMARY DATA'!$B:$B=""RWS"")),"""")
  )
)"),"")</f>
      </c>
      <c r="H940" s="18" t="str">
        <f>IFERROR(__xludf.DUMMYFUNCTION("IFERROR(
  TEXTJOIN(CHAR(10),TRUE,FILTER('SUMMARY DATA'!H:H,'SUMMARY DATA'!$A:$A=$A940,'SUMMARY DATA'!$C:$C=$B940,'SUMMARY DATA'!$B:$B=""RWS"",'SUMMARY DATA'!$H:$H=$D940)),
  IF(
    OR(
      ISNUMBER(SEARCH(""CDM CASH DEPOSIT"",$C940)),
      ISNUMBER(S"&amp;"EARCH(""CASH DEPOSIT"",$C940))
    ),
    """",
    IFERROR(TEXTJOIN(CHAR(10),TRUE,FILTER('SUMMARY DATA'!H:H,'SUMMARY DATA'!$D:$D=$C940,'SUMMARY DATA'!$B:$B=""RWS"",'SUMMARY DATA'!$H:$H=$D940)),"""")
  )
)"),"")</f>
      </c>
      <c r="I940" s="18" t="str">
        <f>IFERROR(__xludf.DUMMYFUNCTION("IF(H940="""","""",
SUM(ARRAYFORMULA(VALUE(SPLIT(H940,CHAR(10)))))
)"),"")</f>
      </c>
      <c r="J940" s="17" t="str">
        <f>IFERROR(__xludf.DUMMYFUNCTION("IFERROR(
  TEXTJOIN(CHAR(10),TRUE,FILTER('SUMMARY DATA'!I:I,'SUMMARY DATA'!$A:$A=$A940,'SUMMARY DATA'!$C:$C=$B940,'SUMMARY DATA'!$B:$B=""RWS"")),
  IF(
    OR(
      ISNUMBER(SEARCH(""CDM CASH DEPOSIT"",$C940)),
      ISNUMBER(SEARCH(""CASH DEPOSIT"",$C94"&amp;"0)),
      COUNTIFS('SUMMARY DATA'!$D:$D,$C940,'SUMMARY DATA'!$B:$B,""RWS"")&lt;&gt;1
    ),
    """",
    IFERROR(TEXTJOIN(CHAR(10),TRUE,FILTER('SUMMARY DATA'!I:I,'SUMMARY DATA'!$D:$D=$C940,'SUMMARY DATA'!$B:$B=""RWS"")),"""")
  )
)"),"")</f>
      </c>
      <c r="K940" s="2"/>
      <c r="L940" s="2"/>
      <c r="M940" s="2"/>
      <c r="N940" s="2"/>
      <c r="O940" s="2"/>
      <c r="P940" s="2"/>
      <c r="Q940" s="2"/>
      <c r="R940" s="2"/>
      <c r="S940" s="2"/>
      <c r="T940" s="2"/>
      <c r="U940" s="2"/>
      <c r="V940" s="2"/>
      <c r="W940" s="2"/>
      <c r="X940" s="2"/>
      <c r="Y940" s="2"/>
      <c r="Z940" s="2"/>
      <c r="AA940" s="2"/>
      <c r="AB940" s="2"/>
    </row>
    <row r="941" spans="1:28" customHeight="true">
      <c r="A941" s="19"/>
      <c r="B941" s="20">
        <v>45768</v>
      </c>
      <c r="C941" s="19" t="s">
        <v>1476</v>
      </c>
      <c r="D941" s="21">
        <v>25.76</v>
      </c>
      <c r="E941" s="22" t="str">
        <f>IFERROR(__xludf.DUMMYFUNCTION("IFERROR(
  TEXTJOIN(CHAR(10),TRUE,FILTER('SUMMARY DATA'!E:E,'SUMMARY DATA'!$A:$A=$A42,'SUMMARY DATA'!$C:$C=$B42,'SUMMARY DATA'!$B:$B=""GRP"")),
  IF(
    OR(
      ISNUMBER(SEARCH(""CDM CASH DEPOSIT"",$C42)),
      ISNUMBER(SEARCH(""CASH DEPOSIT"",$C42)),"&amp;"
      COUNTIFS('SUMMARY DATA'!$D:$D,$C42,'SUMMARY DATA'!$B:$B,""GRP"")&lt;&gt;1
    ),
    """",
    IFERROR(TEXTJOIN(CHAR(10),TRUE,FILTER('SUMMARY DATA'!E:E,'SUMMARY DATA'!$D:$D=$C42,'SUMMARY DATA'!$B:$B=""GRP"")),"""")
  )
)"),"")</f>
      </c>
      <c r="F941" s="23" t="str">
        <f>IFERROR(__xludf.DUMMYFUNCTION("IFERROR(
  TEXTJOIN(CHAR(10),TRUE,FILTER('SUMMARY DATA'!F:F,'SUMMARY DATA'!$A:$A=$A42,'SUMMARY DATA'!$C:$C=$B42,'SUMMARY DATA'!$B:$B=""GRP"")),
  IF(
    OR(
      ISNUMBER(SEARCH(""CDM CASH DEPOSIT"",$C42)),
      ISNUMBER(SEARCH(""CASH DEPOSIT"",$C42)),"&amp;"
      COUNTIFS('SUMMARY DATA'!$D:$D,$C42,'SUMMARY DATA'!$B:$B,""GRP"")&lt;&gt;1
    ),
    """",
    IFERROR(TEXTJOIN(CHAR(10),TRUE,FILTER('SUMMARY DATA'!F:F,'SUMMARY DATA'!$D:$D=$C42,'SUMMARY DATA'!$B:$B=""GRP"")),"""")
  )
)"),"")</f>
      </c>
      <c r="G941" s="17" t="str">
        <f>IFERROR(__xludf.DUMMYFUNCTION("IFERROR(
  TEXTJOIN(CHAR(10),TRUE,FILTER('SUMMARY DATA'!G:G,'SUMMARY DATA'!$A:$A=$A941,'SUMMARY DATA'!$C:$C=$B941,'SUMMARY DATA'!$B:$B=""RWS"")),
  IF(
    OR(
      ISNUMBER(SEARCH(""CDM CASH DEPOSIT"",$C941)),
      ISNUMBER(SEARCH(""CASH DEPOSIT"",$C94"&amp;"1)),
      COUNTIFS('SUMMARY DATA'!$D:$D,$C941,'SUMMARY DATA'!$B:$B,""RWS"")&lt;&gt;1
    ),
    """",
    IFERROR(TEXTJOIN(CHAR(10),TRUE,FILTER('SUMMARY DATA'!G:G,'SUMMARY DATA'!$D:$D=$C941,'SUMMARY DATA'!$B:$B=""RWS"")),"""")
  )
)"),"")</f>
      </c>
      <c r="H941" s="18" t="str">
        <f>IFERROR(__xludf.DUMMYFUNCTION("IFERROR(
  TEXTJOIN(CHAR(10),TRUE,FILTER('SUMMARY DATA'!H:H,'SUMMARY DATA'!$A:$A=$A941,'SUMMARY DATA'!$C:$C=$B941,'SUMMARY DATA'!$B:$B=""RWS"",'SUMMARY DATA'!$H:$H=$D941)),
  IF(
    OR(
      ISNUMBER(SEARCH(""CDM CASH DEPOSIT"",$C941)),
      ISNUMBER(S"&amp;"EARCH(""CASH DEPOSIT"",$C941))
    ),
    """",
    IFERROR(TEXTJOIN(CHAR(10),TRUE,FILTER('SUMMARY DATA'!H:H,'SUMMARY DATA'!$D:$D=$C941,'SUMMARY DATA'!$B:$B=""RWS"",'SUMMARY DATA'!$H:$H=$D941)),"""")
  )
)"),"")</f>
      </c>
      <c r="I941" s="18" t="str">
        <f>IFERROR(__xludf.DUMMYFUNCTION("IF(H941="""","""",
SUM(ARRAYFORMULA(VALUE(SPLIT(H941,CHAR(10)))))
)"),"")</f>
      </c>
      <c r="J941" s="17" t="str">
        <f>IFERROR(__xludf.DUMMYFUNCTION("IFERROR(
  TEXTJOIN(CHAR(10),TRUE,FILTER('SUMMARY DATA'!I:I,'SUMMARY DATA'!$A:$A=$A941,'SUMMARY DATA'!$C:$C=$B941,'SUMMARY DATA'!$B:$B=""RWS"")),
  IF(
    OR(
      ISNUMBER(SEARCH(""CDM CASH DEPOSIT"",$C941)),
      ISNUMBER(SEARCH(""CASH DEPOSIT"",$C94"&amp;"1)),
      COUNTIFS('SUMMARY DATA'!$D:$D,$C941,'SUMMARY DATA'!$B:$B,""RWS"")&lt;&gt;1
    ),
    """",
    IFERROR(TEXTJOIN(CHAR(10),TRUE,FILTER('SUMMARY DATA'!I:I,'SUMMARY DATA'!$D:$D=$C941,'SUMMARY DATA'!$B:$B=""RWS"")),"""")
  )
)"),"")</f>
      </c>
      <c r="K941" s="2"/>
      <c r="L941" s="2"/>
      <c r="M941" s="2"/>
      <c r="N941" s="2"/>
      <c r="O941" s="2"/>
      <c r="P941" s="2"/>
      <c r="Q941" s="2"/>
      <c r="R941" s="2"/>
      <c r="S941" s="2"/>
      <c r="T941" s="2"/>
      <c r="U941" s="2"/>
      <c r="V941" s="2"/>
      <c r="W941" s="2"/>
      <c r="X941" s="2"/>
      <c r="Y941" s="2"/>
      <c r="Z941" s="2"/>
      <c r="AA941" s="2"/>
      <c r="AB941" s="2"/>
    </row>
    <row r="942" spans="1:28" customHeight="true">
      <c r="A942" s="25"/>
      <c r="B942" s="26">
        <v>45768</v>
      </c>
      <c r="C942" s="25" t="s">
        <v>1477</v>
      </c>
      <c r="D942" s="27">
        <v>10</v>
      </c>
      <c r="E942" s="28" t="str">
        <f>IFERROR(__xludf.DUMMYFUNCTION("IFERROR(
  TEXTJOIN(CHAR(10),TRUE,FILTER('SUMMARY DATA'!E:E,'SUMMARY DATA'!$A:$A=$A43,'SUMMARY DATA'!$C:$C=$B43,'SUMMARY DATA'!$B:$B=""GRP"")),
  IF(
    OR(
      ISNUMBER(SEARCH(""CDM CASH DEPOSIT"",$C43)),
      ISNUMBER(SEARCH(""CASH DEPOSIT"",$C43)),"&amp;"
      COUNTIFS('SUMMARY DATA'!$D:$D,$C43,'SUMMARY DATA'!$B:$B,""GRP"")&lt;&gt;1
    ),
    """",
    IFERROR(TEXTJOIN(CHAR(10),TRUE,FILTER('SUMMARY DATA'!E:E,'SUMMARY DATA'!$D:$D=$C43,'SUMMARY DATA'!$B:$B=""GRP"")),"""")
  )
)"),"")</f>
      </c>
      <c r="F942" s="29" t="str">
        <f>IFERROR(__xludf.DUMMYFUNCTION("IFERROR(
  TEXTJOIN(CHAR(10),TRUE,FILTER('SUMMARY DATA'!F:F,'SUMMARY DATA'!$A:$A=$A43,'SUMMARY DATA'!$C:$C=$B43,'SUMMARY DATA'!$B:$B=""GRP"")),
  IF(
    OR(
      ISNUMBER(SEARCH(""CDM CASH DEPOSIT"",$C43)),
      ISNUMBER(SEARCH(""CASH DEPOSIT"",$C43)),"&amp;"
      COUNTIFS('SUMMARY DATA'!$D:$D,$C43,'SUMMARY DATA'!$B:$B,""GRP"")&lt;&gt;1
    ),
    """",
    IFERROR(TEXTJOIN(CHAR(10),TRUE,FILTER('SUMMARY DATA'!F:F,'SUMMARY DATA'!$D:$D=$C43,'SUMMARY DATA'!$B:$B=""GRP"")),"""")
  )
)"),"")</f>
      </c>
      <c r="G942" s="17" t="str">
        <f>IFERROR(__xludf.DUMMYFUNCTION("IFERROR(
  TEXTJOIN(CHAR(10),TRUE,FILTER('SUMMARY DATA'!G:G,'SUMMARY DATA'!$A:$A=$A942,'SUMMARY DATA'!$C:$C=$B942,'SUMMARY DATA'!$B:$B=""RWS"")),
  IF(
    OR(
      ISNUMBER(SEARCH(""CDM CASH DEPOSIT"",$C942)),
      ISNUMBER(SEARCH(""CASH DEPOSIT"",$C94"&amp;"2)),
      COUNTIFS('SUMMARY DATA'!$D:$D,$C942,'SUMMARY DATA'!$B:$B,""RWS"")&lt;&gt;1
    ),
    """",
    IFERROR(TEXTJOIN(CHAR(10),TRUE,FILTER('SUMMARY DATA'!G:G,'SUMMARY DATA'!$D:$D=$C942,'SUMMARY DATA'!$B:$B=""RWS"")),"""")
  )
)"),"")</f>
      </c>
      <c r="H942" s="18" t="str">
        <f>IFERROR(__xludf.DUMMYFUNCTION("IFERROR(
  TEXTJOIN(CHAR(10),TRUE,FILTER('SUMMARY DATA'!H:H,'SUMMARY DATA'!$A:$A=$A942,'SUMMARY DATA'!$C:$C=$B942,'SUMMARY DATA'!$B:$B=""RWS"",'SUMMARY DATA'!$H:$H=$D942)),
  IF(
    OR(
      ISNUMBER(SEARCH(""CDM CASH DEPOSIT"",$C942)),
      ISNUMBER(S"&amp;"EARCH(""CASH DEPOSIT"",$C942))
    ),
    """",
    IFERROR(TEXTJOIN(CHAR(10),TRUE,FILTER('SUMMARY DATA'!H:H,'SUMMARY DATA'!$D:$D=$C942,'SUMMARY DATA'!$B:$B=""RWS"",'SUMMARY DATA'!$H:$H=$D942)),"""")
  )
)"),"")</f>
      </c>
      <c r="I942" s="18" t="str">
        <f>IFERROR(__xludf.DUMMYFUNCTION("IF(H942="""","""",
SUM(ARRAYFORMULA(VALUE(SPLIT(H942,CHAR(10)))))
)"),"")</f>
      </c>
      <c r="J942" s="17" t="str">
        <f>IFERROR(__xludf.DUMMYFUNCTION("IFERROR(
  TEXTJOIN(CHAR(10),TRUE,FILTER('SUMMARY DATA'!I:I,'SUMMARY DATA'!$A:$A=$A942,'SUMMARY DATA'!$C:$C=$B942,'SUMMARY DATA'!$B:$B=""RWS"")),
  IF(
    OR(
      ISNUMBER(SEARCH(""CDM CASH DEPOSIT"",$C942)),
      ISNUMBER(SEARCH(""CASH DEPOSIT"",$C94"&amp;"2)),
      COUNTIFS('SUMMARY DATA'!$D:$D,$C942,'SUMMARY DATA'!$B:$B,""RWS"")&lt;&gt;1
    ),
    """",
    IFERROR(TEXTJOIN(CHAR(10),TRUE,FILTER('SUMMARY DATA'!I:I,'SUMMARY DATA'!$D:$D=$C942,'SUMMARY DATA'!$B:$B=""RWS"")),"""")
  )
)"),"")</f>
      </c>
      <c r="K942" s="2"/>
      <c r="L942" s="2"/>
      <c r="M942" s="2"/>
      <c r="N942" s="2"/>
      <c r="O942" s="2"/>
      <c r="P942" s="2"/>
      <c r="Q942" s="2"/>
      <c r="R942" s="2"/>
      <c r="S942" s="2"/>
      <c r="T942" s="2"/>
      <c r="U942" s="2"/>
      <c r="V942" s="2"/>
      <c r="W942" s="2"/>
      <c r="X942" s="2"/>
      <c r="Y942" s="2"/>
      <c r="Z942" s="2"/>
      <c r="AA942" s="2"/>
      <c r="AB942" s="2"/>
    </row>
    <row r="943" spans="1:28" customHeight="true">
      <c r="A943" s="19"/>
      <c r="B943" s="20">
        <v>45768</v>
      </c>
      <c r="C943" s="19" t="s">
        <v>480</v>
      </c>
      <c r="D943" s="21">
        <v>10</v>
      </c>
      <c r="E943" s="22" t="str">
        <f>IFERROR(__xludf.DUMMYFUNCTION("IFERROR(
  TEXTJOIN(CHAR(10),TRUE,FILTER('SUMMARY DATA'!E:E,'SUMMARY DATA'!$A:$A=$A44,'SUMMARY DATA'!$C:$C=$B44,'SUMMARY DATA'!$B:$B=""GRP"")),
  IF(
    OR(
      ISNUMBER(SEARCH(""CDM CASH DEPOSIT"",$C44)),
      ISNUMBER(SEARCH(""CASH DEPOSIT"",$C44)),"&amp;"
      COUNTIFS('SUMMARY DATA'!$D:$D,$C44,'SUMMARY DATA'!$B:$B,""GRP"")&lt;&gt;1
    ),
    """",
    IFERROR(TEXTJOIN(CHAR(10),TRUE,FILTER('SUMMARY DATA'!E:E,'SUMMARY DATA'!$D:$D=$C44,'SUMMARY DATA'!$B:$B=""GRP"")),"""")
  )
)"),"")</f>
      </c>
      <c r="F943" s="23" t="str">
        <f>IFERROR(__xludf.DUMMYFUNCTION("IFERROR(
  TEXTJOIN(CHAR(10),TRUE,FILTER('SUMMARY DATA'!F:F,'SUMMARY DATA'!$A:$A=$A44,'SUMMARY DATA'!$C:$C=$B44,'SUMMARY DATA'!$B:$B=""GRP"")),
  IF(
    OR(
      ISNUMBER(SEARCH(""CDM CASH DEPOSIT"",$C44)),
      ISNUMBER(SEARCH(""CASH DEPOSIT"",$C44)),"&amp;"
      COUNTIFS('SUMMARY DATA'!$D:$D,$C44,'SUMMARY DATA'!$B:$B,""GRP"")&lt;&gt;1
    ),
    """",
    IFERROR(TEXTJOIN(CHAR(10),TRUE,FILTER('SUMMARY DATA'!F:F,'SUMMARY DATA'!$D:$D=$C44,'SUMMARY DATA'!$B:$B=""GRP"")),"""")
  )
)"),"")</f>
      </c>
      <c r="G943" s="17" t="str">
        <f>IFERROR(__xludf.DUMMYFUNCTION("IFERROR(
  TEXTJOIN(CHAR(10),TRUE,FILTER('SUMMARY DATA'!G:G,'SUMMARY DATA'!$A:$A=$A943,'SUMMARY DATA'!$C:$C=$B943,'SUMMARY DATA'!$B:$B=""RWS"")),
  IF(
    OR(
      ISNUMBER(SEARCH(""CDM CASH DEPOSIT"",$C943)),
      ISNUMBER(SEARCH(""CASH DEPOSIT"",$C94"&amp;"3)),
      COUNTIFS('SUMMARY DATA'!$D:$D,$C943,'SUMMARY DATA'!$B:$B,""RWS"")&lt;&gt;1
    ),
    """",
    IFERROR(TEXTJOIN(CHAR(10),TRUE,FILTER('SUMMARY DATA'!G:G,'SUMMARY DATA'!$D:$D=$C943,'SUMMARY DATA'!$B:$B=""RWS"")),"""")
  )
)"),"")</f>
      </c>
      <c r="H943" s="18" t="str">
        <f>IFERROR(__xludf.DUMMYFUNCTION("IFERROR(
  TEXTJOIN(CHAR(10),TRUE,FILTER('SUMMARY DATA'!H:H,'SUMMARY DATA'!$A:$A=$A943,'SUMMARY DATA'!$C:$C=$B943,'SUMMARY DATA'!$B:$B=""RWS"",'SUMMARY DATA'!$H:$H=$D943)),
  IF(
    OR(
      ISNUMBER(SEARCH(""CDM CASH DEPOSIT"",$C943)),
      ISNUMBER(S"&amp;"EARCH(""CASH DEPOSIT"",$C943))
    ),
    """",
    IFERROR(TEXTJOIN(CHAR(10),TRUE,FILTER('SUMMARY DATA'!H:H,'SUMMARY DATA'!$D:$D=$C943,'SUMMARY DATA'!$B:$B=""RWS"",'SUMMARY DATA'!$H:$H=$D943)),"""")
  )
)"),"")</f>
      </c>
      <c r="I943" s="18" t="str">
        <f>IFERROR(__xludf.DUMMYFUNCTION("IF(H943="""","""",
SUM(ARRAYFORMULA(VALUE(SPLIT(H943,CHAR(10)))))
)"),"")</f>
      </c>
      <c r="J943" s="17" t="str">
        <f>IFERROR(__xludf.DUMMYFUNCTION("IFERROR(
  TEXTJOIN(CHAR(10),TRUE,FILTER('SUMMARY DATA'!I:I,'SUMMARY DATA'!$A:$A=$A943,'SUMMARY DATA'!$C:$C=$B943,'SUMMARY DATA'!$B:$B=""RWS"")),
  IF(
    OR(
      ISNUMBER(SEARCH(""CDM CASH DEPOSIT"",$C943)),
      ISNUMBER(SEARCH(""CASH DEPOSIT"",$C94"&amp;"3)),
      COUNTIFS('SUMMARY DATA'!$D:$D,$C943,'SUMMARY DATA'!$B:$B,""RWS"")&lt;&gt;1
    ),
    """",
    IFERROR(TEXTJOIN(CHAR(10),TRUE,FILTER('SUMMARY DATA'!I:I,'SUMMARY DATA'!$D:$D=$C943,'SUMMARY DATA'!$B:$B=""RWS"")),"""")
  )
)"),"")</f>
      </c>
      <c r="K943" s="2"/>
      <c r="L943" s="2"/>
      <c r="M943" s="2"/>
      <c r="N943" s="2"/>
      <c r="O943" s="2"/>
      <c r="P943" s="2"/>
      <c r="Q943" s="2"/>
      <c r="R943" s="2"/>
      <c r="S943" s="2"/>
      <c r="T943" s="2"/>
      <c r="U943" s="2"/>
      <c r="V943" s="2"/>
      <c r="W943" s="2"/>
      <c r="X943" s="2"/>
      <c r="Y943" s="2"/>
      <c r="Z943" s="2"/>
      <c r="AA943" s="2"/>
      <c r="AB943" s="2"/>
    </row>
    <row r="944" spans="1:28" customHeight="true">
      <c r="A944" s="25" t="s">
        <v>1446</v>
      </c>
      <c r="B944" s="26">
        <v>45768</v>
      </c>
      <c r="C944" s="25" t="s">
        <v>1478</v>
      </c>
      <c r="D944" s="27">
        <v>10</v>
      </c>
      <c r="E944" s="28" t="str">
        <f>IFERROR(__xludf.DUMMYFUNCTION("IFERROR(
  TEXTJOIN(CHAR(10),TRUE,FILTER('SUMMARY DATA'!E:E,'SUMMARY DATA'!$A:$A=$A45,'SUMMARY DATA'!$C:$C=$B45,'SUMMARY DATA'!$B:$B=""GRP"")),
  IF(
    OR(
      ISNUMBER(SEARCH(""CDM CASH DEPOSIT"",$C45)),
      ISNUMBER(SEARCH(""CASH DEPOSIT"",$C45)),"&amp;"
      COUNTIFS('SUMMARY DATA'!$D:$D,$C45,'SUMMARY DATA'!$B:$B,""GRP"")&lt;&gt;1
    ),
    """",
    IFERROR(TEXTJOIN(CHAR(10),TRUE,FILTER('SUMMARY DATA'!E:E,'SUMMARY DATA'!$D:$D=$C45,'SUMMARY DATA'!$B:$B=""GRP"")),"""")
  )
)"),"")</f>
      </c>
      <c r="F944" s="29" t="str">
        <f>IFERROR(__xludf.DUMMYFUNCTION("IFERROR(
  TEXTJOIN(CHAR(10),TRUE,FILTER('SUMMARY DATA'!F:F,'SUMMARY DATA'!$A:$A=$A45,'SUMMARY DATA'!$C:$C=$B45,'SUMMARY DATA'!$B:$B=""GRP"")),
  IF(
    OR(
      ISNUMBER(SEARCH(""CDM CASH DEPOSIT"",$C45)),
      ISNUMBER(SEARCH(""CASH DEPOSIT"",$C45)),"&amp;"
      COUNTIFS('SUMMARY DATA'!$D:$D,$C45,'SUMMARY DATA'!$B:$B,""GRP"")&lt;&gt;1
    ),
    """",
    IFERROR(TEXTJOIN(CHAR(10),TRUE,FILTER('SUMMARY DATA'!F:F,'SUMMARY DATA'!$D:$D=$C45,'SUMMARY DATA'!$B:$B=""GRP"")),"""")
  )
)"),"")</f>
      </c>
      <c r="G944" s="17" t="str">
        <f>IFERROR(__xludf.DUMMYFUNCTION("IFERROR(
  TEXTJOIN(CHAR(10),TRUE,FILTER('SUMMARY DATA'!G:G,'SUMMARY DATA'!$A:$A=$A944,'SUMMARY DATA'!$C:$C=$B944,'SUMMARY DATA'!$B:$B=""RWS"")),
  IF(
    OR(
      ISNUMBER(SEARCH(""CDM CASH DEPOSIT"",$C944)),
      ISNUMBER(SEARCH(""CASH DEPOSIT"",$C94"&amp;"4)),
      COUNTIFS('SUMMARY DATA'!$D:$D,$C944,'SUMMARY DATA'!$B:$B,""RWS"")&lt;&gt;1
    ),
    """",
    IFERROR(TEXTJOIN(CHAR(10),TRUE,FILTER('SUMMARY DATA'!G:G,'SUMMARY DATA'!$D:$D=$C944,'SUMMARY DATA'!$B:$B=""RWS"")),"""")
  )
)"),"")</f>
      </c>
      <c r="H944" s="18" t="str">
        <f>IFERROR(__xludf.DUMMYFUNCTION("IFERROR(
  TEXTJOIN(CHAR(10),TRUE,FILTER('SUMMARY DATA'!H:H,'SUMMARY DATA'!$A:$A=$A944,'SUMMARY DATA'!$C:$C=$B944,'SUMMARY DATA'!$B:$B=""RWS"",'SUMMARY DATA'!$H:$H=$D944)),
  IF(
    OR(
      ISNUMBER(SEARCH(""CDM CASH DEPOSIT"",$C944)),
      ISNUMBER(S"&amp;"EARCH(""CASH DEPOSIT"",$C944))
    ),
    """",
    IFERROR(TEXTJOIN(CHAR(10),TRUE,FILTER('SUMMARY DATA'!H:H,'SUMMARY DATA'!$D:$D=$C944,'SUMMARY DATA'!$B:$B=""RWS"",'SUMMARY DATA'!$H:$H=$D944)),"""")
  )
)"),"")</f>
      </c>
      <c r="I944" s="18" t="str">
        <f>IFERROR(__xludf.DUMMYFUNCTION("IF(H944="""","""",
SUM(ARRAYFORMULA(VALUE(SPLIT(H944,CHAR(10)))))
)"),"")</f>
      </c>
      <c r="J944" s="17" t="str">
        <f>IFERROR(__xludf.DUMMYFUNCTION("IFERROR(
  TEXTJOIN(CHAR(10),TRUE,FILTER('SUMMARY DATA'!I:I,'SUMMARY DATA'!$A:$A=$A944,'SUMMARY DATA'!$C:$C=$B944,'SUMMARY DATA'!$B:$B=""RWS"")),
  IF(
    OR(
      ISNUMBER(SEARCH(""CDM CASH DEPOSIT"",$C944)),
      ISNUMBER(SEARCH(""CASH DEPOSIT"",$C94"&amp;"4)),
      COUNTIFS('SUMMARY DATA'!$D:$D,$C944,'SUMMARY DATA'!$B:$B,""RWS"")&lt;&gt;1
    ),
    """",
    IFERROR(TEXTJOIN(CHAR(10),TRUE,FILTER('SUMMARY DATA'!I:I,'SUMMARY DATA'!$D:$D=$C944,'SUMMARY DATA'!$B:$B=""RWS"")),"""")
  )
)"),"")</f>
      </c>
      <c r="K944" s="2"/>
      <c r="L944" s="2"/>
      <c r="M944" s="2"/>
      <c r="N944" s="2"/>
      <c r="O944" s="2"/>
      <c r="P944" s="2"/>
      <c r="Q944" s="2"/>
      <c r="R944" s="2"/>
      <c r="S944" s="2"/>
      <c r="T944" s="2"/>
      <c r="U944" s="2"/>
      <c r="V944" s="2"/>
      <c r="W944" s="2"/>
      <c r="X944" s="2"/>
      <c r="Y944" s="2"/>
      <c r="Z944" s="2"/>
      <c r="AA944" s="2"/>
      <c r="AB944" s="2"/>
    </row>
    <row r="945" spans="1:28" customHeight="true">
      <c r="A945" s="2"/>
      <c r="B945" s="15">
        <v>45769</v>
      </c>
      <c r="C945" s="2" t="s">
        <v>1479</v>
      </c>
      <c r="D945" s="6">
        <v>10</v>
      </c>
      <c r="E945" s="16" t="str">
        <f>IFERROR(__xludf.DUMMYFUNCTION("IFERROR(
  TEXTJOIN(CHAR(10),TRUE,FILTER('SUMMARY DATA'!E:E,'SUMMARY DATA'!$A:$A=$A46,'SUMMARY DATA'!$C:$C=$B46,'SUMMARY DATA'!$B:$B=""GRP"")),
  IF(
    OR(
      ISNUMBER(SEARCH(""CDM CASH DEPOSIT"",$C46)),
      ISNUMBER(SEARCH(""CASH DEPOSIT"",$C46)),"&amp;"
      COUNTIFS('SUMMARY DATA'!$D:$D,$C46,'SUMMARY DATA'!$B:$B,""GRP"")&lt;&gt;1
    ),
    """",
    IFERROR(TEXTJOIN(CHAR(10),TRUE,FILTER('SUMMARY DATA'!E:E,'SUMMARY DATA'!$D:$D=$C46,'SUMMARY DATA'!$B:$B=""GRP"")),"""")
  )
)"),"")</f>
      </c>
      <c r="F945" s="17" t="str">
        <f>IFERROR(__xludf.DUMMYFUNCTION("IFERROR(
  TEXTJOIN(CHAR(10),TRUE,FILTER('SUMMARY DATA'!F:F,'SUMMARY DATA'!$A:$A=$A46,'SUMMARY DATA'!$C:$C=$B46,'SUMMARY DATA'!$B:$B=""GRP"")),
  IF(
    OR(
      ISNUMBER(SEARCH(""CDM CASH DEPOSIT"",$C46)),
      ISNUMBER(SEARCH(""CASH DEPOSIT"",$C46)),"&amp;"
      COUNTIFS('SUMMARY DATA'!$D:$D,$C46,'SUMMARY DATA'!$B:$B,""GRP"")&lt;&gt;1
    ),
    """",
    IFERROR(TEXTJOIN(CHAR(10),TRUE,FILTER('SUMMARY DATA'!F:F,'SUMMARY DATA'!$D:$D=$C46,'SUMMARY DATA'!$B:$B=""GRP"")),"""")
  )
)"),"")</f>
      </c>
      <c r="G945" s="17" t="str">
        <f>IFERROR(__xludf.DUMMYFUNCTION("IFERROR(
  TEXTJOIN(CHAR(10),TRUE,FILTER('SUMMARY DATA'!G:G,'SUMMARY DATA'!$A:$A=$A945,'SUMMARY DATA'!$C:$C=$B945,'SUMMARY DATA'!$B:$B=""RWS"")),
  IF(
    OR(
      ISNUMBER(SEARCH(""CDM CASH DEPOSIT"",$C945)),
      ISNUMBER(SEARCH(""CASH DEPOSIT"",$C94"&amp;"5)),
      COUNTIFS('SUMMARY DATA'!$D:$D,$C945,'SUMMARY DATA'!$B:$B,""RWS"")&lt;&gt;1
    ),
    """",
    IFERROR(TEXTJOIN(CHAR(10),TRUE,FILTER('SUMMARY DATA'!G:G,'SUMMARY DATA'!$D:$D=$C945,'SUMMARY DATA'!$B:$B=""RWS"")),"""")
  )
)"),"")</f>
      </c>
      <c r="H945" s="18" t="str">
        <f>IFERROR(__xludf.DUMMYFUNCTION("IFERROR(
  TEXTJOIN(CHAR(10),TRUE,FILTER('SUMMARY DATA'!H:H,'SUMMARY DATA'!$A:$A=$A945,'SUMMARY DATA'!$C:$C=$B945,'SUMMARY DATA'!$B:$B=""RWS"",'SUMMARY DATA'!$H:$H=$D945)),
  IF(
    OR(
      ISNUMBER(SEARCH(""CDM CASH DEPOSIT"",$C945)),
      ISNUMBER(S"&amp;"EARCH(""CASH DEPOSIT"",$C945))
    ),
    """",
    IFERROR(TEXTJOIN(CHAR(10),TRUE,FILTER('SUMMARY DATA'!H:H,'SUMMARY DATA'!$D:$D=$C945,'SUMMARY DATA'!$B:$B=""RWS"",'SUMMARY DATA'!$H:$H=$D945)),"""")
  )
)"),"")</f>
      </c>
      <c r="I945" s="18" t="str">
        <f>IFERROR(__xludf.DUMMYFUNCTION("IF(H945="""","""",
SUM(ARRAYFORMULA(VALUE(SPLIT(H945,CHAR(10)))))
)"),"")</f>
      </c>
      <c r="J945" s="17" t="str">
        <f>IFERROR(__xludf.DUMMYFUNCTION("IFERROR(
  TEXTJOIN(CHAR(10),TRUE,FILTER('SUMMARY DATA'!I:I,'SUMMARY DATA'!$A:$A=$A945,'SUMMARY DATA'!$C:$C=$B945,'SUMMARY DATA'!$B:$B=""RWS"")),
  IF(
    OR(
      ISNUMBER(SEARCH(""CDM CASH DEPOSIT"",$C945)),
      ISNUMBER(SEARCH(""CASH DEPOSIT"",$C94"&amp;"5)),
      COUNTIFS('SUMMARY DATA'!$D:$D,$C945,'SUMMARY DATA'!$B:$B,""RWS"")&lt;&gt;1
    ),
    """",
    IFERROR(TEXTJOIN(CHAR(10),TRUE,FILTER('SUMMARY DATA'!I:I,'SUMMARY DATA'!$D:$D=$C945,'SUMMARY DATA'!$B:$B=""RWS"")),"""")
  )
)"),"")</f>
      </c>
      <c r="K945" s="2"/>
      <c r="L945" s="2"/>
      <c r="M945" s="2"/>
      <c r="N945" s="2"/>
      <c r="O945" s="2"/>
      <c r="P945" s="2"/>
      <c r="Q945" s="2"/>
      <c r="R945" s="2"/>
      <c r="S945" s="2"/>
      <c r="T945" s="2"/>
      <c r="U945" s="2"/>
      <c r="V945" s="2"/>
      <c r="W945" s="2"/>
      <c r="X945" s="2"/>
      <c r="Y945" s="2"/>
      <c r="Z945" s="2"/>
      <c r="AA945" s="2"/>
      <c r="AB945" s="2"/>
    </row>
    <row r="946" spans="1:28" customHeight="true">
      <c r="A946" s="2"/>
      <c r="B946" s="15">
        <v>45769</v>
      </c>
      <c r="C946" s="2" t="s">
        <v>1480</v>
      </c>
      <c r="D946" s="6">
        <v>10</v>
      </c>
      <c r="E946" s="16" t="str">
        <f>IFERROR(__xludf.DUMMYFUNCTION("IFERROR(
  TEXTJOIN(CHAR(10),TRUE,FILTER('SUMMARY DATA'!E:E,'SUMMARY DATA'!$A:$A=$A47,'SUMMARY DATA'!$C:$C=$B47,'SUMMARY DATA'!$B:$B=""GRP"")),
  IF(
    OR(
      ISNUMBER(SEARCH(""CDM CASH DEPOSIT"",$C47)),
      ISNUMBER(SEARCH(""CASH DEPOSIT"",$C47)),"&amp;"
      COUNTIFS('SUMMARY DATA'!$D:$D,$C47,'SUMMARY DATA'!$B:$B,""GRP"")&lt;&gt;1
    ),
    """",
    IFERROR(TEXTJOIN(CHAR(10),TRUE,FILTER('SUMMARY DATA'!E:E,'SUMMARY DATA'!$D:$D=$C47,'SUMMARY DATA'!$B:$B=""GRP"")),"""")
  )
)"),"")</f>
      </c>
      <c r="F946" s="17" t="str">
        <f>IFERROR(__xludf.DUMMYFUNCTION("IFERROR(
  TEXTJOIN(CHAR(10),TRUE,FILTER('SUMMARY DATA'!F:F,'SUMMARY DATA'!$A:$A=$A47,'SUMMARY DATA'!$C:$C=$B47,'SUMMARY DATA'!$B:$B=""GRP"")),
  IF(
    OR(
      ISNUMBER(SEARCH(""CDM CASH DEPOSIT"",$C47)),
      ISNUMBER(SEARCH(""CASH DEPOSIT"",$C47)),"&amp;"
      COUNTIFS('SUMMARY DATA'!$D:$D,$C47,'SUMMARY DATA'!$B:$B,""GRP"")&lt;&gt;1
    ),
    """",
    IFERROR(TEXTJOIN(CHAR(10),TRUE,FILTER('SUMMARY DATA'!F:F,'SUMMARY DATA'!$D:$D=$C47,'SUMMARY DATA'!$B:$B=""GRP"")),"""")
  )
)"),"")</f>
      </c>
      <c r="G946" s="17" t="str">
        <f>IFERROR(__xludf.DUMMYFUNCTION("IFERROR(
  TEXTJOIN(CHAR(10),TRUE,FILTER('SUMMARY DATA'!G:G,'SUMMARY DATA'!$A:$A=$A946,'SUMMARY DATA'!$C:$C=$B946,'SUMMARY DATA'!$B:$B=""RWS"")),
  IF(
    OR(
      ISNUMBER(SEARCH(""CDM CASH DEPOSIT"",$C946)),
      ISNUMBER(SEARCH(""CASH DEPOSIT"",$C94"&amp;"6)),
      COUNTIFS('SUMMARY DATA'!$D:$D,$C946,'SUMMARY DATA'!$B:$B,""RWS"")&lt;&gt;1
    ),
    """",
    IFERROR(TEXTJOIN(CHAR(10),TRUE,FILTER('SUMMARY DATA'!G:G,'SUMMARY DATA'!$D:$D=$C946,'SUMMARY DATA'!$B:$B=""RWS"")),"""")
  )
)"),"")</f>
      </c>
      <c r="H946" s="18" t="str">
        <f>IFERROR(__xludf.DUMMYFUNCTION("IFERROR(
  TEXTJOIN(CHAR(10),TRUE,FILTER('SUMMARY DATA'!H:H,'SUMMARY DATA'!$A:$A=$A946,'SUMMARY DATA'!$C:$C=$B946,'SUMMARY DATA'!$B:$B=""RWS"",'SUMMARY DATA'!$H:$H=$D946)),
  IF(
    OR(
      ISNUMBER(SEARCH(""CDM CASH DEPOSIT"",$C946)),
      ISNUMBER(S"&amp;"EARCH(""CASH DEPOSIT"",$C946))
    ),
    """",
    IFERROR(TEXTJOIN(CHAR(10),TRUE,FILTER('SUMMARY DATA'!H:H,'SUMMARY DATA'!$D:$D=$C946,'SUMMARY DATA'!$B:$B=""RWS"",'SUMMARY DATA'!$H:$H=$D946)),"""")
  )
)"),"")</f>
      </c>
      <c r="I946" s="18" t="str">
        <f>IFERROR(__xludf.DUMMYFUNCTION("IF(H946="""","""",
SUM(ARRAYFORMULA(VALUE(SPLIT(H946,CHAR(10)))))
)"),"")</f>
      </c>
      <c r="J946" s="17" t="str">
        <f>IFERROR(__xludf.DUMMYFUNCTION("IFERROR(
  TEXTJOIN(CHAR(10),TRUE,FILTER('SUMMARY DATA'!I:I,'SUMMARY DATA'!$A:$A=$A946,'SUMMARY DATA'!$C:$C=$B946,'SUMMARY DATA'!$B:$B=""RWS"")),
  IF(
    OR(
      ISNUMBER(SEARCH(""CDM CASH DEPOSIT"",$C946)),
      ISNUMBER(SEARCH(""CASH DEPOSIT"",$C94"&amp;"6)),
      COUNTIFS('SUMMARY DATA'!$D:$D,$C946,'SUMMARY DATA'!$B:$B,""RWS"")&lt;&gt;1
    ),
    """",
    IFERROR(TEXTJOIN(CHAR(10),TRUE,FILTER('SUMMARY DATA'!I:I,'SUMMARY DATA'!$D:$D=$C946,'SUMMARY DATA'!$B:$B=""RWS"")),"""")
  )
)"),"")</f>
      </c>
      <c r="K946" s="2"/>
      <c r="L946" s="2"/>
      <c r="M946" s="2"/>
      <c r="N946" s="2"/>
      <c r="O946" s="2"/>
      <c r="P946" s="2"/>
      <c r="Q946" s="2"/>
      <c r="R946" s="2"/>
      <c r="S946" s="2"/>
      <c r="T946" s="2"/>
      <c r="U946" s="2"/>
      <c r="V946" s="2"/>
      <c r="W946" s="2"/>
      <c r="X946" s="2"/>
      <c r="Y946" s="2"/>
      <c r="Z946" s="2"/>
      <c r="AA946" s="2"/>
      <c r="AB946" s="2"/>
    </row>
    <row r="947" spans="1:28" customHeight="true">
      <c r="A947" s="2"/>
      <c r="B947" s="15">
        <v>45769</v>
      </c>
      <c r="C947" s="2" t="s">
        <v>1481</v>
      </c>
      <c r="D947" s="6">
        <v>10</v>
      </c>
      <c r="E947" s="16" t="str">
        <f>IFERROR(__xludf.DUMMYFUNCTION("IFERROR(
  TEXTJOIN(CHAR(10),TRUE,FILTER('SUMMARY DATA'!E:E,'SUMMARY DATA'!$A:$A=$A48,'SUMMARY DATA'!$C:$C=$B48,'SUMMARY DATA'!$B:$B=""GRP"")),
  IF(
    OR(
      ISNUMBER(SEARCH(""CDM CASH DEPOSIT"",$C48)),
      ISNUMBER(SEARCH(""CASH DEPOSIT"",$C48)),"&amp;"
      COUNTIFS('SUMMARY DATA'!$D:$D,$C48,'SUMMARY DATA'!$B:$B,""GRP"")&lt;&gt;1
    ),
    """",
    IFERROR(TEXTJOIN(CHAR(10),TRUE,FILTER('SUMMARY DATA'!E:E,'SUMMARY DATA'!$D:$D=$C48,'SUMMARY DATA'!$B:$B=""GRP"")),"""")
  )
)"),"")</f>
      </c>
      <c r="F947" s="17" t="str">
        <f>IFERROR(__xludf.DUMMYFUNCTION("IFERROR(
  TEXTJOIN(CHAR(10),TRUE,FILTER('SUMMARY DATA'!F:F,'SUMMARY DATA'!$A:$A=$A48,'SUMMARY DATA'!$C:$C=$B48,'SUMMARY DATA'!$B:$B=""GRP"")),
  IF(
    OR(
      ISNUMBER(SEARCH(""CDM CASH DEPOSIT"",$C48)),
      ISNUMBER(SEARCH(""CASH DEPOSIT"",$C48)),"&amp;"
      COUNTIFS('SUMMARY DATA'!$D:$D,$C48,'SUMMARY DATA'!$B:$B,""GRP"")&lt;&gt;1
    ),
    """",
    IFERROR(TEXTJOIN(CHAR(10),TRUE,FILTER('SUMMARY DATA'!F:F,'SUMMARY DATA'!$D:$D=$C48,'SUMMARY DATA'!$B:$B=""GRP"")),"""")
  )
)"),"")</f>
      </c>
      <c r="G947" s="17" t="str">
        <f>IFERROR(__xludf.DUMMYFUNCTION("IFERROR(
  TEXTJOIN(CHAR(10),TRUE,FILTER('SUMMARY DATA'!G:G,'SUMMARY DATA'!$A:$A=$A947,'SUMMARY DATA'!$C:$C=$B947,'SUMMARY DATA'!$B:$B=""RWS"")),
  IF(
    OR(
      ISNUMBER(SEARCH(""CDM CASH DEPOSIT"",$C947)),
      ISNUMBER(SEARCH(""CASH DEPOSIT"",$C94"&amp;"7)),
      COUNTIFS('SUMMARY DATA'!$D:$D,$C947,'SUMMARY DATA'!$B:$B,""RWS"")&lt;&gt;1
    ),
    """",
    IFERROR(TEXTJOIN(CHAR(10),TRUE,FILTER('SUMMARY DATA'!G:G,'SUMMARY DATA'!$D:$D=$C947,'SUMMARY DATA'!$B:$B=""RWS"")),"""")
  )
)"),"")</f>
      </c>
      <c r="H947" s="18" t="str">
        <f>IFERROR(__xludf.DUMMYFUNCTION("IFERROR(
  TEXTJOIN(CHAR(10),TRUE,FILTER('SUMMARY DATA'!H:H,'SUMMARY DATA'!$A:$A=$A947,'SUMMARY DATA'!$C:$C=$B947,'SUMMARY DATA'!$B:$B=""RWS"",'SUMMARY DATA'!$H:$H=$D947)),
  IF(
    OR(
      ISNUMBER(SEARCH(""CDM CASH DEPOSIT"",$C947)),
      ISNUMBER(S"&amp;"EARCH(""CASH DEPOSIT"",$C947))
    ),
    """",
    IFERROR(TEXTJOIN(CHAR(10),TRUE,FILTER('SUMMARY DATA'!H:H,'SUMMARY DATA'!$D:$D=$C947,'SUMMARY DATA'!$B:$B=""RWS"",'SUMMARY DATA'!$H:$H=$D947)),"""")
  )
)"),"")</f>
      </c>
      <c r="I947" s="18" t="str">
        <f>IFERROR(__xludf.DUMMYFUNCTION("IF(H947="""","""",
SUM(ARRAYFORMULA(VALUE(SPLIT(H947,CHAR(10)))))
)"),"")</f>
      </c>
      <c r="J947" s="17" t="str">
        <f>IFERROR(__xludf.DUMMYFUNCTION("IFERROR(
  TEXTJOIN(CHAR(10),TRUE,FILTER('SUMMARY DATA'!I:I,'SUMMARY DATA'!$A:$A=$A947,'SUMMARY DATA'!$C:$C=$B947,'SUMMARY DATA'!$B:$B=""RWS"")),
  IF(
    OR(
      ISNUMBER(SEARCH(""CDM CASH DEPOSIT"",$C947)),
      ISNUMBER(SEARCH(""CASH DEPOSIT"",$C94"&amp;"7)),
      COUNTIFS('SUMMARY DATA'!$D:$D,$C947,'SUMMARY DATA'!$B:$B,""RWS"")&lt;&gt;1
    ),
    """",
    IFERROR(TEXTJOIN(CHAR(10),TRUE,FILTER('SUMMARY DATA'!I:I,'SUMMARY DATA'!$D:$D=$C947,'SUMMARY DATA'!$B:$B=""RWS"")),"""")
  )
)"),"")</f>
      </c>
      <c r="K947" s="2"/>
      <c r="L947" s="2"/>
      <c r="M947" s="2"/>
      <c r="N947" s="2"/>
      <c r="O947" s="2"/>
      <c r="P947" s="2"/>
      <c r="Q947" s="2"/>
      <c r="R947" s="2"/>
      <c r="S947" s="2"/>
      <c r="T947" s="2"/>
      <c r="U947" s="2"/>
      <c r="V947" s="2"/>
      <c r="W947" s="2"/>
      <c r="X947" s="2"/>
      <c r="Y947" s="2"/>
      <c r="Z947" s="2"/>
      <c r="AA947" s="2"/>
      <c r="AB947" s="2"/>
    </row>
    <row r="948" spans="1:28" customHeight="true">
      <c r="A948" s="2"/>
      <c r="B948" s="15">
        <v>45769</v>
      </c>
      <c r="C948" s="2" t="s">
        <v>1482</v>
      </c>
      <c r="D948" s="6">
        <v>10</v>
      </c>
      <c r="E948" s="16" t="str">
        <f>IFERROR(__xludf.DUMMYFUNCTION("IFERROR(
  TEXTJOIN(CHAR(10),TRUE,FILTER('SUMMARY DATA'!E:E,'SUMMARY DATA'!$A:$A=$A49,'SUMMARY DATA'!$C:$C=$B49,'SUMMARY DATA'!$B:$B=""GRP"")),
  IF(
    OR(
      ISNUMBER(SEARCH(""CDM CASH DEPOSIT"",$C49)),
      ISNUMBER(SEARCH(""CASH DEPOSIT"",$C49)),"&amp;"
      COUNTIFS('SUMMARY DATA'!$D:$D,$C49,'SUMMARY DATA'!$B:$B,""GRP"")&lt;&gt;1
    ),
    """",
    IFERROR(TEXTJOIN(CHAR(10),TRUE,FILTER('SUMMARY DATA'!E:E,'SUMMARY DATA'!$D:$D=$C49,'SUMMARY DATA'!$B:$B=""GRP"")),"""")
  )
)"),"")</f>
      </c>
      <c r="F948" s="17" t="str">
        <f>IFERROR(__xludf.DUMMYFUNCTION("IFERROR(
  TEXTJOIN(CHAR(10),TRUE,FILTER('SUMMARY DATA'!F:F,'SUMMARY DATA'!$A:$A=$A49,'SUMMARY DATA'!$C:$C=$B49,'SUMMARY DATA'!$B:$B=""GRP"")),
  IF(
    OR(
      ISNUMBER(SEARCH(""CDM CASH DEPOSIT"",$C49)),
      ISNUMBER(SEARCH(""CASH DEPOSIT"",$C49)),"&amp;"
      COUNTIFS('SUMMARY DATA'!$D:$D,$C49,'SUMMARY DATA'!$B:$B,""GRP"")&lt;&gt;1
    ),
    """",
    IFERROR(TEXTJOIN(CHAR(10),TRUE,FILTER('SUMMARY DATA'!F:F,'SUMMARY DATA'!$D:$D=$C49,'SUMMARY DATA'!$B:$B=""GRP"")),"""")
  )
)"),"")</f>
      </c>
      <c r="G948" s="17" t="str">
        <f>IFERROR(__xludf.DUMMYFUNCTION("IFERROR(
  TEXTJOIN(CHAR(10),TRUE,FILTER('SUMMARY DATA'!G:G,'SUMMARY DATA'!$A:$A=$A948,'SUMMARY DATA'!$C:$C=$B948,'SUMMARY DATA'!$B:$B=""RWS"")),
  IF(
    OR(
      ISNUMBER(SEARCH(""CDM CASH DEPOSIT"",$C948)),
      ISNUMBER(SEARCH(""CASH DEPOSIT"",$C94"&amp;"8)),
      COUNTIFS('SUMMARY DATA'!$D:$D,$C948,'SUMMARY DATA'!$B:$B,""RWS"")&lt;&gt;1
    ),
    """",
    IFERROR(TEXTJOIN(CHAR(10),TRUE,FILTER('SUMMARY DATA'!G:G,'SUMMARY DATA'!$D:$D=$C948,'SUMMARY DATA'!$B:$B=""RWS"")),"""")
  )
)"),"")</f>
      </c>
      <c r="H948" s="18" t="str">
        <f>IFERROR(__xludf.DUMMYFUNCTION("IFERROR(
  TEXTJOIN(CHAR(10),TRUE,FILTER('SUMMARY DATA'!H:H,'SUMMARY DATA'!$A:$A=$A948,'SUMMARY DATA'!$C:$C=$B948,'SUMMARY DATA'!$B:$B=""RWS"",'SUMMARY DATA'!$H:$H=$D948)),
  IF(
    OR(
      ISNUMBER(SEARCH(""CDM CASH DEPOSIT"",$C948)),
      ISNUMBER(S"&amp;"EARCH(""CASH DEPOSIT"",$C948))
    ),
    """",
    IFERROR(TEXTJOIN(CHAR(10),TRUE,FILTER('SUMMARY DATA'!H:H,'SUMMARY DATA'!$D:$D=$C948,'SUMMARY DATA'!$B:$B=""RWS"",'SUMMARY DATA'!$H:$H=$D948)),"""")
  )
)"),"")</f>
      </c>
      <c r="I948" s="18" t="str">
        <f>IFERROR(__xludf.DUMMYFUNCTION("IF(H948="""","""",
SUM(ARRAYFORMULA(VALUE(SPLIT(H948,CHAR(10)))))
)"),"")</f>
      </c>
      <c r="J948" s="17" t="str">
        <f>IFERROR(__xludf.DUMMYFUNCTION("IFERROR(
  TEXTJOIN(CHAR(10),TRUE,FILTER('SUMMARY DATA'!I:I,'SUMMARY DATA'!$A:$A=$A948,'SUMMARY DATA'!$C:$C=$B948,'SUMMARY DATA'!$B:$B=""RWS"")),
  IF(
    OR(
      ISNUMBER(SEARCH(""CDM CASH DEPOSIT"",$C948)),
      ISNUMBER(SEARCH(""CASH DEPOSIT"",$C94"&amp;"8)),
      COUNTIFS('SUMMARY DATA'!$D:$D,$C948,'SUMMARY DATA'!$B:$B,""RWS"")&lt;&gt;1
    ),
    """",
    IFERROR(TEXTJOIN(CHAR(10),TRUE,FILTER('SUMMARY DATA'!I:I,'SUMMARY DATA'!$D:$D=$C948,'SUMMARY DATA'!$B:$B=""RWS"")),"""")
  )
)"),"")</f>
      </c>
      <c r="K948" s="2"/>
      <c r="L948" s="2"/>
      <c r="M948" s="2"/>
      <c r="N948" s="2"/>
      <c r="O948" s="2"/>
      <c r="P948" s="2"/>
      <c r="Q948" s="2"/>
      <c r="R948" s="2"/>
      <c r="S948" s="2"/>
      <c r="T948" s="2"/>
      <c r="U948" s="2"/>
      <c r="V948" s="2"/>
      <c r="W948" s="2"/>
      <c r="X948" s="2"/>
      <c r="Y948" s="2"/>
      <c r="Z948" s="2"/>
      <c r="AA948" s="2"/>
      <c r="AB948" s="2"/>
    </row>
    <row r="949" spans="1:28" customHeight="true">
      <c r="A949" s="2"/>
      <c r="B949" s="15">
        <v>45769</v>
      </c>
      <c r="C949" s="2" t="s">
        <v>1483</v>
      </c>
      <c r="D949" s="6">
        <v>5</v>
      </c>
      <c r="E949" s="16" t="str">
        <f>IFERROR(__xludf.DUMMYFUNCTION("IFERROR(
  TEXTJOIN(CHAR(10),TRUE,FILTER('SUMMARY DATA'!E:E,'SUMMARY DATA'!$A:$A=$A50,'SUMMARY DATA'!$C:$C=$B50,'SUMMARY DATA'!$B:$B=""GRP"")),
  IF(
    OR(
      ISNUMBER(SEARCH(""CDM CASH DEPOSIT"",$C50)),
      ISNUMBER(SEARCH(""CASH DEPOSIT"",$C50)),"&amp;"
      COUNTIFS('SUMMARY DATA'!$D:$D,$C50,'SUMMARY DATA'!$B:$B,""GRP"")&lt;&gt;1
    ),
    """",
    IFERROR(TEXTJOIN(CHAR(10),TRUE,FILTER('SUMMARY DATA'!E:E,'SUMMARY DATA'!$D:$D=$C50,'SUMMARY DATA'!$B:$B=""GRP"")),"""")
  )
)"),"")</f>
      </c>
      <c r="F949" s="17" t="str">
        <f>IFERROR(__xludf.DUMMYFUNCTION("IFERROR(
  TEXTJOIN(CHAR(10),TRUE,FILTER('SUMMARY DATA'!F:F,'SUMMARY DATA'!$A:$A=$A50,'SUMMARY DATA'!$C:$C=$B50,'SUMMARY DATA'!$B:$B=""GRP"")),
  IF(
    OR(
      ISNUMBER(SEARCH(""CDM CASH DEPOSIT"",$C50)),
      ISNUMBER(SEARCH(""CASH DEPOSIT"",$C50)),"&amp;"
      COUNTIFS('SUMMARY DATA'!$D:$D,$C50,'SUMMARY DATA'!$B:$B,""GRP"")&lt;&gt;1
    ),
    """",
    IFERROR(TEXTJOIN(CHAR(10),TRUE,FILTER('SUMMARY DATA'!F:F,'SUMMARY DATA'!$D:$D=$C50,'SUMMARY DATA'!$B:$B=""GRP"")),"""")
  )
)"),"")</f>
      </c>
      <c r="G949" s="17" t="str">
        <f>IFERROR(__xludf.DUMMYFUNCTION("IFERROR(
  TEXTJOIN(CHAR(10),TRUE,FILTER('SUMMARY DATA'!G:G,'SUMMARY DATA'!$A:$A=$A949,'SUMMARY DATA'!$C:$C=$B949,'SUMMARY DATA'!$B:$B=""RWS"")),
  IF(
    OR(
      ISNUMBER(SEARCH(""CDM CASH DEPOSIT"",$C949)),
      ISNUMBER(SEARCH(""CASH DEPOSIT"",$C94"&amp;"9)),
      COUNTIFS('SUMMARY DATA'!$D:$D,$C949,'SUMMARY DATA'!$B:$B,""RWS"")&lt;&gt;1
    ),
    """",
    IFERROR(TEXTJOIN(CHAR(10),TRUE,FILTER('SUMMARY DATA'!G:G,'SUMMARY DATA'!$D:$D=$C949,'SUMMARY DATA'!$B:$B=""RWS"")),"""")
  )
)"),"")</f>
      </c>
      <c r="H949" s="18" t="str">
        <f>IFERROR(__xludf.DUMMYFUNCTION("IFERROR(
  TEXTJOIN(CHAR(10),TRUE,FILTER('SUMMARY DATA'!H:H,'SUMMARY DATA'!$A:$A=$A949,'SUMMARY DATA'!$C:$C=$B949,'SUMMARY DATA'!$B:$B=""RWS"",'SUMMARY DATA'!$H:$H=$D949)),
  IF(
    OR(
      ISNUMBER(SEARCH(""CDM CASH DEPOSIT"",$C949)),
      ISNUMBER(S"&amp;"EARCH(""CASH DEPOSIT"",$C949))
    ),
    """",
    IFERROR(TEXTJOIN(CHAR(10),TRUE,FILTER('SUMMARY DATA'!H:H,'SUMMARY DATA'!$D:$D=$C949,'SUMMARY DATA'!$B:$B=""RWS"",'SUMMARY DATA'!$H:$H=$D949)),"""")
  )
)"),"")</f>
      </c>
      <c r="I949" s="18" t="str">
        <f>IFERROR(__xludf.DUMMYFUNCTION("IF(H949="""","""",
SUM(ARRAYFORMULA(VALUE(SPLIT(H949,CHAR(10)))))
)"),"")</f>
      </c>
      <c r="J949" s="17" t="str">
        <f>IFERROR(__xludf.DUMMYFUNCTION("IFERROR(
  TEXTJOIN(CHAR(10),TRUE,FILTER('SUMMARY DATA'!I:I,'SUMMARY DATA'!$A:$A=$A949,'SUMMARY DATA'!$C:$C=$B949,'SUMMARY DATA'!$B:$B=""RWS"")),
  IF(
    OR(
      ISNUMBER(SEARCH(""CDM CASH DEPOSIT"",$C949)),
      ISNUMBER(SEARCH(""CASH DEPOSIT"",$C94"&amp;"9)),
      COUNTIFS('SUMMARY DATA'!$D:$D,$C949,'SUMMARY DATA'!$B:$B,""RWS"")&lt;&gt;1
    ),
    """",
    IFERROR(TEXTJOIN(CHAR(10),TRUE,FILTER('SUMMARY DATA'!I:I,'SUMMARY DATA'!$D:$D=$C949,'SUMMARY DATA'!$B:$B=""RWS"")),"""")
  )
)"),"")</f>
      </c>
      <c r="K949" s="2"/>
      <c r="L949" s="2"/>
      <c r="M949" s="2"/>
      <c r="N949" s="2"/>
      <c r="O949" s="2"/>
      <c r="P949" s="2"/>
      <c r="Q949" s="2"/>
      <c r="R949" s="2"/>
      <c r="S949" s="2"/>
      <c r="T949" s="2"/>
      <c r="U949" s="2"/>
      <c r="V949" s="2"/>
      <c r="W949" s="2"/>
      <c r="X949" s="2"/>
      <c r="Y949" s="2"/>
      <c r="Z949" s="2"/>
      <c r="AA949" s="2"/>
      <c r="AB949" s="2"/>
    </row>
    <row r="950" spans="1:28" customHeight="true">
      <c r="A950" s="2" t="s">
        <v>1484</v>
      </c>
      <c r="B950" s="15">
        <v>45770</v>
      </c>
      <c r="C950" s="2" t="s">
        <v>1245</v>
      </c>
      <c r="D950" s="6">
        <v>386.71</v>
      </c>
      <c r="E950" s="16" t="str">
        <f>IFERROR(__xludf.DUMMYFUNCTION("IFERROR(
  TEXTJOIN(CHAR(10),TRUE,FILTER('SUMMARY DATA'!E:E,'SUMMARY DATA'!$A:$A=$A51,'SUMMARY DATA'!$C:$C=$B51,'SUMMARY DATA'!$B:$B=""GRP"")),
  IF(
    OR(
      ISNUMBER(SEARCH(""CDM CASH DEPOSIT"",$C51)),
      ISNUMBER(SEARCH(""CASH DEPOSIT"",$C51)),"&amp;"
      COUNTIFS('SUMMARY DATA'!$D:$D,$C51,'SUMMARY DATA'!$B:$B,""GRP"")&lt;&gt;1
    ),
    """",
    IFERROR(TEXTJOIN(CHAR(10),TRUE,FILTER('SUMMARY DATA'!E:E,'SUMMARY DATA'!$D:$D=$C51,'SUMMARY DATA'!$B:$B=""GRP"")),"""")
  )
)"),"")</f>
      </c>
      <c r="F950" s="17" t="str">
        <f>IFERROR(__xludf.DUMMYFUNCTION("IFERROR(
  TEXTJOIN(CHAR(10),TRUE,FILTER('SUMMARY DATA'!F:F,'SUMMARY DATA'!$A:$A=$A51,'SUMMARY DATA'!$C:$C=$B51,'SUMMARY DATA'!$B:$B=""GRP"")),
  IF(
    OR(
      ISNUMBER(SEARCH(""CDM CASH DEPOSIT"",$C51)),
      ISNUMBER(SEARCH(""CASH DEPOSIT"",$C51)),"&amp;"
      COUNTIFS('SUMMARY DATA'!$D:$D,$C51,'SUMMARY DATA'!$B:$B,""GRP"")&lt;&gt;1
    ),
    """",
    IFERROR(TEXTJOIN(CHAR(10),TRUE,FILTER('SUMMARY DATA'!F:F,'SUMMARY DATA'!$D:$D=$C51,'SUMMARY DATA'!$B:$B=""GRP"")),"""")
  )
)"),"")</f>
      </c>
      <c r="G950" s="17" t="str">
        <f>IFERROR(__xludf.DUMMYFUNCTION("IFERROR(
  TEXTJOIN(CHAR(10),TRUE,FILTER('SUMMARY DATA'!G:G,'SUMMARY DATA'!$A:$A=$A950,'SUMMARY DATA'!$C:$C=$B950,'SUMMARY DATA'!$B:$B=""RWS"")),
  IF(
    OR(
      ISNUMBER(SEARCH(""CDM CASH DEPOSIT"",$C950)),
      ISNUMBER(SEARCH(""CASH DEPOSIT"",$C95"&amp;"0)),
      COUNTIFS('SUMMARY DATA'!$D:$D,$C950,'SUMMARY DATA'!$B:$B,""RWS"")&lt;&gt;1
    ),
    """",
    IFERROR(TEXTJOIN(CHAR(10),TRUE,FILTER('SUMMARY DATA'!G:G,'SUMMARY DATA'!$D:$D=$C950,'SUMMARY DATA'!$B:$B=""RWS"")),"""")
  )
)"),"")</f>
      </c>
      <c r="H950" s="18" t="str">
        <f>IFERROR(__xludf.DUMMYFUNCTION("IFERROR(
  TEXTJOIN(CHAR(10),TRUE,FILTER('SUMMARY DATA'!H:H,'SUMMARY DATA'!$A:$A=$A950,'SUMMARY DATA'!$C:$C=$B950,'SUMMARY DATA'!$B:$B=""RWS"",'SUMMARY DATA'!$H:$H=$D950)),
  IF(
    OR(
      ISNUMBER(SEARCH(""CDM CASH DEPOSIT"",$C950)),
      ISNUMBER(S"&amp;"EARCH(""CASH DEPOSIT"",$C950))
    ),
    """",
    IFERROR(TEXTJOIN(CHAR(10),TRUE,FILTER('SUMMARY DATA'!H:H,'SUMMARY DATA'!$D:$D=$C950,'SUMMARY DATA'!$B:$B=""RWS"",'SUMMARY DATA'!$H:$H=$D950)),"""")
  )
)"),"")</f>
      </c>
      <c r="I950" s="18" t="str">
        <f>IFERROR(__xludf.DUMMYFUNCTION("IF(H950="""","""",
SUM(ARRAYFORMULA(VALUE(SPLIT(H950,CHAR(10)))))
)"),"")</f>
      </c>
      <c r="J950" s="17" t="str">
        <f>IFERROR(__xludf.DUMMYFUNCTION("IFERROR(
  TEXTJOIN(CHAR(10),TRUE,FILTER('SUMMARY DATA'!I:I,'SUMMARY DATA'!$A:$A=$A950,'SUMMARY DATA'!$C:$C=$B950,'SUMMARY DATA'!$B:$B=""RWS"")),
  IF(
    OR(
      ISNUMBER(SEARCH(""CDM CASH DEPOSIT"",$C950)),
      ISNUMBER(SEARCH(""CASH DEPOSIT"",$C95"&amp;"0)),
      COUNTIFS('SUMMARY DATA'!$D:$D,$C950,'SUMMARY DATA'!$B:$B,""RWS"")&lt;&gt;1
    ),
    """",
    IFERROR(TEXTJOIN(CHAR(10),TRUE,FILTER('SUMMARY DATA'!I:I,'SUMMARY DATA'!$D:$D=$C950,'SUMMARY DATA'!$B:$B=""RWS"")),"""")
  )
)"),"")</f>
      </c>
      <c r="K950" s="2"/>
      <c r="L950" s="2"/>
      <c r="M950" s="2"/>
      <c r="N950" s="2"/>
      <c r="O950" s="2"/>
      <c r="P950" s="2"/>
      <c r="Q950" s="2"/>
      <c r="R950" s="2"/>
      <c r="S950" s="2"/>
      <c r="T950" s="2"/>
      <c r="U950" s="2"/>
      <c r="V950" s="2"/>
      <c r="W950" s="2"/>
      <c r="X950" s="2"/>
      <c r="Y950" s="2"/>
      <c r="Z950" s="2"/>
      <c r="AA950" s="2"/>
      <c r="AB950" s="2"/>
    </row>
    <row r="951" spans="1:28" customHeight="true">
      <c r="A951" s="2"/>
      <c r="B951" s="15">
        <v>45770</v>
      </c>
      <c r="C951" s="2" t="s">
        <v>1245</v>
      </c>
      <c r="D951" s="6">
        <v>187.88</v>
      </c>
      <c r="E951" s="16" t="str">
        <f>IFERROR(__xludf.DUMMYFUNCTION("IFERROR(
  TEXTJOIN(CHAR(10),TRUE,FILTER('SUMMARY DATA'!E:E,'SUMMARY DATA'!$A:$A=$A52,'SUMMARY DATA'!$C:$C=$B52,'SUMMARY DATA'!$B:$B=""GRP"")),
  IF(
    OR(
      ISNUMBER(SEARCH(""CDM CASH DEPOSIT"",$C52)),
      ISNUMBER(SEARCH(""CASH DEPOSIT"",$C52)),"&amp;"
      COUNTIFS('SUMMARY DATA'!$D:$D,$C52,'SUMMARY DATA'!$B:$B,""GRP"")&lt;&gt;1
    ),
    """",
    IFERROR(TEXTJOIN(CHAR(10),TRUE,FILTER('SUMMARY DATA'!E:E,'SUMMARY DATA'!$D:$D=$C52,'SUMMARY DATA'!$B:$B=""GRP"")),"""")
  )
)"),"")</f>
      </c>
      <c r="F951" s="17" t="str">
        <f>IFERROR(__xludf.DUMMYFUNCTION("IFERROR(
  TEXTJOIN(CHAR(10),TRUE,FILTER('SUMMARY DATA'!F:F,'SUMMARY DATA'!$A:$A=$A52,'SUMMARY DATA'!$C:$C=$B52,'SUMMARY DATA'!$B:$B=""GRP"")),
  IF(
    OR(
      ISNUMBER(SEARCH(""CDM CASH DEPOSIT"",$C52)),
      ISNUMBER(SEARCH(""CASH DEPOSIT"",$C52)),"&amp;"
      COUNTIFS('SUMMARY DATA'!$D:$D,$C52,'SUMMARY DATA'!$B:$B,""GRP"")&lt;&gt;1
    ),
    """",
    IFERROR(TEXTJOIN(CHAR(10),TRUE,FILTER('SUMMARY DATA'!F:F,'SUMMARY DATA'!$D:$D=$C52,'SUMMARY DATA'!$B:$B=""GRP"")),"""")
  )
)"),"")</f>
      </c>
      <c r="G951" s="17" t="str">
        <f>IFERROR(__xludf.DUMMYFUNCTION("IFERROR(
  TEXTJOIN(CHAR(10),TRUE,FILTER('SUMMARY DATA'!G:G,'SUMMARY DATA'!$A:$A=$A951,'SUMMARY DATA'!$C:$C=$B951,'SUMMARY DATA'!$B:$B=""RWS"")),
  IF(
    OR(
      ISNUMBER(SEARCH(""CDM CASH DEPOSIT"",$C951)),
      ISNUMBER(SEARCH(""CASH DEPOSIT"",$C95"&amp;"1)),
      COUNTIFS('SUMMARY DATA'!$D:$D,$C951,'SUMMARY DATA'!$B:$B,""RWS"")&lt;&gt;1
    ),
    """",
    IFERROR(TEXTJOIN(CHAR(10),TRUE,FILTER('SUMMARY DATA'!G:G,'SUMMARY DATA'!$D:$D=$C951,'SUMMARY DATA'!$B:$B=""RWS"")),"""")
  )
)"),"")</f>
      </c>
      <c r="H951" s="18" t="str">
        <f>IFERROR(__xludf.DUMMYFUNCTION("IFERROR(
  TEXTJOIN(CHAR(10),TRUE,FILTER('SUMMARY DATA'!H:H,'SUMMARY DATA'!$A:$A=$A951,'SUMMARY DATA'!$C:$C=$B951,'SUMMARY DATA'!$B:$B=""RWS"",'SUMMARY DATA'!$H:$H=$D951)),
  IF(
    OR(
      ISNUMBER(SEARCH(""CDM CASH DEPOSIT"",$C951)),
      ISNUMBER(S"&amp;"EARCH(""CASH DEPOSIT"",$C951))
    ),
    """",
    IFERROR(TEXTJOIN(CHAR(10),TRUE,FILTER('SUMMARY DATA'!H:H,'SUMMARY DATA'!$D:$D=$C951,'SUMMARY DATA'!$B:$B=""RWS"",'SUMMARY DATA'!$H:$H=$D951)),"""")
  )
)"),"")</f>
      </c>
      <c r="I951" s="18" t="str">
        <f>IFERROR(__xludf.DUMMYFUNCTION("IF(H951="""","""",
SUM(ARRAYFORMULA(VALUE(SPLIT(H951,CHAR(10)))))
)"),"")</f>
      </c>
      <c r="J951" s="17" t="str">
        <f>IFERROR(__xludf.DUMMYFUNCTION("IFERROR(
  TEXTJOIN(CHAR(10),TRUE,FILTER('SUMMARY DATA'!I:I,'SUMMARY DATA'!$A:$A=$A951,'SUMMARY DATA'!$C:$C=$B951,'SUMMARY DATA'!$B:$B=""RWS"")),
  IF(
    OR(
      ISNUMBER(SEARCH(""CDM CASH DEPOSIT"",$C951)),
      ISNUMBER(SEARCH(""CASH DEPOSIT"",$C95"&amp;"1)),
      COUNTIFS('SUMMARY DATA'!$D:$D,$C951,'SUMMARY DATA'!$B:$B,""RWS"")&lt;&gt;1
    ),
    """",
    IFERROR(TEXTJOIN(CHAR(10),TRUE,FILTER('SUMMARY DATA'!I:I,'SUMMARY DATA'!$D:$D=$C951,'SUMMARY DATA'!$B:$B=""RWS"")),"""")
  )
)"),"")</f>
      </c>
      <c r="K951" s="2"/>
      <c r="L951" s="2"/>
      <c r="M951" s="2"/>
      <c r="N951" s="2"/>
      <c r="O951" s="2"/>
      <c r="P951" s="2"/>
      <c r="Q951" s="2"/>
      <c r="R951" s="2"/>
      <c r="S951" s="2"/>
      <c r="T951" s="2"/>
      <c r="U951" s="2"/>
      <c r="V951" s="2"/>
      <c r="W951" s="2"/>
      <c r="X951" s="2"/>
      <c r="Y951" s="2"/>
      <c r="Z951" s="2"/>
      <c r="AA951" s="2"/>
      <c r="AB951" s="2"/>
    </row>
    <row r="952" spans="1:28" customHeight="true">
      <c r="A952" s="2"/>
      <c r="B952" s="15">
        <v>45770</v>
      </c>
      <c r="C952" s="2" t="s">
        <v>1485</v>
      </c>
      <c r="D952" s="6">
        <v>45.58</v>
      </c>
      <c r="E952" s="16" t="str">
        <f>IFERROR(__xludf.DUMMYFUNCTION("IFERROR(
  TEXTJOIN(CHAR(10),TRUE,FILTER('SUMMARY DATA'!E:E,'SUMMARY DATA'!$A:$A=$A53,'SUMMARY DATA'!$C:$C=$B53,'SUMMARY DATA'!$B:$B=""GRP"")),
  IF(
    OR(
      ISNUMBER(SEARCH(""CDM CASH DEPOSIT"",$C53)),
      ISNUMBER(SEARCH(""CASH DEPOSIT"",$C53)),"&amp;"
      COUNTIFS('SUMMARY DATA'!$D:$D,$C53,'SUMMARY DATA'!$B:$B,""GRP"")&lt;&gt;1
    ),
    """",
    IFERROR(TEXTJOIN(CHAR(10),TRUE,FILTER('SUMMARY DATA'!E:E,'SUMMARY DATA'!$D:$D=$C53,'SUMMARY DATA'!$B:$B=""GRP"")),"""")
  )
)"),"")</f>
      </c>
      <c r="F952" s="17" t="str">
        <f>IFERROR(__xludf.DUMMYFUNCTION("IFERROR(
  TEXTJOIN(CHAR(10),TRUE,FILTER('SUMMARY DATA'!F:F,'SUMMARY DATA'!$A:$A=$A53,'SUMMARY DATA'!$C:$C=$B53,'SUMMARY DATA'!$B:$B=""GRP"")),
  IF(
    OR(
      ISNUMBER(SEARCH(""CDM CASH DEPOSIT"",$C53)),
      ISNUMBER(SEARCH(""CASH DEPOSIT"",$C53)),"&amp;"
      COUNTIFS('SUMMARY DATA'!$D:$D,$C53,'SUMMARY DATA'!$B:$B,""GRP"")&lt;&gt;1
    ),
    """",
    IFERROR(TEXTJOIN(CHAR(10),TRUE,FILTER('SUMMARY DATA'!F:F,'SUMMARY DATA'!$D:$D=$C53,'SUMMARY DATA'!$B:$B=""GRP"")),"""")
  )
)"),"")</f>
      </c>
      <c r="G952" s="17" t="str">
        <f>IFERROR(__xludf.DUMMYFUNCTION("IFERROR(
  TEXTJOIN(CHAR(10),TRUE,FILTER('SUMMARY DATA'!G:G,'SUMMARY DATA'!$A:$A=$A952,'SUMMARY DATA'!$C:$C=$B952,'SUMMARY DATA'!$B:$B=""RWS"")),
  IF(
    OR(
      ISNUMBER(SEARCH(""CDM CASH DEPOSIT"",$C952)),
      ISNUMBER(SEARCH(""CASH DEPOSIT"",$C95"&amp;"2)),
      COUNTIFS('SUMMARY DATA'!$D:$D,$C952,'SUMMARY DATA'!$B:$B,""RWS"")&lt;&gt;1
    ),
    """",
    IFERROR(TEXTJOIN(CHAR(10),TRUE,FILTER('SUMMARY DATA'!G:G,'SUMMARY DATA'!$D:$D=$C952,'SUMMARY DATA'!$B:$B=""RWS"")),"""")
  )
)"),"")</f>
      </c>
      <c r="H952" s="18" t="str">
        <f>IFERROR(__xludf.DUMMYFUNCTION("IFERROR(
  TEXTJOIN(CHAR(10),TRUE,FILTER('SUMMARY DATA'!H:H,'SUMMARY DATA'!$A:$A=$A952,'SUMMARY DATA'!$C:$C=$B952,'SUMMARY DATA'!$B:$B=""RWS"",'SUMMARY DATA'!$H:$H=$D952)),
  IF(
    OR(
      ISNUMBER(SEARCH(""CDM CASH DEPOSIT"",$C952)),
      ISNUMBER(S"&amp;"EARCH(""CASH DEPOSIT"",$C952))
    ),
    """",
    IFERROR(TEXTJOIN(CHAR(10),TRUE,FILTER('SUMMARY DATA'!H:H,'SUMMARY DATA'!$D:$D=$C952,'SUMMARY DATA'!$B:$B=""RWS"",'SUMMARY DATA'!$H:$H=$D952)),"""")
  )
)"),"")</f>
      </c>
      <c r="I952" s="18" t="str">
        <f>IFERROR(__xludf.DUMMYFUNCTION("IF(H952="""","""",
SUM(ARRAYFORMULA(VALUE(SPLIT(H952,CHAR(10)))))
)"),"")</f>
      </c>
      <c r="J952" s="17" t="str">
        <f>IFERROR(__xludf.DUMMYFUNCTION("IFERROR(
  TEXTJOIN(CHAR(10),TRUE,FILTER('SUMMARY DATA'!I:I,'SUMMARY DATA'!$A:$A=$A952,'SUMMARY DATA'!$C:$C=$B952,'SUMMARY DATA'!$B:$B=""RWS"")),
  IF(
    OR(
      ISNUMBER(SEARCH(""CDM CASH DEPOSIT"",$C952)),
      ISNUMBER(SEARCH(""CASH DEPOSIT"",$C95"&amp;"2)),
      COUNTIFS('SUMMARY DATA'!$D:$D,$C952,'SUMMARY DATA'!$B:$B,""RWS"")&lt;&gt;1
    ),
    """",
    IFERROR(TEXTJOIN(CHAR(10),TRUE,FILTER('SUMMARY DATA'!I:I,'SUMMARY DATA'!$D:$D=$C952,'SUMMARY DATA'!$B:$B=""RWS"")),"""")
  )
)"),"")</f>
      </c>
      <c r="K952" s="2"/>
      <c r="L952" s="2"/>
      <c r="M952" s="2"/>
      <c r="N952" s="2"/>
      <c r="O952" s="2"/>
      <c r="P952" s="2"/>
      <c r="Q952" s="2"/>
      <c r="R952" s="2"/>
      <c r="S952" s="2"/>
      <c r="T952" s="2"/>
      <c r="U952" s="2"/>
      <c r="V952" s="2"/>
      <c r="W952" s="2"/>
      <c r="X952" s="2"/>
      <c r="Y952" s="2"/>
      <c r="Z952" s="2"/>
      <c r="AA952" s="2"/>
      <c r="AB952" s="2"/>
    </row>
    <row r="953" spans="1:28" customHeight="true">
      <c r="A953" s="2"/>
      <c r="B953" s="15">
        <v>45770</v>
      </c>
      <c r="C953" s="2" t="s">
        <v>1486</v>
      </c>
      <c r="D953" s="6">
        <v>10</v>
      </c>
      <c r="E953" s="16" t="str">
        <f>IFERROR(__xludf.DUMMYFUNCTION("IFERROR(
  TEXTJOIN(CHAR(10),TRUE,FILTER('SUMMARY DATA'!E:E,'SUMMARY DATA'!$A:$A=$A54,'SUMMARY DATA'!$C:$C=$B54,'SUMMARY DATA'!$B:$B=""GRP"")),
  IF(
    OR(
      ISNUMBER(SEARCH(""CDM CASH DEPOSIT"",$C54)),
      ISNUMBER(SEARCH(""CASH DEPOSIT"",$C54)),"&amp;"
      COUNTIFS('SUMMARY DATA'!$D:$D,$C54,'SUMMARY DATA'!$B:$B,""GRP"")&lt;&gt;1
    ),
    """",
    IFERROR(TEXTJOIN(CHAR(10),TRUE,FILTER('SUMMARY DATA'!E:E,'SUMMARY DATA'!$D:$D=$C54,'SUMMARY DATA'!$B:$B=""GRP"")),"""")
  )
)"),"")</f>
      </c>
      <c r="F953" s="17" t="str">
        <f>IFERROR(__xludf.DUMMYFUNCTION("IFERROR(
  TEXTJOIN(CHAR(10),TRUE,FILTER('SUMMARY DATA'!F:F,'SUMMARY DATA'!$A:$A=$A54,'SUMMARY DATA'!$C:$C=$B54,'SUMMARY DATA'!$B:$B=""GRP"")),
  IF(
    OR(
      ISNUMBER(SEARCH(""CDM CASH DEPOSIT"",$C54)),
      ISNUMBER(SEARCH(""CASH DEPOSIT"",$C54)),"&amp;"
      COUNTIFS('SUMMARY DATA'!$D:$D,$C54,'SUMMARY DATA'!$B:$B,""GRP"")&lt;&gt;1
    ),
    """",
    IFERROR(TEXTJOIN(CHAR(10),TRUE,FILTER('SUMMARY DATA'!F:F,'SUMMARY DATA'!$D:$D=$C54,'SUMMARY DATA'!$B:$B=""GRP"")),"""")
  )
)"),"")</f>
      </c>
      <c r="G953" s="17" t="str">
        <f>IFERROR(__xludf.DUMMYFUNCTION("IFERROR(
  TEXTJOIN(CHAR(10),TRUE,FILTER('SUMMARY DATA'!G:G,'SUMMARY DATA'!$A:$A=$A953,'SUMMARY DATA'!$C:$C=$B953,'SUMMARY DATA'!$B:$B=""RWS"")),
  IF(
    OR(
      ISNUMBER(SEARCH(""CDM CASH DEPOSIT"",$C953)),
      ISNUMBER(SEARCH(""CASH DEPOSIT"",$C95"&amp;"3)),
      COUNTIFS('SUMMARY DATA'!$D:$D,$C953,'SUMMARY DATA'!$B:$B,""RWS"")&lt;&gt;1
    ),
    """",
    IFERROR(TEXTJOIN(CHAR(10),TRUE,FILTER('SUMMARY DATA'!G:G,'SUMMARY DATA'!$D:$D=$C953,'SUMMARY DATA'!$B:$B=""RWS"")),"""")
  )
)"),"")</f>
      </c>
      <c r="H953" s="18" t="str">
        <f>IFERROR(__xludf.DUMMYFUNCTION("IFERROR(
  TEXTJOIN(CHAR(10),TRUE,FILTER('SUMMARY DATA'!H:H,'SUMMARY DATA'!$A:$A=$A953,'SUMMARY DATA'!$C:$C=$B953,'SUMMARY DATA'!$B:$B=""RWS"",'SUMMARY DATA'!$H:$H=$D953)),
  IF(
    OR(
      ISNUMBER(SEARCH(""CDM CASH DEPOSIT"",$C953)),
      ISNUMBER(S"&amp;"EARCH(""CASH DEPOSIT"",$C953))
    ),
    """",
    IFERROR(TEXTJOIN(CHAR(10),TRUE,FILTER('SUMMARY DATA'!H:H,'SUMMARY DATA'!$D:$D=$C953,'SUMMARY DATA'!$B:$B=""RWS"",'SUMMARY DATA'!$H:$H=$D953)),"""")
  )
)"),"")</f>
      </c>
      <c r="I953" s="18" t="str">
        <f>IFERROR(__xludf.DUMMYFUNCTION("IF(H953="""","""",
SUM(ARRAYFORMULA(VALUE(SPLIT(H953,CHAR(10)))))
)"),"")</f>
      </c>
      <c r="J953" s="17" t="str">
        <f>IFERROR(__xludf.DUMMYFUNCTION("IFERROR(
  TEXTJOIN(CHAR(10),TRUE,FILTER('SUMMARY DATA'!I:I,'SUMMARY DATA'!$A:$A=$A953,'SUMMARY DATA'!$C:$C=$B953,'SUMMARY DATA'!$B:$B=""RWS"")),
  IF(
    OR(
      ISNUMBER(SEARCH(""CDM CASH DEPOSIT"",$C953)),
      ISNUMBER(SEARCH(""CASH DEPOSIT"",$C95"&amp;"3)),
      COUNTIFS('SUMMARY DATA'!$D:$D,$C953,'SUMMARY DATA'!$B:$B,""RWS"")&lt;&gt;1
    ),
    """",
    IFERROR(TEXTJOIN(CHAR(10),TRUE,FILTER('SUMMARY DATA'!I:I,'SUMMARY DATA'!$D:$D=$C953,'SUMMARY DATA'!$B:$B=""RWS"")),"""")
  )
)"),"")</f>
      </c>
      <c r="K953" s="2"/>
      <c r="L953" s="2"/>
      <c r="M953" s="2"/>
      <c r="N953" s="2"/>
      <c r="O953" s="2"/>
      <c r="P953" s="2"/>
      <c r="Q953" s="2"/>
      <c r="R953" s="2"/>
      <c r="S953" s="2"/>
      <c r="T953" s="2"/>
      <c r="U953" s="2"/>
      <c r="V953" s="2"/>
      <c r="W953" s="2"/>
      <c r="X953" s="2"/>
      <c r="Y953" s="2"/>
      <c r="Z953" s="2"/>
      <c r="AA953" s="2"/>
      <c r="AB953" s="2"/>
    </row>
    <row r="954" spans="1:28" customHeight="true">
      <c r="A954" s="2"/>
      <c r="B954" s="15">
        <v>45770</v>
      </c>
      <c r="C954" s="2" t="s">
        <v>1487</v>
      </c>
      <c r="D954" s="6">
        <v>10</v>
      </c>
      <c r="E954" s="16" t="str">
        <f>IFERROR(__xludf.DUMMYFUNCTION("IFERROR(
  TEXTJOIN(CHAR(10),TRUE,FILTER('SUMMARY DATA'!E:E,'SUMMARY DATA'!$A:$A=$A55,'SUMMARY DATA'!$C:$C=$B55,'SUMMARY DATA'!$B:$B=""GRP"")),
  IF(
    OR(
      ISNUMBER(SEARCH(""CDM CASH DEPOSIT"",$C55)),
      ISNUMBER(SEARCH(""CASH DEPOSIT"",$C55)),"&amp;"
      COUNTIFS('SUMMARY DATA'!$D:$D,$C55,'SUMMARY DATA'!$B:$B,""GRP"")&lt;&gt;1
    ),
    """",
    IFERROR(TEXTJOIN(CHAR(10),TRUE,FILTER('SUMMARY DATA'!E:E,'SUMMARY DATA'!$D:$D=$C55,'SUMMARY DATA'!$B:$B=""GRP"")),"""")
  )
)"),"")</f>
      </c>
      <c r="F954" s="17" t="str">
        <f>IFERROR(__xludf.DUMMYFUNCTION("IFERROR(
  TEXTJOIN(CHAR(10),TRUE,FILTER('SUMMARY DATA'!F:F,'SUMMARY DATA'!$A:$A=$A55,'SUMMARY DATA'!$C:$C=$B55,'SUMMARY DATA'!$B:$B=""GRP"")),
  IF(
    OR(
      ISNUMBER(SEARCH(""CDM CASH DEPOSIT"",$C55)),
      ISNUMBER(SEARCH(""CASH DEPOSIT"",$C55)),"&amp;"
      COUNTIFS('SUMMARY DATA'!$D:$D,$C55,'SUMMARY DATA'!$B:$B,""GRP"")&lt;&gt;1
    ),
    """",
    IFERROR(TEXTJOIN(CHAR(10),TRUE,FILTER('SUMMARY DATA'!F:F,'SUMMARY DATA'!$D:$D=$C55,'SUMMARY DATA'!$B:$B=""GRP"")),"""")
  )
)"),"")</f>
      </c>
      <c r="G954" s="17" t="str">
        <f>IFERROR(__xludf.DUMMYFUNCTION("IFERROR(
  TEXTJOIN(CHAR(10),TRUE,FILTER('SUMMARY DATA'!G:G,'SUMMARY DATA'!$A:$A=$A954,'SUMMARY DATA'!$C:$C=$B954,'SUMMARY DATA'!$B:$B=""RWS"")),
  IF(
    OR(
      ISNUMBER(SEARCH(""CDM CASH DEPOSIT"",$C954)),
      ISNUMBER(SEARCH(""CASH DEPOSIT"",$C95"&amp;"4)),
      COUNTIFS('SUMMARY DATA'!$D:$D,$C954,'SUMMARY DATA'!$B:$B,""RWS"")&lt;&gt;1
    ),
    """",
    IFERROR(TEXTJOIN(CHAR(10),TRUE,FILTER('SUMMARY DATA'!G:G,'SUMMARY DATA'!$D:$D=$C954,'SUMMARY DATA'!$B:$B=""RWS"")),"""")
  )
)"),"")</f>
      </c>
      <c r="H954" s="18" t="str">
        <f>IFERROR(__xludf.DUMMYFUNCTION("IFERROR(
  TEXTJOIN(CHAR(10),TRUE,FILTER('SUMMARY DATA'!H:H,'SUMMARY DATA'!$A:$A=$A954,'SUMMARY DATA'!$C:$C=$B954,'SUMMARY DATA'!$B:$B=""RWS"",'SUMMARY DATA'!$H:$H=$D954)),
  IF(
    OR(
      ISNUMBER(SEARCH(""CDM CASH DEPOSIT"",$C954)),
      ISNUMBER(S"&amp;"EARCH(""CASH DEPOSIT"",$C954))
    ),
    """",
    IFERROR(TEXTJOIN(CHAR(10),TRUE,FILTER('SUMMARY DATA'!H:H,'SUMMARY DATA'!$D:$D=$C954,'SUMMARY DATA'!$B:$B=""RWS"",'SUMMARY DATA'!$H:$H=$D954)),"""")
  )
)"),"")</f>
      </c>
      <c r="I954" s="18" t="str">
        <f>IFERROR(__xludf.DUMMYFUNCTION("IF(H954="""","""",
SUM(ARRAYFORMULA(VALUE(SPLIT(H954,CHAR(10)))))
)"),"")</f>
      </c>
      <c r="J954" s="17" t="str">
        <f>IFERROR(__xludf.DUMMYFUNCTION("IFERROR(
  TEXTJOIN(CHAR(10),TRUE,FILTER('SUMMARY DATA'!I:I,'SUMMARY DATA'!$A:$A=$A954,'SUMMARY DATA'!$C:$C=$B954,'SUMMARY DATA'!$B:$B=""RWS"")),
  IF(
    OR(
      ISNUMBER(SEARCH(""CDM CASH DEPOSIT"",$C954)),
      ISNUMBER(SEARCH(""CASH DEPOSIT"",$C95"&amp;"4)),
      COUNTIFS('SUMMARY DATA'!$D:$D,$C954,'SUMMARY DATA'!$B:$B,""RWS"")&lt;&gt;1
    ),
    """",
    IFERROR(TEXTJOIN(CHAR(10),TRUE,FILTER('SUMMARY DATA'!I:I,'SUMMARY DATA'!$D:$D=$C954,'SUMMARY DATA'!$B:$B=""RWS"")),"""")
  )
)"),"")</f>
      </c>
      <c r="K954" s="2"/>
      <c r="L954" s="2"/>
      <c r="M954" s="2"/>
      <c r="N954" s="2"/>
      <c r="O954" s="2"/>
      <c r="P954" s="2"/>
      <c r="Q954" s="2"/>
      <c r="R954" s="2"/>
      <c r="S954" s="2"/>
      <c r="T954" s="2"/>
      <c r="U954" s="2"/>
      <c r="V954" s="2"/>
      <c r="W954" s="2"/>
      <c r="X954" s="2"/>
      <c r="Y954" s="2"/>
      <c r="Z954" s="2"/>
      <c r="AA954" s="2"/>
      <c r="AB954" s="2"/>
    </row>
    <row r="955" spans="1:28" customHeight="true">
      <c r="A955" s="2"/>
      <c r="B955" s="15">
        <v>45770</v>
      </c>
      <c r="C955" s="2" t="s">
        <v>1488</v>
      </c>
      <c r="D955" s="6">
        <v>10</v>
      </c>
      <c r="E955" s="16" t="str">
        <f>IFERROR(__xludf.DUMMYFUNCTION("IFERROR(
  TEXTJOIN(CHAR(10),TRUE,FILTER('SUMMARY DATA'!E:E,'SUMMARY DATA'!$A:$A=$A56,'SUMMARY DATA'!$C:$C=$B56,'SUMMARY DATA'!$B:$B=""GRP"")),
  IF(
    OR(
      ISNUMBER(SEARCH(""CDM CASH DEPOSIT"",$C56)),
      ISNUMBER(SEARCH(""CASH DEPOSIT"",$C56)),"&amp;"
      COUNTIFS('SUMMARY DATA'!$D:$D,$C56,'SUMMARY DATA'!$B:$B,""GRP"")&lt;&gt;1
    ),
    """",
    IFERROR(TEXTJOIN(CHAR(10),TRUE,FILTER('SUMMARY DATA'!E:E,'SUMMARY DATA'!$D:$D=$C56,'SUMMARY DATA'!$B:$B=""GRP"")),"""")
  )
)"),"")</f>
      </c>
      <c r="F955" s="17" t="str">
        <f>IFERROR(__xludf.DUMMYFUNCTION("IFERROR(
  TEXTJOIN(CHAR(10),TRUE,FILTER('SUMMARY DATA'!F:F,'SUMMARY DATA'!$A:$A=$A56,'SUMMARY DATA'!$C:$C=$B56,'SUMMARY DATA'!$B:$B=""GRP"")),
  IF(
    OR(
      ISNUMBER(SEARCH(""CDM CASH DEPOSIT"",$C56)),
      ISNUMBER(SEARCH(""CASH DEPOSIT"",$C56)),"&amp;"
      COUNTIFS('SUMMARY DATA'!$D:$D,$C56,'SUMMARY DATA'!$B:$B,""GRP"")&lt;&gt;1
    ),
    """",
    IFERROR(TEXTJOIN(CHAR(10),TRUE,FILTER('SUMMARY DATA'!F:F,'SUMMARY DATA'!$D:$D=$C56,'SUMMARY DATA'!$B:$B=""GRP"")),"""")
  )
)"),"")</f>
      </c>
      <c r="G955" s="17" t="str">
        <f>IFERROR(__xludf.DUMMYFUNCTION("IFERROR(
  TEXTJOIN(CHAR(10),TRUE,FILTER('SUMMARY DATA'!G:G,'SUMMARY DATA'!$A:$A=$A955,'SUMMARY DATA'!$C:$C=$B955,'SUMMARY DATA'!$B:$B=""RWS"")),
  IF(
    OR(
      ISNUMBER(SEARCH(""CDM CASH DEPOSIT"",$C955)),
      ISNUMBER(SEARCH(""CASH DEPOSIT"",$C95"&amp;"5)),
      COUNTIFS('SUMMARY DATA'!$D:$D,$C955,'SUMMARY DATA'!$B:$B,""RWS"")&lt;&gt;1
    ),
    """",
    IFERROR(TEXTJOIN(CHAR(10),TRUE,FILTER('SUMMARY DATA'!G:G,'SUMMARY DATA'!$D:$D=$C955,'SUMMARY DATA'!$B:$B=""RWS"")),"""")
  )
)"),"")</f>
      </c>
      <c r="H955" s="18" t="str">
        <f>IFERROR(__xludf.DUMMYFUNCTION("IFERROR(
  TEXTJOIN(CHAR(10),TRUE,FILTER('SUMMARY DATA'!H:H,'SUMMARY DATA'!$A:$A=$A955,'SUMMARY DATA'!$C:$C=$B955,'SUMMARY DATA'!$B:$B=""RWS"",'SUMMARY DATA'!$H:$H=$D955)),
  IF(
    OR(
      ISNUMBER(SEARCH(""CDM CASH DEPOSIT"",$C955)),
      ISNUMBER(S"&amp;"EARCH(""CASH DEPOSIT"",$C955))
    ),
    """",
    IFERROR(TEXTJOIN(CHAR(10),TRUE,FILTER('SUMMARY DATA'!H:H,'SUMMARY DATA'!$D:$D=$C955,'SUMMARY DATA'!$B:$B=""RWS"",'SUMMARY DATA'!$H:$H=$D955)),"""")
  )
)"),"")</f>
      </c>
      <c r="I955" s="18" t="str">
        <f>IFERROR(__xludf.DUMMYFUNCTION("IF(H955="""","""",
SUM(ARRAYFORMULA(VALUE(SPLIT(H955,CHAR(10)))))
)"),"")</f>
      </c>
      <c r="J955" s="17" t="str">
        <f>IFERROR(__xludf.DUMMYFUNCTION("IFERROR(
  TEXTJOIN(CHAR(10),TRUE,FILTER('SUMMARY DATA'!I:I,'SUMMARY DATA'!$A:$A=$A955,'SUMMARY DATA'!$C:$C=$B955,'SUMMARY DATA'!$B:$B=""RWS"")),
  IF(
    OR(
      ISNUMBER(SEARCH(""CDM CASH DEPOSIT"",$C955)),
      ISNUMBER(SEARCH(""CASH DEPOSIT"",$C95"&amp;"5)),
      COUNTIFS('SUMMARY DATA'!$D:$D,$C955,'SUMMARY DATA'!$B:$B,""RWS"")&lt;&gt;1
    ),
    """",
    IFERROR(TEXTJOIN(CHAR(10),TRUE,FILTER('SUMMARY DATA'!I:I,'SUMMARY DATA'!$D:$D=$C955,'SUMMARY DATA'!$B:$B=""RWS"")),"""")
  )
)"),"")</f>
      </c>
      <c r="K955" s="2"/>
      <c r="L955" s="2"/>
      <c r="M955" s="2"/>
      <c r="N955" s="2"/>
      <c r="O955" s="2"/>
      <c r="P955" s="2"/>
      <c r="Q955" s="2"/>
      <c r="R955" s="2"/>
      <c r="S955" s="2"/>
      <c r="T955" s="2"/>
      <c r="U955" s="2"/>
      <c r="V955" s="2"/>
      <c r="W955" s="2"/>
      <c r="X955" s="2"/>
      <c r="Y955" s="2"/>
      <c r="Z955" s="2"/>
      <c r="AA955" s="2"/>
      <c r="AB955" s="2"/>
    </row>
    <row r="956" spans="1:28" customHeight="true">
      <c r="A956" s="2"/>
      <c r="B956" s="15">
        <v>45770</v>
      </c>
      <c r="C956" s="2" t="s">
        <v>1489</v>
      </c>
      <c r="D956" s="6">
        <v>10</v>
      </c>
      <c r="E956" s="16" t="str">
        <f>IFERROR(__xludf.DUMMYFUNCTION("IFERROR(
  TEXTJOIN(CHAR(10),TRUE,FILTER('SUMMARY DATA'!E:E,'SUMMARY DATA'!$A:$A=$A57,'SUMMARY DATA'!$C:$C=$B57,'SUMMARY DATA'!$B:$B=""GRP"")),
  IF(
    OR(
      ISNUMBER(SEARCH(""CDM CASH DEPOSIT"",$C57)),
      ISNUMBER(SEARCH(""CASH DEPOSIT"",$C57)),"&amp;"
      COUNTIFS('SUMMARY DATA'!$D:$D,$C57,'SUMMARY DATA'!$B:$B,""GRP"")&lt;&gt;1
    ),
    """",
    IFERROR(TEXTJOIN(CHAR(10),TRUE,FILTER('SUMMARY DATA'!E:E,'SUMMARY DATA'!$D:$D=$C57,'SUMMARY DATA'!$B:$B=""GRP"")),"""")
  )
)"),"")</f>
      </c>
      <c r="F956" s="17" t="str">
        <f>IFERROR(__xludf.DUMMYFUNCTION("IFERROR(
  TEXTJOIN(CHAR(10),TRUE,FILTER('SUMMARY DATA'!F:F,'SUMMARY DATA'!$A:$A=$A57,'SUMMARY DATA'!$C:$C=$B57,'SUMMARY DATA'!$B:$B=""GRP"")),
  IF(
    OR(
      ISNUMBER(SEARCH(""CDM CASH DEPOSIT"",$C57)),
      ISNUMBER(SEARCH(""CASH DEPOSIT"",$C57)),"&amp;"
      COUNTIFS('SUMMARY DATA'!$D:$D,$C57,'SUMMARY DATA'!$B:$B,""GRP"")&lt;&gt;1
    ),
    """",
    IFERROR(TEXTJOIN(CHAR(10),TRUE,FILTER('SUMMARY DATA'!F:F,'SUMMARY DATA'!$D:$D=$C57,'SUMMARY DATA'!$B:$B=""GRP"")),"""")
  )
)"),"")</f>
      </c>
      <c r="G956" s="17" t="str">
        <f>IFERROR(__xludf.DUMMYFUNCTION("IFERROR(
  TEXTJOIN(CHAR(10),TRUE,FILTER('SUMMARY DATA'!G:G,'SUMMARY DATA'!$A:$A=$A956,'SUMMARY DATA'!$C:$C=$B956,'SUMMARY DATA'!$B:$B=""RWS"")),
  IF(
    OR(
      ISNUMBER(SEARCH(""CDM CASH DEPOSIT"",$C956)),
      ISNUMBER(SEARCH(""CASH DEPOSIT"",$C95"&amp;"6)),
      COUNTIFS('SUMMARY DATA'!$D:$D,$C956,'SUMMARY DATA'!$B:$B,""RWS"")&lt;&gt;1
    ),
    """",
    IFERROR(TEXTJOIN(CHAR(10),TRUE,FILTER('SUMMARY DATA'!G:G,'SUMMARY DATA'!$D:$D=$C956,'SUMMARY DATA'!$B:$B=""RWS"")),"""")
  )
)"),"")</f>
      </c>
      <c r="H956" s="18" t="str">
        <f>IFERROR(__xludf.DUMMYFUNCTION("IFERROR(
  TEXTJOIN(CHAR(10),TRUE,FILTER('SUMMARY DATA'!H:H,'SUMMARY DATA'!$A:$A=$A956,'SUMMARY DATA'!$C:$C=$B956,'SUMMARY DATA'!$B:$B=""RWS"",'SUMMARY DATA'!$H:$H=$D956)),
  IF(
    OR(
      ISNUMBER(SEARCH(""CDM CASH DEPOSIT"",$C956)),
      ISNUMBER(S"&amp;"EARCH(""CASH DEPOSIT"",$C956))
    ),
    """",
    IFERROR(TEXTJOIN(CHAR(10),TRUE,FILTER('SUMMARY DATA'!H:H,'SUMMARY DATA'!$D:$D=$C956,'SUMMARY DATA'!$B:$B=""RWS"",'SUMMARY DATA'!$H:$H=$D956)),"""")
  )
)"),"")</f>
      </c>
      <c r="I956" s="18" t="str">
        <f>IFERROR(__xludf.DUMMYFUNCTION("IF(H956="""","""",
SUM(ARRAYFORMULA(VALUE(SPLIT(H956,CHAR(10)))))
)"),"")</f>
      </c>
      <c r="J956" s="17" t="str">
        <f>IFERROR(__xludf.DUMMYFUNCTION("IFERROR(
  TEXTJOIN(CHAR(10),TRUE,FILTER('SUMMARY DATA'!I:I,'SUMMARY DATA'!$A:$A=$A956,'SUMMARY DATA'!$C:$C=$B956,'SUMMARY DATA'!$B:$B=""RWS"")),
  IF(
    OR(
      ISNUMBER(SEARCH(""CDM CASH DEPOSIT"",$C956)),
      ISNUMBER(SEARCH(""CASH DEPOSIT"",$C95"&amp;"6)),
      COUNTIFS('SUMMARY DATA'!$D:$D,$C956,'SUMMARY DATA'!$B:$B,""RWS"")&lt;&gt;1
    ),
    """",
    IFERROR(TEXTJOIN(CHAR(10),TRUE,FILTER('SUMMARY DATA'!I:I,'SUMMARY DATA'!$D:$D=$C956,'SUMMARY DATA'!$B:$B=""RWS"")),"""")
  )
)"),"")</f>
      </c>
      <c r="K956" s="2"/>
      <c r="L956" s="2"/>
      <c r="M956" s="2"/>
      <c r="N956" s="2"/>
      <c r="O956" s="2"/>
      <c r="P956" s="2"/>
      <c r="Q956" s="2"/>
      <c r="R956" s="2"/>
      <c r="S956" s="2"/>
      <c r="T956" s="2"/>
      <c r="U956" s="2"/>
      <c r="V956" s="2"/>
      <c r="W956" s="2"/>
      <c r="X956" s="2"/>
      <c r="Y956" s="2"/>
      <c r="Z956" s="2"/>
      <c r="AA956" s="2"/>
      <c r="AB956" s="2"/>
    </row>
    <row r="957" spans="1:28" customHeight="true">
      <c r="A957" s="2" t="s">
        <v>1446</v>
      </c>
      <c r="B957" s="15">
        <v>45770</v>
      </c>
      <c r="C957" s="2" t="s">
        <v>1490</v>
      </c>
      <c r="D957" s="6">
        <v>10</v>
      </c>
      <c r="E957" s="16" t="str">
        <f>IFERROR(__xludf.DUMMYFUNCTION("IFERROR(
  TEXTJOIN(CHAR(10),TRUE,FILTER('SUMMARY DATA'!E:E,'SUMMARY DATA'!$A:$A=$A58,'SUMMARY DATA'!$C:$C=$B58,'SUMMARY DATA'!$B:$B=""GRP"")),
  IF(
    OR(
      ISNUMBER(SEARCH(""CDM CASH DEPOSIT"",$C58)),
      ISNUMBER(SEARCH(""CASH DEPOSIT"",$C58)),"&amp;"
      COUNTIFS('SUMMARY DATA'!$D:$D,$C58,'SUMMARY DATA'!$B:$B,""GRP"")&lt;&gt;1
    ),
    """",
    IFERROR(TEXTJOIN(CHAR(10),TRUE,FILTER('SUMMARY DATA'!E:E,'SUMMARY DATA'!$D:$D=$C58,'SUMMARY DATA'!$B:$B=""GRP"")),"""")
  )
)"),"")</f>
      </c>
      <c r="F957" s="17" t="str">
        <f>IFERROR(__xludf.DUMMYFUNCTION("IFERROR(
  TEXTJOIN(CHAR(10),TRUE,FILTER('SUMMARY DATA'!F:F,'SUMMARY DATA'!$A:$A=$A58,'SUMMARY DATA'!$C:$C=$B58,'SUMMARY DATA'!$B:$B=""GRP"")),
  IF(
    OR(
      ISNUMBER(SEARCH(""CDM CASH DEPOSIT"",$C58)),
      ISNUMBER(SEARCH(""CASH DEPOSIT"",$C58)),"&amp;"
      COUNTIFS('SUMMARY DATA'!$D:$D,$C58,'SUMMARY DATA'!$B:$B,""GRP"")&lt;&gt;1
    ),
    """",
    IFERROR(TEXTJOIN(CHAR(10),TRUE,FILTER('SUMMARY DATA'!F:F,'SUMMARY DATA'!$D:$D=$C58,'SUMMARY DATA'!$B:$B=""GRP"")),"""")
  )
)"),"")</f>
      </c>
      <c r="G957" s="17" t="str">
        <f>IFERROR(__xludf.DUMMYFUNCTION("IFERROR(
  TEXTJOIN(CHAR(10),TRUE,FILTER('SUMMARY DATA'!G:G,'SUMMARY DATA'!$A:$A=$A957,'SUMMARY DATA'!$C:$C=$B957,'SUMMARY DATA'!$B:$B=""RWS"")),
  IF(
    OR(
      ISNUMBER(SEARCH(""CDM CASH DEPOSIT"",$C957)),
      ISNUMBER(SEARCH(""CASH DEPOSIT"",$C95"&amp;"7)),
      COUNTIFS('SUMMARY DATA'!$D:$D,$C957,'SUMMARY DATA'!$B:$B,""RWS"")&lt;&gt;1
    ),
    """",
    IFERROR(TEXTJOIN(CHAR(10),TRUE,FILTER('SUMMARY DATA'!G:G,'SUMMARY DATA'!$D:$D=$C957,'SUMMARY DATA'!$B:$B=""RWS"")),"""")
  )
)"),"")</f>
      </c>
      <c r="H957" s="18" t="str">
        <f>IFERROR(__xludf.DUMMYFUNCTION("IFERROR(
  TEXTJOIN(CHAR(10),TRUE,FILTER('SUMMARY DATA'!H:H,'SUMMARY DATA'!$A:$A=$A957,'SUMMARY DATA'!$C:$C=$B957,'SUMMARY DATA'!$B:$B=""RWS"",'SUMMARY DATA'!$H:$H=$D957)),
  IF(
    OR(
      ISNUMBER(SEARCH(""CDM CASH DEPOSIT"",$C957)),
      ISNUMBER(S"&amp;"EARCH(""CASH DEPOSIT"",$C957))
    ),
    """",
    IFERROR(TEXTJOIN(CHAR(10),TRUE,FILTER('SUMMARY DATA'!H:H,'SUMMARY DATA'!$D:$D=$C957,'SUMMARY DATA'!$B:$B=""RWS"",'SUMMARY DATA'!$H:$H=$D957)),"""")
  )
)"),"")</f>
      </c>
      <c r="I957" s="18" t="str">
        <f>IFERROR(__xludf.DUMMYFUNCTION("IF(H957="""","""",
SUM(ARRAYFORMULA(VALUE(SPLIT(H957,CHAR(10)))))
)"),"")</f>
      </c>
      <c r="J957" s="17" t="str">
        <f>IFERROR(__xludf.DUMMYFUNCTION("IFERROR(
  TEXTJOIN(CHAR(10),TRUE,FILTER('SUMMARY DATA'!I:I,'SUMMARY DATA'!$A:$A=$A957,'SUMMARY DATA'!$C:$C=$B957,'SUMMARY DATA'!$B:$B=""RWS"")),
  IF(
    OR(
      ISNUMBER(SEARCH(""CDM CASH DEPOSIT"",$C957)),
      ISNUMBER(SEARCH(""CASH DEPOSIT"",$C95"&amp;"7)),
      COUNTIFS('SUMMARY DATA'!$D:$D,$C957,'SUMMARY DATA'!$B:$B,""RWS"")&lt;&gt;1
    ),
    """",
    IFERROR(TEXTJOIN(CHAR(10),TRUE,FILTER('SUMMARY DATA'!I:I,'SUMMARY DATA'!$D:$D=$C957,'SUMMARY DATA'!$B:$B=""RWS"")),"""")
  )
)"),"")</f>
      </c>
      <c r="K957" s="2"/>
      <c r="L957" s="2"/>
      <c r="M957" s="2"/>
      <c r="N957" s="2"/>
      <c r="O957" s="2"/>
      <c r="P957" s="2"/>
      <c r="Q957" s="2"/>
      <c r="R957" s="2"/>
      <c r="S957" s="2"/>
      <c r="T957" s="2"/>
      <c r="U957" s="2"/>
      <c r="V957" s="2"/>
      <c r="W957" s="2"/>
      <c r="X957" s="2"/>
      <c r="Y957" s="2"/>
      <c r="Z957" s="2"/>
      <c r="AA957" s="2"/>
      <c r="AB957" s="2"/>
    </row>
    <row r="958" spans="1:28" customHeight="true">
      <c r="A958" s="2"/>
      <c r="B958" s="15">
        <v>45771</v>
      </c>
      <c r="C958" s="2" t="s">
        <v>1491</v>
      </c>
      <c r="D958" s="6">
        <v>282.84</v>
      </c>
      <c r="E958" s="16" t="str">
        <f>IFERROR(__xludf.DUMMYFUNCTION("IFERROR(
  TEXTJOIN(CHAR(10),TRUE,FILTER('SUMMARY DATA'!E:E,'SUMMARY DATA'!$A:$A=$A59,'SUMMARY DATA'!$C:$C=$B59,'SUMMARY DATA'!$B:$B=""GRP"")),
  IF(
    OR(
      ISNUMBER(SEARCH(""CDM CASH DEPOSIT"",$C59)),
      ISNUMBER(SEARCH(""CASH DEPOSIT"",$C59)),"&amp;"
      COUNTIFS('SUMMARY DATA'!$D:$D,$C59,'SUMMARY DATA'!$B:$B,""GRP"")&lt;&gt;1
    ),
    """",
    IFERROR(TEXTJOIN(CHAR(10),TRUE,FILTER('SUMMARY DATA'!E:E,'SUMMARY DATA'!$D:$D=$C59,'SUMMARY DATA'!$B:$B=""GRP"")),"""")
  )
)"),"")</f>
      </c>
      <c r="F958" s="17" t="str">
        <f>IFERROR(__xludf.DUMMYFUNCTION("IFERROR(
  TEXTJOIN(CHAR(10),TRUE,FILTER('SUMMARY DATA'!F:F,'SUMMARY DATA'!$A:$A=$A59,'SUMMARY DATA'!$C:$C=$B59,'SUMMARY DATA'!$B:$B=""GRP"")),
  IF(
    OR(
      ISNUMBER(SEARCH(""CDM CASH DEPOSIT"",$C59)),
      ISNUMBER(SEARCH(""CASH DEPOSIT"",$C59)),"&amp;"
      COUNTIFS('SUMMARY DATA'!$D:$D,$C59,'SUMMARY DATA'!$B:$B,""GRP"")&lt;&gt;1
    ),
    """",
    IFERROR(TEXTJOIN(CHAR(10),TRUE,FILTER('SUMMARY DATA'!F:F,'SUMMARY DATA'!$D:$D=$C59,'SUMMARY DATA'!$B:$B=""GRP"")),"""")
  )
)"),"")</f>
      </c>
      <c r="G958" s="17" t="str">
        <f>IFERROR(__xludf.DUMMYFUNCTION("IFERROR(
  TEXTJOIN(CHAR(10),TRUE,FILTER('SUMMARY DATA'!G:G,'SUMMARY DATA'!$A:$A=$A958,'SUMMARY DATA'!$C:$C=$B958,'SUMMARY DATA'!$B:$B=""RWS"")),
  IF(
    OR(
      ISNUMBER(SEARCH(""CDM CASH DEPOSIT"",$C958)),
      ISNUMBER(SEARCH(""CASH DEPOSIT"",$C95"&amp;"8)),
      COUNTIFS('SUMMARY DATA'!$D:$D,$C958,'SUMMARY DATA'!$B:$B,""RWS"")&lt;&gt;1
    ),
    """",
    IFERROR(TEXTJOIN(CHAR(10),TRUE,FILTER('SUMMARY DATA'!G:G,'SUMMARY DATA'!$D:$D=$C958,'SUMMARY DATA'!$B:$B=""RWS"")),"""")
  )
)"),"")</f>
      </c>
      <c r="H958" s="18" t="str">
        <f>IFERROR(__xludf.DUMMYFUNCTION("IFERROR(
  TEXTJOIN(CHAR(10),TRUE,FILTER('SUMMARY DATA'!H:H,'SUMMARY DATA'!$A:$A=$A958,'SUMMARY DATA'!$C:$C=$B958,'SUMMARY DATA'!$B:$B=""RWS"",'SUMMARY DATA'!$H:$H=$D958)),
  IF(
    OR(
      ISNUMBER(SEARCH(""CDM CASH DEPOSIT"",$C958)),
      ISNUMBER(S"&amp;"EARCH(""CASH DEPOSIT"",$C958))
    ),
    """",
    IFERROR(TEXTJOIN(CHAR(10),TRUE,FILTER('SUMMARY DATA'!H:H,'SUMMARY DATA'!$D:$D=$C958,'SUMMARY DATA'!$B:$B=""RWS"",'SUMMARY DATA'!$H:$H=$D958)),"""")
  )
)"),"")</f>
      </c>
      <c r="I958" s="18" t="str">
        <f>IFERROR(__xludf.DUMMYFUNCTION("IF(H958="""","""",
SUM(ARRAYFORMULA(VALUE(SPLIT(H958,CHAR(10)))))
)"),"")</f>
      </c>
      <c r="J958" s="17" t="str">
        <f>IFERROR(__xludf.DUMMYFUNCTION("IFERROR(
  TEXTJOIN(CHAR(10),TRUE,FILTER('SUMMARY DATA'!I:I,'SUMMARY DATA'!$A:$A=$A958,'SUMMARY DATA'!$C:$C=$B958,'SUMMARY DATA'!$B:$B=""RWS"")),
  IF(
    OR(
      ISNUMBER(SEARCH(""CDM CASH DEPOSIT"",$C958)),
      ISNUMBER(SEARCH(""CASH DEPOSIT"",$C95"&amp;"8)),
      COUNTIFS('SUMMARY DATA'!$D:$D,$C958,'SUMMARY DATA'!$B:$B,""RWS"")&lt;&gt;1
    ),
    """",
    IFERROR(TEXTJOIN(CHAR(10),TRUE,FILTER('SUMMARY DATA'!I:I,'SUMMARY DATA'!$D:$D=$C958,'SUMMARY DATA'!$B:$B=""RWS"")),"""")
  )
)"),"")</f>
      </c>
      <c r="K958" s="2"/>
      <c r="L958" s="2"/>
      <c r="M958" s="2"/>
      <c r="N958" s="2"/>
      <c r="O958" s="2"/>
      <c r="P958" s="2"/>
      <c r="Q958" s="2"/>
      <c r="R958" s="2"/>
      <c r="S958" s="2"/>
      <c r="T958" s="2"/>
      <c r="U958" s="2"/>
      <c r="V958" s="2"/>
      <c r="W958" s="2"/>
      <c r="X958" s="2"/>
      <c r="Y958" s="2"/>
      <c r="Z958" s="2"/>
      <c r="AA958" s="2"/>
      <c r="AB958" s="2"/>
    </row>
    <row r="959" spans="1:28" customHeight="true">
      <c r="A959" s="2"/>
      <c r="B959" s="15">
        <v>45771</v>
      </c>
      <c r="C959" s="2" t="s">
        <v>1492</v>
      </c>
      <c r="D959" s="6">
        <v>208</v>
      </c>
      <c r="E959" s="16" t="str">
        <f>IFERROR(__xludf.DUMMYFUNCTION("IFERROR(
  TEXTJOIN(CHAR(10),TRUE,FILTER('SUMMARY DATA'!E:E,'SUMMARY DATA'!$A:$A=$A60,'SUMMARY DATA'!$C:$C=$B60,'SUMMARY DATA'!$B:$B=""GRP"")),
  IF(
    OR(
      ISNUMBER(SEARCH(""CDM CASH DEPOSIT"",$C60)),
      ISNUMBER(SEARCH(""CASH DEPOSIT"",$C60)),"&amp;"
      COUNTIFS('SUMMARY DATA'!$D:$D,$C60,'SUMMARY DATA'!$B:$B,""GRP"")&lt;&gt;1
    ),
    """",
    IFERROR(TEXTJOIN(CHAR(10),TRUE,FILTER('SUMMARY DATA'!E:E,'SUMMARY DATA'!$D:$D=$C60,'SUMMARY DATA'!$B:$B=""GRP"")),"""")
  )
)"),"")</f>
      </c>
      <c r="F959" s="17" t="str">
        <f>IFERROR(__xludf.DUMMYFUNCTION("IFERROR(
  TEXTJOIN(CHAR(10),TRUE,FILTER('SUMMARY DATA'!F:F,'SUMMARY DATA'!$A:$A=$A60,'SUMMARY DATA'!$C:$C=$B60,'SUMMARY DATA'!$B:$B=""GRP"")),
  IF(
    OR(
      ISNUMBER(SEARCH(""CDM CASH DEPOSIT"",$C60)),
      ISNUMBER(SEARCH(""CASH DEPOSIT"",$C60)),"&amp;"
      COUNTIFS('SUMMARY DATA'!$D:$D,$C60,'SUMMARY DATA'!$B:$B,""GRP"")&lt;&gt;1
    ),
    """",
    IFERROR(TEXTJOIN(CHAR(10),TRUE,FILTER('SUMMARY DATA'!F:F,'SUMMARY DATA'!$D:$D=$C60,'SUMMARY DATA'!$B:$B=""GRP"")),"""")
  )
)"),"")</f>
      </c>
      <c r="G959" s="17" t="str">
        <f>IFERROR(__xludf.DUMMYFUNCTION("IFERROR(
  TEXTJOIN(CHAR(10),TRUE,FILTER('SUMMARY DATA'!G:G,'SUMMARY DATA'!$A:$A=$A959,'SUMMARY DATA'!$C:$C=$B959,'SUMMARY DATA'!$B:$B=""RWS"")),
  IF(
    OR(
      ISNUMBER(SEARCH(""CDM CASH DEPOSIT"",$C959)),
      ISNUMBER(SEARCH(""CASH DEPOSIT"",$C95"&amp;"9)),
      COUNTIFS('SUMMARY DATA'!$D:$D,$C959,'SUMMARY DATA'!$B:$B,""RWS"")&lt;&gt;1
    ),
    """",
    IFERROR(TEXTJOIN(CHAR(10),TRUE,FILTER('SUMMARY DATA'!G:G,'SUMMARY DATA'!$D:$D=$C959,'SUMMARY DATA'!$B:$B=""RWS"")),"""")
  )
)"),"")</f>
      </c>
      <c r="H959" s="18" t="str">
        <f>IFERROR(__xludf.DUMMYFUNCTION("IFERROR(
  TEXTJOIN(CHAR(10),TRUE,FILTER('SUMMARY DATA'!H:H,'SUMMARY DATA'!$A:$A=$A959,'SUMMARY DATA'!$C:$C=$B959,'SUMMARY DATA'!$B:$B=""RWS"",'SUMMARY DATA'!$H:$H=$D959)),
  IF(
    OR(
      ISNUMBER(SEARCH(""CDM CASH DEPOSIT"",$C959)),
      ISNUMBER(S"&amp;"EARCH(""CASH DEPOSIT"",$C959))
    ),
    """",
    IFERROR(TEXTJOIN(CHAR(10),TRUE,FILTER('SUMMARY DATA'!H:H,'SUMMARY DATA'!$D:$D=$C959,'SUMMARY DATA'!$B:$B=""RWS"",'SUMMARY DATA'!$H:$H=$D959)),"""")
  )
)"),"")</f>
      </c>
      <c r="I959" s="18" t="str">
        <f>IFERROR(__xludf.DUMMYFUNCTION("IF(H959="""","""",
SUM(ARRAYFORMULA(VALUE(SPLIT(H959,CHAR(10)))))
)"),"")</f>
      </c>
      <c r="J959" s="17" t="str">
        <f>IFERROR(__xludf.DUMMYFUNCTION("IFERROR(
  TEXTJOIN(CHAR(10),TRUE,FILTER('SUMMARY DATA'!I:I,'SUMMARY DATA'!$A:$A=$A959,'SUMMARY DATA'!$C:$C=$B959,'SUMMARY DATA'!$B:$B=""RWS"")),
  IF(
    OR(
      ISNUMBER(SEARCH(""CDM CASH DEPOSIT"",$C959)),
      ISNUMBER(SEARCH(""CASH DEPOSIT"",$C95"&amp;"9)),
      COUNTIFS('SUMMARY DATA'!$D:$D,$C959,'SUMMARY DATA'!$B:$B,""RWS"")&lt;&gt;1
    ),
    """",
    IFERROR(TEXTJOIN(CHAR(10),TRUE,FILTER('SUMMARY DATA'!I:I,'SUMMARY DATA'!$D:$D=$C959,'SUMMARY DATA'!$B:$B=""RWS"")),"""")
  )
)"),"")</f>
      </c>
      <c r="K959" s="2"/>
      <c r="L959" s="2"/>
      <c r="M959" s="2"/>
      <c r="N959" s="2"/>
      <c r="O959" s="2"/>
      <c r="P959" s="2"/>
      <c r="Q959" s="2"/>
      <c r="R959" s="2"/>
      <c r="S959" s="2"/>
      <c r="T959" s="2"/>
      <c r="U959" s="2"/>
      <c r="V959" s="2"/>
      <c r="W959" s="2"/>
      <c r="X959" s="2"/>
      <c r="Y959" s="2"/>
      <c r="Z959" s="2"/>
      <c r="AA959" s="2"/>
      <c r="AB959" s="2"/>
    </row>
    <row r="960" spans="1:28" customHeight="true">
      <c r="A960" s="2" t="s">
        <v>1446</v>
      </c>
      <c r="B960" s="15">
        <v>45771</v>
      </c>
      <c r="C960" s="2" t="s">
        <v>1493</v>
      </c>
      <c r="D960" s="6">
        <v>169.96</v>
      </c>
      <c r="E960" s="16" t="str">
        <f>IFERROR(__xludf.DUMMYFUNCTION("IFERROR(
  TEXTJOIN(CHAR(10),TRUE,FILTER('SUMMARY DATA'!E:E,'SUMMARY DATA'!$A:$A=$A61,'SUMMARY DATA'!$C:$C=$B61,'SUMMARY DATA'!$B:$B=""GRP"")),
  IF(
    OR(
      ISNUMBER(SEARCH(""CDM CASH DEPOSIT"",$C61)),
      ISNUMBER(SEARCH(""CASH DEPOSIT"",$C61)),"&amp;"
      COUNTIFS('SUMMARY DATA'!$D:$D,$C61,'SUMMARY DATA'!$B:$B,""GRP"")&lt;&gt;1
    ),
    """",
    IFERROR(TEXTJOIN(CHAR(10),TRUE,FILTER('SUMMARY DATA'!E:E,'SUMMARY DATA'!$D:$D=$C61,'SUMMARY DATA'!$B:$B=""GRP"")),"""")
  )
)"),"")</f>
      </c>
      <c r="F960" s="17" t="str">
        <f>IFERROR(__xludf.DUMMYFUNCTION("IFERROR(
  TEXTJOIN(CHAR(10),TRUE,FILTER('SUMMARY DATA'!F:F,'SUMMARY DATA'!$A:$A=$A61,'SUMMARY DATA'!$C:$C=$B61,'SUMMARY DATA'!$B:$B=""GRP"")),
  IF(
    OR(
      ISNUMBER(SEARCH(""CDM CASH DEPOSIT"",$C61)),
      ISNUMBER(SEARCH(""CASH DEPOSIT"",$C61)),"&amp;"
      COUNTIFS('SUMMARY DATA'!$D:$D,$C61,'SUMMARY DATA'!$B:$B,""GRP"")&lt;&gt;1
    ),
    """",
    IFERROR(TEXTJOIN(CHAR(10),TRUE,FILTER('SUMMARY DATA'!F:F,'SUMMARY DATA'!$D:$D=$C61,'SUMMARY DATA'!$B:$B=""GRP"")),"""")
  )
)"),"")</f>
      </c>
      <c r="G960" s="17" t="str">
        <f>IFERROR(__xludf.DUMMYFUNCTION("IFERROR(
  TEXTJOIN(CHAR(10),TRUE,FILTER('SUMMARY DATA'!G:G,'SUMMARY DATA'!$A:$A=$A960,'SUMMARY DATA'!$C:$C=$B960,'SUMMARY DATA'!$B:$B=""RWS"")),
  IF(
    OR(
      ISNUMBER(SEARCH(""CDM CASH DEPOSIT"",$C960)),
      ISNUMBER(SEARCH(""CASH DEPOSIT"",$C96"&amp;"0)),
      COUNTIFS('SUMMARY DATA'!$D:$D,$C960,'SUMMARY DATA'!$B:$B,""RWS"")&lt;&gt;1
    ),
    """",
    IFERROR(TEXTJOIN(CHAR(10),TRUE,FILTER('SUMMARY DATA'!G:G,'SUMMARY DATA'!$D:$D=$C960,'SUMMARY DATA'!$B:$B=""RWS"")),"""")
  )
)"),"")</f>
      </c>
      <c r="H960" s="18" t="str">
        <f>IFERROR(__xludf.DUMMYFUNCTION("IFERROR(
  TEXTJOIN(CHAR(10),TRUE,FILTER('SUMMARY DATA'!H:H,'SUMMARY DATA'!$A:$A=$A960,'SUMMARY DATA'!$C:$C=$B960,'SUMMARY DATA'!$B:$B=""RWS"",'SUMMARY DATA'!$H:$H=$D960)),
  IF(
    OR(
      ISNUMBER(SEARCH(""CDM CASH DEPOSIT"",$C960)),
      ISNUMBER(S"&amp;"EARCH(""CASH DEPOSIT"",$C960))
    ),
    """",
    IFERROR(TEXTJOIN(CHAR(10),TRUE,FILTER('SUMMARY DATA'!H:H,'SUMMARY DATA'!$D:$D=$C960,'SUMMARY DATA'!$B:$B=""RWS"",'SUMMARY DATA'!$H:$H=$D960)),"""")
  )
)"),"")</f>
      </c>
      <c r="I960" s="18" t="str">
        <f>IFERROR(__xludf.DUMMYFUNCTION("IF(H960="""","""",
SUM(ARRAYFORMULA(VALUE(SPLIT(H960,CHAR(10)))))
)"),"")</f>
      </c>
      <c r="J960" s="17" t="str">
        <f>IFERROR(__xludf.DUMMYFUNCTION("IFERROR(
  TEXTJOIN(CHAR(10),TRUE,FILTER('SUMMARY DATA'!I:I,'SUMMARY DATA'!$A:$A=$A960,'SUMMARY DATA'!$C:$C=$B960,'SUMMARY DATA'!$B:$B=""RWS"")),
  IF(
    OR(
      ISNUMBER(SEARCH(""CDM CASH DEPOSIT"",$C960)),
      ISNUMBER(SEARCH(""CASH DEPOSIT"",$C96"&amp;"0)),
      COUNTIFS('SUMMARY DATA'!$D:$D,$C960,'SUMMARY DATA'!$B:$B,""RWS"")&lt;&gt;1
    ),
    """",
    IFERROR(TEXTJOIN(CHAR(10),TRUE,FILTER('SUMMARY DATA'!I:I,'SUMMARY DATA'!$D:$D=$C960,'SUMMARY DATA'!$B:$B=""RWS"")),"""")
  )
)"),"")</f>
      </c>
      <c r="K960" s="2"/>
      <c r="L960" s="2"/>
      <c r="M960" s="2"/>
      <c r="N960" s="2"/>
      <c r="O960" s="2"/>
      <c r="P960" s="2"/>
      <c r="Q960" s="2"/>
      <c r="R960" s="2"/>
      <c r="S960" s="2"/>
      <c r="T960" s="2"/>
      <c r="U960" s="2"/>
      <c r="V960" s="2"/>
      <c r="W960" s="2"/>
      <c r="X960" s="2"/>
      <c r="Y960" s="2"/>
      <c r="Z960" s="2"/>
      <c r="AA960" s="2"/>
      <c r="AB960" s="2"/>
    </row>
    <row r="961" spans="1:28" customHeight="true">
      <c r="A961" s="2"/>
      <c r="B961" s="15">
        <v>45771</v>
      </c>
      <c r="C961" s="2" t="s">
        <v>1494</v>
      </c>
      <c r="D961" s="6">
        <v>77</v>
      </c>
      <c r="E961" s="16" t="str">
        <f>IFERROR(__xludf.DUMMYFUNCTION("IFERROR(
  TEXTJOIN(CHAR(10),TRUE,FILTER('SUMMARY DATA'!E:E,'SUMMARY DATA'!$A:$A=$A62,'SUMMARY DATA'!$C:$C=$B62,'SUMMARY DATA'!$B:$B=""GRP"")),
  IF(
    OR(
      ISNUMBER(SEARCH(""CDM CASH DEPOSIT"",$C62)),
      ISNUMBER(SEARCH(""CASH DEPOSIT"",$C62)),"&amp;"
      COUNTIFS('SUMMARY DATA'!$D:$D,$C62,'SUMMARY DATA'!$B:$B,""GRP"")&lt;&gt;1
    ),
    """",
    IFERROR(TEXTJOIN(CHAR(10),TRUE,FILTER('SUMMARY DATA'!E:E,'SUMMARY DATA'!$D:$D=$C62,'SUMMARY DATA'!$B:$B=""GRP"")),"""")
  )
)"),"")</f>
      </c>
      <c r="F961" s="17" t="str">
        <f>IFERROR(__xludf.DUMMYFUNCTION("IFERROR(
  TEXTJOIN(CHAR(10),TRUE,FILTER('SUMMARY DATA'!F:F,'SUMMARY DATA'!$A:$A=$A62,'SUMMARY DATA'!$C:$C=$B62,'SUMMARY DATA'!$B:$B=""GRP"")),
  IF(
    OR(
      ISNUMBER(SEARCH(""CDM CASH DEPOSIT"",$C62)),
      ISNUMBER(SEARCH(""CASH DEPOSIT"",$C62)),"&amp;"
      COUNTIFS('SUMMARY DATA'!$D:$D,$C62,'SUMMARY DATA'!$B:$B,""GRP"")&lt;&gt;1
    ),
    """",
    IFERROR(TEXTJOIN(CHAR(10),TRUE,FILTER('SUMMARY DATA'!F:F,'SUMMARY DATA'!$D:$D=$C62,'SUMMARY DATA'!$B:$B=""GRP"")),"""")
  )
)"),"")</f>
      </c>
      <c r="G961" s="17" t="str">
        <f>IFERROR(__xludf.DUMMYFUNCTION("IFERROR(
  TEXTJOIN(CHAR(10),TRUE,FILTER('SUMMARY DATA'!G:G,'SUMMARY DATA'!$A:$A=$A961,'SUMMARY DATA'!$C:$C=$B961,'SUMMARY DATA'!$B:$B=""RWS"")),
  IF(
    OR(
      ISNUMBER(SEARCH(""CDM CASH DEPOSIT"",$C961)),
      ISNUMBER(SEARCH(""CASH DEPOSIT"",$C96"&amp;"1)),
      COUNTIFS('SUMMARY DATA'!$D:$D,$C961,'SUMMARY DATA'!$B:$B,""RWS"")&lt;&gt;1
    ),
    """",
    IFERROR(TEXTJOIN(CHAR(10),TRUE,FILTER('SUMMARY DATA'!G:G,'SUMMARY DATA'!$D:$D=$C961,'SUMMARY DATA'!$B:$B=""RWS"")),"""")
  )
)"),"")</f>
      </c>
      <c r="H961" s="18" t="str">
        <f>IFERROR(__xludf.DUMMYFUNCTION("IFERROR(
  TEXTJOIN(CHAR(10),TRUE,FILTER('SUMMARY DATA'!H:H,'SUMMARY DATA'!$A:$A=$A961,'SUMMARY DATA'!$C:$C=$B961,'SUMMARY DATA'!$B:$B=""RWS"",'SUMMARY DATA'!$H:$H=$D961)),
  IF(
    OR(
      ISNUMBER(SEARCH(""CDM CASH DEPOSIT"",$C961)),
      ISNUMBER(S"&amp;"EARCH(""CASH DEPOSIT"",$C961))
    ),
    """",
    IFERROR(TEXTJOIN(CHAR(10),TRUE,FILTER('SUMMARY DATA'!H:H,'SUMMARY DATA'!$D:$D=$C961,'SUMMARY DATA'!$B:$B=""RWS"",'SUMMARY DATA'!$H:$H=$D961)),"""")
  )
)"),"")</f>
      </c>
      <c r="I961" s="18" t="str">
        <f>IFERROR(__xludf.DUMMYFUNCTION("IF(H961="""","""",
SUM(ARRAYFORMULA(VALUE(SPLIT(H961,CHAR(10)))))
)"),"")</f>
      </c>
      <c r="J961" s="17" t="str">
        <f>IFERROR(__xludf.DUMMYFUNCTION("IFERROR(
  TEXTJOIN(CHAR(10),TRUE,FILTER('SUMMARY DATA'!I:I,'SUMMARY DATA'!$A:$A=$A961,'SUMMARY DATA'!$C:$C=$B961,'SUMMARY DATA'!$B:$B=""RWS"")),
  IF(
    OR(
      ISNUMBER(SEARCH(""CDM CASH DEPOSIT"",$C961)),
      ISNUMBER(SEARCH(""CASH DEPOSIT"",$C96"&amp;"1)),
      COUNTIFS('SUMMARY DATA'!$D:$D,$C961,'SUMMARY DATA'!$B:$B,""RWS"")&lt;&gt;1
    ),
    """",
    IFERROR(TEXTJOIN(CHAR(10),TRUE,FILTER('SUMMARY DATA'!I:I,'SUMMARY DATA'!$D:$D=$C961,'SUMMARY DATA'!$B:$B=""RWS"")),"""")
  )
)"),"")</f>
      </c>
      <c r="K961" s="2"/>
      <c r="L961" s="2"/>
      <c r="M961" s="2"/>
      <c r="N961" s="2"/>
      <c r="O961" s="2"/>
      <c r="P961" s="2"/>
      <c r="Q961" s="2"/>
      <c r="R961" s="2"/>
      <c r="S961" s="2"/>
      <c r="T961" s="2"/>
      <c r="U961" s="2"/>
      <c r="V961" s="2"/>
      <c r="W961" s="2"/>
      <c r="X961" s="2"/>
      <c r="Y961" s="2"/>
      <c r="Z961" s="2"/>
      <c r="AA961" s="2"/>
      <c r="AB961" s="2"/>
    </row>
    <row r="962" spans="1:28" customHeight="true">
      <c r="A962" s="2" t="s">
        <v>1442</v>
      </c>
      <c r="B962" s="15">
        <v>45771</v>
      </c>
      <c r="C962" s="2" t="s">
        <v>1495</v>
      </c>
      <c r="D962" s="6">
        <v>69</v>
      </c>
      <c r="E962" s="16" t="str">
        <f>IFERROR(__xludf.DUMMYFUNCTION("IFERROR(
  TEXTJOIN(CHAR(10),TRUE,FILTER('SUMMARY DATA'!E:E,'SUMMARY DATA'!$A:$A=$A63,'SUMMARY DATA'!$C:$C=$B63,'SUMMARY DATA'!$B:$B=""GRP"")),
  IF(
    OR(
      ISNUMBER(SEARCH(""CDM CASH DEPOSIT"",$C63)),
      ISNUMBER(SEARCH(""CASH DEPOSIT"",$C63)),"&amp;"
      COUNTIFS('SUMMARY DATA'!$D:$D,$C63,'SUMMARY DATA'!$B:$B,""GRP"")&lt;&gt;1
    ),
    """",
    IFERROR(TEXTJOIN(CHAR(10),TRUE,FILTER('SUMMARY DATA'!E:E,'SUMMARY DATA'!$D:$D=$C63,'SUMMARY DATA'!$B:$B=""GRP"")),"""")
  )
)"),"")</f>
      </c>
      <c r="F962" s="17" t="str">
        <f>IFERROR(__xludf.DUMMYFUNCTION("IFERROR(
  TEXTJOIN(CHAR(10),TRUE,FILTER('SUMMARY DATA'!F:F,'SUMMARY DATA'!$A:$A=$A63,'SUMMARY DATA'!$C:$C=$B63,'SUMMARY DATA'!$B:$B=""GRP"")),
  IF(
    OR(
      ISNUMBER(SEARCH(""CDM CASH DEPOSIT"",$C63)),
      ISNUMBER(SEARCH(""CASH DEPOSIT"",$C63)),"&amp;"
      COUNTIFS('SUMMARY DATA'!$D:$D,$C63,'SUMMARY DATA'!$B:$B,""GRP"")&lt;&gt;1
    ),
    """",
    IFERROR(TEXTJOIN(CHAR(10),TRUE,FILTER('SUMMARY DATA'!F:F,'SUMMARY DATA'!$D:$D=$C63,'SUMMARY DATA'!$B:$B=""GRP"")),"""")
  )
)"),"")</f>
      </c>
      <c r="G962" s="17" t="str">
        <f>IFERROR(__xludf.DUMMYFUNCTION("IFERROR(
  TEXTJOIN(CHAR(10),TRUE,FILTER('SUMMARY DATA'!G:G,'SUMMARY DATA'!$A:$A=$A962,'SUMMARY DATA'!$C:$C=$B962,'SUMMARY DATA'!$B:$B=""RWS"")),
  IF(
    OR(
      ISNUMBER(SEARCH(""CDM CASH DEPOSIT"",$C962)),
      ISNUMBER(SEARCH(""CASH DEPOSIT"",$C96"&amp;"2)),
      COUNTIFS('SUMMARY DATA'!$D:$D,$C962,'SUMMARY DATA'!$B:$B,""RWS"")&lt;&gt;1
    ),
    """",
    IFERROR(TEXTJOIN(CHAR(10),TRUE,FILTER('SUMMARY DATA'!G:G,'SUMMARY DATA'!$D:$D=$C962,'SUMMARY DATA'!$B:$B=""RWS"")),"""")
  )
)"),"")</f>
      </c>
      <c r="H962" s="18" t="str">
        <f>IFERROR(__xludf.DUMMYFUNCTION("IFERROR(
  TEXTJOIN(CHAR(10),TRUE,FILTER('SUMMARY DATA'!H:H,'SUMMARY DATA'!$A:$A=$A962,'SUMMARY DATA'!$C:$C=$B962,'SUMMARY DATA'!$B:$B=""RWS"",'SUMMARY DATA'!$H:$H=$D962)),
  IF(
    OR(
      ISNUMBER(SEARCH(""CDM CASH DEPOSIT"",$C962)),
      ISNUMBER(S"&amp;"EARCH(""CASH DEPOSIT"",$C962))
    ),
    """",
    IFERROR(TEXTJOIN(CHAR(10),TRUE,FILTER('SUMMARY DATA'!H:H,'SUMMARY DATA'!$D:$D=$C962,'SUMMARY DATA'!$B:$B=""RWS"",'SUMMARY DATA'!$H:$H=$D962)),"""")
  )
)"),"")</f>
      </c>
      <c r="I962" s="18" t="str">
        <f>IFERROR(__xludf.DUMMYFUNCTION("IF(H962="""","""",
SUM(ARRAYFORMULA(VALUE(SPLIT(H962,CHAR(10)))))
)"),"")</f>
      </c>
      <c r="J962" s="17" t="str">
        <f>IFERROR(__xludf.DUMMYFUNCTION("IFERROR(
  TEXTJOIN(CHAR(10),TRUE,FILTER('SUMMARY DATA'!I:I,'SUMMARY DATA'!$A:$A=$A962,'SUMMARY DATA'!$C:$C=$B962,'SUMMARY DATA'!$B:$B=""RWS"")),
  IF(
    OR(
      ISNUMBER(SEARCH(""CDM CASH DEPOSIT"",$C962)),
      ISNUMBER(SEARCH(""CASH DEPOSIT"",$C96"&amp;"2)),
      COUNTIFS('SUMMARY DATA'!$D:$D,$C962,'SUMMARY DATA'!$B:$B,""RWS"")&lt;&gt;1
    ),
    """",
    IFERROR(TEXTJOIN(CHAR(10),TRUE,FILTER('SUMMARY DATA'!I:I,'SUMMARY DATA'!$D:$D=$C962,'SUMMARY DATA'!$B:$B=""RWS"")),"""")
  )
)"),"")</f>
      </c>
      <c r="K962" s="2"/>
      <c r="L962" s="2"/>
      <c r="M962" s="2"/>
      <c r="N962" s="2"/>
      <c r="O962" s="2"/>
      <c r="P962" s="2"/>
      <c r="Q962" s="2"/>
      <c r="R962" s="2"/>
      <c r="S962" s="2"/>
      <c r="T962" s="2"/>
      <c r="U962" s="2"/>
      <c r="V962" s="2"/>
      <c r="W962" s="2"/>
      <c r="X962" s="2"/>
      <c r="Y962" s="2"/>
      <c r="Z962" s="2"/>
      <c r="AA962" s="2"/>
      <c r="AB962" s="2"/>
    </row>
    <row r="963" spans="1:28" customHeight="true">
      <c r="A963" s="2" t="s">
        <v>1442</v>
      </c>
      <c r="B963" s="15">
        <v>45771</v>
      </c>
      <c r="C963" s="2" t="s">
        <v>1496</v>
      </c>
      <c r="D963" s="6">
        <v>35</v>
      </c>
      <c r="E963" s="16" t="str">
        <f>IFERROR(__xludf.DUMMYFUNCTION("IFERROR(
  TEXTJOIN(CHAR(10),TRUE,FILTER('SUMMARY DATA'!E:E,'SUMMARY DATA'!$A:$A=$A64,'SUMMARY DATA'!$C:$C=$B64,'SUMMARY DATA'!$B:$B=""GRP"")),
  IF(
    OR(
      ISNUMBER(SEARCH(""CDM CASH DEPOSIT"",$C64)),
      ISNUMBER(SEARCH(""CASH DEPOSIT"",$C64)),"&amp;"
      COUNTIFS('SUMMARY DATA'!$D:$D,$C64,'SUMMARY DATA'!$B:$B,""GRP"")&lt;&gt;1
    ),
    """",
    IFERROR(TEXTJOIN(CHAR(10),TRUE,FILTER('SUMMARY DATA'!E:E,'SUMMARY DATA'!$D:$D=$C64,'SUMMARY DATA'!$B:$B=""GRP"")),"""")
  )
)"),"")</f>
      </c>
      <c r="F963" s="17" t="str">
        <f>IFERROR(__xludf.DUMMYFUNCTION("IFERROR(
  TEXTJOIN(CHAR(10),TRUE,FILTER('SUMMARY DATA'!F:F,'SUMMARY DATA'!$A:$A=$A64,'SUMMARY DATA'!$C:$C=$B64,'SUMMARY DATA'!$B:$B=""GRP"")),
  IF(
    OR(
      ISNUMBER(SEARCH(""CDM CASH DEPOSIT"",$C64)),
      ISNUMBER(SEARCH(""CASH DEPOSIT"",$C64)),"&amp;"
      COUNTIFS('SUMMARY DATA'!$D:$D,$C64,'SUMMARY DATA'!$B:$B,""GRP"")&lt;&gt;1
    ),
    """",
    IFERROR(TEXTJOIN(CHAR(10),TRUE,FILTER('SUMMARY DATA'!F:F,'SUMMARY DATA'!$D:$D=$C64,'SUMMARY DATA'!$B:$B=""GRP"")),"""")
  )
)"),"")</f>
      </c>
      <c r="G963" s="17" t="str">
        <f>IFERROR(__xludf.DUMMYFUNCTION("IFERROR(
  TEXTJOIN(CHAR(10),TRUE,FILTER('SUMMARY DATA'!G:G,'SUMMARY DATA'!$A:$A=$A963,'SUMMARY DATA'!$C:$C=$B963,'SUMMARY DATA'!$B:$B=""RWS"")),
  IF(
    OR(
      ISNUMBER(SEARCH(""CDM CASH DEPOSIT"",$C963)),
      ISNUMBER(SEARCH(""CASH DEPOSIT"",$C96"&amp;"3)),
      COUNTIFS('SUMMARY DATA'!$D:$D,$C963,'SUMMARY DATA'!$B:$B,""RWS"")&lt;&gt;1
    ),
    """",
    IFERROR(TEXTJOIN(CHAR(10),TRUE,FILTER('SUMMARY DATA'!G:G,'SUMMARY DATA'!$D:$D=$C963,'SUMMARY DATA'!$B:$B=""RWS"")),"""")
  )
)"),"")</f>
      </c>
      <c r="H963" s="18" t="str">
        <f>IFERROR(__xludf.DUMMYFUNCTION("IFERROR(
  TEXTJOIN(CHAR(10),TRUE,FILTER('SUMMARY DATA'!H:H,'SUMMARY DATA'!$A:$A=$A963,'SUMMARY DATA'!$C:$C=$B963,'SUMMARY DATA'!$B:$B=""RWS"",'SUMMARY DATA'!$H:$H=$D963)),
  IF(
    OR(
      ISNUMBER(SEARCH(""CDM CASH DEPOSIT"",$C963)),
      ISNUMBER(S"&amp;"EARCH(""CASH DEPOSIT"",$C963))
    ),
    """",
    IFERROR(TEXTJOIN(CHAR(10),TRUE,FILTER('SUMMARY DATA'!H:H,'SUMMARY DATA'!$D:$D=$C963,'SUMMARY DATA'!$B:$B=""RWS"",'SUMMARY DATA'!$H:$H=$D963)),"""")
  )
)"),"")</f>
      </c>
      <c r="I963" s="18" t="str">
        <f>IFERROR(__xludf.DUMMYFUNCTION("IF(H963="""","""",
SUM(ARRAYFORMULA(VALUE(SPLIT(H963,CHAR(10)))))
)"),"")</f>
      </c>
      <c r="J963" s="17" t="str">
        <f>IFERROR(__xludf.DUMMYFUNCTION("IFERROR(
  TEXTJOIN(CHAR(10),TRUE,FILTER('SUMMARY DATA'!I:I,'SUMMARY DATA'!$A:$A=$A963,'SUMMARY DATA'!$C:$C=$B963,'SUMMARY DATA'!$B:$B=""RWS"")),
  IF(
    OR(
      ISNUMBER(SEARCH(""CDM CASH DEPOSIT"",$C963)),
      ISNUMBER(SEARCH(""CASH DEPOSIT"",$C96"&amp;"3)),
      COUNTIFS('SUMMARY DATA'!$D:$D,$C963,'SUMMARY DATA'!$B:$B,""RWS"")&lt;&gt;1
    ),
    """",
    IFERROR(TEXTJOIN(CHAR(10),TRUE,FILTER('SUMMARY DATA'!I:I,'SUMMARY DATA'!$D:$D=$C963,'SUMMARY DATA'!$B:$B=""RWS"")),"""")
  )
)"),"")</f>
      </c>
      <c r="K963" s="2"/>
      <c r="L963" s="2"/>
      <c r="M963" s="2"/>
      <c r="N963" s="2"/>
      <c r="O963" s="2"/>
      <c r="P963" s="2"/>
      <c r="Q963" s="2"/>
      <c r="R963" s="2"/>
      <c r="S963" s="2"/>
      <c r="T963" s="2"/>
      <c r="U963" s="2"/>
      <c r="V963" s="2"/>
      <c r="W963" s="2"/>
      <c r="X963" s="2"/>
      <c r="Y963" s="2"/>
      <c r="Z963" s="2"/>
      <c r="AA963" s="2"/>
      <c r="AB963" s="2"/>
    </row>
    <row r="964" spans="1:28" customHeight="true">
      <c r="A964" s="2"/>
      <c r="B964" s="15">
        <v>45771</v>
      </c>
      <c r="C964" s="2" t="s">
        <v>1497</v>
      </c>
      <c r="D964" s="6">
        <v>10</v>
      </c>
      <c r="E964" s="16" t="str">
        <f>IFERROR(__xludf.DUMMYFUNCTION("IFERROR(
  TEXTJOIN(CHAR(10),TRUE,FILTER('SUMMARY DATA'!E:E,'SUMMARY DATA'!$A:$A=$A65,'SUMMARY DATA'!$C:$C=$B65,'SUMMARY DATA'!$B:$B=""GRP"")),
  IF(
    OR(
      ISNUMBER(SEARCH(""CDM CASH DEPOSIT"",$C65)),
      ISNUMBER(SEARCH(""CASH DEPOSIT"",$C65)),"&amp;"
      COUNTIFS('SUMMARY DATA'!$D:$D,$C65,'SUMMARY DATA'!$B:$B,""GRP"")&lt;&gt;1
    ),
    """",
    IFERROR(TEXTJOIN(CHAR(10),TRUE,FILTER('SUMMARY DATA'!E:E,'SUMMARY DATA'!$D:$D=$C65,'SUMMARY DATA'!$B:$B=""GRP"")),"""")
  )
)"),"")</f>
      </c>
      <c r="F964" s="17" t="str">
        <f>IFERROR(__xludf.DUMMYFUNCTION("IFERROR(
  TEXTJOIN(CHAR(10),TRUE,FILTER('SUMMARY DATA'!F:F,'SUMMARY DATA'!$A:$A=$A65,'SUMMARY DATA'!$C:$C=$B65,'SUMMARY DATA'!$B:$B=""GRP"")),
  IF(
    OR(
      ISNUMBER(SEARCH(""CDM CASH DEPOSIT"",$C65)),
      ISNUMBER(SEARCH(""CASH DEPOSIT"",$C65)),"&amp;"
      COUNTIFS('SUMMARY DATA'!$D:$D,$C65,'SUMMARY DATA'!$B:$B,""GRP"")&lt;&gt;1
    ),
    """",
    IFERROR(TEXTJOIN(CHAR(10),TRUE,FILTER('SUMMARY DATA'!F:F,'SUMMARY DATA'!$D:$D=$C65,'SUMMARY DATA'!$B:$B=""GRP"")),"""")
  )
)"),"")</f>
      </c>
      <c r="G964" s="17" t="str">
        <f>IFERROR(__xludf.DUMMYFUNCTION("IFERROR(
  TEXTJOIN(CHAR(10),TRUE,FILTER('SUMMARY DATA'!G:G,'SUMMARY DATA'!$A:$A=$A964,'SUMMARY DATA'!$C:$C=$B964,'SUMMARY DATA'!$B:$B=""RWS"")),
  IF(
    OR(
      ISNUMBER(SEARCH(""CDM CASH DEPOSIT"",$C964)),
      ISNUMBER(SEARCH(""CASH DEPOSIT"",$C96"&amp;"4)),
      COUNTIFS('SUMMARY DATA'!$D:$D,$C964,'SUMMARY DATA'!$B:$B,""RWS"")&lt;&gt;1
    ),
    """",
    IFERROR(TEXTJOIN(CHAR(10),TRUE,FILTER('SUMMARY DATA'!G:G,'SUMMARY DATA'!$D:$D=$C964,'SUMMARY DATA'!$B:$B=""RWS"")),"""")
  )
)"),"")</f>
      </c>
      <c r="H964" s="18" t="str">
        <f>IFERROR(__xludf.DUMMYFUNCTION("IFERROR(
  TEXTJOIN(CHAR(10),TRUE,FILTER('SUMMARY DATA'!H:H,'SUMMARY DATA'!$A:$A=$A964,'SUMMARY DATA'!$C:$C=$B964,'SUMMARY DATA'!$B:$B=""RWS"",'SUMMARY DATA'!$H:$H=$D964)),
  IF(
    OR(
      ISNUMBER(SEARCH(""CDM CASH DEPOSIT"",$C964)),
      ISNUMBER(S"&amp;"EARCH(""CASH DEPOSIT"",$C964))
    ),
    """",
    IFERROR(TEXTJOIN(CHAR(10),TRUE,FILTER('SUMMARY DATA'!H:H,'SUMMARY DATA'!$D:$D=$C964,'SUMMARY DATA'!$B:$B=""RWS"",'SUMMARY DATA'!$H:$H=$D964)),"""")
  )
)"),"")</f>
      </c>
      <c r="I964" s="18" t="str">
        <f>IFERROR(__xludf.DUMMYFUNCTION("IF(H964="""","""",
SUM(ARRAYFORMULA(VALUE(SPLIT(H964,CHAR(10)))))
)"),"")</f>
      </c>
      <c r="J964" s="17" t="str">
        <f>IFERROR(__xludf.DUMMYFUNCTION("IFERROR(
  TEXTJOIN(CHAR(10),TRUE,FILTER('SUMMARY DATA'!I:I,'SUMMARY DATA'!$A:$A=$A964,'SUMMARY DATA'!$C:$C=$B964,'SUMMARY DATA'!$B:$B=""RWS"")),
  IF(
    OR(
      ISNUMBER(SEARCH(""CDM CASH DEPOSIT"",$C964)),
      ISNUMBER(SEARCH(""CASH DEPOSIT"",$C96"&amp;"4)),
      COUNTIFS('SUMMARY DATA'!$D:$D,$C964,'SUMMARY DATA'!$B:$B,""RWS"")&lt;&gt;1
    ),
    """",
    IFERROR(TEXTJOIN(CHAR(10),TRUE,FILTER('SUMMARY DATA'!I:I,'SUMMARY DATA'!$D:$D=$C964,'SUMMARY DATA'!$B:$B=""RWS"")),"""")
  )
)"),"")</f>
      </c>
      <c r="K964" s="2"/>
      <c r="L964" s="2"/>
      <c r="M964" s="2"/>
      <c r="N964" s="2"/>
      <c r="O964" s="2"/>
      <c r="P964" s="2"/>
      <c r="Q964" s="2"/>
      <c r="R964" s="2"/>
      <c r="S964" s="2"/>
      <c r="T964" s="2"/>
      <c r="U964" s="2"/>
      <c r="V964" s="2"/>
      <c r="W964" s="2"/>
      <c r="X964" s="2"/>
      <c r="Y964" s="2"/>
      <c r="Z964" s="2"/>
      <c r="AA964" s="2"/>
      <c r="AB964" s="2"/>
    </row>
    <row r="965" spans="1:28" customHeight="true">
      <c r="A965" s="2"/>
      <c r="B965" s="15">
        <v>45772</v>
      </c>
      <c r="C965" s="2" t="s">
        <v>1498</v>
      </c>
      <c r="D965" s="6">
        <v>398.69</v>
      </c>
      <c r="E965" s="16" t="str">
        <f>IFERROR(__xludf.DUMMYFUNCTION("IFERROR(
  TEXTJOIN(CHAR(10),TRUE,FILTER('SUMMARY DATA'!E:E,'SUMMARY DATA'!$A:$A=$A66,'SUMMARY DATA'!$C:$C=$B66,'SUMMARY DATA'!$B:$B=""GRP"")),
  IF(
    OR(
      ISNUMBER(SEARCH(""CDM CASH DEPOSIT"",$C66)),
      ISNUMBER(SEARCH(""CASH DEPOSIT"",$C66)),"&amp;"
      COUNTIFS('SUMMARY DATA'!$D:$D,$C66,'SUMMARY DATA'!$B:$B,""GRP"")&lt;&gt;1
    ),
    """",
    IFERROR(TEXTJOIN(CHAR(10),TRUE,FILTER('SUMMARY DATA'!E:E,'SUMMARY DATA'!$D:$D=$C66,'SUMMARY DATA'!$B:$B=""GRP"")),"""")
  )
)"),"")</f>
      </c>
      <c r="F965" s="17" t="str">
        <f>IFERROR(__xludf.DUMMYFUNCTION("IFERROR(
  TEXTJOIN(CHAR(10),TRUE,FILTER('SUMMARY DATA'!F:F,'SUMMARY DATA'!$A:$A=$A66,'SUMMARY DATA'!$C:$C=$B66,'SUMMARY DATA'!$B:$B=""GRP"")),
  IF(
    OR(
      ISNUMBER(SEARCH(""CDM CASH DEPOSIT"",$C66)),
      ISNUMBER(SEARCH(""CASH DEPOSIT"",$C66)),"&amp;"
      COUNTIFS('SUMMARY DATA'!$D:$D,$C66,'SUMMARY DATA'!$B:$B,""GRP"")&lt;&gt;1
    ),
    """",
    IFERROR(TEXTJOIN(CHAR(10),TRUE,FILTER('SUMMARY DATA'!F:F,'SUMMARY DATA'!$D:$D=$C66,'SUMMARY DATA'!$B:$B=""GRP"")),"""")
  )
)"),"")</f>
      </c>
      <c r="G965" s="17" t="str">
        <f>IFERROR(__xludf.DUMMYFUNCTION("IFERROR(
  TEXTJOIN(CHAR(10),TRUE,FILTER('SUMMARY DATA'!G:G,'SUMMARY DATA'!$A:$A=$A965,'SUMMARY DATA'!$C:$C=$B965,'SUMMARY DATA'!$B:$B=""RWS"")),
  IF(
    OR(
      ISNUMBER(SEARCH(""CDM CASH DEPOSIT"",$C965)),
      ISNUMBER(SEARCH(""CASH DEPOSIT"",$C96"&amp;"5)),
      COUNTIFS('SUMMARY DATA'!$D:$D,$C965,'SUMMARY DATA'!$B:$B,""RWS"")&lt;&gt;1
    ),
    """",
    IFERROR(TEXTJOIN(CHAR(10),TRUE,FILTER('SUMMARY DATA'!G:G,'SUMMARY DATA'!$D:$D=$C965,'SUMMARY DATA'!$B:$B=""RWS"")),"""")
  )
)"),"")</f>
      </c>
      <c r="H965" s="18" t="str">
        <f>IFERROR(__xludf.DUMMYFUNCTION("IFERROR(
  TEXTJOIN(CHAR(10),TRUE,FILTER('SUMMARY DATA'!H:H,'SUMMARY DATA'!$A:$A=$A965,'SUMMARY DATA'!$C:$C=$B965,'SUMMARY DATA'!$B:$B=""RWS"",'SUMMARY DATA'!$H:$H=$D965)),
  IF(
    OR(
      ISNUMBER(SEARCH(""CDM CASH DEPOSIT"",$C965)),
      ISNUMBER(S"&amp;"EARCH(""CASH DEPOSIT"",$C965))
    ),
    """",
    IFERROR(TEXTJOIN(CHAR(10),TRUE,FILTER('SUMMARY DATA'!H:H,'SUMMARY DATA'!$D:$D=$C965,'SUMMARY DATA'!$B:$B=""RWS"",'SUMMARY DATA'!$H:$H=$D965)),"""")
  )
)"),"")</f>
      </c>
      <c r="I965" s="18" t="str">
        <f>IFERROR(__xludf.DUMMYFUNCTION("IF(H965="""","""",
SUM(ARRAYFORMULA(VALUE(SPLIT(H965,CHAR(10)))))
)"),"")</f>
      </c>
      <c r="J965" s="17" t="str">
        <f>IFERROR(__xludf.DUMMYFUNCTION("IFERROR(
  TEXTJOIN(CHAR(10),TRUE,FILTER('SUMMARY DATA'!I:I,'SUMMARY DATA'!$A:$A=$A965,'SUMMARY DATA'!$C:$C=$B965,'SUMMARY DATA'!$B:$B=""RWS"")),
  IF(
    OR(
      ISNUMBER(SEARCH(""CDM CASH DEPOSIT"",$C965)),
      ISNUMBER(SEARCH(""CASH DEPOSIT"",$C96"&amp;"5)),
      COUNTIFS('SUMMARY DATA'!$D:$D,$C965,'SUMMARY DATA'!$B:$B,""RWS"")&lt;&gt;1
    ),
    """",
    IFERROR(TEXTJOIN(CHAR(10),TRUE,FILTER('SUMMARY DATA'!I:I,'SUMMARY DATA'!$D:$D=$C965,'SUMMARY DATA'!$B:$B=""RWS"")),"""")
  )
)"),"")</f>
      </c>
      <c r="K965" s="2"/>
      <c r="L965" s="2"/>
      <c r="M965" s="2"/>
      <c r="N965" s="2"/>
      <c r="O965" s="2"/>
      <c r="P965" s="2"/>
      <c r="Q965" s="2"/>
      <c r="R965" s="2"/>
      <c r="S965" s="2"/>
      <c r="T965" s="2"/>
      <c r="U965" s="2"/>
      <c r="V965" s="2"/>
      <c r="W965" s="2"/>
      <c r="X965" s="2"/>
      <c r="Y965" s="2"/>
      <c r="Z965" s="2"/>
      <c r="AA965" s="2"/>
      <c r="AB965" s="2"/>
    </row>
    <row r="966" spans="1:28" customHeight="true">
      <c r="A966" s="2"/>
      <c r="B966" s="15">
        <v>45772</v>
      </c>
      <c r="C966" s="2" t="s">
        <v>1499</v>
      </c>
      <c r="D966" s="6">
        <v>163.9</v>
      </c>
      <c r="E966" s="16" t="str">
        <f>IFERROR(__xludf.DUMMYFUNCTION("IFERROR(
  TEXTJOIN(CHAR(10),TRUE,FILTER('SUMMARY DATA'!E:E,'SUMMARY DATA'!$A:$A=$A67,'SUMMARY DATA'!$C:$C=$B67,'SUMMARY DATA'!$B:$B=""GRP"")),
  IF(
    OR(
      ISNUMBER(SEARCH(""CDM CASH DEPOSIT"",$C67)),
      ISNUMBER(SEARCH(""CASH DEPOSIT"",$C67)),"&amp;"
      COUNTIFS('SUMMARY DATA'!$D:$D,$C67,'SUMMARY DATA'!$B:$B,""GRP"")&lt;&gt;1
    ),
    """",
    IFERROR(TEXTJOIN(CHAR(10),TRUE,FILTER('SUMMARY DATA'!E:E,'SUMMARY DATA'!$D:$D=$C67,'SUMMARY DATA'!$B:$B=""GRP"")),"""")
  )
)"),"")</f>
      </c>
      <c r="F966" s="17" t="str">
        <f>IFERROR(__xludf.DUMMYFUNCTION("IFERROR(
  TEXTJOIN(CHAR(10),TRUE,FILTER('SUMMARY DATA'!F:F,'SUMMARY DATA'!$A:$A=$A67,'SUMMARY DATA'!$C:$C=$B67,'SUMMARY DATA'!$B:$B=""GRP"")),
  IF(
    OR(
      ISNUMBER(SEARCH(""CDM CASH DEPOSIT"",$C67)),
      ISNUMBER(SEARCH(""CASH DEPOSIT"",$C67)),"&amp;"
      COUNTIFS('SUMMARY DATA'!$D:$D,$C67,'SUMMARY DATA'!$B:$B,""GRP"")&lt;&gt;1
    ),
    """",
    IFERROR(TEXTJOIN(CHAR(10),TRUE,FILTER('SUMMARY DATA'!F:F,'SUMMARY DATA'!$D:$D=$C67,'SUMMARY DATA'!$B:$B=""GRP"")),"""")
  )
)"),"")</f>
      </c>
      <c r="G966" s="17" t="str">
        <f>IFERROR(__xludf.DUMMYFUNCTION("IFERROR(
  TEXTJOIN(CHAR(10),TRUE,FILTER('SUMMARY DATA'!G:G,'SUMMARY DATA'!$A:$A=$A966,'SUMMARY DATA'!$C:$C=$B966,'SUMMARY DATA'!$B:$B=""RWS"")),
  IF(
    OR(
      ISNUMBER(SEARCH(""CDM CASH DEPOSIT"",$C966)),
      ISNUMBER(SEARCH(""CASH DEPOSIT"",$C96"&amp;"6)),
      COUNTIFS('SUMMARY DATA'!$D:$D,$C966,'SUMMARY DATA'!$B:$B,""RWS"")&lt;&gt;1
    ),
    """",
    IFERROR(TEXTJOIN(CHAR(10),TRUE,FILTER('SUMMARY DATA'!G:G,'SUMMARY DATA'!$D:$D=$C966,'SUMMARY DATA'!$B:$B=""RWS"")),"""")
  )
)"),"")</f>
      </c>
      <c r="H966" s="18" t="str">
        <f>IFERROR(__xludf.DUMMYFUNCTION("IFERROR(
  TEXTJOIN(CHAR(10),TRUE,FILTER('SUMMARY DATA'!H:H,'SUMMARY DATA'!$A:$A=$A966,'SUMMARY DATA'!$C:$C=$B966,'SUMMARY DATA'!$B:$B=""RWS"",'SUMMARY DATA'!$H:$H=$D966)),
  IF(
    OR(
      ISNUMBER(SEARCH(""CDM CASH DEPOSIT"",$C966)),
      ISNUMBER(S"&amp;"EARCH(""CASH DEPOSIT"",$C966))
    ),
    """",
    IFERROR(TEXTJOIN(CHAR(10),TRUE,FILTER('SUMMARY DATA'!H:H,'SUMMARY DATA'!$D:$D=$C966,'SUMMARY DATA'!$B:$B=""RWS"",'SUMMARY DATA'!$H:$H=$D966)),"""")
  )
)"),"")</f>
      </c>
      <c r="I966" s="18" t="str">
        <f>IFERROR(__xludf.DUMMYFUNCTION("IF(H966="""","""",
SUM(ARRAYFORMULA(VALUE(SPLIT(H966,CHAR(10)))))
)"),"")</f>
      </c>
      <c r="J966" s="17" t="str">
        <f>IFERROR(__xludf.DUMMYFUNCTION("IFERROR(
  TEXTJOIN(CHAR(10),TRUE,FILTER('SUMMARY DATA'!I:I,'SUMMARY DATA'!$A:$A=$A966,'SUMMARY DATA'!$C:$C=$B966,'SUMMARY DATA'!$B:$B=""RWS"")),
  IF(
    OR(
      ISNUMBER(SEARCH(""CDM CASH DEPOSIT"",$C966)),
      ISNUMBER(SEARCH(""CASH DEPOSIT"",$C96"&amp;"6)),
      COUNTIFS('SUMMARY DATA'!$D:$D,$C966,'SUMMARY DATA'!$B:$B,""RWS"")&lt;&gt;1
    ),
    """",
    IFERROR(TEXTJOIN(CHAR(10),TRUE,FILTER('SUMMARY DATA'!I:I,'SUMMARY DATA'!$D:$D=$C966,'SUMMARY DATA'!$B:$B=""RWS"")),"""")
  )
)"),"")</f>
      </c>
      <c r="K966" s="2"/>
      <c r="L966" s="2"/>
      <c r="M966" s="2"/>
      <c r="N966" s="2"/>
      <c r="O966" s="2"/>
      <c r="P966" s="2"/>
      <c r="Q966" s="2"/>
      <c r="R966" s="2"/>
      <c r="S966" s="2"/>
      <c r="T966" s="2"/>
      <c r="U966" s="2"/>
      <c r="V966" s="2"/>
      <c r="W966" s="2"/>
      <c r="X966" s="2"/>
      <c r="Y966" s="2"/>
      <c r="Z966" s="2"/>
      <c r="AA966" s="2"/>
      <c r="AB966" s="2"/>
    </row>
    <row r="967" spans="1:28" customHeight="true">
      <c r="A967" s="2" t="s">
        <v>1442</v>
      </c>
      <c r="B967" s="15">
        <v>45772</v>
      </c>
      <c r="C967" s="2" t="s">
        <v>1500</v>
      </c>
      <c r="D967" s="6">
        <v>150</v>
      </c>
      <c r="E967" s="16" t="str">
        <f>IFERROR(__xludf.DUMMYFUNCTION("IFERROR(
  TEXTJOIN(CHAR(10),TRUE,FILTER('SUMMARY DATA'!E:E,'SUMMARY DATA'!$A:$A=$A68,'SUMMARY DATA'!$C:$C=$B68,'SUMMARY DATA'!$B:$B=""GRP"")),
  IF(
    OR(
      ISNUMBER(SEARCH(""CDM CASH DEPOSIT"",$C68)),
      ISNUMBER(SEARCH(""CASH DEPOSIT"",$C68)),"&amp;"
      COUNTIFS('SUMMARY DATA'!$D:$D,$C68,'SUMMARY DATA'!$B:$B,""GRP"")&lt;&gt;1
    ),
    """",
    IFERROR(TEXTJOIN(CHAR(10),TRUE,FILTER('SUMMARY DATA'!E:E,'SUMMARY DATA'!$D:$D=$C68,'SUMMARY DATA'!$B:$B=""GRP"")),"""")
  )
)"),"")</f>
      </c>
      <c r="F967" s="17" t="str">
        <f>IFERROR(__xludf.DUMMYFUNCTION("IFERROR(
  TEXTJOIN(CHAR(10),TRUE,FILTER('SUMMARY DATA'!F:F,'SUMMARY DATA'!$A:$A=$A68,'SUMMARY DATA'!$C:$C=$B68,'SUMMARY DATA'!$B:$B=""GRP"")),
  IF(
    OR(
      ISNUMBER(SEARCH(""CDM CASH DEPOSIT"",$C68)),
      ISNUMBER(SEARCH(""CASH DEPOSIT"",$C68)),"&amp;"
      COUNTIFS('SUMMARY DATA'!$D:$D,$C68,'SUMMARY DATA'!$B:$B,""GRP"")&lt;&gt;1
    ),
    """",
    IFERROR(TEXTJOIN(CHAR(10),TRUE,FILTER('SUMMARY DATA'!F:F,'SUMMARY DATA'!$D:$D=$C68,'SUMMARY DATA'!$B:$B=""GRP"")),"""")
  )
)"),"")</f>
      </c>
      <c r="G967" s="17" t="str">
        <f>IFERROR(__xludf.DUMMYFUNCTION("IFERROR(
  TEXTJOIN(CHAR(10),TRUE,FILTER('SUMMARY DATA'!G:G,'SUMMARY DATA'!$A:$A=$A967,'SUMMARY DATA'!$C:$C=$B967,'SUMMARY DATA'!$B:$B=""RWS"")),
  IF(
    OR(
      ISNUMBER(SEARCH(""CDM CASH DEPOSIT"",$C967)),
      ISNUMBER(SEARCH(""CASH DEPOSIT"",$C96"&amp;"7)),
      COUNTIFS('SUMMARY DATA'!$D:$D,$C967,'SUMMARY DATA'!$B:$B,""RWS"")&lt;&gt;1
    ),
    """",
    IFERROR(TEXTJOIN(CHAR(10),TRUE,FILTER('SUMMARY DATA'!G:G,'SUMMARY DATA'!$D:$D=$C967,'SUMMARY DATA'!$B:$B=""RWS"")),"""")
  )
)"),"")</f>
      </c>
      <c r="H967" s="18" t="str">
        <f>IFERROR(__xludf.DUMMYFUNCTION("IFERROR(
  TEXTJOIN(CHAR(10),TRUE,FILTER('SUMMARY DATA'!H:H,'SUMMARY DATA'!$A:$A=$A967,'SUMMARY DATA'!$C:$C=$B967,'SUMMARY DATA'!$B:$B=""RWS"",'SUMMARY DATA'!$H:$H=$D967)),
  IF(
    OR(
      ISNUMBER(SEARCH(""CDM CASH DEPOSIT"",$C967)),
      ISNUMBER(S"&amp;"EARCH(""CASH DEPOSIT"",$C967))
    ),
    """",
    IFERROR(TEXTJOIN(CHAR(10),TRUE,FILTER('SUMMARY DATA'!H:H,'SUMMARY DATA'!$D:$D=$C967,'SUMMARY DATA'!$B:$B=""RWS"",'SUMMARY DATA'!$H:$H=$D967)),"""")
  )
)"),"")</f>
      </c>
      <c r="I967" s="18" t="str">
        <f>IFERROR(__xludf.DUMMYFUNCTION("IF(H967="""","""",
SUM(ARRAYFORMULA(VALUE(SPLIT(H967,CHAR(10)))))
)"),"")</f>
      </c>
      <c r="J967" s="17" t="str">
        <f>IFERROR(__xludf.DUMMYFUNCTION("IFERROR(
  TEXTJOIN(CHAR(10),TRUE,FILTER('SUMMARY DATA'!I:I,'SUMMARY DATA'!$A:$A=$A967,'SUMMARY DATA'!$C:$C=$B967,'SUMMARY DATA'!$B:$B=""RWS"")),
  IF(
    OR(
      ISNUMBER(SEARCH(""CDM CASH DEPOSIT"",$C967)),
      ISNUMBER(SEARCH(""CASH DEPOSIT"",$C96"&amp;"7)),
      COUNTIFS('SUMMARY DATA'!$D:$D,$C967,'SUMMARY DATA'!$B:$B,""RWS"")&lt;&gt;1
    ),
    """",
    IFERROR(TEXTJOIN(CHAR(10),TRUE,FILTER('SUMMARY DATA'!I:I,'SUMMARY DATA'!$D:$D=$C967,'SUMMARY DATA'!$B:$B=""RWS"")),"""")
  )
)"),"")</f>
      </c>
      <c r="K967" s="2"/>
      <c r="L967" s="2"/>
      <c r="M967" s="2"/>
      <c r="N967" s="2"/>
      <c r="O967" s="2"/>
      <c r="P967" s="2"/>
      <c r="Q967" s="2"/>
      <c r="R967" s="2"/>
      <c r="S967" s="2"/>
      <c r="T967" s="2"/>
      <c r="U967" s="2"/>
      <c r="V967" s="2"/>
      <c r="W967" s="2"/>
      <c r="X967" s="2"/>
      <c r="Y967" s="2"/>
      <c r="Z967" s="2"/>
      <c r="AA967" s="2"/>
      <c r="AB967" s="2"/>
    </row>
    <row r="968" spans="1:28" customHeight="true">
      <c r="A968" s="2" t="s">
        <v>1501</v>
      </c>
      <c r="B968" s="15">
        <v>45772</v>
      </c>
      <c r="C968" s="2" t="s">
        <v>1502</v>
      </c>
      <c r="D968" s="6">
        <v>10</v>
      </c>
      <c r="E968" s="16" t="str">
        <f>IFERROR(__xludf.DUMMYFUNCTION("IFERROR(
  TEXTJOIN(CHAR(10),TRUE,FILTER('SUMMARY DATA'!E:E,'SUMMARY DATA'!$A:$A=$A69,'SUMMARY DATA'!$C:$C=$B69,'SUMMARY DATA'!$B:$B=""GRP"")),
  IF(
    OR(
      ISNUMBER(SEARCH(""CDM CASH DEPOSIT"",$C69)),
      ISNUMBER(SEARCH(""CASH DEPOSIT"",$C69)),"&amp;"
      COUNTIFS('SUMMARY DATA'!$D:$D,$C69,'SUMMARY DATA'!$B:$B,""GRP"")&lt;&gt;1
    ),
    """",
    IFERROR(TEXTJOIN(CHAR(10),TRUE,FILTER('SUMMARY DATA'!E:E,'SUMMARY DATA'!$D:$D=$C69,'SUMMARY DATA'!$B:$B=""GRP"")),"""")
  )
)"),"")</f>
      </c>
      <c r="F968" s="17" t="str">
        <f>IFERROR(__xludf.DUMMYFUNCTION("IFERROR(
  TEXTJOIN(CHAR(10),TRUE,FILTER('SUMMARY DATA'!F:F,'SUMMARY DATA'!$A:$A=$A69,'SUMMARY DATA'!$C:$C=$B69,'SUMMARY DATA'!$B:$B=""GRP"")),
  IF(
    OR(
      ISNUMBER(SEARCH(""CDM CASH DEPOSIT"",$C69)),
      ISNUMBER(SEARCH(""CASH DEPOSIT"",$C69)),"&amp;"
      COUNTIFS('SUMMARY DATA'!$D:$D,$C69,'SUMMARY DATA'!$B:$B,""GRP"")&lt;&gt;1
    ),
    """",
    IFERROR(TEXTJOIN(CHAR(10),TRUE,FILTER('SUMMARY DATA'!F:F,'SUMMARY DATA'!$D:$D=$C69,'SUMMARY DATA'!$B:$B=""GRP"")),"""")
  )
)"),"")</f>
      </c>
      <c r="G968" s="17" t="str">
        <f>IFERROR(__xludf.DUMMYFUNCTION("IFERROR(
  TEXTJOIN(CHAR(10),TRUE,FILTER('SUMMARY DATA'!G:G,'SUMMARY DATA'!$A:$A=$A968,'SUMMARY DATA'!$C:$C=$B968,'SUMMARY DATA'!$B:$B=""RWS"")),
  IF(
    OR(
      ISNUMBER(SEARCH(""CDM CASH DEPOSIT"",$C968)),
      ISNUMBER(SEARCH(""CASH DEPOSIT"",$C96"&amp;"8)),
      COUNTIFS('SUMMARY DATA'!$D:$D,$C968,'SUMMARY DATA'!$B:$B,""RWS"")&lt;&gt;1
    ),
    """",
    IFERROR(TEXTJOIN(CHAR(10),TRUE,FILTER('SUMMARY DATA'!G:G,'SUMMARY DATA'!$D:$D=$C968,'SUMMARY DATA'!$B:$B=""RWS"")),"""")
  )
)"),"")</f>
      </c>
      <c r="H968" s="18" t="str">
        <f>IFERROR(__xludf.DUMMYFUNCTION("IFERROR(
  TEXTJOIN(CHAR(10),TRUE,FILTER('SUMMARY DATA'!H:H,'SUMMARY DATA'!$A:$A=$A968,'SUMMARY DATA'!$C:$C=$B968,'SUMMARY DATA'!$B:$B=""RWS"",'SUMMARY DATA'!$H:$H=$D968)),
  IF(
    OR(
      ISNUMBER(SEARCH(""CDM CASH DEPOSIT"",$C968)),
      ISNUMBER(S"&amp;"EARCH(""CASH DEPOSIT"",$C968))
    ),
    """",
    IFERROR(TEXTJOIN(CHAR(10),TRUE,FILTER('SUMMARY DATA'!H:H,'SUMMARY DATA'!$D:$D=$C968,'SUMMARY DATA'!$B:$B=""RWS"",'SUMMARY DATA'!$H:$H=$D968)),"""")
  )
)"),"")</f>
      </c>
      <c r="I968" s="18" t="str">
        <f>IFERROR(__xludf.DUMMYFUNCTION("IF(H968="""","""",
SUM(ARRAYFORMULA(VALUE(SPLIT(H968,CHAR(10)))))
)"),"")</f>
      </c>
      <c r="J968" s="17" t="str">
        <f>IFERROR(__xludf.DUMMYFUNCTION("IFERROR(
  TEXTJOIN(CHAR(10),TRUE,FILTER('SUMMARY DATA'!I:I,'SUMMARY DATA'!$A:$A=$A968,'SUMMARY DATA'!$C:$C=$B968,'SUMMARY DATA'!$B:$B=""RWS"")),
  IF(
    OR(
      ISNUMBER(SEARCH(""CDM CASH DEPOSIT"",$C968)),
      ISNUMBER(SEARCH(""CASH DEPOSIT"",$C96"&amp;"8)),
      COUNTIFS('SUMMARY DATA'!$D:$D,$C968,'SUMMARY DATA'!$B:$B,""RWS"")&lt;&gt;1
    ),
    """",
    IFERROR(TEXTJOIN(CHAR(10),TRUE,FILTER('SUMMARY DATA'!I:I,'SUMMARY DATA'!$D:$D=$C968,'SUMMARY DATA'!$B:$B=""RWS"")),"""")
  )
)"),"")</f>
      </c>
      <c r="K968" s="2"/>
      <c r="L968" s="2"/>
      <c r="M968" s="2"/>
      <c r="N968" s="2"/>
      <c r="O968" s="2"/>
      <c r="P968" s="2"/>
      <c r="Q968" s="2"/>
      <c r="R968" s="2"/>
      <c r="S968" s="2"/>
      <c r="T968" s="2"/>
      <c r="U968" s="2"/>
      <c r="V968" s="2"/>
      <c r="W968" s="2"/>
      <c r="X968" s="2"/>
      <c r="Y968" s="2"/>
      <c r="Z968" s="2"/>
      <c r="AA968" s="2"/>
      <c r="AB968" s="2"/>
    </row>
    <row r="969" spans="1:28" customHeight="true">
      <c r="A969" s="2" t="s">
        <v>1446</v>
      </c>
      <c r="B969" s="15">
        <v>45772</v>
      </c>
      <c r="C969" s="2" t="s">
        <v>1503</v>
      </c>
      <c r="D969" s="6">
        <v>10</v>
      </c>
      <c r="E969" s="16" t="str">
        <f>IFERROR(__xludf.DUMMYFUNCTION("IFERROR(
  TEXTJOIN(CHAR(10),TRUE,FILTER('SUMMARY DATA'!E:E,'SUMMARY DATA'!$A:$A=$A70,'SUMMARY DATA'!$C:$C=$B70,'SUMMARY DATA'!$B:$B=""GRP"")),
  IF(
    OR(
      ISNUMBER(SEARCH(""CDM CASH DEPOSIT"",$C70)),
      ISNUMBER(SEARCH(""CASH DEPOSIT"",$C70)),"&amp;"
      COUNTIFS('SUMMARY DATA'!$D:$D,$C70,'SUMMARY DATA'!$B:$B,""GRP"")&lt;&gt;1
    ),
    """",
    IFERROR(TEXTJOIN(CHAR(10),TRUE,FILTER('SUMMARY DATA'!E:E,'SUMMARY DATA'!$D:$D=$C70,'SUMMARY DATA'!$B:$B=""GRP"")),"""")
  )
)"),"")</f>
      </c>
      <c r="F969" s="17" t="str">
        <f>IFERROR(__xludf.DUMMYFUNCTION("IFERROR(
  TEXTJOIN(CHAR(10),TRUE,FILTER('SUMMARY DATA'!F:F,'SUMMARY DATA'!$A:$A=$A70,'SUMMARY DATA'!$C:$C=$B70,'SUMMARY DATA'!$B:$B=""GRP"")),
  IF(
    OR(
      ISNUMBER(SEARCH(""CDM CASH DEPOSIT"",$C70)),
      ISNUMBER(SEARCH(""CASH DEPOSIT"",$C70)),"&amp;"
      COUNTIFS('SUMMARY DATA'!$D:$D,$C70,'SUMMARY DATA'!$B:$B,""GRP"")&lt;&gt;1
    ),
    """",
    IFERROR(TEXTJOIN(CHAR(10),TRUE,FILTER('SUMMARY DATA'!F:F,'SUMMARY DATA'!$D:$D=$C70,'SUMMARY DATA'!$B:$B=""GRP"")),"""")
  )
)"),"")</f>
      </c>
      <c r="G969" s="17" t="str">
        <f>IFERROR(__xludf.DUMMYFUNCTION("IFERROR(
  TEXTJOIN(CHAR(10),TRUE,FILTER('SUMMARY DATA'!G:G,'SUMMARY DATA'!$A:$A=$A969,'SUMMARY DATA'!$C:$C=$B969,'SUMMARY DATA'!$B:$B=""RWS"")),
  IF(
    OR(
      ISNUMBER(SEARCH(""CDM CASH DEPOSIT"",$C969)),
      ISNUMBER(SEARCH(""CASH DEPOSIT"",$C96"&amp;"9)),
      COUNTIFS('SUMMARY DATA'!$D:$D,$C969,'SUMMARY DATA'!$B:$B,""RWS"")&lt;&gt;1
    ),
    """",
    IFERROR(TEXTJOIN(CHAR(10),TRUE,FILTER('SUMMARY DATA'!G:G,'SUMMARY DATA'!$D:$D=$C969,'SUMMARY DATA'!$B:$B=""RWS"")),"""")
  )
)"),"")</f>
      </c>
      <c r="H969" s="18" t="str">
        <f>IFERROR(__xludf.DUMMYFUNCTION("IFERROR(
  TEXTJOIN(CHAR(10),TRUE,FILTER('SUMMARY DATA'!H:H,'SUMMARY DATA'!$A:$A=$A969,'SUMMARY DATA'!$C:$C=$B969,'SUMMARY DATA'!$B:$B=""RWS"",'SUMMARY DATA'!$H:$H=$D969)),
  IF(
    OR(
      ISNUMBER(SEARCH(""CDM CASH DEPOSIT"",$C969)),
      ISNUMBER(S"&amp;"EARCH(""CASH DEPOSIT"",$C969))
    ),
    """",
    IFERROR(TEXTJOIN(CHAR(10),TRUE,FILTER('SUMMARY DATA'!H:H,'SUMMARY DATA'!$D:$D=$C969,'SUMMARY DATA'!$B:$B=""RWS"",'SUMMARY DATA'!$H:$H=$D969)),"""")
  )
)"),"")</f>
      </c>
      <c r="I969" s="18" t="str">
        <f>IFERROR(__xludf.DUMMYFUNCTION("IF(H969="""","""",
SUM(ARRAYFORMULA(VALUE(SPLIT(H969,CHAR(10)))))
)"),"")</f>
      </c>
      <c r="J969" s="17" t="str">
        <f>IFERROR(__xludf.DUMMYFUNCTION("IFERROR(
  TEXTJOIN(CHAR(10),TRUE,FILTER('SUMMARY DATA'!I:I,'SUMMARY DATA'!$A:$A=$A969,'SUMMARY DATA'!$C:$C=$B969,'SUMMARY DATA'!$B:$B=""RWS"")),
  IF(
    OR(
      ISNUMBER(SEARCH(""CDM CASH DEPOSIT"",$C969)),
      ISNUMBER(SEARCH(""CASH DEPOSIT"",$C96"&amp;"9)),
      COUNTIFS('SUMMARY DATA'!$D:$D,$C969,'SUMMARY DATA'!$B:$B,""RWS"")&lt;&gt;1
    ),
    """",
    IFERROR(TEXTJOIN(CHAR(10),TRUE,FILTER('SUMMARY DATA'!I:I,'SUMMARY DATA'!$D:$D=$C969,'SUMMARY DATA'!$B:$B=""RWS"")),"""")
  )
)"),"")</f>
      </c>
      <c r="K969" s="2"/>
      <c r="L969" s="2"/>
      <c r="M969" s="2"/>
      <c r="N969" s="2"/>
      <c r="O969" s="2"/>
      <c r="P969" s="2"/>
      <c r="Q969" s="2"/>
      <c r="R969" s="2"/>
      <c r="S969" s="2"/>
      <c r="T969" s="2"/>
      <c r="U969" s="2"/>
      <c r="V969" s="2"/>
      <c r="W969" s="2"/>
      <c r="X969" s="2"/>
      <c r="Y969" s="2"/>
      <c r="Z969" s="2"/>
      <c r="AA969" s="2"/>
      <c r="AB969" s="2"/>
    </row>
    <row r="970" spans="1:28" customHeight="true">
      <c r="A970" s="2"/>
      <c r="B970" s="15">
        <v>45772</v>
      </c>
      <c r="C970" s="2" t="s">
        <v>1504</v>
      </c>
      <c r="D970" s="6">
        <v>3.91</v>
      </c>
      <c r="E970" s="16" t="str">
        <f>IFERROR(__xludf.DUMMYFUNCTION("IFERROR(
  TEXTJOIN(CHAR(10),TRUE,FILTER('SUMMARY DATA'!E:E,'SUMMARY DATA'!$A:$A=$A71,'SUMMARY DATA'!$C:$C=$B71,'SUMMARY DATA'!$B:$B=""GRP"")),
  IF(
    OR(
      ISNUMBER(SEARCH(""CDM CASH DEPOSIT"",$C71)),
      ISNUMBER(SEARCH(""CASH DEPOSIT"",$C71)),"&amp;"
      COUNTIFS('SUMMARY DATA'!$D:$D,$C71,'SUMMARY DATA'!$B:$B,""GRP"")&lt;&gt;1
    ),
    """",
    IFERROR(TEXTJOIN(CHAR(10),TRUE,FILTER('SUMMARY DATA'!E:E,'SUMMARY DATA'!$D:$D=$C71,'SUMMARY DATA'!$B:$B=""GRP"")),"""")
  )
)"),"")</f>
      </c>
      <c r="F970" s="17" t="str">
        <f>IFERROR(__xludf.DUMMYFUNCTION("IFERROR(
  TEXTJOIN(CHAR(10),TRUE,FILTER('SUMMARY DATA'!F:F,'SUMMARY DATA'!$A:$A=$A71,'SUMMARY DATA'!$C:$C=$B71,'SUMMARY DATA'!$B:$B=""GRP"")),
  IF(
    OR(
      ISNUMBER(SEARCH(""CDM CASH DEPOSIT"",$C71)),
      ISNUMBER(SEARCH(""CASH DEPOSIT"",$C71)),"&amp;"
      COUNTIFS('SUMMARY DATA'!$D:$D,$C71,'SUMMARY DATA'!$B:$B,""GRP"")&lt;&gt;1
    ),
    """",
    IFERROR(TEXTJOIN(CHAR(10),TRUE,FILTER('SUMMARY DATA'!F:F,'SUMMARY DATA'!$D:$D=$C71,'SUMMARY DATA'!$B:$B=""GRP"")),"""")
  )
)"),"")</f>
      </c>
      <c r="G970" s="17" t="str">
        <f>IFERROR(__xludf.DUMMYFUNCTION("IFERROR(
  TEXTJOIN(CHAR(10),TRUE,FILTER('SUMMARY DATA'!G:G,'SUMMARY DATA'!$A:$A=$A970,'SUMMARY DATA'!$C:$C=$B970,'SUMMARY DATA'!$B:$B=""RWS"")),
  IF(
    OR(
      ISNUMBER(SEARCH(""CDM CASH DEPOSIT"",$C970)),
      ISNUMBER(SEARCH(""CASH DEPOSIT"",$C97"&amp;"0)),
      COUNTIFS('SUMMARY DATA'!$D:$D,$C970,'SUMMARY DATA'!$B:$B,""RWS"")&lt;&gt;1
    ),
    """",
    IFERROR(TEXTJOIN(CHAR(10),TRUE,FILTER('SUMMARY DATA'!G:G,'SUMMARY DATA'!$D:$D=$C970,'SUMMARY DATA'!$B:$B=""RWS"")),"""")
  )
)"),"")</f>
      </c>
      <c r="H970" s="18" t="str">
        <f>IFERROR(__xludf.DUMMYFUNCTION("IFERROR(
  TEXTJOIN(CHAR(10),TRUE,FILTER('SUMMARY DATA'!H:H,'SUMMARY DATA'!$A:$A=$A970,'SUMMARY DATA'!$C:$C=$B970,'SUMMARY DATA'!$B:$B=""RWS"",'SUMMARY DATA'!$H:$H=$D970)),
  IF(
    OR(
      ISNUMBER(SEARCH(""CDM CASH DEPOSIT"",$C970)),
      ISNUMBER(S"&amp;"EARCH(""CASH DEPOSIT"",$C970))
    ),
    """",
    IFERROR(TEXTJOIN(CHAR(10),TRUE,FILTER('SUMMARY DATA'!H:H,'SUMMARY DATA'!$D:$D=$C970,'SUMMARY DATA'!$B:$B=""RWS"",'SUMMARY DATA'!$H:$H=$D970)),"""")
  )
)"),"")</f>
      </c>
      <c r="I970" s="18" t="str">
        <f>IFERROR(__xludf.DUMMYFUNCTION("IF(H970="""","""",
SUM(ARRAYFORMULA(VALUE(SPLIT(H970,CHAR(10)))))
)"),"")</f>
      </c>
      <c r="J970" s="17" t="str">
        <f>IFERROR(__xludf.DUMMYFUNCTION("IFERROR(
  TEXTJOIN(CHAR(10),TRUE,FILTER('SUMMARY DATA'!I:I,'SUMMARY DATA'!$A:$A=$A970,'SUMMARY DATA'!$C:$C=$B970,'SUMMARY DATA'!$B:$B=""RWS"")),
  IF(
    OR(
      ISNUMBER(SEARCH(""CDM CASH DEPOSIT"",$C970)),
      ISNUMBER(SEARCH(""CASH DEPOSIT"",$C97"&amp;"0)),
      COUNTIFS('SUMMARY DATA'!$D:$D,$C970,'SUMMARY DATA'!$B:$B,""RWS"")&lt;&gt;1
    ),
    """",
    IFERROR(TEXTJOIN(CHAR(10),TRUE,FILTER('SUMMARY DATA'!I:I,'SUMMARY DATA'!$D:$D=$C970,'SUMMARY DATA'!$B:$B=""RWS"")),"""")
  )
)"),"")</f>
      </c>
      <c r="K970" s="2"/>
      <c r="L970" s="2"/>
      <c r="M970" s="2"/>
      <c r="N970" s="2"/>
      <c r="O970" s="2"/>
      <c r="P970" s="2"/>
      <c r="Q970" s="2"/>
      <c r="R970" s="2"/>
      <c r="S970" s="2"/>
      <c r="T970" s="2"/>
      <c r="U970" s="2"/>
      <c r="V970" s="2"/>
      <c r="W970" s="2"/>
      <c r="X970" s="2"/>
      <c r="Y970" s="2"/>
      <c r="Z970" s="2"/>
      <c r="AA970" s="2"/>
      <c r="AB970" s="2"/>
    </row>
    <row r="971" spans="1:28" customHeight="true">
      <c r="A971" s="2" t="s">
        <v>1505</v>
      </c>
      <c r="B971" s="15">
        <v>45773</v>
      </c>
      <c r="C971" s="2" t="s">
        <v>1506</v>
      </c>
      <c r="D971" s="6">
        <v>176</v>
      </c>
      <c r="E971" s="16" t="str">
        <f>IFERROR(__xludf.DUMMYFUNCTION("IFERROR(
  TEXTJOIN(CHAR(10),TRUE,FILTER('SUMMARY DATA'!E:E,'SUMMARY DATA'!$A:$A=$A72,'SUMMARY DATA'!$C:$C=$B72,'SUMMARY DATA'!$B:$B=""GRP"")),
  IF(
    OR(
      ISNUMBER(SEARCH(""CDM CASH DEPOSIT"",$C72)),
      ISNUMBER(SEARCH(""CASH DEPOSIT"",$C72)),"&amp;"
      COUNTIFS('SUMMARY DATA'!$D:$D,$C72,'SUMMARY DATA'!$B:$B,""GRP"")&lt;&gt;1
    ),
    """",
    IFERROR(TEXTJOIN(CHAR(10),TRUE,FILTER('SUMMARY DATA'!E:E,'SUMMARY DATA'!$D:$D=$C72,'SUMMARY DATA'!$B:$B=""GRP"")),"""")
  )
)"),"")</f>
      </c>
      <c r="F971" s="17" t="str">
        <f>IFERROR(__xludf.DUMMYFUNCTION("IFERROR(
  TEXTJOIN(CHAR(10),TRUE,FILTER('SUMMARY DATA'!F:F,'SUMMARY DATA'!$A:$A=$A72,'SUMMARY DATA'!$C:$C=$B72,'SUMMARY DATA'!$B:$B=""GRP"")),
  IF(
    OR(
      ISNUMBER(SEARCH(""CDM CASH DEPOSIT"",$C72)),
      ISNUMBER(SEARCH(""CASH DEPOSIT"",$C72)),"&amp;"
      COUNTIFS('SUMMARY DATA'!$D:$D,$C72,'SUMMARY DATA'!$B:$B,""GRP"")&lt;&gt;1
    ),
    """",
    IFERROR(TEXTJOIN(CHAR(10),TRUE,FILTER('SUMMARY DATA'!F:F,'SUMMARY DATA'!$D:$D=$C72,'SUMMARY DATA'!$B:$B=""GRP"")),"""")
  )
)"),"")</f>
      </c>
      <c r="G971" s="17" t="str">
        <f>IFERROR(__xludf.DUMMYFUNCTION("IFERROR(
  TEXTJOIN(CHAR(10),TRUE,FILTER('SUMMARY DATA'!G:G,'SUMMARY DATA'!$A:$A=$A971,'SUMMARY DATA'!$C:$C=$B971,'SUMMARY DATA'!$B:$B=""RWS"")),
  IF(
    OR(
      ISNUMBER(SEARCH(""CDM CASH DEPOSIT"",$C971)),
      ISNUMBER(SEARCH(""CASH DEPOSIT"",$C97"&amp;"1)),
      COUNTIFS('SUMMARY DATA'!$D:$D,$C971,'SUMMARY DATA'!$B:$B,""RWS"")&lt;&gt;1
    ),
    """",
    IFERROR(TEXTJOIN(CHAR(10),TRUE,FILTER('SUMMARY DATA'!G:G,'SUMMARY DATA'!$D:$D=$C971,'SUMMARY DATA'!$B:$B=""RWS"")),"""")
  )
)"),"")</f>
      </c>
      <c r="H971" s="18" t="str">
        <f>IFERROR(__xludf.DUMMYFUNCTION("IFERROR(
  TEXTJOIN(CHAR(10),TRUE,FILTER('SUMMARY DATA'!H:H,'SUMMARY DATA'!$A:$A=$A971,'SUMMARY DATA'!$C:$C=$B971,'SUMMARY DATA'!$B:$B=""RWS"",'SUMMARY DATA'!$H:$H=$D971)),
  IF(
    OR(
      ISNUMBER(SEARCH(""CDM CASH DEPOSIT"",$C971)),
      ISNUMBER(S"&amp;"EARCH(""CASH DEPOSIT"",$C971))
    ),
    """",
    IFERROR(TEXTJOIN(CHAR(10),TRUE,FILTER('SUMMARY DATA'!H:H,'SUMMARY DATA'!$D:$D=$C971,'SUMMARY DATA'!$B:$B=""RWS"",'SUMMARY DATA'!$H:$H=$D971)),"""")
  )
)"),"")</f>
      </c>
      <c r="I971" s="18" t="str">
        <f>IFERROR(__xludf.DUMMYFUNCTION("IF(H971="""","""",
SUM(ARRAYFORMULA(VALUE(SPLIT(H971,CHAR(10)))))
)"),"")</f>
      </c>
      <c r="J971" s="17" t="str">
        <f>IFERROR(__xludf.DUMMYFUNCTION("IFERROR(
  TEXTJOIN(CHAR(10),TRUE,FILTER('SUMMARY DATA'!I:I,'SUMMARY DATA'!$A:$A=$A971,'SUMMARY DATA'!$C:$C=$B971,'SUMMARY DATA'!$B:$B=""RWS"")),
  IF(
    OR(
      ISNUMBER(SEARCH(""CDM CASH DEPOSIT"",$C971)),
      ISNUMBER(SEARCH(""CASH DEPOSIT"",$C97"&amp;"1)),
      COUNTIFS('SUMMARY DATA'!$D:$D,$C971,'SUMMARY DATA'!$B:$B,""RWS"")&lt;&gt;1
    ),
    """",
    IFERROR(TEXTJOIN(CHAR(10),TRUE,FILTER('SUMMARY DATA'!I:I,'SUMMARY DATA'!$D:$D=$C971,'SUMMARY DATA'!$B:$B=""RWS"")),"""")
  )
)"),"")</f>
      </c>
      <c r="K971" s="2"/>
      <c r="L971" s="2"/>
      <c r="M971" s="2"/>
      <c r="N971" s="2"/>
      <c r="O971" s="2"/>
      <c r="P971" s="2"/>
      <c r="Q971" s="2"/>
      <c r="R971" s="2"/>
      <c r="S971" s="2"/>
      <c r="T971" s="2"/>
      <c r="U971" s="2"/>
      <c r="V971" s="2"/>
      <c r="W971" s="2"/>
      <c r="X971" s="2"/>
      <c r="Y971" s="2"/>
      <c r="Z971" s="2"/>
      <c r="AA971" s="2"/>
      <c r="AB971" s="2"/>
    </row>
    <row r="972" spans="1:28" customHeight="true">
      <c r="A972" s="2"/>
      <c r="B972" s="15">
        <v>45773</v>
      </c>
      <c r="C972" s="2" t="s">
        <v>1507</v>
      </c>
      <c r="D972" s="6">
        <v>89.98</v>
      </c>
      <c r="E972" s="16" t="str">
        <f>IFERROR(__xludf.DUMMYFUNCTION("IFERROR(
  TEXTJOIN(CHAR(10),TRUE,FILTER('SUMMARY DATA'!E:E,'SUMMARY DATA'!$A:$A=$A73,'SUMMARY DATA'!$C:$C=$B73,'SUMMARY DATA'!$B:$B=""GRP"")),
  IF(
    OR(
      ISNUMBER(SEARCH(""CDM CASH DEPOSIT"",$C73)),
      ISNUMBER(SEARCH(""CASH DEPOSIT"",$C73)),"&amp;"
      COUNTIFS('SUMMARY DATA'!$D:$D,$C73,'SUMMARY DATA'!$B:$B,""GRP"")&lt;&gt;1
    ),
    """",
    IFERROR(TEXTJOIN(CHAR(10),TRUE,FILTER('SUMMARY DATA'!E:E,'SUMMARY DATA'!$D:$D=$C73,'SUMMARY DATA'!$B:$B=""GRP"")),"""")
  )
)"),"")</f>
      </c>
      <c r="F972" s="17" t="str">
        <f>IFERROR(__xludf.DUMMYFUNCTION("IFERROR(
  TEXTJOIN(CHAR(10),TRUE,FILTER('SUMMARY DATA'!F:F,'SUMMARY DATA'!$A:$A=$A73,'SUMMARY DATA'!$C:$C=$B73,'SUMMARY DATA'!$B:$B=""GRP"")),
  IF(
    OR(
      ISNUMBER(SEARCH(""CDM CASH DEPOSIT"",$C73)),
      ISNUMBER(SEARCH(""CASH DEPOSIT"",$C73)),"&amp;"
      COUNTIFS('SUMMARY DATA'!$D:$D,$C73,'SUMMARY DATA'!$B:$B,""GRP"")&lt;&gt;1
    ),
    """",
    IFERROR(TEXTJOIN(CHAR(10),TRUE,FILTER('SUMMARY DATA'!F:F,'SUMMARY DATA'!$D:$D=$C73,'SUMMARY DATA'!$B:$B=""GRP"")),"""")
  )
)"),"")</f>
      </c>
      <c r="G972" s="17" t="str">
        <f>IFERROR(__xludf.DUMMYFUNCTION("IFERROR(
  TEXTJOIN(CHAR(10),TRUE,FILTER('SUMMARY DATA'!G:G,'SUMMARY DATA'!$A:$A=$A972,'SUMMARY DATA'!$C:$C=$B972,'SUMMARY DATA'!$B:$B=""RWS"")),
  IF(
    OR(
      ISNUMBER(SEARCH(""CDM CASH DEPOSIT"",$C972)),
      ISNUMBER(SEARCH(""CASH DEPOSIT"",$C97"&amp;"2)),
      COUNTIFS('SUMMARY DATA'!$D:$D,$C972,'SUMMARY DATA'!$B:$B,""RWS"")&lt;&gt;1
    ),
    """",
    IFERROR(TEXTJOIN(CHAR(10),TRUE,FILTER('SUMMARY DATA'!G:G,'SUMMARY DATA'!$D:$D=$C972,'SUMMARY DATA'!$B:$B=""RWS"")),"""")
  )
)"),"")</f>
      </c>
      <c r="H972" s="18" t="str">
        <f>IFERROR(__xludf.DUMMYFUNCTION("IFERROR(
  TEXTJOIN(CHAR(10),TRUE,FILTER('SUMMARY DATA'!H:H,'SUMMARY DATA'!$A:$A=$A972,'SUMMARY DATA'!$C:$C=$B972,'SUMMARY DATA'!$B:$B=""RWS"",'SUMMARY DATA'!$H:$H=$D972)),
  IF(
    OR(
      ISNUMBER(SEARCH(""CDM CASH DEPOSIT"",$C972)),
      ISNUMBER(S"&amp;"EARCH(""CASH DEPOSIT"",$C972))
    ),
    """",
    IFERROR(TEXTJOIN(CHAR(10),TRUE,FILTER('SUMMARY DATA'!H:H,'SUMMARY DATA'!$D:$D=$C972,'SUMMARY DATA'!$B:$B=""RWS"",'SUMMARY DATA'!$H:$H=$D972)),"""")
  )
)"),"")</f>
      </c>
      <c r="I972" s="18" t="str">
        <f>IFERROR(__xludf.DUMMYFUNCTION("IF(H972="""","""",
SUM(ARRAYFORMULA(VALUE(SPLIT(H972,CHAR(10)))))
)"),"")</f>
      </c>
      <c r="J972" s="17" t="str">
        <f>IFERROR(__xludf.DUMMYFUNCTION("IFERROR(
  TEXTJOIN(CHAR(10),TRUE,FILTER('SUMMARY DATA'!I:I,'SUMMARY DATA'!$A:$A=$A972,'SUMMARY DATA'!$C:$C=$B972,'SUMMARY DATA'!$B:$B=""RWS"")),
  IF(
    OR(
      ISNUMBER(SEARCH(""CDM CASH DEPOSIT"",$C972)),
      ISNUMBER(SEARCH(""CASH DEPOSIT"",$C97"&amp;"2)),
      COUNTIFS('SUMMARY DATA'!$D:$D,$C972,'SUMMARY DATA'!$B:$B,""RWS"")&lt;&gt;1
    ),
    """",
    IFERROR(TEXTJOIN(CHAR(10),TRUE,FILTER('SUMMARY DATA'!I:I,'SUMMARY DATA'!$D:$D=$C972,'SUMMARY DATA'!$B:$B=""RWS"")),"""")
  )
)"),"")</f>
      </c>
      <c r="K972" s="2"/>
      <c r="L972" s="2"/>
      <c r="M972" s="2"/>
      <c r="N972" s="2"/>
      <c r="O972" s="2"/>
      <c r="P972" s="2"/>
      <c r="Q972" s="2"/>
      <c r="R972" s="2"/>
      <c r="S972" s="2"/>
      <c r="T972" s="2"/>
      <c r="U972" s="2"/>
      <c r="V972" s="2"/>
      <c r="W972" s="2"/>
      <c r="X972" s="2"/>
      <c r="Y972" s="2"/>
      <c r="Z972" s="2"/>
      <c r="AA972" s="2"/>
      <c r="AB972" s="2"/>
    </row>
    <row r="973" spans="1:28" customHeight="true">
      <c r="A973" s="2" t="s">
        <v>1442</v>
      </c>
      <c r="B973" s="15">
        <v>45773</v>
      </c>
      <c r="C973" s="2" t="s">
        <v>1508</v>
      </c>
      <c r="D973" s="6">
        <v>75</v>
      </c>
      <c r="E973" s="16" t="str">
        <f>IFERROR(__xludf.DUMMYFUNCTION("IFERROR(
  TEXTJOIN(CHAR(10),TRUE,FILTER('SUMMARY DATA'!E:E,'SUMMARY DATA'!$A:$A=$A74,'SUMMARY DATA'!$C:$C=$B74,'SUMMARY DATA'!$B:$B=""GRP"")),
  IF(
    OR(
      ISNUMBER(SEARCH(""CDM CASH DEPOSIT"",$C74)),
      ISNUMBER(SEARCH(""CASH DEPOSIT"",$C74)),"&amp;"
      COUNTIFS('SUMMARY DATA'!$D:$D,$C74,'SUMMARY DATA'!$B:$B,""GRP"")&lt;&gt;1
    ),
    """",
    IFERROR(TEXTJOIN(CHAR(10),TRUE,FILTER('SUMMARY DATA'!E:E,'SUMMARY DATA'!$D:$D=$C74,'SUMMARY DATA'!$B:$B=""GRP"")),"""")
  )
)"),"")</f>
      </c>
      <c r="F973" s="17" t="str">
        <f>IFERROR(__xludf.DUMMYFUNCTION("IFERROR(
  TEXTJOIN(CHAR(10),TRUE,FILTER('SUMMARY DATA'!F:F,'SUMMARY DATA'!$A:$A=$A74,'SUMMARY DATA'!$C:$C=$B74,'SUMMARY DATA'!$B:$B=""GRP"")),
  IF(
    OR(
      ISNUMBER(SEARCH(""CDM CASH DEPOSIT"",$C74)),
      ISNUMBER(SEARCH(""CASH DEPOSIT"",$C74)),"&amp;"
      COUNTIFS('SUMMARY DATA'!$D:$D,$C74,'SUMMARY DATA'!$B:$B,""GRP"")&lt;&gt;1
    ),
    """",
    IFERROR(TEXTJOIN(CHAR(10),TRUE,FILTER('SUMMARY DATA'!F:F,'SUMMARY DATA'!$D:$D=$C74,'SUMMARY DATA'!$B:$B=""GRP"")),"""")
  )
)"),"")</f>
      </c>
      <c r="G973" s="17" t="str">
        <f>IFERROR(__xludf.DUMMYFUNCTION("IFERROR(
  TEXTJOIN(CHAR(10),TRUE,FILTER('SUMMARY DATA'!G:G,'SUMMARY DATA'!$A:$A=$A973,'SUMMARY DATA'!$C:$C=$B973,'SUMMARY DATA'!$B:$B=""RWS"")),
  IF(
    OR(
      ISNUMBER(SEARCH(""CDM CASH DEPOSIT"",$C973)),
      ISNUMBER(SEARCH(""CASH DEPOSIT"",$C97"&amp;"3)),
      COUNTIFS('SUMMARY DATA'!$D:$D,$C973,'SUMMARY DATA'!$B:$B,""RWS"")&lt;&gt;1
    ),
    """",
    IFERROR(TEXTJOIN(CHAR(10),TRUE,FILTER('SUMMARY DATA'!G:G,'SUMMARY DATA'!$D:$D=$C973,'SUMMARY DATA'!$B:$B=""RWS"")),"""")
  )
)"),"")</f>
      </c>
      <c r="H973" s="18" t="str">
        <f>IFERROR(__xludf.DUMMYFUNCTION("IFERROR(
  TEXTJOIN(CHAR(10),TRUE,FILTER('SUMMARY DATA'!H:H,'SUMMARY DATA'!$A:$A=$A973,'SUMMARY DATA'!$C:$C=$B973,'SUMMARY DATA'!$B:$B=""RWS"",'SUMMARY DATA'!$H:$H=$D973)),
  IF(
    OR(
      ISNUMBER(SEARCH(""CDM CASH DEPOSIT"",$C973)),
      ISNUMBER(S"&amp;"EARCH(""CASH DEPOSIT"",$C973))
    ),
    """",
    IFERROR(TEXTJOIN(CHAR(10),TRUE,FILTER('SUMMARY DATA'!H:H,'SUMMARY DATA'!$D:$D=$C973,'SUMMARY DATA'!$B:$B=""RWS"",'SUMMARY DATA'!$H:$H=$D973)),"""")
  )
)"),"")</f>
      </c>
      <c r="I973" s="18" t="str">
        <f>IFERROR(__xludf.DUMMYFUNCTION("IF(H973="""","""",
SUM(ARRAYFORMULA(VALUE(SPLIT(H973,CHAR(10)))))
)"),"")</f>
      </c>
      <c r="J973" s="17" t="str">
        <f>IFERROR(__xludf.DUMMYFUNCTION("IFERROR(
  TEXTJOIN(CHAR(10),TRUE,FILTER('SUMMARY DATA'!I:I,'SUMMARY DATA'!$A:$A=$A973,'SUMMARY DATA'!$C:$C=$B973,'SUMMARY DATA'!$B:$B=""RWS"")),
  IF(
    OR(
      ISNUMBER(SEARCH(""CDM CASH DEPOSIT"",$C973)),
      ISNUMBER(SEARCH(""CASH DEPOSIT"",$C97"&amp;"3)),
      COUNTIFS('SUMMARY DATA'!$D:$D,$C973,'SUMMARY DATA'!$B:$B,""RWS"")&lt;&gt;1
    ),
    """",
    IFERROR(TEXTJOIN(CHAR(10),TRUE,FILTER('SUMMARY DATA'!I:I,'SUMMARY DATA'!$D:$D=$C973,'SUMMARY DATA'!$B:$B=""RWS"")),"""")
  )
)"),"")</f>
      </c>
      <c r="K973" s="2"/>
      <c r="L973" s="2"/>
      <c r="M973" s="2"/>
      <c r="N973" s="2"/>
      <c r="O973" s="2"/>
      <c r="P973" s="2"/>
      <c r="Q973" s="2"/>
      <c r="R973" s="2"/>
      <c r="S973" s="2"/>
      <c r="T973" s="2"/>
      <c r="U973" s="2"/>
      <c r="V973" s="2"/>
      <c r="W973" s="2"/>
      <c r="X973" s="2"/>
      <c r="Y973" s="2"/>
      <c r="Z973" s="2"/>
      <c r="AA973" s="2"/>
      <c r="AB973" s="2"/>
    </row>
    <row r="974" spans="1:28" customHeight="true">
      <c r="A974" s="2" t="s">
        <v>1446</v>
      </c>
      <c r="B974" s="15">
        <v>45773</v>
      </c>
      <c r="C974" s="2" t="s">
        <v>1509</v>
      </c>
      <c r="D974" s="6">
        <v>61.1</v>
      </c>
      <c r="E974" s="16" t="str">
        <f>IFERROR(__xludf.DUMMYFUNCTION("IFERROR(
  TEXTJOIN(CHAR(10),TRUE,FILTER('SUMMARY DATA'!E:E,'SUMMARY DATA'!$A:$A=$A75,'SUMMARY DATA'!$C:$C=$B75,'SUMMARY DATA'!$B:$B=""GRP"")),
  IF(
    OR(
      ISNUMBER(SEARCH(""CDM CASH DEPOSIT"",$C75)),
      ISNUMBER(SEARCH(""CASH DEPOSIT"",$C75)),"&amp;"
      COUNTIFS('SUMMARY DATA'!$D:$D,$C75,'SUMMARY DATA'!$B:$B,""GRP"")&lt;&gt;1
    ),
    """",
    IFERROR(TEXTJOIN(CHAR(10),TRUE,FILTER('SUMMARY DATA'!E:E,'SUMMARY DATA'!$D:$D=$C75,'SUMMARY DATA'!$B:$B=""GRP"")),"""")
  )
)"),"")</f>
      </c>
      <c r="F974" s="17" t="str">
        <f>IFERROR(__xludf.DUMMYFUNCTION("IFERROR(
  TEXTJOIN(CHAR(10),TRUE,FILTER('SUMMARY DATA'!F:F,'SUMMARY DATA'!$A:$A=$A75,'SUMMARY DATA'!$C:$C=$B75,'SUMMARY DATA'!$B:$B=""GRP"")),
  IF(
    OR(
      ISNUMBER(SEARCH(""CDM CASH DEPOSIT"",$C75)),
      ISNUMBER(SEARCH(""CASH DEPOSIT"",$C75)),"&amp;"
      COUNTIFS('SUMMARY DATA'!$D:$D,$C75,'SUMMARY DATA'!$B:$B,""GRP"")&lt;&gt;1
    ),
    """",
    IFERROR(TEXTJOIN(CHAR(10),TRUE,FILTER('SUMMARY DATA'!F:F,'SUMMARY DATA'!$D:$D=$C75,'SUMMARY DATA'!$B:$B=""GRP"")),"""")
  )
)"),"")</f>
      </c>
      <c r="G974" s="17" t="str">
        <f>IFERROR(__xludf.DUMMYFUNCTION("IFERROR(
  TEXTJOIN(CHAR(10),TRUE,FILTER('SUMMARY DATA'!G:G,'SUMMARY DATA'!$A:$A=$A974,'SUMMARY DATA'!$C:$C=$B974,'SUMMARY DATA'!$B:$B=""RWS"")),
  IF(
    OR(
      ISNUMBER(SEARCH(""CDM CASH DEPOSIT"",$C974)),
      ISNUMBER(SEARCH(""CASH DEPOSIT"",$C97"&amp;"4)),
      COUNTIFS('SUMMARY DATA'!$D:$D,$C974,'SUMMARY DATA'!$B:$B,""RWS"")&lt;&gt;1
    ),
    """",
    IFERROR(TEXTJOIN(CHAR(10),TRUE,FILTER('SUMMARY DATA'!G:G,'SUMMARY DATA'!$D:$D=$C974,'SUMMARY DATA'!$B:$B=""RWS"")),"""")
  )
)"),"")</f>
      </c>
      <c r="H974" s="18" t="str">
        <f>IFERROR(__xludf.DUMMYFUNCTION("IFERROR(
  TEXTJOIN(CHAR(10),TRUE,FILTER('SUMMARY DATA'!H:H,'SUMMARY DATA'!$A:$A=$A974,'SUMMARY DATA'!$C:$C=$B974,'SUMMARY DATA'!$B:$B=""RWS"",'SUMMARY DATA'!$H:$H=$D974)),
  IF(
    OR(
      ISNUMBER(SEARCH(""CDM CASH DEPOSIT"",$C974)),
      ISNUMBER(S"&amp;"EARCH(""CASH DEPOSIT"",$C974))
    ),
    """",
    IFERROR(TEXTJOIN(CHAR(10),TRUE,FILTER('SUMMARY DATA'!H:H,'SUMMARY DATA'!$D:$D=$C974,'SUMMARY DATA'!$B:$B=""RWS"",'SUMMARY DATA'!$H:$H=$D974)),"""")
  )
)"),"")</f>
      </c>
      <c r="I974" s="18" t="str">
        <f>IFERROR(__xludf.DUMMYFUNCTION("IF(H974="""","""",
SUM(ARRAYFORMULA(VALUE(SPLIT(H974,CHAR(10)))))
)"),"")</f>
      </c>
      <c r="J974" s="17" t="str">
        <f>IFERROR(__xludf.DUMMYFUNCTION("IFERROR(
  TEXTJOIN(CHAR(10),TRUE,FILTER('SUMMARY DATA'!I:I,'SUMMARY DATA'!$A:$A=$A974,'SUMMARY DATA'!$C:$C=$B974,'SUMMARY DATA'!$B:$B=""RWS"")),
  IF(
    OR(
      ISNUMBER(SEARCH(""CDM CASH DEPOSIT"",$C974)),
      ISNUMBER(SEARCH(""CASH DEPOSIT"",$C97"&amp;"4)),
      COUNTIFS('SUMMARY DATA'!$D:$D,$C974,'SUMMARY DATA'!$B:$B,""RWS"")&lt;&gt;1
    ),
    """",
    IFERROR(TEXTJOIN(CHAR(10),TRUE,FILTER('SUMMARY DATA'!I:I,'SUMMARY DATA'!$D:$D=$C974,'SUMMARY DATA'!$B:$B=""RWS"")),"""")
  )
)"),"")</f>
      </c>
      <c r="K974" s="2"/>
      <c r="L974" s="2"/>
      <c r="M974" s="2"/>
      <c r="N974" s="2"/>
      <c r="O974" s="2"/>
      <c r="P974" s="2"/>
      <c r="Q974" s="2"/>
      <c r="R974" s="2"/>
      <c r="S974" s="2"/>
      <c r="T974" s="2"/>
      <c r="U974" s="2"/>
      <c r="V974" s="2"/>
      <c r="W974" s="2"/>
      <c r="X974" s="2"/>
      <c r="Y974" s="2"/>
      <c r="Z974" s="2"/>
      <c r="AA974" s="2"/>
      <c r="AB974" s="2"/>
    </row>
    <row r="975" spans="1:28" customHeight="true">
      <c r="A975" s="2"/>
      <c r="B975" s="15">
        <v>45773</v>
      </c>
      <c r="C975" s="2" t="s">
        <v>1510</v>
      </c>
      <c r="D975" s="6">
        <v>10</v>
      </c>
      <c r="E975" s="16" t="str">
        <f>IFERROR(__xludf.DUMMYFUNCTION("IFERROR(
  TEXTJOIN(CHAR(10),TRUE,FILTER('SUMMARY DATA'!E:E,'SUMMARY DATA'!$A:$A=$A76,'SUMMARY DATA'!$C:$C=$B76,'SUMMARY DATA'!$B:$B=""GRP"")),
  IF(
    OR(
      ISNUMBER(SEARCH(""CDM CASH DEPOSIT"",$C76)),
      ISNUMBER(SEARCH(""CASH DEPOSIT"",$C76)),"&amp;"
      COUNTIFS('SUMMARY DATA'!$D:$D,$C76,'SUMMARY DATA'!$B:$B,""GRP"")&lt;&gt;1
    ),
    """",
    IFERROR(TEXTJOIN(CHAR(10),TRUE,FILTER('SUMMARY DATA'!E:E,'SUMMARY DATA'!$D:$D=$C76,'SUMMARY DATA'!$B:$B=""GRP"")),"""")
  )
)"),"")</f>
      </c>
      <c r="F975" s="17" t="str">
        <f>IFERROR(__xludf.DUMMYFUNCTION("IFERROR(
  TEXTJOIN(CHAR(10),TRUE,FILTER('SUMMARY DATA'!F:F,'SUMMARY DATA'!$A:$A=$A76,'SUMMARY DATA'!$C:$C=$B76,'SUMMARY DATA'!$B:$B=""GRP"")),
  IF(
    OR(
      ISNUMBER(SEARCH(""CDM CASH DEPOSIT"",$C76)),
      ISNUMBER(SEARCH(""CASH DEPOSIT"",$C76)),"&amp;"
      COUNTIFS('SUMMARY DATA'!$D:$D,$C76,'SUMMARY DATA'!$B:$B,""GRP"")&lt;&gt;1
    ),
    """",
    IFERROR(TEXTJOIN(CHAR(10),TRUE,FILTER('SUMMARY DATA'!F:F,'SUMMARY DATA'!$D:$D=$C76,'SUMMARY DATA'!$B:$B=""GRP"")),"""")
  )
)"),"")</f>
      </c>
      <c r="G975" s="17" t="str">
        <f>IFERROR(__xludf.DUMMYFUNCTION("IFERROR(
  TEXTJOIN(CHAR(10),TRUE,FILTER('SUMMARY DATA'!G:G,'SUMMARY DATA'!$A:$A=$A975,'SUMMARY DATA'!$C:$C=$B975,'SUMMARY DATA'!$B:$B=""RWS"")),
  IF(
    OR(
      ISNUMBER(SEARCH(""CDM CASH DEPOSIT"",$C975)),
      ISNUMBER(SEARCH(""CASH DEPOSIT"",$C97"&amp;"5)),
      COUNTIFS('SUMMARY DATA'!$D:$D,$C975,'SUMMARY DATA'!$B:$B,""RWS"")&lt;&gt;1
    ),
    """",
    IFERROR(TEXTJOIN(CHAR(10),TRUE,FILTER('SUMMARY DATA'!G:G,'SUMMARY DATA'!$D:$D=$C975,'SUMMARY DATA'!$B:$B=""RWS"")),"""")
  )
)"),"")</f>
      </c>
      <c r="H975" s="18" t="str">
        <f>IFERROR(__xludf.DUMMYFUNCTION("IFERROR(
  TEXTJOIN(CHAR(10),TRUE,FILTER('SUMMARY DATA'!H:H,'SUMMARY DATA'!$A:$A=$A975,'SUMMARY DATA'!$C:$C=$B975,'SUMMARY DATA'!$B:$B=""RWS"",'SUMMARY DATA'!$H:$H=$D975)),
  IF(
    OR(
      ISNUMBER(SEARCH(""CDM CASH DEPOSIT"",$C975)),
      ISNUMBER(S"&amp;"EARCH(""CASH DEPOSIT"",$C975))
    ),
    """",
    IFERROR(TEXTJOIN(CHAR(10),TRUE,FILTER('SUMMARY DATA'!H:H,'SUMMARY DATA'!$D:$D=$C975,'SUMMARY DATA'!$B:$B=""RWS"",'SUMMARY DATA'!$H:$H=$D975)),"""")
  )
)"),"")</f>
      </c>
      <c r="I975" s="18" t="str">
        <f>IFERROR(__xludf.DUMMYFUNCTION("IF(H975="""","""",
SUM(ARRAYFORMULA(VALUE(SPLIT(H975,CHAR(10)))))
)"),"")</f>
      </c>
      <c r="J975" s="17" t="str">
        <f>IFERROR(__xludf.DUMMYFUNCTION("IFERROR(
  TEXTJOIN(CHAR(10),TRUE,FILTER('SUMMARY DATA'!I:I,'SUMMARY DATA'!$A:$A=$A975,'SUMMARY DATA'!$C:$C=$B975,'SUMMARY DATA'!$B:$B=""RWS"")),
  IF(
    OR(
      ISNUMBER(SEARCH(""CDM CASH DEPOSIT"",$C975)),
      ISNUMBER(SEARCH(""CASH DEPOSIT"",$C97"&amp;"5)),
      COUNTIFS('SUMMARY DATA'!$D:$D,$C975,'SUMMARY DATA'!$B:$B,""RWS"")&lt;&gt;1
    ),
    """",
    IFERROR(TEXTJOIN(CHAR(10),TRUE,FILTER('SUMMARY DATA'!I:I,'SUMMARY DATA'!$D:$D=$C975,'SUMMARY DATA'!$B:$B=""RWS"")),"""")
  )
)"),"")</f>
      </c>
      <c r="K975" s="2"/>
      <c r="L975" s="2"/>
      <c r="M975" s="2"/>
      <c r="N975" s="2"/>
      <c r="O975" s="2"/>
      <c r="P975" s="2"/>
      <c r="Q975" s="2"/>
      <c r="R975" s="2"/>
      <c r="S975" s="2"/>
      <c r="T975" s="2"/>
      <c r="U975" s="2"/>
      <c r="V975" s="2"/>
      <c r="W975" s="2"/>
      <c r="X975" s="2"/>
      <c r="Y975" s="2"/>
      <c r="Z975" s="2"/>
      <c r="AA975" s="2"/>
      <c r="AB975" s="2"/>
    </row>
    <row r="976" spans="1:28" customHeight="true">
      <c r="A976" s="2" t="s">
        <v>1511</v>
      </c>
      <c r="B976" s="15">
        <v>45774</v>
      </c>
      <c r="C976" s="2" t="s">
        <v>1512</v>
      </c>
      <c r="D976" s="6">
        <v>490</v>
      </c>
      <c r="E976" s="16" t="str">
        <f>IFERROR(__xludf.DUMMYFUNCTION("IFERROR(
  TEXTJOIN(CHAR(10),TRUE,FILTER('SUMMARY DATA'!E:E,'SUMMARY DATA'!$A:$A=$A77,'SUMMARY DATA'!$C:$C=$B77,'SUMMARY DATA'!$B:$B=""GRP"")),
  IF(
    OR(
      ISNUMBER(SEARCH(""CDM CASH DEPOSIT"",$C77)),
      ISNUMBER(SEARCH(""CASH DEPOSIT"",$C77)),"&amp;"
      COUNTIFS('SUMMARY DATA'!$D:$D,$C77,'SUMMARY DATA'!$B:$B,""GRP"")&lt;&gt;1
    ),
    """",
    IFERROR(TEXTJOIN(CHAR(10),TRUE,FILTER('SUMMARY DATA'!E:E,'SUMMARY DATA'!$D:$D=$C77,'SUMMARY DATA'!$B:$B=""GRP"")),"""")
  )
)"),"")</f>
      </c>
      <c r="F976" s="17" t="str">
        <f>IFERROR(__xludf.DUMMYFUNCTION("IFERROR(
  TEXTJOIN(CHAR(10),TRUE,FILTER('SUMMARY DATA'!F:F,'SUMMARY DATA'!$A:$A=$A77,'SUMMARY DATA'!$C:$C=$B77,'SUMMARY DATA'!$B:$B=""GRP"")),
  IF(
    OR(
      ISNUMBER(SEARCH(""CDM CASH DEPOSIT"",$C77)),
      ISNUMBER(SEARCH(""CASH DEPOSIT"",$C77)),"&amp;"
      COUNTIFS('SUMMARY DATA'!$D:$D,$C77,'SUMMARY DATA'!$B:$B,""GRP"")&lt;&gt;1
    ),
    """",
    IFERROR(TEXTJOIN(CHAR(10),TRUE,FILTER('SUMMARY DATA'!F:F,'SUMMARY DATA'!$D:$D=$C77,'SUMMARY DATA'!$B:$B=""GRP"")),"""")
  )
)"),"")</f>
      </c>
      <c r="G976" s="17" t="str">
        <f>IFERROR(__xludf.DUMMYFUNCTION("IFERROR(
  TEXTJOIN(CHAR(10),TRUE,FILTER('SUMMARY DATA'!G:G,'SUMMARY DATA'!$A:$A=$A976,'SUMMARY DATA'!$C:$C=$B976,'SUMMARY DATA'!$B:$B=""RWS"")),
  IF(
    OR(
      ISNUMBER(SEARCH(""CDM CASH DEPOSIT"",$C976)),
      ISNUMBER(SEARCH(""CASH DEPOSIT"",$C97"&amp;"6)),
      COUNTIFS('SUMMARY DATA'!$D:$D,$C976,'SUMMARY DATA'!$B:$B,""RWS"")&lt;&gt;1
    ),
    """",
    IFERROR(TEXTJOIN(CHAR(10),TRUE,FILTER('SUMMARY DATA'!G:G,'SUMMARY DATA'!$D:$D=$C976,'SUMMARY DATA'!$B:$B=""RWS"")),"""")
  )
)"),"")</f>
      </c>
      <c r="H976" s="18" t="str">
        <f>IFERROR(__xludf.DUMMYFUNCTION("IFERROR(
  TEXTJOIN(CHAR(10),TRUE,FILTER('SUMMARY DATA'!H:H,'SUMMARY DATA'!$A:$A=$A976,'SUMMARY DATA'!$C:$C=$B976,'SUMMARY DATA'!$B:$B=""RWS"",'SUMMARY DATA'!$H:$H=$D976)),
  IF(
    OR(
      ISNUMBER(SEARCH(""CDM CASH DEPOSIT"",$C976)),
      ISNUMBER(S"&amp;"EARCH(""CASH DEPOSIT"",$C976))
    ),
    """",
    IFERROR(TEXTJOIN(CHAR(10),TRUE,FILTER('SUMMARY DATA'!H:H,'SUMMARY DATA'!$D:$D=$C976,'SUMMARY DATA'!$B:$B=""RWS"",'SUMMARY DATA'!$H:$H=$D976)),"""")
  )
)"),"")</f>
      </c>
      <c r="I976" s="18" t="str">
        <f>IFERROR(__xludf.DUMMYFUNCTION("IF(H976="""","""",
SUM(ARRAYFORMULA(VALUE(SPLIT(H976,CHAR(10)))))
)"),"")</f>
      </c>
      <c r="J976" s="17" t="str">
        <f>IFERROR(__xludf.DUMMYFUNCTION("IFERROR(
  TEXTJOIN(CHAR(10),TRUE,FILTER('SUMMARY DATA'!I:I,'SUMMARY DATA'!$A:$A=$A976,'SUMMARY DATA'!$C:$C=$B976,'SUMMARY DATA'!$B:$B=""RWS"")),
  IF(
    OR(
      ISNUMBER(SEARCH(""CDM CASH DEPOSIT"",$C976)),
      ISNUMBER(SEARCH(""CASH DEPOSIT"",$C97"&amp;"6)),
      COUNTIFS('SUMMARY DATA'!$D:$D,$C976,'SUMMARY DATA'!$B:$B,""RWS"")&lt;&gt;1
    ),
    """",
    IFERROR(TEXTJOIN(CHAR(10),TRUE,FILTER('SUMMARY DATA'!I:I,'SUMMARY DATA'!$D:$D=$C976,'SUMMARY DATA'!$B:$B=""RWS"")),"""")
  )
)"),"")</f>
      </c>
      <c r="K976" s="2"/>
      <c r="L976" s="2"/>
      <c r="M976" s="2"/>
      <c r="N976" s="2"/>
      <c r="O976" s="2"/>
      <c r="P976" s="2"/>
      <c r="Q976" s="2"/>
      <c r="R976" s="2"/>
      <c r="S976" s="2"/>
      <c r="T976" s="2"/>
      <c r="U976" s="2"/>
      <c r="V976" s="2"/>
      <c r="W976" s="2"/>
      <c r="X976" s="2"/>
      <c r="Y976" s="2"/>
      <c r="Z976" s="2"/>
      <c r="AA976" s="2"/>
      <c r="AB976" s="2"/>
    </row>
    <row r="977" spans="1:28" customHeight="true">
      <c r="A977" s="2"/>
      <c r="B977" s="15">
        <v>45774</v>
      </c>
      <c r="C977" s="2" t="s">
        <v>1513</v>
      </c>
      <c r="D977" s="6">
        <v>100</v>
      </c>
      <c r="E977" s="16" t="str">
        <f>IFERROR(__xludf.DUMMYFUNCTION("IFERROR(
  TEXTJOIN(CHAR(10),TRUE,FILTER('SUMMARY DATA'!E:E,'SUMMARY DATA'!$A:$A=$A78,'SUMMARY DATA'!$C:$C=$B78,'SUMMARY DATA'!$B:$B=""GRP"")),
  IF(
    OR(
      ISNUMBER(SEARCH(""CDM CASH DEPOSIT"",$C78)),
      ISNUMBER(SEARCH(""CASH DEPOSIT"",$C78)),"&amp;"
      COUNTIFS('SUMMARY DATA'!$D:$D,$C78,'SUMMARY DATA'!$B:$B,""GRP"")&lt;&gt;1
    ),
    """",
    IFERROR(TEXTJOIN(CHAR(10),TRUE,FILTER('SUMMARY DATA'!E:E,'SUMMARY DATA'!$D:$D=$C78,'SUMMARY DATA'!$B:$B=""GRP"")),"""")
  )
)"),"")</f>
      </c>
      <c r="F977" s="17" t="str">
        <f>IFERROR(__xludf.DUMMYFUNCTION("IFERROR(
  TEXTJOIN(CHAR(10),TRUE,FILTER('SUMMARY DATA'!F:F,'SUMMARY DATA'!$A:$A=$A78,'SUMMARY DATA'!$C:$C=$B78,'SUMMARY DATA'!$B:$B=""GRP"")),
  IF(
    OR(
      ISNUMBER(SEARCH(""CDM CASH DEPOSIT"",$C78)),
      ISNUMBER(SEARCH(""CASH DEPOSIT"",$C78)),"&amp;"
      COUNTIFS('SUMMARY DATA'!$D:$D,$C78,'SUMMARY DATA'!$B:$B,""GRP"")&lt;&gt;1
    ),
    """",
    IFERROR(TEXTJOIN(CHAR(10),TRUE,FILTER('SUMMARY DATA'!F:F,'SUMMARY DATA'!$D:$D=$C78,'SUMMARY DATA'!$B:$B=""GRP"")),"""")
  )
)"),"")</f>
      </c>
      <c r="G977" s="17" t="str">
        <f>IFERROR(__xludf.DUMMYFUNCTION("IFERROR(
  TEXTJOIN(CHAR(10),TRUE,FILTER('SUMMARY DATA'!G:G,'SUMMARY DATA'!$A:$A=$A977,'SUMMARY DATA'!$C:$C=$B977,'SUMMARY DATA'!$B:$B=""RWS"")),
  IF(
    OR(
      ISNUMBER(SEARCH(""CDM CASH DEPOSIT"",$C977)),
      ISNUMBER(SEARCH(""CASH DEPOSIT"",$C97"&amp;"7)),
      COUNTIFS('SUMMARY DATA'!$D:$D,$C977,'SUMMARY DATA'!$B:$B,""RWS"")&lt;&gt;1
    ),
    """",
    IFERROR(TEXTJOIN(CHAR(10),TRUE,FILTER('SUMMARY DATA'!G:G,'SUMMARY DATA'!$D:$D=$C977,'SUMMARY DATA'!$B:$B=""RWS"")),"""")
  )
)"),"")</f>
      </c>
      <c r="H977" s="18" t="str">
        <f>IFERROR(__xludf.DUMMYFUNCTION("IFERROR(
  TEXTJOIN(CHAR(10),TRUE,FILTER('SUMMARY DATA'!H:H,'SUMMARY DATA'!$A:$A=$A977,'SUMMARY DATA'!$C:$C=$B977,'SUMMARY DATA'!$B:$B=""RWS"",'SUMMARY DATA'!$H:$H=$D977)),
  IF(
    OR(
      ISNUMBER(SEARCH(""CDM CASH DEPOSIT"",$C977)),
      ISNUMBER(S"&amp;"EARCH(""CASH DEPOSIT"",$C977))
    ),
    """",
    IFERROR(TEXTJOIN(CHAR(10),TRUE,FILTER('SUMMARY DATA'!H:H,'SUMMARY DATA'!$D:$D=$C977,'SUMMARY DATA'!$B:$B=""RWS"",'SUMMARY DATA'!$H:$H=$D977)),"""")
  )
)"),"")</f>
      </c>
      <c r="I977" s="18" t="str">
        <f>IFERROR(__xludf.DUMMYFUNCTION("IF(H977="""","""",
SUM(ARRAYFORMULA(VALUE(SPLIT(H977,CHAR(10)))))
)"),"")</f>
      </c>
      <c r="J977" s="17" t="str">
        <f>IFERROR(__xludf.DUMMYFUNCTION("IFERROR(
  TEXTJOIN(CHAR(10),TRUE,FILTER('SUMMARY DATA'!I:I,'SUMMARY DATA'!$A:$A=$A977,'SUMMARY DATA'!$C:$C=$B977,'SUMMARY DATA'!$B:$B=""RWS"")),
  IF(
    OR(
      ISNUMBER(SEARCH(""CDM CASH DEPOSIT"",$C977)),
      ISNUMBER(SEARCH(""CASH DEPOSIT"",$C97"&amp;"7)),
      COUNTIFS('SUMMARY DATA'!$D:$D,$C977,'SUMMARY DATA'!$B:$B,""RWS"")&lt;&gt;1
    ),
    """",
    IFERROR(TEXTJOIN(CHAR(10),TRUE,FILTER('SUMMARY DATA'!I:I,'SUMMARY DATA'!$D:$D=$C977,'SUMMARY DATA'!$B:$B=""RWS"")),"""")
  )
)"),"")</f>
      </c>
      <c r="K977" s="2"/>
      <c r="L977" s="2"/>
      <c r="M977" s="2"/>
      <c r="N977" s="2"/>
      <c r="O977" s="2"/>
      <c r="P977" s="2"/>
      <c r="Q977" s="2"/>
      <c r="R977" s="2"/>
      <c r="S977" s="2"/>
      <c r="T977" s="2"/>
      <c r="U977" s="2"/>
      <c r="V977" s="2"/>
      <c r="W977" s="2"/>
      <c r="X977" s="2"/>
      <c r="Y977" s="2"/>
      <c r="Z977" s="2"/>
      <c r="AA977" s="2"/>
      <c r="AB977" s="2"/>
    </row>
    <row r="978" spans="1:28" customHeight="true">
      <c r="A978" s="2" t="s">
        <v>1514</v>
      </c>
      <c r="B978" s="15">
        <v>45774</v>
      </c>
      <c r="C978" s="2" t="s">
        <v>1515</v>
      </c>
      <c r="D978" s="6">
        <v>28</v>
      </c>
      <c r="E978" s="16" t="str">
        <f>IFERROR(__xludf.DUMMYFUNCTION("IFERROR(
  TEXTJOIN(CHAR(10),TRUE,FILTER('SUMMARY DATA'!E:E,'SUMMARY DATA'!$A:$A=$A79,'SUMMARY DATA'!$C:$C=$B79,'SUMMARY DATA'!$B:$B=""GRP"")),
  IF(
    OR(
      ISNUMBER(SEARCH(""CDM CASH DEPOSIT"",$C79)),
      ISNUMBER(SEARCH(""CASH DEPOSIT"",$C79)),"&amp;"
      COUNTIFS('SUMMARY DATA'!$D:$D,$C79,'SUMMARY DATA'!$B:$B,""GRP"")&lt;&gt;1
    ),
    """",
    IFERROR(TEXTJOIN(CHAR(10),TRUE,FILTER('SUMMARY DATA'!E:E,'SUMMARY DATA'!$D:$D=$C79,'SUMMARY DATA'!$B:$B=""GRP"")),"""")
  )
)"),"")</f>
      </c>
      <c r="F978" s="17" t="str">
        <f>IFERROR(__xludf.DUMMYFUNCTION("IFERROR(
  TEXTJOIN(CHAR(10),TRUE,FILTER('SUMMARY DATA'!F:F,'SUMMARY DATA'!$A:$A=$A79,'SUMMARY DATA'!$C:$C=$B79,'SUMMARY DATA'!$B:$B=""GRP"")),
  IF(
    OR(
      ISNUMBER(SEARCH(""CDM CASH DEPOSIT"",$C79)),
      ISNUMBER(SEARCH(""CASH DEPOSIT"",$C79)),"&amp;"
      COUNTIFS('SUMMARY DATA'!$D:$D,$C79,'SUMMARY DATA'!$B:$B,""GRP"")&lt;&gt;1
    ),
    """",
    IFERROR(TEXTJOIN(CHAR(10),TRUE,FILTER('SUMMARY DATA'!F:F,'SUMMARY DATA'!$D:$D=$C79,'SUMMARY DATA'!$B:$B=""GRP"")),"""")
  )
)"),"")</f>
      </c>
      <c r="G978" s="17" t="str">
        <f>IFERROR(__xludf.DUMMYFUNCTION("IFERROR(
  TEXTJOIN(CHAR(10),TRUE,FILTER('SUMMARY DATA'!G:G,'SUMMARY DATA'!$A:$A=$A978,'SUMMARY DATA'!$C:$C=$B978,'SUMMARY DATA'!$B:$B=""RWS"")),
  IF(
    OR(
      ISNUMBER(SEARCH(""CDM CASH DEPOSIT"",$C978)),
      ISNUMBER(SEARCH(""CASH DEPOSIT"",$C97"&amp;"8)),
      COUNTIFS('SUMMARY DATA'!$D:$D,$C978,'SUMMARY DATA'!$B:$B,""RWS"")&lt;&gt;1
    ),
    """",
    IFERROR(TEXTJOIN(CHAR(10),TRUE,FILTER('SUMMARY DATA'!G:G,'SUMMARY DATA'!$D:$D=$C978,'SUMMARY DATA'!$B:$B=""RWS"")),"""")
  )
)"),"")</f>
      </c>
      <c r="H978" s="18" t="str">
        <f>IFERROR(__xludf.DUMMYFUNCTION("IFERROR(
  TEXTJOIN(CHAR(10),TRUE,FILTER('SUMMARY DATA'!H:H,'SUMMARY DATA'!$A:$A=$A978,'SUMMARY DATA'!$C:$C=$B978,'SUMMARY DATA'!$B:$B=""RWS"",'SUMMARY DATA'!$H:$H=$D978)),
  IF(
    OR(
      ISNUMBER(SEARCH(""CDM CASH DEPOSIT"",$C978)),
      ISNUMBER(S"&amp;"EARCH(""CASH DEPOSIT"",$C978))
    ),
    """",
    IFERROR(TEXTJOIN(CHAR(10),TRUE,FILTER('SUMMARY DATA'!H:H,'SUMMARY DATA'!$D:$D=$C978,'SUMMARY DATA'!$B:$B=""RWS"",'SUMMARY DATA'!$H:$H=$D978)),"""")
  )
)"),"")</f>
      </c>
      <c r="I978" s="18" t="str">
        <f>IFERROR(__xludf.DUMMYFUNCTION("IF(H978="""","""",
SUM(ARRAYFORMULA(VALUE(SPLIT(H978,CHAR(10)))))
)"),"")</f>
      </c>
      <c r="J978" s="17" t="str">
        <f>IFERROR(__xludf.DUMMYFUNCTION("IFERROR(
  TEXTJOIN(CHAR(10),TRUE,FILTER('SUMMARY DATA'!I:I,'SUMMARY DATA'!$A:$A=$A978,'SUMMARY DATA'!$C:$C=$B978,'SUMMARY DATA'!$B:$B=""RWS"")),
  IF(
    OR(
      ISNUMBER(SEARCH(""CDM CASH DEPOSIT"",$C978)),
      ISNUMBER(SEARCH(""CASH DEPOSIT"",$C97"&amp;"8)),
      COUNTIFS('SUMMARY DATA'!$D:$D,$C978,'SUMMARY DATA'!$B:$B,""RWS"")&lt;&gt;1
    ),
    """",
    IFERROR(TEXTJOIN(CHAR(10),TRUE,FILTER('SUMMARY DATA'!I:I,'SUMMARY DATA'!$D:$D=$C978,'SUMMARY DATA'!$B:$B=""RWS"")),"""")
  )
)"),"")</f>
      </c>
      <c r="K978" s="2"/>
      <c r="L978" s="2"/>
      <c r="M978" s="2"/>
      <c r="N978" s="2"/>
      <c r="O978" s="2"/>
      <c r="P978" s="2"/>
      <c r="Q978" s="2"/>
      <c r="R978" s="2"/>
      <c r="S978" s="2"/>
      <c r="T978" s="2"/>
      <c r="U978" s="2"/>
      <c r="V978" s="2"/>
      <c r="W978" s="2"/>
      <c r="X978" s="2"/>
      <c r="Y978" s="2"/>
      <c r="Z978" s="2"/>
      <c r="AA978" s="2"/>
      <c r="AB978" s="2"/>
    </row>
    <row r="979" spans="1:28" customHeight="true">
      <c r="A979" s="2"/>
      <c r="B979" s="15">
        <v>45774</v>
      </c>
      <c r="C979" s="2" t="s">
        <v>1516</v>
      </c>
      <c r="D979" s="6">
        <v>10</v>
      </c>
      <c r="E979" s="16" t="str">
        <f>IFERROR(__xludf.DUMMYFUNCTION("IFERROR(
  TEXTJOIN(CHAR(10),TRUE,FILTER('SUMMARY DATA'!E:E,'SUMMARY DATA'!$A:$A=$A80,'SUMMARY DATA'!$C:$C=$B80,'SUMMARY DATA'!$B:$B=""GRP"")),
  IF(
    OR(
      ISNUMBER(SEARCH(""CDM CASH DEPOSIT"",$C80)),
      ISNUMBER(SEARCH(""CASH DEPOSIT"",$C80)),"&amp;"
      COUNTIFS('SUMMARY DATA'!$D:$D,$C80,'SUMMARY DATA'!$B:$B,""GRP"")&lt;&gt;1
    ),
    """",
    IFERROR(TEXTJOIN(CHAR(10),TRUE,FILTER('SUMMARY DATA'!E:E,'SUMMARY DATA'!$D:$D=$C80,'SUMMARY DATA'!$B:$B=""GRP"")),"""")
  )
)"),"")</f>
      </c>
      <c r="F979" s="17" t="str">
        <f>IFERROR(__xludf.DUMMYFUNCTION("IFERROR(
  TEXTJOIN(CHAR(10),TRUE,FILTER('SUMMARY DATA'!F:F,'SUMMARY DATA'!$A:$A=$A80,'SUMMARY DATA'!$C:$C=$B80,'SUMMARY DATA'!$B:$B=""GRP"")),
  IF(
    OR(
      ISNUMBER(SEARCH(""CDM CASH DEPOSIT"",$C80)),
      ISNUMBER(SEARCH(""CASH DEPOSIT"",$C80)),"&amp;"
      COUNTIFS('SUMMARY DATA'!$D:$D,$C80,'SUMMARY DATA'!$B:$B,""GRP"")&lt;&gt;1
    ),
    """",
    IFERROR(TEXTJOIN(CHAR(10),TRUE,FILTER('SUMMARY DATA'!F:F,'SUMMARY DATA'!$D:$D=$C80,'SUMMARY DATA'!$B:$B=""GRP"")),"""")
  )
)"),"")</f>
      </c>
      <c r="G979" s="17" t="str">
        <f>IFERROR(__xludf.DUMMYFUNCTION("IFERROR(
  TEXTJOIN(CHAR(10),TRUE,FILTER('SUMMARY DATA'!G:G,'SUMMARY DATA'!$A:$A=$A979,'SUMMARY DATA'!$C:$C=$B979,'SUMMARY DATA'!$B:$B=""RWS"")),
  IF(
    OR(
      ISNUMBER(SEARCH(""CDM CASH DEPOSIT"",$C979)),
      ISNUMBER(SEARCH(""CASH DEPOSIT"",$C97"&amp;"9)),
      COUNTIFS('SUMMARY DATA'!$D:$D,$C979,'SUMMARY DATA'!$B:$B,""RWS"")&lt;&gt;1
    ),
    """",
    IFERROR(TEXTJOIN(CHAR(10),TRUE,FILTER('SUMMARY DATA'!G:G,'SUMMARY DATA'!$D:$D=$C979,'SUMMARY DATA'!$B:$B=""RWS"")),"""")
  )
)"),"")</f>
      </c>
      <c r="H979" s="18" t="str">
        <f>IFERROR(__xludf.DUMMYFUNCTION("IFERROR(
  TEXTJOIN(CHAR(10),TRUE,FILTER('SUMMARY DATA'!H:H,'SUMMARY DATA'!$A:$A=$A979,'SUMMARY DATA'!$C:$C=$B979,'SUMMARY DATA'!$B:$B=""RWS"",'SUMMARY DATA'!$H:$H=$D979)),
  IF(
    OR(
      ISNUMBER(SEARCH(""CDM CASH DEPOSIT"",$C979)),
      ISNUMBER(S"&amp;"EARCH(""CASH DEPOSIT"",$C979))
    ),
    """",
    IFERROR(TEXTJOIN(CHAR(10),TRUE,FILTER('SUMMARY DATA'!H:H,'SUMMARY DATA'!$D:$D=$C979,'SUMMARY DATA'!$B:$B=""RWS"",'SUMMARY DATA'!$H:$H=$D979)),"""")
  )
)"),"")</f>
      </c>
      <c r="I979" s="18" t="str">
        <f>IFERROR(__xludf.DUMMYFUNCTION("IF(H979="""","""",
SUM(ARRAYFORMULA(VALUE(SPLIT(H979,CHAR(10)))))
)"),"")</f>
      </c>
      <c r="J979" s="17" t="str">
        <f>IFERROR(__xludf.DUMMYFUNCTION("IFERROR(
  TEXTJOIN(CHAR(10),TRUE,FILTER('SUMMARY DATA'!I:I,'SUMMARY DATA'!$A:$A=$A979,'SUMMARY DATA'!$C:$C=$B979,'SUMMARY DATA'!$B:$B=""RWS"")),
  IF(
    OR(
      ISNUMBER(SEARCH(""CDM CASH DEPOSIT"",$C979)),
      ISNUMBER(SEARCH(""CASH DEPOSIT"",$C97"&amp;"9)),
      COUNTIFS('SUMMARY DATA'!$D:$D,$C979,'SUMMARY DATA'!$B:$B,""RWS"")&lt;&gt;1
    ),
    """",
    IFERROR(TEXTJOIN(CHAR(10),TRUE,FILTER('SUMMARY DATA'!I:I,'SUMMARY DATA'!$D:$D=$C979,'SUMMARY DATA'!$B:$B=""RWS"")),"""")
  )
)"),"")</f>
      </c>
      <c r="K979" s="2"/>
      <c r="L979" s="2"/>
      <c r="M979" s="2"/>
      <c r="N979" s="2"/>
      <c r="O979" s="2"/>
      <c r="P979" s="2"/>
      <c r="Q979" s="2"/>
      <c r="R979" s="2"/>
      <c r="S979" s="2"/>
      <c r="T979" s="2"/>
      <c r="U979" s="2"/>
      <c r="V979" s="2"/>
      <c r="W979" s="2"/>
      <c r="X979" s="2"/>
      <c r="Y979" s="2"/>
      <c r="Z979" s="2"/>
      <c r="AA979" s="2"/>
      <c r="AB979" s="2"/>
    </row>
    <row r="980" spans="1:28" customHeight="true">
      <c r="A980" s="2"/>
      <c r="B980" s="15">
        <v>45774</v>
      </c>
      <c r="C980" s="2" t="s">
        <v>1517</v>
      </c>
      <c r="D980" s="6">
        <v>10</v>
      </c>
      <c r="E980" s="16" t="str">
        <f>IFERROR(__xludf.DUMMYFUNCTION("IFERROR(
  TEXTJOIN(CHAR(10),TRUE,FILTER('SUMMARY DATA'!E:E,'SUMMARY DATA'!$A:$A=$A81,'SUMMARY DATA'!$C:$C=$B81,'SUMMARY DATA'!$B:$B=""GRP"")),
  IF(
    OR(
      ISNUMBER(SEARCH(""CDM CASH DEPOSIT"",$C81)),
      ISNUMBER(SEARCH(""CASH DEPOSIT"",$C81)),"&amp;"
      COUNTIFS('SUMMARY DATA'!$D:$D,$C81,'SUMMARY DATA'!$B:$B,""GRP"")&lt;&gt;1
    ),
    """",
    IFERROR(TEXTJOIN(CHAR(10),TRUE,FILTER('SUMMARY DATA'!E:E,'SUMMARY DATA'!$D:$D=$C81,'SUMMARY DATA'!$B:$B=""GRP"")),"""")
  )
)"),"")</f>
      </c>
      <c r="F980" s="17" t="str">
        <f>IFERROR(__xludf.DUMMYFUNCTION("IFERROR(
  TEXTJOIN(CHAR(10),TRUE,FILTER('SUMMARY DATA'!F:F,'SUMMARY DATA'!$A:$A=$A81,'SUMMARY DATA'!$C:$C=$B81,'SUMMARY DATA'!$B:$B=""GRP"")),
  IF(
    OR(
      ISNUMBER(SEARCH(""CDM CASH DEPOSIT"",$C81)),
      ISNUMBER(SEARCH(""CASH DEPOSIT"",$C81)),"&amp;"
      COUNTIFS('SUMMARY DATA'!$D:$D,$C81,'SUMMARY DATA'!$B:$B,""GRP"")&lt;&gt;1
    ),
    """",
    IFERROR(TEXTJOIN(CHAR(10),TRUE,FILTER('SUMMARY DATA'!F:F,'SUMMARY DATA'!$D:$D=$C81,'SUMMARY DATA'!$B:$B=""GRP"")),"""")
  )
)"),"")</f>
      </c>
      <c r="G980" s="17" t="str">
        <f>IFERROR(__xludf.DUMMYFUNCTION("IFERROR(
  TEXTJOIN(CHAR(10),TRUE,FILTER('SUMMARY DATA'!G:G,'SUMMARY DATA'!$A:$A=$A980,'SUMMARY DATA'!$C:$C=$B980,'SUMMARY DATA'!$B:$B=""RWS"")),
  IF(
    OR(
      ISNUMBER(SEARCH(""CDM CASH DEPOSIT"",$C980)),
      ISNUMBER(SEARCH(""CASH DEPOSIT"",$C98"&amp;"0)),
      COUNTIFS('SUMMARY DATA'!$D:$D,$C980,'SUMMARY DATA'!$B:$B,""RWS"")&lt;&gt;1
    ),
    """",
    IFERROR(TEXTJOIN(CHAR(10),TRUE,FILTER('SUMMARY DATA'!G:G,'SUMMARY DATA'!$D:$D=$C980,'SUMMARY DATA'!$B:$B=""RWS"")),"""")
  )
)"),"")</f>
      </c>
      <c r="H980" s="18" t="str">
        <f>IFERROR(__xludf.DUMMYFUNCTION("IFERROR(
  TEXTJOIN(CHAR(10),TRUE,FILTER('SUMMARY DATA'!H:H,'SUMMARY DATA'!$A:$A=$A980,'SUMMARY DATA'!$C:$C=$B980,'SUMMARY DATA'!$B:$B=""RWS"",'SUMMARY DATA'!$H:$H=$D980)),
  IF(
    OR(
      ISNUMBER(SEARCH(""CDM CASH DEPOSIT"",$C980)),
      ISNUMBER(S"&amp;"EARCH(""CASH DEPOSIT"",$C980))
    ),
    """",
    IFERROR(TEXTJOIN(CHAR(10),TRUE,FILTER('SUMMARY DATA'!H:H,'SUMMARY DATA'!$D:$D=$C980,'SUMMARY DATA'!$B:$B=""RWS"",'SUMMARY DATA'!$H:$H=$D980)),"""")
  )
)"),"")</f>
      </c>
      <c r="I980" s="18" t="str">
        <f>IFERROR(__xludf.DUMMYFUNCTION("IF(H980="""","""",
SUM(ARRAYFORMULA(VALUE(SPLIT(H980,CHAR(10)))))
)"),"")</f>
      </c>
      <c r="J980" s="17" t="str">
        <f>IFERROR(__xludf.DUMMYFUNCTION("IFERROR(
  TEXTJOIN(CHAR(10),TRUE,FILTER('SUMMARY DATA'!I:I,'SUMMARY DATA'!$A:$A=$A980,'SUMMARY DATA'!$C:$C=$B980,'SUMMARY DATA'!$B:$B=""RWS"")),
  IF(
    OR(
      ISNUMBER(SEARCH(""CDM CASH DEPOSIT"",$C980)),
      ISNUMBER(SEARCH(""CASH DEPOSIT"",$C98"&amp;"0)),
      COUNTIFS('SUMMARY DATA'!$D:$D,$C980,'SUMMARY DATA'!$B:$B,""RWS"")&lt;&gt;1
    ),
    """",
    IFERROR(TEXTJOIN(CHAR(10),TRUE,FILTER('SUMMARY DATA'!I:I,'SUMMARY DATA'!$D:$D=$C980,'SUMMARY DATA'!$B:$B=""RWS"")),"""")
  )
)"),"")</f>
      </c>
      <c r="K980" s="2"/>
      <c r="L980" s="2"/>
      <c r="M980" s="2"/>
      <c r="N980" s="2"/>
      <c r="O980" s="2"/>
      <c r="P980" s="2"/>
      <c r="Q980" s="2"/>
      <c r="R980" s="2"/>
      <c r="S980" s="2"/>
      <c r="T980" s="2"/>
      <c r="U980" s="2"/>
      <c r="V980" s="2"/>
      <c r="W980" s="2"/>
      <c r="X980" s="2"/>
      <c r="Y980" s="2"/>
      <c r="Z980" s="2"/>
      <c r="AA980" s="2"/>
      <c r="AB980" s="2"/>
    </row>
    <row r="981" spans="1:28" customHeight="true">
      <c r="A981" s="2"/>
      <c r="B981" s="15">
        <v>45775</v>
      </c>
      <c r="C981" s="2" t="s">
        <v>1518</v>
      </c>
      <c r="D981" s="6">
        <v>121.86</v>
      </c>
      <c r="E981" s="16" t="str">
        <f>IFERROR(__xludf.DUMMYFUNCTION("IFERROR(
  TEXTJOIN(CHAR(10),TRUE,FILTER('SUMMARY DATA'!E:E,'SUMMARY DATA'!$A:$A=$A82,'SUMMARY DATA'!$C:$C=$B82,'SUMMARY DATA'!$B:$B=""GRP"")),
  IF(
    OR(
      ISNUMBER(SEARCH(""CDM CASH DEPOSIT"",$C82)),
      ISNUMBER(SEARCH(""CASH DEPOSIT"",$C82)),"&amp;"
      COUNTIFS('SUMMARY DATA'!$D:$D,$C82,'SUMMARY DATA'!$B:$B,""GRP"")&lt;&gt;1
    ),
    """",
    IFERROR(TEXTJOIN(CHAR(10),TRUE,FILTER('SUMMARY DATA'!E:E,'SUMMARY DATA'!$D:$D=$C82,'SUMMARY DATA'!$B:$B=""GRP"")),"""")
  )
)"),"")</f>
      </c>
      <c r="F981" s="17" t="str">
        <f>IFERROR(__xludf.DUMMYFUNCTION("IFERROR(
  TEXTJOIN(CHAR(10),TRUE,FILTER('SUMMARY DATA'!F:F,'SUMMARY DATA'!$A:$A=$A82,'SUMMARY DATA'!$C:$C=$B82,'SUMMARY DATA'!$B:$B=""GRP"")),
  IF(
    OR(
      ISNUMBER(SEARCH(""CDM CASH DEPOSIT"",$C82)),
      ISNUMBER(SEARCH(""CASH DEPOSIT"",$C82)),"&amp;"
      COUNTIFS('SUMMARY DATA'!$D:$D,$C82,'SUMMARY DATA'!$B:$B,""GRP"")&lt;&gt;1
    ),
    """",
    IFERROR(TEXTJOIN(CHAR(10),TRUE,FILTER('SUMMARY DATA'!F:F,'SUMMARY DATA'!$D:$D=$C82,'SUMMARY DATA'!$B:$B=""GRP"")),"""")
  )
)"),"")</f>
      </c>
      <c r="G981" s="17" t="str">
        <f>IFERROR(__xludf.DUMMYFUNCTION("IFERROR(
  TEXTJOIN(CHAR(10),TRUE,FILTER('SUMMARY DATA'!G:G,'SUMMARY DATA'!$A:$A=$A981,'SUMMARY DATA'!$C:$C=$B981,'SUMMARY DATA'!$B:$B=""RWS"")),
  IF(
    OR(
      ISNUMBER(SEARCH(""CDM CASH DEPOSIT"",$C981)),
      ISNUMBER(SEARCH(""CASH DEPOSIT"",$C98"&amp;"1)),
      COUNTIFS('SUMMARY DATA'!$D:$D,$C981,'SUMMARY DATA'!$B:$B,""RWS"")&lt;&gt;1
    ),
    """",
    IFERROR(TEXTJOIN(CHAR(10),TRUE,FILTER('SUMMARY DATA'!G:G,'SUMMARY DATA'!$D:$D=$C981,'SUMMARY DATA'!$B:$B=""RWS"")),"""")
  )
)"),"")</f>
      </c>
      <c r="H981" s="18" t="str">
        <f>IFERROR(__xludf.DUMMYFUNCTION("IFERROR(
  TEXTJOIN(CHAR(10),TRUE,FILTER('SUMMARY DATA'!H:H,'SUMMARY DATA'!$A:$A=$A981,'SUMMARY DATA'!$C:$C=$B981,'SUMMARY DATA'!$B:$B=""RWS"",'SUMMARY DATA'!$H:$H=$D981)),
  IF(
    OR(
      ISNUMBER(SEARCH(""CDM CASH DEPOSIT"",$C981)),
      ISNUMBER(S"&amp;"EARCH(""CASH DEPOSIT"",$C981))
    ),
    """",
    IFERROR(TEXTJOIN(CHAR(10),TRUE,FILTER('SUMMARY DATA'!H:H,'SUMMARY DATA'!$D:$D=$C981,'SUMMARY DATA'!$B:$B=""RWS"",'SUMMARY DATA'!$H:$H=$D981)),"""")
  )
)"),"")</f>
      </c>
      <c r="I981" s="18" t="str">
        <f>IFERROR(__xludf.DUMMYFUNCTION("IF(H981="""","""",
SUM(ARRAYFORMULA(VALUE(SPLIT(H981,CHAR(10)))))
)"),"")</f>
      </c>
      <c r="J981" s="17" t="str">
        <f>IFERROR(__xludf.DUMMYFUNCTION("IFERROR(
  TEXTJOIN(CHAR(10),TRUE,FILTER('SUMMARY DATA'!I:I,'SUMMARY DATA'!$A:$A=$A981,'SUMMARY DATA'!$C:$C=$B981,'SUMMARY DATA'!$B:$B=""RWS"")),
  IF(
    OR(
      ISNUMBER(SEARCH(""CDM CASH DEPOSIT"",$C981)),
      ISNUMBER(SEARCH(""CASH DEPOSIT"",$C98"&amp;"1)),
      COUNTIFS('SUMMARY DATA'!$D:$D,$C981,'SUMMARY DATA'!$B:$B,""RWS"")&lt;&gt;1
    ),
    """",
    IFERROR(TEXTJOIN(CHAR(10),TRUE,FILTER('SUMMARY DATA'!I:I,'SUMMARY DATA'!$D:$D=$C981,'SUMMARY DATA'!$B:$B=""RWS"")),"""")
  )
)"),"")</f>
      </c>
      <c r="K981" s="2"/>
      <c r="L981" s="2"/>
      <c r="M981" s="2"/>
      <c r="N981" s="2"/>
      <c r="O981" s="2"/>
      <c r="P981" s="2"/>
      <c r="Q981" s="2"/>
      <c r="R981" s="2"/>
      <c r="S981" s="2"/>
      <c r="T981" s="2"/>
      <c r="U981" s="2"/>
      <c r="V981" s="2"/>
      <c r="W981" s="2"/>
      <c r="X981" s="2"/>
      <c r="Y981" s="2"/>
      <c r="Z981" s="2"/>
      <c r="AA981" s="2"/>
      <c r="AB981" s="2"/>
    </row>
    <row r="982" spans="1:28" customHeight="true">
      <c r="A982" s="2"/>
      <c r="B982" s="15">
        <v>45775</v>
      </c>
      <c r="C982" s="2" t="s">
        <v>1519</v>
      </c>
      <c r="D982" s="6">
        <v>43.8</v>
      </c>
      <c r="E982" s="16" t="str">
        <f>IFERROR(__xludf.DUMMYFUNCTION("IFERROR(
  TEXTJOIN(CHAR(10),TRUE,FILTER('SUMMARY DATA'!E:E,'SUMMARY DATA'!$A:$A=$A83,'SUMMARY DATA'!$C:$C=$B83,'SUMMARY DATA'!$B:$B=""GRP"")),
  IF(
    OR(
      ISNUMBER(SEARCH(""CDM CASH DEPOSIT"",$C83)),
      ISNUMBER(SEARCH(""CASH DEPOSIT"",$C83)),"&amp;"
      COUNTIFS('SUMMARY DATA'!$D:$D,$C83,'SUMMARY DATA'!$B:$B,""GRP"")&lt;&gt;1
    ),
    """",
    IFERROR(TEXTJOIN(CHAR(10),TRUE,FILTER('SUMMARY DATA'!E:E,'SUMMARY DATA'!$D:$D=$C83,'SUMMARY DATA'!$B:$B=""GRP"")),"""")
  )
)"),"")</f>
      </c>
      <c r="F982" s="17" t="str">
        <f>IFERROR(__xludf.DUMMYFUNCTION("IFERROR(
  TEXTJOIN(CHAR(10),TRUE,FILTER('SUMMARY DATA'!F:F,'SUMMARY DATA'!$A:$A=$A83,'SUMMARY DATA'!$C:$C=$B83,'SUMMARY DATA'!$B:$B=""GRP"")),
  IF(
    OR(
      ISNUMBER(SEARCH(""CDM CASH DEPOSIT"",$C83)),
      ISNUMBER(SEARCH(""CASH DEPOSIT"",$C83)),"&amp;"
      COUNTIFS('SUMMARY DATA'!$D:$D,$C83,'SUMMARY DATA'!$B:$B,""GRP"")&lt;&gt;1
    ),
    """",
    IFERROR(TEXTJOIN(CHAR(10),TRUE,FILTER('SUMMARY DATA'!F:F,'SUMMARY DATA'!$D:$D=$C83,'SUMMARY DATA'!$B:$B=""GRP"")),"""")
  )
)"),"")</f>
      </c>
      <c r="G982" s="17" t="str">
        <f>IFERROR(__xludf.DUMMYFUNCTION("IFERROR(
  TEXTJOIN(CHAR(10),TRUE,FILTER('SUMMARY DATA'!G:G,'SUMMARY DATA'!$A:$A=$A982,'SUMMARY DATA'!$C:$C=$B982,'SUMMARY DATA'!$B:$B=""RWS"")),
  IF(
    OR(
      ISNUMBER(SEARCH(""CDM CASH DEPOSIT"",$C982)),
      ISNUMBER(SEARCH(""CASH DEPOSIT"",$C98"&amp;"2)),
      COUNTIFS('SUMMARY DATA'!$D:$D,$C982,'SUMMARY DATA'!$B:$B,""RWS"")&lt;&gt;1
    ),
    """",
    IFERROR(TEXTJOIN(CHAR(10),TRUE,FILTER('SUMMARY DATA'!G:G,'SUMMARY DATA'!$D:$D=$C982,'SUMMARY DATA'!$B:$B=""RWS"")),"""")
  )
)"),"")</f>
      </c>
      <c r="H982" s="18" t="str">
        <f>IFERROR(__xludf.DUMMYFUNCTION("IFERROR(
  TEXTJOIN(CHAR(10),TRUE,FILTER('SUMMARY DATA'!H:H,'SUMMARY DATA'!$A:$A=$A982,'SUMMARY DATA'!$C:$C=$B982,'SUMMARY DATA'!$B:$B=""RWS"",'SUMMARY DATA'!$H:$H=$D982)),
  IF(
    OR(
      ISNUMBER(SEARCH(""CDM CASH DEPOSIT"",$C982)),
      ISNUMBER(S"&amp;"EARCH(""CASH DEPOSIT"",$C982))
    ),
    """",
    IFERROR(TEXTJOIN(CHAR(10),TRUE,FILTER('SUMMARY DATA'!H:H,'SUMMARY DATA'!$D:$D=$C982,'SUMMARY DATA'!$B:$B=""RWS"",'SUMMARY DATA'!$H:$H=$D982)),"""")
  )
)"),"")</f>
      </c>
      <c r="I982" s="18" t="str">
        <f>IFERROR(__xludf.DUMMYFUNCTION("IF(H982="""","""",
SUM(ARRAYFORMULA(VALUE(SPLIT(H982,CHAR(10)))))
)"),"")</f>
      </c>
      <c r="J982" s="17" t="str">
        <f>IFERROR(__xludf.DUMMYFUNCTION("IFERROR(
  TEXTJOIN(CHAR(10),TRUE,FILTER('SUMMARY DATA'!I:I,'SUMMARY DATA'!$A:$A=$A982,'SUMMARY DATA'!$C:$C=$B982,'SUMMARY DATA'!$B:$B=""RWS"")),
  IF(
    OR(
      ISNUMBER(SEARCH(""CDM CASH DEPOSIT"",$C982)),
      ISNUMBER(SEARCH(""CASH DEPOSIT"",$C98"&amp;"2)),
      COUNTIFS('SUMMARY DATA'!$D:$D,$C982,'SUMMARY DATA'!$B:$B,""RWS"")&lt;&gt;1
    ),
    """",
    IFERROR(TEXTJOIN(CHAR(10),TRUE,FILTER('SUMMARY DATA'!I:I,'SUMMARY DATA'!$D:$D=$C982,'SUMMARY DATA'!$B:$B=""RWS"")),"""")
  )
)"),"")</f>
      </c>
      <c r="K982" s="2"/>
      <c r="L982" s="2"/>
      <c r="M982" s="2"/>
      <c r="N982" s="2"/>
      <c r="O982" s="2"/>
      <c r="P982" s="2"/>
      <c r="Q982" s="2"/>
      <c r="R982" s="2"/>
      <c r="S982" s="2"/>
      <c r="T982" s="2"/>
      <c r="U982" s="2"/>
      <c r="V982" s="2"/>
      <c r="W982" s="2"/>
      <c r="X982" s="2"/>
      <c r="Y982" s="2"/>
      <c r="Z982" s="2"/>
      <c r="AA982" s="2"/>
      <c r="AB982" s="2"/>
    </row>
    <row r="983" spans="1:28" customHeight="true">
      <c r="A983" s="2"/>
      <c r="B983" s="15">
        <v>45775</v>
      </c>
      <c r="C983" s="2" t="s">
        <v>48</v>
      </c>
      <c r="D983" s="6">
        <v>10</v>
      </c>
      <c r="E983" s="16" t="str">
        <f>IFERROR(__xludf.DUMMYFUNCTION("IFERROR(
  TEXTJOIN(CHAR(10),TRUE,FILTER('SUMMARY DATA'!E:E,'SUMMARY DATA'!$A:$A=$A84,'SUMMARY DATA'!$C:$C=$B84,'SUMMARY DATA'!$B:$B=""GRP"")),
  IF(
    OR(
      ISNUMBER(SEARCH(""CDM CASH DEPOSIT"",$C84)),
      ISNUMBER(SEARCH(""CASH DEPOSIT"",$C84)),"&amp;"
      COUNTIFS('SUMMARY DATA'!$D:$D,$C84,'SUMMARY DATA'!$B:$B,""GRP"")&lt;&gt;1
    ),
    """",
    IFERROR(TEXTJOIN(CHAR(10),TRUE,FILTER('SUMMARY DATA'!E:E,'SUMMARY DATA'!$D:$D=$C84,'SUMMARY DATA'!$B:$B=""GRP"")),"""")
  )
)"),"")</f>
      </c>
      <c r="F983" s="17" t="str">
        <f>IFERROR(__xludf.DUMMYFUNCTION("IFERROR(
  TEXTJOIN(CHAR(10),TRUE,FILTER('SUMMARY DATA'!F:F,'SUMMARY DATA'!$A:$A=$A84,'SUMMARY DATA'!$C:$C=$B84,'SUMMARY DATA'!$B:$B=""GRP"")),
  IF(
    OR(
      ISNUMBER(SEARCH(""CDM CASH DEPOSIT"",$C84)),
      ISNUMBER(SEARCH(""CASH DEPOSIT"",$C84)),"&amp;"
      COUNTIFS('SUMMARY DATA'!$D:$D,$C84,'SUMMARY DATA'!$B:$B,""GRP"")&lt;&gt;1
    ),
    """",
    IFERROR(TEXTJOIN(CHAR(10),TRUE,FILTER('SUMMARY DATA'!F:F,'SUMMARY DATA'!$D:$D=$C84,'SUMMARY DATA'!$B:$B=""GRP"")),"""")
  )
)"),"")</f>
      </c>
      <c r="G983" s="17" t="str">
        <f>IFERROR(__xludf.DUMMYFUNCTION("IFERROR(
  TEXTJOIN(CHAR(10),TRUE,FILTER('SUMMARY DATA'!G:G,'SUMMARY DATA'!$A:$A=$A983,'SUMMARY DATA'!$C:$C=$B983,'SUMMARY DATA'!$B:$B=""RWS"")),
  IF(
    OR(
      ISNUMBER(SEARCH(""CDM CASH DEPOSIT"",$C983)),
      ISNUMBER(SEARCH(""CASH DEPOSIT"",$C98"&amp;"3)),
      COUNTIFS('SUMMARY DATA'!$D:$D,$C983,'SUMMARY DATA'!$B:$B,""RWS"")&lt;&gt;1
    ),
    """",
    IFERROR(TEXTJOIN(CHAR(10),TRUE,FILTER('SUMMARY DATA'!G:G,'SUMMARY DATA'!$D:$D=$C983,'SUMMARY DATA'!$B:$B=""RWS"")),"""")
  )
)"),"")</f>
      </c>
      <c r="H983" s="18" t="str">
        <f>IFERROR(__xludf.DUMMYFUNCTION("IFERROR(
  TEXTJOIN(CHAR(10),TRUE,FILTER('SUMMARY DATA'!H:H,'SUMMARY DATA'!$A:$A=$A983,'SUMMARY DATA'!$C:$C=$B983,'SUMMARY DATA'!$B:$B=""RWS"",'SUMMARY DATA'!$H:$H=$D983)),
  IF(
    OR(
      ISNUMBER(SEARCH(""CDM CASH DEPOSIT"",$C983)),
      ISNUMBER(S"&amp;"EARCH(""CASH DEPOSIT"",$C983))
    ),
    """",
    IFERROR(TEXTJOIN(CHAR(10),TRUE,FILTER('SUMMARY DATA'!H:H,'SUMMARY DATA'!$D:$D=$C983,'SUMMARY DATA'!$B:$B=""RWS"",'SUMMARY DATA'!$H:$H=$D983)),"""")
  )
)"),"")</f>
      </c>
      <c r="I983" s="18" t="str">
        <f>IFERROR(__xludf.DUMMYFUNCTION("IF(H983="""","""",
SUM(ARRAYFORMULA(VALUE(SPLIT(H983,CHAR(10)))))
)"),"")</f>
      </c>
      <c r="J983" s="17" t="str">
        <f>IFERROR(__xludf.DUMMYFUNCTION("IFERROR(
  TEXTJOIN(CHAR(10),TRUE,FILTER('SUMMARY DATA'!I:I,'SUMMARY DATA'!$A:$A=$A983,'SUMMARY DATA'!$C:$C=$B983,'SUMMARY DATA'!$B:$B=""RWS"")),
  IF(
    OR(
      ISNUMBER(SEARCH(""CDM CASH DEPOSIT"",$C983)),
      ISNUMBER(SEARCH(""CASH DEPOSIT"",$C98"&amp;"3)),
      COUNTIFS('SUMMARY DATA'!$D:$D,$C983,'SUMMARY DATA'!$B:$B,""RWS"")&lt;&gt;1
    ),
    """",
    IFERROR(TEXTJOIN(CHAR(10),TRUE,FILTER('SUMMARY DATA'!I:I,'SUMMARY DATA'!$D:$D=$C983,'SUMMARY DATA'!$B:$B=""RWS"")),"""")
  )
)"),"")</f>
      </c>
      <c r="K983" s="2"/>
      <c r="L983" s="2"/>
      <c r="M983" s="2"/>
      <c r="N983" s="2"/>
      <c r="O983" s="2"/>
      <c r="P983" s="2"/>
      <c r="Q983" s="2"/>
      <c r="R983" s="2"/>
      <c r="S983" s="2"/>
      <c r="T983" s="2"/>
      <c r="U983" s="2"/>
      <c r="V983" s="2"/>
      <c r="W983" s="2"/>
      <c r="X983" s="2"/>
      <c r="Y983" s="2"/>
      <c r="Z983" s="2"/>
      <c r="AA983" s="2"/>
      <c r="AB983" s="2"/>
    </row>
    <row r="984" spans="1:28" customHeight="true">
      <c r="A984" s="2" t="s">
        <v>1446</v>
      </c>
      <c r="B984" s="15">
        <v>45775</v>
      </c>
      <c r="C984" s="2" t="s">
        <v>63</v>
      </c>
      <c r="D984" s="6">
        <v>10</v>
      </c>
      <c r="E984" s="16" t="str">
        <f>IFERROR(__xludf.DUMMYFUNCTION("IFERROR(
  TEXTJOIN(CHAR(10),TRUE,FILTER('SUMMARY DATA'!E:E,'SUMMARY DATA'!$A:$A=$A85,'SUMMARY DATA'!$C:$C=$B85,'SUMMARY DATA'!$B:$B=""GRP"")),
  IF(
    OR(
      ISNUMBER(SEARCH(""CDM CASH DEPOSIT"",$C85)),
      ISNUMBER(SEARCH(""CASH DEPOSIT"",$C85)),"&amp;"
      COUNTIFS('SUMMARY DATA'!$D:$D,$C85,'SUMMARY DATA'!$B:$B,""GRP"")&lt;&gt;1
    ),
    """",
    IFERROR(TEXTJOIN(CHAR(10),TRUE,FILTER('SUMMARY DATA'!E:E,'SUMMARY DATA'!$D:$D=$C85,'SUMMARY DATA'!$B:$B=""GRP"")),"""")
  )
)"),"")</f>
      </c>
      <c r="F984" s="17" t="str">
        <f>IFERROR(__xludf.DUMMYFUNCTION("IFERROR(
  TEXTJOIN(CHAR(10),TRUE,FILTER('SUMMARY DATA'!F:F,'SUMMARY DATA'!$A:$A=$A85,'SUMMARY DATA'!$C:$C=$B85,'SUMMARY DATA'!$B:$B=""GRP"")),
  IF(
    OR(
      ISNUMBER(SEARCH(""CDM CASH DEPOSIT"",$C85)),
      ISNUMBER(SEARCH(""CASH DEPOSIT"",$C85)),"&amp;"
      COUNTIFS('SUMMARY DATA'!$D:$D,$C85,'SUMMARY DATA'!$B:$B,""GRP"")&lt;&gt;1
    ),
    """",
    IFERROR(TEXTJOIN(CHAR(10),TRUE,FILTER('SUMMARY DATA'!F:F,'SUMMARY DATA'!$D:$D=$C85,'SUMMARY DATA'!$B:$B=""GRP"")),"""")
  )
)"),"")</f>
      </c>
      <c r="G984" s="17" t="str">
        <f>IFERROR(__xludf.DUMMYFUNCTION("IFERROR(
  TEXTJOIN(CHAR(10),TRUE,FILTER('SUMMARY DATA'!G:G,'SUMMARY DATA'!$A:$A=$A984,'SUMMARY DATA'!$C:$C=$B984,'SUMMARY DATA'!$B:$B=""RWS"")),
  IF(
    OR(
      ISNUMBER(SEARCH(""CDM CASH DEPOSIT"",$C984)),
      ISNUMBER(SEARCH(""CASH DEPOSIT"",$C98"&amp;"4)),
      COUNTIFS('SUMMARY DATA'!$D:$D,$C984,'SUMMARY DATA'!$B:$B,""RWS"")&lt;&gt;1
    ),
    """",
    IFERROR(TEXTJOIN(CHAR(10),TRUE,FILTER('SUMMARY DATA'!G:G,'SUMMARY DATA'!$D:$D=$C984,'SUMMARY DATA'!$B:$B=""RWS"")),"""")
  )
)"),"")</f>
      </c>
      <c r="H984" s="18" t="str">
        <f>IFERROR(__xludf.DUMMYFUNCTION("IFERROR(
  TEXTJOIN(CHAR(10),TRUE,FILTER('SUMMARY DATA'!H:H,'SUMMARY DATA'!$A:$A=$A984,'SUMMARY DATA'!$C:$C=$B984,'SUMMARY DATA'!$B:$B=""RWS"",'SUMMARY DATA'!$H:$H=$D984)),
  IF(
    OR(
      ISNUMBER(SEARCH(""CDM CASH DEPOSIT"",$C984)),
      ISNUMBER(S"&amp;"EARCH(""CASH DEPOSIT"",$C984))
    ),
    """",
    IFERROR(TEXTJOIN(CHAR(10),TRUE,FILTER('SUMMARY DATA'!H:H,'SUMMARY DATA'!$D:$D=$C984,'SUMMARY DATA'!$B:$B=""RWS"",'SUMMARY DATA'!$H:$H=$D984)),"""")
  )
)"),"")</f>
      </c>
      <c r="I984" s="18" t="str">
        <f>IFERROR(__xludf.DUMMYFUNCTION("IF(H984="""","""",
SUM(ARRAYFORMULA(VALUE(SPLIT(H984,CHAR(10)))))
)"),"")</f>
      </c>
      <c r="J984" s="17" t="str">
        <f>IFERROR(__xludf.DUMMYFUNCTION("IFERROR(
  TEXTJOIN(CHAR(10),TRUE,FILTER('SUMMARY DATA'!I:I,'SUMMARY DATA'!$A:$A=$A984,'SUMMARY DATA'!$C:$C=$B984,'SUMMARY DATA'!$B:$B=""RWS"")),
  IF(
    OR(
      ISNUMBER(SEARCH(""CDM CASH DEPOSIT"",$C984)),
      ISNUMBER(SEARCH(""CASH DEPOSIT"",$C98"&amp;"4)),
      COUNTIFS('SUMMARY DATA'!$D:$D,$C984,'SUMMARY DATA'!$B:$B,""RWS"")&lt;&gt;1
    ),
    """",
    IFERROR(TEXTJOIN(CHAR(10),TRUE,FILTER('SUMMARY DATA'!I:I,'SUMMARY DATA'!$D:$D=$C984,'SUMMARY DATA'!$B:$B=""RWS"")),"""")
  )
)"),"")</f>
      </c>
      <c r="K984" s="2"/>
      <c r="L984" s="2"/>
      <c r="M984" s="2"/>
      <c r="N984" s="2"/>
      <c r="O984" s="2"/>
      <c r="P984" s="2"/>
      <c r="Q984" s="2"/>
      <c r="R984" s="2"/>
      <c r="S984" s="2"/>
      <c r="T984" s="2"/>
      <c r="U984" s="2"/>
      <c r="V984" s="2"/>
      <c r="W984" s="2"/>
      <c r="X984" s="2"/>
      <c r="Y984" s="2"/>
      <c r="Z984" s="2"/>
      <c r="AA984" s="2"/>
      <c r="AB984" s="2"/>
    </row>
    <row r="985" spans="1:28" customHeight="true">
      <c r="A985" s="2" t="s">
        <v>1520</v>
      </c>
      <c r="B985" s="15">
        <v>45776</v>
      </c>
      <c r="C985" s="2" t="s">
        <v>1521</v>
      </c>
      <c r="D985" s="6">
        <v>159.96</v>
      </c>
      <c r="E985" s="16" t="str">
        <f>IFERROR(__xludf.DUMMYFUNCTION("IFERROR(
  TEXTJOIN(CHAR(10),TRUE,FILTER('SUMMARY DATA'!E:E,'SUMMARY DATA'!$A:$A=$A86,'SUMMARY DATA'!$C:$C=$B86,'SUMMARY DATA'!$B:$B=""GRP"")),
  IF(
    OR(
      ISNUMBER(SEARCH(""CDM CASH DEPOSIT"",$C86)),
      ISNUMBER(SEARCH(""CASH DEPOSIT"",$C86)),"&amp;"
      COUNTIFS('SUMMARY DATA'!$D:$D,$C86,'SUMMARY DATA'!$B:$B,""GRP"")&lt;&gt;1
    ),
    """",
    IFERROR(TEXTJOIN(CHAR(10),TRUE,FILTER('SUMMARY DATA'!E:E,'SUMMARY DATA'!$D:$D=$C86,'SUMMARY DATA'!$B:$B=""GRP"")),"""")
  )
)"),"")</f>
      </c>
      <c r="F985" s="17" t="str">
        <f>IFERROR(__xludf.DUMMYFUNCTION("IFERROR(
  TEXTJOIN(CHAR(10),TRUE,FILTER('SUMMARY DATA'!F:F,'SUMMARY DATA'!$A:$A=$A86,'SUMMARY DATA'!$C:$C=$B86,'SUMMARY DATA'!$B:$B=""GRP"")),
  IF(
    OR(
      ISNUMBER(SEARCH(""CDM CASH DEPOSIT"",$C86)),
      ISNUMBER(SEARCH(""CASH DEPOSIT"",$C86)),"&amp;"
      COUNTIFS('SUMMARY DATA'!$D:$D,$C86,'SUMMARY DATA'!$B:$B,""GRP"")&lt;&gt;1
    ),
    """",
    IFERROR(TEXTJOIN(CHAR(10),TRUE,FILTER('SUMMARY DATA'!F:F,'SUMMARY DATA'!$D:$D=$C86,'SUMMARY DATA'!$B:$B=""GRP"")),"""")
  )
)"),"")</f>
      </c>
      <c r="G985" s="17" t="str">
        <f>IFERROR(__xludf.DUMMYFUNCTION("IFERROR(
  TEXTJOIN(CHAR(10),TRUE,FILTER('SUMMARY DATA'!G:G,'SUMMARY DATA'!$A:$A=$A985,'SUMMARY DATA'!$C:$C=$B985,'SUMMARY DATA'!$B:$B=""RWS"")),
  IF(
    OR(
      ISNUMBER(SEARCH(""CDM CASH DEPOSIT"",$C985)),
      ISNUMBER(SEARCH(""CASH DEPOSIT"",$C98"&amp;"5)),
      COUNTIFS('SUMMARY DATA'!$D:$D,$C985,'SUMMARY DATA'!$B:$B,""RWS"")&lt;&gt;1
    ),
    """",
    IFERROR(TEXTJOIN(CHAR(10),TRUE,FILTER('SUMMARY DATA'!G:G,'SUMMARY DATA'!$D:$D=$C985,'SUMMARY DATA'!$B:$B=""RWS"")),"""")
  )
)"),"")</f>
      </c>
      <c r="H985" s="18" t="str">
        <f>IFERROR(__xludf.DUMMYFUNCTION("IFERROR(
  TEXTJOIN(CHAR(10),TRUE,FILTER('SUMMARY DATA'!H:H,'SUMMARY DATA'!$A:$A=$A985,'SUMMARY DATA'!$C:$C=$B985,'SUMMARY DATA'!$B:$B=""RWS"",'SUMMARY DATA'!$H:$H=$D985)),
  IF(
    OR(
      ISNUMBER(SEARCH(""CDM CASH DEPOSIT"",$C985)),
      ISNUMBER(S"&amp;"EARCH(""CASH DEPOSIT"",$C985))
    ),
    """",
    IFERROR(TEXTJOIN(CHAR(10),TRUE,FILTER('SUMMARY DATA'!H:H,'SUMMARY DATA'!$D:$D=$C985,'SUMMARY DATA'!$B:$B=""RWS"",'SUMMARY DATA'!$H:$H=$D985)),"""")
  )
)"),"")</f>
      </c>
      <c r="I985" s="18" t="str">
        <f>IFERROR(__xludf.DUMMYFUNCTION("IF(H985="""","""",
SUM(ARRAYFORMULA(VALUE(SPLIT(H985,CHAR(10)))))
)"),"")</f>
      </c>
      <c r="J985" s="17" t="str">
        <f>IFERROR(__xludf.DUMMYFUNCTION("IFERROR(
  TEXTJOIN(CHAR(10),TRUE,FILTER('SUMMARY DATA'!I:I,'SUMMARY DATA'!$A:$A=$A985,'SUMMARY DATA'!$C:$C=$B985,'SUMMARY DATA'!$B:$B=""RWS"")),
  IF(
    OR(
      ISNUMBER(SEARCH(""CDM CASH DEPOSIT"",$C985)),
      ISNUMBER(SEARCH(""CASH DEPOSIT"",$C98"&amp;"5)),
      COUNTIFS('SUMMARY DATA'!$D:$D,$C985,'SUMMARY DATA'!$B:$B,""RWS"")&lt;&gt;1
    ),
    """",
    IFERROR(TEXTJOIN(CHAR(10),TRUE,FILTER('SUMMARY DATA'!I:I,'SUMMARY DATA'!$D:$D=$C985,'SUMMARY DATA'!$B:$B=""RWS"")),"""")
  )
)"),"")</f>
      </c>
      <c r="K985" s="2"/>
      <c r="L985" s="2"/>
      <c r="M985" s="2"/>
      <c r="N985" s="2"/>
      <c r="O985" s="2"/>
      <c r="P985" s="2"/>
      <c r="Q985" s="2"/>
      <c r="R985" s="2"/>
      <c r="S985" s="2"/>
      <c r="T985" s="2"/>
      <c r="U985" s="2"/>
      <c r="V985" s="2"/>
      <c r="W985" s="2"/>
      <c r="X985" s="2"/>
      <c r="Y985" s="2"/>
      <c r="Z985" s="2"/>
      <c r="AA985" s="2"/>
      <c r="AB985" s="2"/>
    </row>
    <row r="986" spans="1:28" customHeight="true">
      <c r="A986" s="2"/>
      <c r="B986" s="15">
        <v>45776</v>
      </c>
      <c r="C986" s="2" t="s">
        <v>1522</v>
      </c>
      <c r="D986" s="6">
        <v>67.9</v>
      </c>
      <c r="E986" s="16" t="str">
        <f>IFERROR(__xludf.DUMMYFUNCTION("IFERROR(
  TEXTJOIN(CHAR(10),TRUE,FILTER('SUMMARY DATA'!E:E,'SUMMARY DATA'!$A:$A=$A87,'SUMMARY DATA'!$C:$C=$B87,'SUMMARY DATA'!$B:$B=""GRP"")),
  IF(
    OR(
      ISNUMBER(SEARCH(""CDM CASH DEPOSIT"",$C87)),
      ISNUMBER(SEARCH(""CASH DEPOSIT"",$C87)),"&amp;"
      COUNTIFS('SUMMARY DATA'!$D:$D,$C87,'SUMMARY DATA'!$B:$B,""GRP"")&lt;&gt;1
    ),
    """",
    IFERROR(TEXTJOIN(CHAR(10),TRUE,FILTER('SUMMARY DATA'!E:E,'SUMMARY DATA'!$D:$D=$C87,'SUMMARY DATA'!$B:$B=""GRP"")),"""")
  )
)"),"")</f>
      </c>
      <c r="F986" s="17" t="str">
        <f>IFERROR(__xludf.DUMMYFUNCTION("IFERROR(
  TEXTJOIN(CHAR(10),TRUE,FILTER('SUMMARY DATA'!F:F,'SUMMARY DATA'!$A:$A=$A87,'SUMMARY DATA'!$C:$C=$B87,'SUMMARY DATA'!$B:$B=""GRP"")),
  IF(
    OR(
      ISNUMBER(SEARCH(""CDM CASH DEPOSIT"",$C87)),
      ISNUMBER(SEARCH(""CASH DEPOSIT"",$C87)),"&amp;"
      COUNTIFS('SUMMARY DATA'!$D:$D,$C87,'SUMMARY DATA'!$B:$B,""GRP"")&lt;&gt;1
    ),
    """",
    IFERROR(TEXTJOIN(CHAR(10),TRUE,FILTER('SUMMARY DATA'!F:F,'SUMMARY DATA'!$D:$D=$C87,'SUMMARY DATA'!$B:$B=""GRP"")),"""")
  )
)"),"")</f>
      </c>
      <c r="G986" s="17" t="str">
        <f>IFERROR(__xludf.DUMMYFUNCTION("IFERROR(
  TEXTJOIN(CHAR(10),TRUE,FILTER('SUMMARY DATA'!G:G,'SUMMARY DATA'!$A:$A=$A986,'SUMMARY DATA'!$C:$C=$B986,'SUMMARY DATA'!$B:$B=""RWS"")),
  IF(
    OR(
      ISNUMBER(SEARCH(""CDM CASH DEPOSIT"",$C986)),
      ISNUMBER(SEARCH(""CASH DEPOSIT"",$C98"&amp;"6)),
      COUNTIFS('SUMMARY DATA'!$D:$D,$C986,'SUMMARY DATA'!$B:$B,""RWS"")&lt;&gt;1
    ),
    """",
    IFERROR(TEXTJOIN(CHAR(10),TRUE,FILTER('SUMMARY DATA'!G:G,'SUMMARY DATA'!$D:$D=$C986,'SUMMARY DATA'!$B:$B=""RWS"")),"""")
  )
)"),"")</f>
      </c>
      <c r="H986" s="18" t="str">
        <f>IFERROR(__xludf.DUMMYFUNCTION("IFERROR(
  TEXTJOIN(CHAR(10),TRUE,FILTER('SUMMARY DATA'!H:H,'SUMMARY DATA'!$A:$A=$A986,'SUMMARY DATA'!$C:$C=$B986,'SUMMARY DATA'!$B:$B=""RWS"",'SUMMARY DATA'!$H:$H=$D986)),
  IF(
    OR(
      ISNUMBER(SEARCH(""CDM CASH DEPOSIT"",$C986)),
      ISNUMBER(S"&amp;"EARCH(""CASH DEPOSIT"",$C986))
    ),
    """",
    IFERROR(TEXTJOIN(CHAR(10),TRUE,FILTER('SUMMARY DATA'!H:H,'SUMMARY DATA'!$D:$D=$C986,'SUMMARY DATA'!$B:$B=""RWS"",'SUMMARY DATA'!$H:$H=$D986)),"""")
  )
)"),"")</f>
      </c>
      <c r="I986" s="18" t="str">
        <f>IFERROR(__xludf.DUMMYFUNCTION("IF(H986="""","""",
SUM(ARRAYFORMULA(VALUE(SPLIT(H986,CHAR(10)))))
)"),"")</f>
      </c>
      <c r="J986" s="17" t="str">
        <f>IFERROR(__xludf.DUMMYFUNCTION("IFERROR(
  TEXTJOIN(CHAR(10),TRUE,FILTER('SUMMARY DATA'!I:I,'SUMMARY DATA'!$A:$A=$A986,'SUMMARY DATA'!$C:$C=$B986,'SUMMARY DATA'!$B:$B=""RWS"")),
  IF(
    OR(
      ISNUMBER(SEARCH(""CDM CASH DEPOSIT"",$C986)),
      ISNUMBER(SEARCH(""CASH DEPOSIT"",$C98"&amp;"6)),
      COUNTIFS('SUMMARY DATA'!$D:$D,$C986,'SUMMARY DATA'!$B:$B,""RWS"")&lt;&gt;1
    ),
    """",
    IFERROR(TEXTJOIN(CHAR(10),TRUE,FILTER('SUMMARY DATA'!I:I,'SUMMARY DATA'!$D:$D=$C986,'SUMMARY DATA'!$B:$B=""RWS"")),"""")
  )
)"),"")</f>
      </c>
      <c r="K986" s="2"/>
      <c r="L986" s="2"/>
      <c r="M986" s="2"/>
      <c r="N986" s="2"/>
      <c r="O986" s="2"/>
      <c r="P986" s="2"/>
      <c r="Q986" s="2"/>
      <c r="R986" s="2"/>
      <c r="S986" s="2"/>
      <c r="T986" s="2"/>
      <c r="U986" s="2"/>
      <c r="V986" s="2"/>
      <c r="W986" s="2"/>
      <c r="X986" s="2"/>
      <c r="Y986" s="2"/>
      <c r="Z986" s="2"/>
      <c r="AA986" s="2"/>
      <c r="AB986" s="2"/>
    </row>
    <row r="987" spans="1:28" customHeight="true">
      <c r="A987" s="2"/>
      <c r="B987" s="15">
        <v>45776</v>
      </c>
      <c r="C987" s="2" t="s">
        <v>1523</v>
      </c>
      <c r="D987" s="6">
        <v>10</v>
      </c>
      <c r="E987" s="16" t="str">
        <f>IFERROR(__xludf.DUMMYFUNCTION("IFERROR(
  TEXTJOIN(CHAR(10),TRUE,FILTER('SUMMARY DATA'!E:E,'SUMMARY DATA'!$A:$A=$A88,'SUMMARY DATA'!$C:$C=$B88,'SUMMARY DATA'!$B:$B=""GRP"")),
  IF(
    OR(
      ISNUMBER(SEARCH(""CDM CASH DEPOSIT"",$C88)),
      ISNUMBER(SEARCH(""CASH DEPOSIT"",$C88)),"&amp;"
      COUNTIFS('SUMMARY DATA'!$D:$D,$C88,'SUMMARY DATA'!$B:$B,""GRP"")&lt;&gt;1
    ),
    """",
    IFERROR(TEXTJOIN(CHAR(10),TRUE,FILTER('SUMMARY DATA'!E:E,'SUMMARY DATA'!$D:$D=$C88,'SUMMARY DATA'!$B:$B=""GRP"")),"""")
  )
)"),"")</f>
      </c>
      <c r="F987" s="17" t="str">
        <f>IFERROR(__xludf.DUMMYFUNCTION("IFERROR(
  TEXTJOIN(CHAR(10),TRUE,FILTER('SUMMARY DATA'!F:F,'SUMMARY DATA'!$A:$A=$A88,'SUMMARY DATA'!$C:$C=$B88,'SUMMARY DATA'!$B:$B=""GRP"")),
  IF(
    OR(
      ISNUMBER(SEARCH(""CDM CASH DEPOSIT"",$C88)),
      ISNUMBER(SEARCH(""CASH DEPOSIT"",$C88)),"&amp;"
      COUNTIFS('SUMMARY DATA'!$D:$D,$C88,'SUMMARY DATA'!$B:$B,""GRP"")&lt;&gt;1
    ),
    """",
    IFERROR(TEXTJOIN(CHAR(10),TRUE,FILTER('SUMMARY DATA'!F:F,'SUMMARY DATA'!$D:$D=$C88,'SUMMARY DATA'!$B:$B=""GRP"")),"""")
  )
)"),"")</f>
      </c>
      <c r="G987" s="17" t="str">
        <f>IFERROR(__xludf.DUMMYFUNCTION("IFERROR(
  TEXTJOIN(CHAR(10),TRUE,FILTER('SUMMARY DATA'!G:G,'SUMMARY DATA'!$A:$A=$A987,'SUMMARY DATA'!$C:$C=$B987,'SUMMARY DATA'!$B:$B=""RWS"")),
  IF(
    OR(
      ISNUMBER(SEARCH(""CDM CASH DEPOSIT"",$C987)),
      ISNUMBER(SEARCH(""CASH DEPOSIT"",$C98"&amp;"7)),
      COUNTIFS('SUMMARY DATA'!$D:$D,$C987,'SUMMARY DATA'!$B:$B,""RWS"")&lt;&gt;1
    ),
    """",
    IFERROR(TEXTJOIN(CHAR(10),TRUE,FILTER('SUMMARY DATA'!G:G,'SUMMARY DATA'!$D:$D=$C987,'SUMMARY DATA'!$B:$B=""RWS"")),"""")
  )
)"),"")</f>
      </c>
      <c r="H987" s="18" t="str">
        <f>IFERROR(__xludf.DUMMYFUNCTION("IFERROR(
  TEXTJOIN(CHAR(10),TRUE,FILTER('SUMMARY DATA'!H:H,'SUMMARY DATA'!$A:$A=$A987,'SUMMARY DATA'!$C:$C=$B987,'SUMMARY DATA'!$B:$B=""RWS"",'SUMMARY DATA'!$H:$H=$D987)),
  IF(
    OR(
      ISNUMBER(SEARCH(""CDM CASH DEPOSIT"",$C987)),
      ISNUMBER(S"&amp;"EARCH(""CASH DEPOSIT"",$C987))
    ),
    """",
    IFERROR(TEXTJOIN(CHAR(10),TRUE,FILTER('SUMMARY DATA'!H:H,'SUMMARY DATA'!$D:$D=$C987,'SUMMARY DATA'!$B:$B=""RWS"",'SUMMARY DATA'!$H:$H=$D987)),"""")
  )
)"),"")</f>
      </c>
      <c r="I987" s="18" t="str">
        <f>IFERROR(__xludf.DUMMYFUNCTION("IF(H987="""","""",
SUM(ARRAYFORMULA(VALUE(SPLIT(H987,CHAR(10)))))
)"),"")</f>
      </c>
      <c r="J987" s="17" t="str">
        <f>IFERROR(__xludf.DUMMYFUNCTION("IFERROR(
  TEXTJOIN(CHAR(10),TRUE,FILTER('SUMMARY DATA'!I:I,'SUMMARY DATA'!$A:$A=$A987,'SUMMARY DATA'!$C:$C=$B987,'SUMMARY DATA'!$B:$B=""RWS"")),
  IF(
    OR(
      ISNUMBER(SEARCH(""CDM CASH DEPOSIT"",$C987)),
      ISNUMBER(SEARCH(""CASH DEPOSIT"",$C98"&amp;"7)),
      COUNTIFS('SUMMARY DATA'!$D:$D,$C987,'SUMMARY DATA'!$B:$B,""RWS"")&lt;&gt;1
    ),
    """",
    IFERROR(TEXTJOIN(CHAR(10),TRUE,FILTER('SUMMARY DATA'!I:I,'SUMMARY DATA'!$D:$D=$C987,'SUMMARY DATA'!$B:$B=""RWS"")),"""")
  )
)"),"")</f>
      </c>
      <c r="K987" s="2"/>
      <c r="L987" s="2"/>
      <c r="M987" s="2"/>
      <c r="N987" s="2"/>
      <c r="O987" s="2"/>
      <c r="P987" s="2"/>
      <c r="Q987" s="2"/>
      <c r="R987" s="2"/>
      <c r="S987" s="2"/>
      <c r="T987" s="2"/>
      <c r="U987" s="2"/>
      <c r="V987" s="2"/>
      <c r="W987" s="2"/>
      <c r="X987" s="2"/>
      <c r="Y987" s="2"/>
      <c r="Z987" s="2"/>
      <c r="AA987" s="2"/>
      <c r="AB987" s="2"/>
    </row>
    <row r="988" spans="1:28" customHeight="true">
      <c r="A988" s="2"/>
      <c r="B988" s="15">
        <v>45776</v>
      </c>
      <c r="C988" s="2" t="s">
        <v>1524</v>
      </c>
      <c r="D988" s="6">
        <v>10</v>
      </c>
      <c r="E988" s="16" t="str">
        <f>IFERROR(__xludf.DUMMYFUNCTION("IFERROR(
  TEXTJOIN(CHAR(10),TRUE,FILTER('SUMMARY DATA'!E:E,'SUMMARY DATA'!$A:$A=$A89,'SUMMARY DATA'!$C:$C=$B89,'SUMMARY DATA'!$B:$B=""GRP"")),
  IF(
    OR(
      ISNUMBER(SEARCH(""CDM CASH DEPOSIT"",$C89)),
      ISNUMBER(SEARCH(""CASH DEPOSIT"",$C89)),"&amp;"
      COUNTIFS('SUMMARY DATA'!$D:$D,$C89,'SUMMARY DATA'!$B:$B,""GRP"")&lt;&gt;1
    ),
    """",
    IFERROR(TEXTJOIN(CHAR(10),TRUE,FILTER('SUMMARY DATA'!E:E,'SUMMARY DATA'!$D:$D=$C89,'SUMMARY DATA'!$B:$B=""GRP"")),"""")
  )
)"),"")</f>
      </c>
      <c r="F988" s="17" t="str">
        <f>IFERROR(__xludf.DUMMYFUNCTION("IFERROR(
  TEXTJOIN(CHAR(10),TRUE,FILTER('SUMMARY DATA'!F:F,'SUMMARY DATA'!$A:$A=$A89,'SUMMARY DATA'!$C:$C=$B89,'SUMMARY DATA'!$B:$B=""GRP"")),
  IF(
    OR(
      ISNUMBER(SEARCH(""CDM CASH DEPOSIT"",$C89)),
      ISNUMBER(SEARCH(""CASH DEPOSIT"",$C89)),"&amp;"
      COUNTIFS('SUMMARY DATA'!$D:$D,$C89,'SUMMARY DATA'!$B:$B,""GRP"")&lt;&gt;1
    ),
    """",
    IFERROR(TEXTJOIN(CHAR(10),TRUE,FILTER('SUMMARY DATA'!F:F,'SUMMARY DATA'!$D:$D=$C89,'SUMMARY DATA'!$B:$B=""GRP"")),"""")
  )
)"),"")</f>
      </c>
      <c r="G988" s="17" t="str">
        <f>IFERROR(__xludf.DUMMYFUNCTION("IFERROR(
  TEXTJOIN(CHAR(10),TRUE,FILTER('SUMMARY DATA'!G:G,'SUMMARY DATA'!$A:$A=$A988,'SUMMARY DATA'!$C:$C=$B988,'SUMMARY DATA'!$B:$B=""RWS"")),
  IF(
    OR(
      ISNUMBER(SEARCH(""CDM CASH DEPOSIT"",$C988)),
      ISNUMBER(SEARCH(""CASH DEPOSIT"",$C98"&amp;"8)),
      COUNTIFS('SUMMARY DATA'!$D:$D,$C988,'SUMMARY DATA'!$B:$B,""RWS"")&lt;&gt;1
    ),
    """",
    IFERROR(TEXTJOIN(CHAR(10),TRUE,FILTER('SUMMARY DATA'!G:G,'SUMMARY DATA'!$D:$D=$C988,'SUMMARY DATA'!$B:$B=""RWS"")),"""")
  )
)"),"")</f>
      </c>
      <c r="H988" s="18" t="str">
        <f>IFERROR(__xludf.DUMMYFUNCTION("IFERROR(
  TEXTJOIN(CHAR(10),TRUE,FILTER('SUMMARY DATA'!H:H,'SUMMARY DATA'!$A:$A=$A988,'SUMMARY DATA'!$C:$C=$B988,'SUMMARY DATA'!$B:$B=""RWS"",'SUMMARY DATA'!$H:$H=$D988)),
  IF(
    OR(
      ISNUMBER(SEARCH(""CDM CASH DEPOSIT"",$C988)),
      ISNUMBER(S"&amp;"EARCH(""CASH DEPOSIT"",$C988))
    ),
    """",
    IFERROR(TEXTJOIN(CHAR(10),TRUE,FILTER('SUMMARY DATA'!H:H,'SUMMARY DATA'!$D:$D=$C988,'SUMMARY DATA'!$B:$B=""RWS"",'SUMMARY DATA'!$H:$H=$D988)),"""")
  )
)"),"")</f>
      </c>
      <c r="I988" s="18" t="str">
        <f>IFERROR(__xludf.DUMMYFUNCTION("IF(H988="""","""",
SUM(ARRAYFORMULA(VALUE(SPLIT(H988,CHAR(10)))))
)"),"")</f>
      </c>
      <c r="J988" s="17" t="str">
        <f>IFERROR(__xludf.DUMMYFUNCTION("IFERROR(
  TEXTJOIN(CHAR(10),TRUE,FILTER('SUMMARY DATA'!I:I,'SUMMARY DATA'!$A:$A=$A988,'SUMMARY DATA'!$C:$C=$B988,'SUMMARY DATA'!$B:$B=""RWS"")),
  IF(
    OR(
      ISNUMBER(SEARCH(""CDM CASH DEPOSIT"",$C988)),
      ISNUMBER(SEARCH(""CASH DEPOSIT"",$C98"&amp;"8)),
      COUNTIFS('SUMMARY DATA'!$D:$D,$C988,'SUMMARY DATA'!$B:$B,""RWS"")&lt;&gt;1
    ),
    """",
    IFERROR(TEXTJOIN(CHAR(10),TRUE,FILTER('SUMMARY DATA'!I:I,'SUMMARY DATA'!$D:$D=$C988,'SUMMARY DATA'!$B:$B=""RWS"")),"""")
  )
)"),"")</f>
      </c>
      <c r="K988" s="2"/>
      <c r="L988" s="2"/>
      <c r="M988" s="2"/>
      <c r="N988" s="2"/>
      <c r="O988" s="2"/>
      <c r="P988" s="2"/>
      <c r="Q988" s="2"/>
      <c r="R988" s="2"/>
      <c r="S988" s="2"/>
      <c r="T988" s="2"/>
      <c r="U988" s="2"/>
      <c r="V988" s="2"/>
      <c r="W988" s="2"/>
      <c r="X988" s="2"/>
      <c r="Y988" s="2"/>
      <c r="Z988" s="2"/>
      <c r="AA988" s="2"/>
      <c r="AB988" s="2"/>
    </row>
    <row r="989" spans="1:28" customHeight="true">
      <c r="A989" s="2"/>
      <c r="B989" s="15">
        <v>45777</v>
      </c>
      <c r="C989" s="2" t="s">
        <v>1525</v>
      </c>
      <c r="D989" s="6">
        <v>701.82</v>
      </c>
      <c r="E989" s="16" t="str">
        <f>IFERROR(__xludf.DUMMYFUNCTION("IFERROR(
  TEXTJOIN(CHAR(10),TRUE,FILTER('SUMMARY DATA'!E:E,'SUMMARY DATA'!$A:$A=$A90,'SUMMARY DATA'!$C:$C=$B90,'SUMMARY DATA'!$B:$B=""GRP"")),
  IF(
    OR(
      ISNUMBER(SEARCH(""CDM CASH DEPOSIT"",$C90)),
      ISNUMBER(SEARCH(""CASH DEPOSIT"",$C90)),"&amp;"
      COUNTIFS('SUMMARY DATA'!$D:$D,$C90,'SUMMARY DATA'!$B:$B,""GRP"")&lt;&gt;1
    ),
    """",
    IFERROR(TEXTJOIN(CHAR(10),TRUE,FILTER('SUMMARY DATA'!E:E,'SUMMARY DATA'!$D:$D=$C90,'SUMMARY DATA'!$B:$B=""GRP"")),"""")
  )
)"),"")</f>
      </c>
      <c r="F989" s="17" t="str">
        <f>IFERROR(__xludf.DUMMYFUNCTION("IFERROR(
  TEXTJOIN(CHAR(10),TRUE,FILTER('SUMMARY DATA'!F:F,'SUMMARY DATA'!$A:$A=$A90,'SUMMARY DATA'!$C:$C=$B90,'SUMMARY DATA'!$B:$B=""GRP"")),
  IF(
    OR(
      ISNUMBER(SEARCH(""CDM CASH DEPOSIT"",$C90)),
      ISNUMBER(SEARCH(""CASH DEPOSIT"",$C90)),"&amp;"
      COUNTIFS('SUMMARY DATA'!$D:$D,$C90,'SUMMARY DATA'!$B:$B,""GRP"")&lt;&gt;1
    ),
    """",
    IFERROR(TEXTJOIN(CHAR(10),TRUE,FILTER('SUMMARY DATA'!F:F,'SUMMARY DATA'!$D:$D=$C90,'SUMMARY DATA'!$B:$B=""GRP"")),"""")
  )
)"),"")</f>
      </c>
      <c r="G989" s="17" t="str">
        <f>IFERROR(__xludf.DUMMYFUNCTION("IFERROR(
  TEXTJOIN(CHAR(10),TRUE,FILTER('SUMMARY DATA'!G:G,'SUMMARY DATA'!$A:$A=$A989,'SUMMARY DATA'!$C:$C=$B989,'SUMMARY DATA'!$B:$B=""RWS"")),
  IF(
    OR(
      ISNUMBER(SEARCH(""CDM CASH DEPOSIT"",$C989)),
      ISNUMBER(SEARCH(""CASH DEPOSIT"",$C98"&amp;"9)),
      COUNTIFS('SUMMARY DATA'!$D:$D,$C989,'SUMMARY DATA'!$B:$B,""RWS"")&lt;&gt;1
    ),
    """",
    IFERROR(TEXTJOIN(CHAR(10),TRUE,FILTER('SUMMARY DATA'!G:G,'SUMMARY DATA'!$D:$D=$C989,'SUMMARY DATA'!$B:$B=""RWS"")),"""")
  )
)"),"")</f>
      </c>
      <c r="H989" s="18" t="str">
        <f>IFERROR(__xludf.DUMMYFUNCTION("IFERROR(
  TEXTJOIN(CHAR(10),TRUE,FILTER('SUMMARY DATA'!H:H,'SUMMARY DATA'!$A:$A=$A989,'SUMMARY DATA'!$C:$C=$B989,'SUMMARY DATA'!$B:$B=""RWS"",'SUMMARY DATA'!$H:$H=$D989)),
  IF(
    OR(
      ISNUMBER(SEARCH(""CDM CASH DEPOSIT"",$C989)),
      ISNUMBER(S"&amp;"EARCH(""CASH DEPOSIT"",$C989))
    ),
    """",
    IFERROR(TEXTJOIN(CHAR(10),TRUE,FILTER('SUMMARY DATA'!H:H,'SUMMARY DATA'!$D:$D=$C989,'SUMMARY DATA'!$B:$B=""RWS"",'SUMMARY DATA'!$H:$H=$D989)),"""")
  )
)"),"")</f>
      </c>
      <c r="I989" s="18" t="str">
        <f>IFERROR(__xludf.DUMMYFUNCTION("IF(H989="""","""",
SUM(ARRAYFORMULA(VALUE(SPLIT(H989,CHAR(10)))))
)"),"")</f>
      </c>
      <c r="J989" s="17" t="str">
        <f>IFERROR(__xludf.DUMMYFUNCTION("IFERROR(
  TEXTJOIN(CHAR(10),TRUE,FILTER('SUMMARY DATA'!I:I,'SUMMARY DATA'!$A:$A=$A989,'SUMMARY DATA'!$C:$C=$B989,'SUMMARY DATA'!$B:$B=""RWS"")),
  IF(
    OR(
      ISNUMBER(SEARCH(""CDM CASH DEPOSIT"",$C989)),
      ISNUMBER(SEARCH(""CASH DEPOSIT"",$C98"&amp;"9)),
      COUNTIFS('SUMMARY DATA'!$D:$D,$C989,'SUMMARY DATA'!$B:$B,""RWS"")&lt;&gt;1
    ),
    """",
    IFERROR(TEXTJOIN(CHAR(10),TRUE,FILTER('SUMMARY DATA'!I:I,'SUMMARY DATA'!$D:$D=$C989,'SUMMARY DATA'!$B:$B=""RWS"")),"""")
  )
)"),"")</f>
      </c>
      <c r="K989" s="2"/>
      <c r="L989" s="2"/>
      <c r="M989" s="2"/>
      <c r="N989" s="2"/>
      <c r="O989" s="2"/>
      <c r="P989" s="2"/>
      <c r="Q989" s="2"/>
      <c r="R989" s="2"/>
      <c r="S989" s="2"/>
      <c r="T989" s="2"/>
      <c r="U989" s="2"/>
      <c r="V989" s="2"/>
      <c r="W989" s="2"/>
      <c r="X989" s="2"/>
      <c r="Y989" s="2"/>
      <c r="Z989" s="2"/>
      <c r="AA989" s="2"/>
      <c r="AB989" s="2"/>
    </row>
    <row r="990" spans="1:28" customHeight="true">
      <c r="A990" s="2"/>
      <c r="B990" s="15">
        <v>45777</v>
      </c>
      <c r="C990" s="2" t="s">
        <v>1526</v>
      </c>
      <c r="D990" s="6">
        <v>379</v>
      </c>
      <c r="E990" s="16" t="str">
        <f>IFERROR(__xludf.DUMMYFUNCTION("IFERROR(
  TEXTJOIN(CHAR(10),TRUE,FILTER('SUMMARY DATA'!E:E,'SUMMARY DATA'!$A:$A=$A91,'SUMMARY DATA'!$C:$C=$B91,'SUMMARY DATA'!$B:$B=""GRP"")),
  IF(
    OR(
      ISNUMBER(SEARCH(""CDM CASH DEPOSIT"",$C91)),
      ISNUMBER(SEARCH(""CASH DEPOSIT"",$C91)),"&amp;"
      COUNTIFS('SUMMARY DATA'!$D:$D,$C91,'SUMMARY DATA'!$B:$B,""GRP"")&lt;&gt;1
    ),
    """",
    IFERROR(TEXTJOIN(CHAR(10),TRUE,FILTER('SUMMARY DATA'!E:E,'SUMMARY DATA'!$D:$D=$C91,'SUMMARY DATA'!$B:$B=""GRP"")),"""")
  )
)"),"")</f>
      </c>
      <c r="F990" s="17" t="str">
        <f>IFERROR(__xludf.DUMMYFUNCTION("IFERROR(
  TEXTJOIN(CHAR(10),TRUE,FILTER('SUMMARY DATA'!F:F,'SUMMARY DATA'!$A:$A=$A91,'SUMMARY DATA'!$C:$C=$B91,'SUMMARY DATA'!$B:$B=""GRP"")),
  IF(
    OR(
      ISNUMBER(SEARCH(""CDM CASH DEPOSIT"",$C91)),
      ISNUMBER(SEARCH(""CASH DEPOSIT"",$C91)),"&amp;"
      COUNTIFS('SUMMARY DATA'!$D:$D,$C91,'SUMMARY DATA'!$B:$B,""GRP"")&lt;&gt;1
    ),
    """",
    IFERROR(TEXTJOIN(CHAR(10),TRUE,FILTER('SUMMARY DATA'!F:F,'SUMMARY DATA'!$D:$D=$C91,'SUMMARY DATA'!$B:$B=""GRP"")),"""")
  )
)"),"")</f>
      </c>
      <c r="G990" s="17" t="str">
        <f>IFERROR(__xludf.DUMMYFUNCTION("IFERROR(
  TEXTJOIN(CHAR(10),TRUE,FILTER('SUMMARY DATA'!G:G,'SUMMARY DATA'!$A:$A=$A990,'SUMMARY DATA'!$C:$C=$B990,'SUMMARY DATA'!$B:$B=""RWS"")),
  IF(
    OR(
      ISNUMBER(SEARCH(""CDM CASH DEPOSIT"",$C990)),
      ISNUMBER(SEARCH(""CASH DEPOSIT"",$C99"&amp;"0)),
      COUNTIFS('SUMMARY DATA'!$D:$D,$C990,'SUMMARY DATA'!$B:$B,""RWS"")&lt;&gt;1
    ),
    """",
    IFERROR(TEXTJOIN(CHAR(10),TRUE,FILTER('SUMMARY DATA'!G:G,'SUMMARY DATA'!$D:$D=$C990,'SUMMARY DATA'!$B:$B=""RWS"")),"""")
  )
)"),"")</f>
      </c>
      <c r="H990" s="18" t="str">
        <f>IFERROR(__xludf.DUMMYFUNCTION("IFERROR(
  TEXTJOIN(CHAR(10),TRUE,FILTER('SUMMARY DATA'!H:H,'SUMMARY DATA'!$A:$A=$A990,'SUMMARY DATA'!$C:$C=$B990,'SUMMARY DATA'!$B:$B=""RWS"",'SUMMARY DATA'!$H:$H=$D990)),
  IF(
    OR(
      ISNUMBER(SEARCH(""CDM CASH DEPOSIT"",$C990)),
      ISNUMBER(S"&amp;"EARCH(""CASH DEPOSIT"",$C990))
    ),
    """",
    IFERROR(TEXTJOIN(CHAR(10),TRUE,FILTER('SUMMARY DATA'!H:H,'SUMMARY DATA'!$D:$D=$C990,'SUMMARY DATA'!$B:$B=""RWS"",'SUMMARY DATA'!$H:$H=$D990)),"""")
  )
)"),"")</f>
      </c>
      <c r="I990" s="18" t="str">
        <f>IFERROR(__xludf.DUMMYFUNCTION("IF(H990="""","""",
SUM(ARRAYFORMULA(VALUE(SPLIT(H990,CHAR(10)))))
)"),"")</f>
      </c>
      <c r="J990" s="17" t="str">
        <f>IFERROR(__xludf.DUMMYFUNCTION("IFERROR(
  TEXTJOIN(CHAR(10),TRUE,FILTER('SUMMARY DATA'!I:I,'SUMMARY DATA'!$A:$A=$A990,'SUMMARY DATA'!$C:$C=$B990,'SUMMARY DATA'!$B:$B=""RWS"")),
  IF(
    OR(
      ISNUMBER(SEARCH(""CDM CASH DEPOSIT"",$C990)),
      ISNUMBER(SEARCH(""CASH DEPOSIT"",$C99"&amp;"0)),
      COUNTIFS('SUMMARY DATA'!$D:$D,$C990,'SUMMARY DATA'!$B:$B,""RWS"")&lt;&gt;1
    ),
    """",
    IFERROR(TEXTJOIN(CHAR(10),TRUE,FILTER('SUMMARY DATA'!I:I,'SUMMARY DATA'!$D:$D=$C990,'SUMMARY DATA'!$B:$B=""RWS"")),"""")
  )
)"),"")</f>
      </c>
      <c r="K990" s="2"/>
      <c r="L990" s="2"/>
      <c r="M990" s="2"/>
      <c r="N990" s="2"/>
      <c r="O990" s="2"/>
      <c r="P990" s="2"/>
      <c r="Q990" s="2"/>
      <c r="R990" s="2"/>
      <c r="S990" s="2"/>
      <c r="T990" s="2"/>
      <c r="U990" s="2"/>
      <c r="V990" s="2"/>
      <c r="W990" s="2"/>
      <c r="X990" s="2"/>
      <c r="Y990" s="2"/>
      <c r="Z990" s="2"/>
      <c r="AA990" s="2"/>
      <c r="AB990" s="2"/>
    </row>
    <row r="991" spans="1:28" customHeight="true">
      <c r="A991" s="2"/>
      <c r="B991" s="15">
        <v>45777</v>
      </c>
      <c r="C991" s="2" t="s">
        <v>1527</v>
      </c>
      <c r="D991" s="6">
        <v>350.75</v>
      </c>
      <c r="E991" s="16" t="str">
        <f>IFERROR(__xludf.DUMMYFUNCTION("IFERROR(
  TEXTJOIN(CHAR(10),TRUE,FILTER('SUMMARY DATA'!E:E,'SUMMARY DATA'!$A:$A=$A92,'SUMMARY DATA'!$C:$C=$B92,'SUMMARY DATA'!$B:$B=""GRP"")),
  IF(
    OR(
      ISNUMBER(SEARCH(""CDM CASH DEPOSIT"",$C92)),
      ISNUMBER(SEARCH(""CASH DEPOSIT"",$C92)),"&amp;"
      COUNTIFS('SUMMARY DATA'!$D:$D,$C92,'SUMMARY DATA'!$B:$B,""GRP"")&lt;&gt;1
    ),
    """",
    IFERROR(TEXTJOIN(CHAR(10),TRUE,FILTER('SUMMARY DATA'!E:E,'SUMMARY DATA'!$D:$D=$C92,'SUMMARY DATA'!$B:$B=""GRP"")),"""")
  )
)"),"")</f>
      </c>
      <c r="F991" s="17" t="str">
        <f>IFERROR(__xludf.DUMMYFUNCTION("IFERROR(
  TEXTJOIN(CHAR(10),TRUE,FILTER('SUMMARY DATA'!F:F,'SUMMARY DATA'!$A:$A=$A92,'SUMMARY DATA'!$C:$C=$B92,'SUMMARY DATA'!$B:$B=""GRP"")),
  IF(
    OR(
      ISNUMBER(SEARCH(""CDM CASH DEPOSIT"",$C92)),
      ISNUMBER(SEARCH(""CASH DEPOSIT"",$C92)),"&amp;"
      COUNTIFS('SUMMARY DATA'!$D:$D,$C92,'SUMMARY DATA'!$B:$B,""GRP"")&lt;&gt;1
    ),
    """",
    IFERROR(TEXTJOIN(CHAR(10),TRUE,FILTER('SUMMARY DATA'!F:F,'SUMMARY DATA'!$D:$D=$C92,'SUMMARY DATA'!$B:$B=""GRP"")),"""")
  )
)"),"")</f>
      </c>
      <c r="G991" s="17" t="str">
        <f>IFERROR(__xludf.DUMMYFUNCTION("IFERROR(
  TEXTJOIN(CHAR(10),TRUE,FILTER('SUMMARY DATA'!G:G,'SUMMARY DATA'!$A:$A=$A991,'SUMMARY DATA'!$C:$C=$B991,'SUMMARY DATA'!$B:$B=""RWS"")),
  IF(
    OR(
      ISNUMBER(SEARCH(""CDM CASH DEPOSIT"",$C991)),
      ISNUMBER(SEARCH(""CASH DEPOSIT"",$C99"&amp;"1)),
      COUNTIFS('SUMMARY DATA'!$D:$D,$C991,'SUMMARY DATA'!$B:$B,""RWS"")&lt;&gt;1
    ),
    """",
    IFERROR(TEXTJOIN(CHAR(10),TRUE,FILTER('SUMMARY DATA'!G:G,'SUMMARY DATA'!$D:$D=$C991,'SUMMARY DATA'!$B:$B=""RWS"")),"""")
  )
)"),"")</f>
      </c>
      <c r="H991" s="18" t="str">
        <f>IFERROR(__xludf.DUMMYFUNCTION("IFERROR(
  TEXTJOIN(CHAR(10),TRUE,FILTER('SUMMARY DATA'!H:H,'SUMMARY DATA'!$A:$A=$A991,'SUMMARY DATA'!$C:$C=$B991,'SUMMARY DATA'!$B:$B=""RWS"",'SUMMARY DATA'!$H:$H=$D991)),
  IF(
    OR(
      ISNUMBER(SEARCH(""CDM CASH DEPOSIT"",$C991)),
      ISNUMBER(S"&amp;"EARCH(""CASH DEPOSIT"",$C991))
    ),
    """",
    IFERROR(TEXTJOIN(CHAR(10),TRUE,FILTER('SUMMARY DATA'!H:H,'SUMMARY DATA'!$D:$D=$C991,'SUMMARY DATA'!$B:$B=""RWS"",'SUMMARY DATA'!$H:$H=$D991)),"""")
  )
)"),"")</f>
      </c>
      <c r="I991" s="18" t="str">
        <f>IFERROR(__xludf.DUMMYFUNCTION("IF(H991="""","""",
SUM(ARRAYFORMULA(VALUE(SPLIT(H991,CHAR(10)))))
)"),"")</f>
      </c>
      <c r="J991" s="17" t="str">
        <f>IFERROR(__xludf.DUMMYFUNCTION("IFERROR(
  TEXTJOIN(CHAR(10),TRUE,FILTER('SUMMARY DATA'!I:I,'SUMMARY DATA'!$A:$A=$A991,'SUMMARY DATA'!$C:$C=$B991,'SUMMARY DATA'!$B:$B=""RWS"")),
  IF(
    OR(
      ISNUMBER(SEARCH(""CDM CASH DEPOSIT"",$C991)),
      ISNUMBER(SEARCH(""CASH DEPOSIT"",$C99"&amp;"1)),
      COUNTIFS('SUMMARY DATA'!$D:$D,$C991,'SUMMARY DATA'!$B:$B,""RWS"")&lt;&gt;1
    ),
    """",
    IFERROR(TEXTJOIN(CHAR(10),TRUE,FILTER('SUMMARY DATA'!I:I,'SUMMARY DATA'!$D:$D=$C991,'SUMMARY DATA'!$B:$B=""RWS"")),"""")
  )
)"),"")</f>
      </c>
      <c r="K991" s="2"/>
      <c r="L991" s="2"/>
      <c r="M991" s="2"/>
      <c r="N991" s="2"/>
      <c r="O991" s="2"/>
      <c r="P991" s="2"/>
      <c r="Q991" s="2"/>
      <c r="R991" s="2"/>
      <c r="S991" s="2"/>
      <c r="T991" s="2"/>
      <c r="U991" s="2"/>
      <c r="V991" s="2"/>
      <c r="W991" s="2"/>
      <c r="X991" s="2"/>
      <c r="Y991" s="2"/>
      <c r="Z991" s="2"/>
      <c r="AA991" s="2"/>
      <c r="AB991" s="2"/>
    </row>
    <row r="992" spans="1:28" customHeight="true">
      <c r="A992" s="2"/>
      <c r="B992" s="15">
        <v>45777</v>
      </c>
      <c r="C992" s="2" t="s">
        <v>1528</v>
      </c>
      <c r="D992" s="6">
        <v>257</v>
      </c>
      <c r="E992" s="16" t="str">
        <f>IFERROR(__xludf.DUMMYFUNCTION("IFERROR(
  TEXTJOIN(CHAR(10),TRUE,FILTER('SUMMARY DATA'!E:E,'SUMMARY DATA'!$A:$A=$A93,'SUMMARY DATA'!$C:$C=$B93,'SUMMARY DATA'!$B:$B=""GRP"")),
  IF(
    OR(
      ISNUMBER(SEARCH(""CDM CASH DEPOSIT"",$C93)),
      ISNUMBER(SEARCH(""CASH DEPOSIT"",$C93)),"&amp;"
      COUNTIFS('SUMMARY DATA'!$D:$D,$C93,'SUMMARY DATA'!$B:$B,""GRP"")&lt;&gt;1
    ),
    """",
    IFERROR(TEXTJOIN(CHAR(10),TRUE,FILTER('SUMMARY DATA'!E:E,'SUMMARY DATA'!$D:$D=$C93,'SUMMARY DATA'!$B:$B=""GRP"")),"""")
  )
)"),"")</f>
      </c>
      <c r="F992" s="17" t="str">
        <f>IFERROR(__xludf.DUMMYFUNCTION("IFERROR(
  TEXTJOIN(CHAR(10),TRUE,FILTER('SUMMARY DATA'!F:F,'SUMMARY DATA'!$A:$A=$A93,'SUMMARY DATA'!$C:$C=$B93,'SUMMARY DATA'!$B:$B=""GRP"")),
  IF(
    OR(
      ISNUMBER(SEARCH(""CDM CASH DEPOSIT"",$C93)),
      ISNUMBER(SEARCH(""CASH DEPOSIT"",$C93)),"&amp;"
      COUNTIFS('SUMMARY DATA'!$D:$D,$C93,'SUMMARY DATA'!$B:$B,""GRP"")&lt;&gt;1
    ),
    """",
    IFERROR(TEXTJOIN(CHAR(10),TRUE,FILTER('SUMMARY DATA'!F:F,'SUMMARY DATA'!$D:$D=$C93,'SUMMARY DATA'!$B:$B=""GRP"")),"""")
  )
)"),"")</f>
      </c>
      <c r="G992" s="17" t="str">
        <f>IFERROR(__xludf.DUMMYFUNCTION("IFERROR(
  TEXTJOIN(CHAR(10),TRUE,FILTER('SUMMARY DATA'!G:G,'SUMMARY DATA'!$A:$A=$A992,'SUMMARY DATA'!$C:$C=$B992,'SUMMARY DATA'!$B:$B=""RWS"")),
  IF(
    OR(
      ISNUMBER(SEARCH(""CDM CASH DEPOSIT"",$C992)),
      ISNUMBER(SEARCH(""CASH DEPOSIT"",$C99"&amp;"2)),
      COUNTIFS('SUMMARY DATA'!$D:$D,$C992,'SUMMARY DATA'!$B:$B,""RWS"")&lt;&gt;1
    ),
    """",
    IFERROR(TEXTJOIN(CHAR(10),TRUE,FILTER('SUMMARY DATA'!G:G,'SUMMARY DATA'!$D:$D=$C992,'SUMMARY DATA'!$B:$B=""RWS"")),"""")
  )
)"),"")</f>
      </c>
      <c r="H992" s="18" t="str">
        <f>IFERROR(__xludf.DUMMYFUNCTION("IFERROR(
  TEXTJOIN(CHAR(10),TRUE,FILTER('SUMMARY DATA'!H:H,'SUMMARY DATA'!$A:$A=$A992,'SUMMARY DATA'!$C:$C=$B992,'SUMMARY DATA'!$B:$B=""RWS"",'SUMMARY DATA'!$H:$H=$D992)),
  IF(
    OR(
      ISNUMBER(SEARCH(""CDM CASH DEPOSIT"",$C992)),
      ISNUMBER(S"&amp;"EARCH(""CASH DEPOSIT"",$C992))
    ),
    """",
    IFERROR(TEXTJOIN(CHAR(10),TRUE,FILTER('SUMMARY DATA'!H:H,'SUMMARY DATA'!$D:$D=$C992,'SUMMARY DATA'!$B:$B=""RWS"",'SUMMARY DATA'!$H:$H=$D992)),"""")
  )
)"),"")</f>
      </c>
      <c r="I992" s="18" t="str">
        <f>IFERROR(__xludf.DUMMYFUNCTION("IF(H992="""","""",
SUM(ARRAYFORMULA(VALUE(SPLIT(H992,CHAR(10)))))
)"),"")</f>
      </c>
      <c r="J992" s="17" t="str">
        <f>IFERROR(__xludf.DUMMYFUNCTION("IFERROR(
  TEXTJOIN(CHAR(10),TRUE,FILTER('SUMMARY DATA'!I:I,'SUMMARY DATA'!$A:$A=$A992,'SUMMARY DATA'!$C:$C=$B992,'SUMMARY DATA'!$B:$B=""RWS"")),
  IF(
    OR(
      ISNUMBER(SEARCH(""CDM CASH DEPOSIT"",$C992)),
      ISNUMBER(SEARCH(""CASH DEPOSIT"",$C99"&amp;"2)),
      COUNTIFS('SUMMARY DATA'!$D:$D,$C992,'SUMMARY DATA'!$B:$B,""RWS"")&lt;&gt;1
    ),
    """",
    IFERROR(TEXTJOIN(CHAR(10),TRUE,FILTER('SUMMARY DATA'!I:I,'SUMMARY DATA'!$D:$D=$C992,'SUMMARY DATA'!$B:$B=""RWS"")),"""")
  )
)"),"")</f>
      </c>
      <c r="K992" s="2"/>
      <c r="L992" s="2"/>
      <c r="M992" s="2"/>
      <c r="N992" s="2"/>
      <c r="O992" s="2"/>
      <c r="P992" s="2"/>
      <c r="Q992" s="2"/>
      <c r="R992" s="2"/>
      <c r="S992" s="2"/>
      <c r="T992" s="2"/>
      <c r="U992" s="2"/>
      <c r="V992" s="2"/>
      <c r="W992" s="2"/>
      <c r="X992" s="2"/>
      <c r="Y992" s="2"/>
      <c r="Z992" s="2"/>
      <c r="AA992" s="2"/>
      <c r="AB992" s="2"/>
    </row>
    <row r="993" spans="1:28" customHeight="true">
      <c r="A993" s="2"/>
      <c r="B993" s="15">
        <v>45777</v>
      </c>
      <c r="C993" s="2" t="s">
        <v>1529</v>
      </c>
      <c r="D993" s="6">
        <v>221.41</v>
      </c>
      <c r="E993" s="16" t="str">
        <f>IFERROR(__xludf.DUMMYFUNCTION("IFERROR(
  TEXTJOIN(CHAR(10),TRUE,FILTER('SUMMARY DATA'!E:E,'SUMMARY DATA'!$A:$A=$A94,'SUMMARY DATA'!$C:$C=$B94,'SUMMARY DATA'!$B:$B=""GRP"")),
  IF(
    OR(
      ISNUMBER(SEARCH(""CDM CASH DEPOSIT"",$C94)),
      ISNUMBER(SEARCH(""CASH DEPOSIT"",$C94)),"&amp;"
      COUNTIFS('SUMMARY DATA'!$D:$D,$C94,'SUMMARY DATA'!$B:$B,""GRP"")&lt;&gt;1
    ),
    """",
    IFERROR(TEXTJOIN(CHAR(10),TRUE,FILTER('SUMMARY DATA'!E:E,'SUMMARY DATA'!$D:$D=$C94,'SUMMARY DATA'!$B:$B=""GRP"")),"""")
  )
)"),"")</f>
      </c>
      <c r="F993" s="17" t="str">
        <f>IFERROR(__xludf.DUMMYFUNCTION("IFERROR(
  TEXTJOIN(CHAR(10),TRUE,FILTER('SUMMARY DATA'!F:F,'SUMMARY DATA'!$A:$A=$A94,'SUMMARY DATA'!$C:$C=$B94,'SUMMARY DATA'!$B:$B=""GRP"")),
  IF(
    OR(
      ISNUMBER(SEARCH(""CDM CASH DEPOSIT"",$C94)),
      ISNUMBER(SEARCH(""CASH DEPOSIT"",$C94)),"&amp;"
      COUNTIFS('SUMMARY DATA'!$D:$D,$C94,'SUMMARY DATA'!$B:$B,""GRP"")&lt;&gt;1
    ),
    """",
    IFERROR(TEXTJOIN(CHAR(10),TRUE,FILTER('SUMMARY DATA'!F:F,'SUMMARY DATA'!$D:$D=$C94,'SUMMARY DATA'!$B:$B=""GRP"")),"""")
  )
)"),"")</f>
      </c>
      <c r="G993" s="17" t="str">
        <f>IFERROR(__xludf.DUMMYFUNCTION("IFERROR(
  TEXTJOIN(CHAR(10),TRUE,FILTER('SUMMARY DATA'!G:G,'SUMMARY DATA'!$A:$A=$A993,'SUMMARY DATA'!$C:$C=$B993,'SUMMARY DATA'!$B:$B=""RWS"")),
  IF(
    OR(
      ISNUMBER(SEARCH(""CDM CASH DEPOSIT"",$C993)),
      ISNUMBER(SEARCH(""CASH DEPOSIT"",$C99"&amp;"3)),
      COUNTIFS('SUMMARY DATA'!$D:$D,$C993,'SUMMARY DATA'!$B:$B,""RWS"")&lt;&gt;1
    ),
    """",
    IFERROR(TEXTJOIN(CHAR(10),TRUE,FILTER('SUMMARY DATA'!G:G,'SUMMARY DATA'!$D:$D=$C993,'SUMMARY DATA'!$B:$B=""RWS"")),"""")
  )
)"),"")</f>
      </c>
      <c r="H993" s="18" t="str">
        <f>IFERROR(__xludf.DUMMYFUNCTION("IFERROR(
  TEXTJOIN(CHAR(10),TRUE,FILTER('SUMMARY DATA'!H:H,'SUMMARY DATA'!$A:$A=$A993,'SUMMARY DATA'!$C:$C=$B993,'SUMMARY DATA'!$B:$B=""RWS"",'SUMMARY DATA'!$H:$H=$D993)),
  IF(
    OR(
      ISNUMBER(SEARCH(""CDM CASH DEPOSIT"",$C993)),
      ISNUMBER(S"&amp;"EARCH(""CASH DEPOSIT"",$C993))
    ),
    """",
    IFERROR(TEXTJOIN(CHAR(10),TRUE,FILTER('SUMMARY DATA'!H:H,'SUMMARY DATA'!$D:$D=$C993,'SUMMARY DATA'!$B:$B=""RWS"",'SUMMARY DATA'!$H:$H=$D993)),"""")
  )
)"),"")</f>
      </c>
      <c r="I993" s="18" t="str">
        <f>IFERROR(__xludf.DUMMYFUNCTION("IF(H993="""","""",
SUM(ARRAYFORMULA(VALUE(SPLIT(H993,CHAR(10)))))
)"),"")</f>
      </c>
      <c r="J993" s="17" t="str">
        <f>IFERROR(__xludf.DUMMYFUNCTION("IFERROR(
  TEXTJOIN(CHAR(10),TRUE,FILTER('SUMMARY DATA'!I:I,'SUMMARY DATA'!$A:$A=$A993,'SUMMARY DATA'!$C:$C=$B993,'SUMMARY DATA'!$B:$B=""RWS"")),
  IF(
    OR(
      ISNUMBER(SEARCH(""CDM CASH DEPOSIT"",$C993)),
      ISNUMBER(SEARCH(""CASH DEPOSIT"",$C99"&amp;"3)),
      COUNTIFS('SUMMARY DATA'!$D:$D,$C993,'SUMMARY DATA'!$B:$B,""RWS"")&lt;&gt;1
    ),
    """",
    IFERROR(TEXTJOIN(CHAR(10),TRUE,FILTER('SUMMARY DATA'!I:I,'SUMMARY DATA'!$D:$D=$C993,'SUMMARY DATA'!$B:$B=""RWS"")),"""")
  )
)"),"")</f>
      </c>
      <c r="K993" s="2"/>
      <c r="L993" s="2"/>
      <c r="M993" s="2"/>
      <c r="N993" s="2"/>
      <c r="O993" s="2"/>
      <c r="P993" s="2"/>
      <c r="Q993" s="2"/>
      <c r="R993" s="2"/>
      <c r="S993" s="2"/>
      <c r="T993" s="2"/>
      <c r="U993" s="2"/>
      <c r="V993" s="2"/>
      <c r="W993" s="2"/>
      <c r="X993" s="2"/>
      <c r="Y993" s="2"/>
      <c r="Z993" s="2"/>
      <c r="AA993" s="2"/>
      <c r="AB993" s="2"/>
    </row>
    <row r="994" spans="1:28" customHeight="true">
      <c r="A994" s="2" t="s">
        <v>1446</v>
      </c>
      <c r="B994" s="15">
        <v>45777</v>
      </c>
      <c r="C994" s="2" t="s">
        <v>240</v>
      </c>
      <c r="D994" s="6">
        <v>142.88</v>
      </c>
      <c r="E994" s="16" t="str">
        <f>IFERROR(__xludf.DUMMYFUNCTION("IFERROR(
  TEXTJOIN(CHAR(10),TRUE,FILTER('SUMMARY DATA'!E:E,'SUMMARY DATA'!$A:$A=$A95,'SUMMARY DATA'!$C:$C=$B95,'SUMMARY DATA'!$B:$B=""GRP"")),
  IF(
    OR(
      ISNUMBER(SEARCH(""CDM CASH DEPOSIT"",$C95)),
      ISNUMBER(SEARCH(""CASH DEPOSIT"",$C95)),"&amp;"
      COUNTIFS('SUMMARY DATA'!$D:$D,$C95,'SUMMARY DATA'!$B:$B,""GRP"")&lt;&gt;1
    ),
    """",
    IFERROR(TEXTJOIN(CHAR(10),TRUE,FILTER('SUMMARY DATA'!E:E,'SUMMARY DATA'!$D:$D=$C95,'SUMMARY DATA'!$B:$B=""GRP"")),"""")
  )
)"),"")</f>
      </c>
      <c r="F994" s="17" t="str">
        <f>IFERROR(__xludf.DUMMYFUNCTION("IFERROR(
  TEXTJOIN(CHAR(10),TRUE,FILTER('SUMMARY DATA'!F:F,'SUMMARY DATA'!$A:$A=$A95,'SUMMARY DATA'!$C:$C=$B95,'SUMMARY DATA'!$B:$B=""GRP"")),
  IF(
    OR(
      ISNUMBER(SEARCH(""CDM CASH DEPOSIT"",$C95)),
      ISNUMBER(SEARCH(""CASH DEPOSIT"",$C95)),"&amp;"
      COUNTIFS('SUMMARY DATA'!$D:$D,$C95,'SUMMARY DATA'!$B:$B,""GRP"")&lt;&gt;1
    ),
    """",
    IFERROR(TEXTJOIN(CHAR(10),TRUE,FILTER('SUMMARY DATA'!F:F,'SUMMARY DATA'!$D:$D=$C95,'SUMMARY DATA'!$B:$B=""GRP"")),"""")
  )
)"),"")</f>
      </c>
      <c r="G994" s="17" t="str">
        <f>IFERROR(__xludf.DUMMYFUNCTION("IFERROR(
  TEXTJOIN(CHAR(10),TRUE,FILTER('SUMMARY DATA'!G:G,'SUMMARY DATA'!$A:$A=$A994,'SUMMARY DATA'!$C:$C=$B994,'SUMMARY DATA'!$B:$B=""RWS"")),
  IF(
    OR(
      ISNUMBER(SEARCH(""CDM CASH DEPOSIT"",$C994)),
      ISNUMBER(SEARCH(""CASH DEPOSIT"",$C99"&amp;"4)),
      COUNTIFS('SUMMARY DATA'!$D:$D,$C994,'SUMMARY DATA'!$B:$B,""RWS"")&lt;&gt;1
    ),
    """",
    IFERROR(TEXTJOIN(CHAR(10),TRUE,FILTER('SUMMARY DATA'!G:G,'SUMMARY DATA'!$D:$D=$C994,'SUMMARY DATA'!$B:$B=""RWS"")),"""")
  )
)"),"")</f>
      </c>
      <c r="H994" s="18" t="str">
        <f>IFERROR(__xludf.DUMMYFUNCTION("IFERROR(
  TEXTJOIN(CHAR(10),TRUE,FILTER('SUMMARY DATA'!H:H,'SUMMARY DATA'!$A:$A=$A994,'SUMMARY DATA'!$C:$C=$B994,'SUMMARY DATA'!$B:$B=""RWS"",'SUMMARY DATA'!$H:$H=$D994)),
  IF(
    OR(
      ISNUMBER(SEARCH(""CDM CASH DEPOSIT"",$C994)),
      ISNUMBER(S"&amp;"EARCH(""CASH DEPOSIT"",$C994))
    ),
    """",
    IFERROR(TEXTJOIN(CHAR(10),TRUE,FILTER('SUMMARY DATA'!H:H,'SUMMARY DATA'!$D:$D=$C994,'SUMMARY DATA'!$B:$B=""RWS"",'SUMMARY DATA'!$H:$H=$D994)),"""")
  )
)"),"")</f>
      </c>
      <c r="I994" s="18" t="str">
        <f>IFERROR(__xludf.DUMMYFUNCTION("IF(H994="""","""",
SUM(ARRAYFORMULA(VALUE(SPLIT(H994,CHAR(10)))))
)"),"")</f>
      </c>
      <c r="J994" s="17" t="str">
        <f>IFERROR(__xludf.DUMMYFUNCTION("IFERROR(
  TEXTJOIN(CHAR(10),TRUE,FILTER('SUMMARY DATA'!I:I,'SUMMARY DATA'!$A:$A=$A994,'SUMMARY DATA'!$C:$C=$B994,'SUMMARY DATA'!$B:$B=""RWS"")),
  IF(
    OR(
      ISNUMBER(SEARCH(""CDM CASH DEPOSIT"",$C994)),
      ISNUMBER(SEARCH(""CASH DEPOSIT"",$C99"&amp;"4)),
      COUNTIFS('SUMMARY DATA'!$D:$D,$C994,'SUMMARY DATA'!$B:$B,""RWS"")&lt;&gt;1
    ),
    """",
    IFERROR(TEXTJOIN(CHAR(10),TRUE,FILTER('SUMMARY DATA'!I:I,'SUMMARY DATA'!$D:$D=$C994,'SUMMARY DATA'!$B:$B=""RWS"")),"""")
  )
)"),"")</f>
      </c>
      <c r="K994" s="2"/>
      <c r="L994" s="2"/>
      <c r="M994" s="2"/>
      <c r="N994" s="2"/>
      <c r="O994" s="2"/>
      <c r="P994" s="2"/>
      <c r="Q994" s="2"/>
      <c r="R994" s="2"/>
      <c r="S994" s="2"/>
      <c r="T994" s="2"/>
      <c r="U994" s="2"/>
      <c r="V994" s="2"/>
      <c r="W994" s="2"/>
      <c r="X994" s="2"/>
      <c r="Y994" s="2"/>
      <c r="Z994" s="2"/>
      <c r="AA994" s="2"/>
      <c r="AB994" s="2"/>
    </row>
    <row r="995" spans="1:28" customHeight="true">
      <c r="A995" s="2" t="s">
        <v>1530</v>
      </c>
      <c r="B995" s="15">
        <v>45777</v>
      </c>
      <c r="C995" s="2" t="s">
        <v>1531</v>
      </c>
      <c r="D995" s="6">
        <v>93.5</v>
      </c>
      <c r="E995" s="16" t="str">
        <f>IFERROR(__xludf.DUMMYFUNCTION("IFERROR(
  TEXTJOIN(CHAR(10),TRUE,FILTER('SUMMARY DATA'!E:E,'SUMMARY DATA'!$A:$A=$A96,'SUMMARY DATA'!$C:$C=$B96,'SUMMARY DATA'!$B:$B=""GRP"")),
  IF(
    OR(
      ISNUMBER(SEARCH(""CDM CASH DEPOSIT"",$C96)),
      ISNUMBER(SEARCH(""CASH DEPOSIT"",$C96)),"&amp;"
      COUNTIFS('SUMMARY DATA'!$D:$D,$C96,'SUMMARY DATA'!$B:$B,""GRP"")&lt;&gt;1
    ),
    """",
    IFERROR(TEXTJOIN(CHAR(10),TRUE,FILTER('SUMMARY DATA'!E:E,'SUMMARY DATA'!$D:$D=$C96,'SUMMARY DATA'!$B:$B=""GRP"")),"""")
  )
)"),"")</f>
      </c>
      <c r="F995" s="17" t="str">
        <f>IFERROR(__xludf.DUMMYFUNCTION("IFERROR(
  TEXTJOIN(CHAR(10),TRUE,FILTER('SUMMARY DATA'!F:F,'SUMMARY DATA'!$A:$A=$A96,'SUMMARY DATA'!$C:$C=$B96,'SUMMARY DATA'!$B:$B=""GRP"")),
  IF(
    OR(
      ISNUMBER(SEARCH(""CDM CASH DEPOSIT"",$C96)),
      ISNUMBER(SEARCH(""CASH DEPOSIT"",$C96)),"&amp;"
      COUNTIFS('SUMMARY DATA'!$D:$D,$C96,'SUMMARY DATA'!$B:$B,""GRP"")&lt;&gt;1
    ),
    """",
    IFERROR(TEXTJOIN(CHAR(10),TRUE,FILTER('SUMMARY DATA'!F:F,'SUMMARY DATA'!$D:$D=$C96,'SUMMARY DATA'!$B:$B=""GRP"")),"""")
  )
)"),"")</f>
      </c>
      <c r="G995" s="17" t="str">
        <f>IFERROR(__xludf.DUMMYFUNCTION("IFERROR(
  TEXTJOIN(CHAR(10),TRUE,FILTER('SUMMARY DATA'!G:G,'SUMMARY DATA'!$A:$A=$A995,'SUMMARY DATA'!$C:$C=$B995,'SUMMARY DATA'!$B:$B=""RWS"")),
  IF(
    OR(
      ISNUMBER(SEARCH(""CDM CASH DEPOSIT"",$C995)),
      ISNUMBER(SEARCH(""CASH DEPOSIT"",$C99"&amp;"5)),
      COUNTIFS('SUMMARY DATA'!$D:$D,$C995,'SUMMARY DATA'!$B:$B,""RWS"")&lt;&gt;1
    ),
    """",
    IFERROR(TEXTJOIN(CHAR(10),TRUE,FILTER('SUMMARY DATA'!G:G,'SUMMARY DATA'!$D:$D=$C995,'SUMMARY DATA'!$B:$B=""RWS"")),"""")
  )
)"),"")</f>
      </c>
      <c r="H995" s="18" t="str">
        <f>IFERROR(__xludf.DUMMYFUNCTION("IFERROR(
  TEXTJOIN(CHAR(10),TRUE,FILTER('SUMMARY DATA'!H:H,'SUMMARY DATA'!$A:$A=$A995,'SUMMARY DATA'!$C:$C=$B995,'SUMMARY DATA'!$B:$B=""RWS"",'SUMMARY DATA'!$H:$H=$D995)),
  IF(
    OR(
      ISNUMBER(SEARCH(""CDM CASH DEPOSIT"",$C995)),
      ISNUMBER(S"&amp;"EARCH(""CASH DEPOSIT"",$C995))
    ),
    """",
    IFERROR(TEXTJOIN(CHAR(10),TRUE,FILTER('SUMMARY DATA'!H:H,'SUMMARY DATA'!$D:$D=$C995,'SUMMARY DATA'!$B:$B=""RWS"",'SUMMARY DATA'!$H:$H=$D995)),"""")
  )
)"),"")</f>
      </c>
      <c r="I995" s="18" t="str">
        <f>IFERROR(__xludf.DUMMYFUNCTION("IF(H995="""","""",
SUM(ARRAYFORMULA(VALUE(SPLIT(H995,CHAR(10)))))
)"),"")</f>
      </c>
      <c r="J995" s="17" t="str">
        <f>IFERROR(__xludf.DUMMYFUNCTION("IFERROR(
  TEXTJOIN(CHAR(10),TRUE,FILTER('SUMMARY DATA'!I:I,'SUMMARY DATA'!$A:$A=$A995,'SUMMARY DATA'!$C:$C=$B995,'SUMMARY DATA'!$B:$B=""RWS"")),
  IF(
    OR(
      ISNUMBER(SEARCH(""CDM CASH DEPOSIT"",$C995)),
      ISNUMBER(SEARCH(""CASH DEPOSIT"",$C99"&amp;"5)),
      COUNTIFS('SUMMARY DATA'!$D:$D,$C995,'SUMMARY DATA'!$B:$B,""RWS"")&lt;&gt;1
    ),
    """",
    IFERROR(TEXTJOIN(CHAR(10),TRUE,FILTER('SUMMARY DATA'!I:I,'SUMMARY DATA'!$D:$D=$C995,'SUMMARY DATA'!$B:$B=""RWS"")),"""")
  )
)"),"")</f>
      </c>
      <c r="K995" s="2"/>
      <c r="L995" s="2"/>
      <c r="M995" s="2"/>
      <c r="N995" s="2"/>
      <c r="O995" s="2"/>
      <c r="P995" s="2"/>
      <c r="Q995" s="2"/>
      <c r="R995" s="2"/>
      <c r="S995" s="2"/>
      <c r="T995" s="2"/>
      <c r="U995" s="2"/>
      <c r="V995" s="2"/>
      <c r="W995" s="2"/>
      <c r="X995" s="2"/>
      <c r="Y995" s="2"/>
      <c r="Z995" s="2"/>
      <c r="AA995" s="2"/>
      <c r="AB995" s="2"/>
    </row>
    <row r="996" spans="1:28" customHeight="true">
      <c r="A996" s="2"/>
      <c r="B996" s="15">
        <v>45777</v>
      </c>
      <c r="C996" s="2" t="s">
        <v>1532</v>
      </c>
      <c r="D996" s="6">
        <v>10</v>
      </c>
      <c r="E996" s="16" t="str">
        <f>IFERROR(__xludf.DUMMYFUNCTION("IFERROR(
  TEXTJOIN(CHAR(10),TRUE,FILTER('SUMMARY DATA'!E:E,'SUMMARY DATA'!$A:$A=$A97,'SUMMARY DATA'!$C:$C=$B97,'SUMMARY DATA'!$B:$B=""GRP"")),
  IF(
    OR(
      ISNUMBER(SEARCH(""CDM CASH DEPOSIT"",$C97)),
      ISNUMBER(SEARCH(""CASH DEPOSIT"",$C97)),"&amp;"
      COUNTIFS('SUMMARY DATA'!$D:$D,$C97,'SUMMARY DATA'!$B:$B,""GRP"")&lt;&gt;1
    ),
    """",
    IFERROR(TEXTJOIN(CHAR(10),TRUE,FILTER('SUMMARY DATA'!E:E,'SUMMARY DATA'!$D:$D=$C97,'SUMMARY DATA'!$B:$B=""GRP"")),"""")
  )
)"),"")</f>
      </c>
      <c r="F996" s="17" t="str">
        <f>IFERROR(__xludf.DUMMYFUNCTION("IFERROR(
  TEXTJOIN(CHAR(10),TRUE,FILTER('SUMMARY DATA'!F:F,'SUMMARY DATA'!$A:$A=$A97,'SUMMARY DATA'!$C:$C=$B97,'SUMMARY DATA'!$B:$B=""GRP"")),
  IF(
    OR(
      ISNUMBER(SEARCH(""CDM CASH DEPOSIT"",$C97)),
      ISNUMBER(SEARCH(""CASH DEPOSIT"",$C97)),"&amp;"
      COUNTIFS('SUMMARY DATA'!$D:$D,$C97,'SUMMARY DATA'!$B:$B,""GRP"")&lt;&gt;1
    ),
    """",
    IFERROR(TEXTJOIN(CHAR(10),TRUE,FILTER('SUMMARY DATA'!F:F,'SUMMARY DATA'!$D:$D=$C97,'SUMMARY DATA'!$B:$B=""GRP"")),"""")
  )
)"),"")</f>
      </c>
      <c r="G996" s="17" t="str">
        <f>IFERROR(__xludf.DUMMYFUNCTION("IFERROR(
  TEXTJOIN(CHAR(10),TRUE,FILTER('SUMMARY DATA'!G:G,'SUMMARY DATA'!$A:$A=$A996,'SUMMARY DATA'!$C:$C=$B996,'SUMMARY DATA'!$B:$B=""RWS"")),
  IF(
    OR(
      ISNUMBER(SEARCH(""CDM CASH DEPOSIT"",$C996)),
      ISNUMBER(SEARCH(""CASH DEPOSIT"",$C99"&amp;"6)),
      COUNTIFS('SUMMARY DATA'!$D:$D,$C996,'SUMMARY DATA'!$B:$B,""RWS"")&lt;&gt;1
    ),
    """",
    IFERROR(TEXTJOIN(CHAR(10),TRUE,FILTER('SUMMARY DATA'!G:G,'SUMMARY DATA'!$D:$D=$C996,'SUMMARY DATA'!$B:$B=""RWS"")),"""")
  )
)"),"")</f>
      </c>
      <c r="H996" s="18" t="str">
        <f>IFERROR(__xludf.DUMMYFUNCTION("IFERROR(
  TEXTJOIN(CHAR(10),TRUE,FILTER('SUMMARY DATA'!H:H,'SUMMARY DATA'!$A:$A=$A996,'SUMMARY DATA'!$C:$C=$B996,'SUMMARY DATA'!$B:$B=""RWS"",'SUMMARY DATA'!$H:$H=$D996)),
  IF(
    OR(
      ISNUMBER(SEARCH(""CDM CASH DEPOSIT"",$C996)),
      ISNUMBER(S"&amp;"EARCH(""CASH DEPOSIT"",$C996))
    ),
    """",
    IFERROR(TEXTJOIN(CHAR(10),TRUE,FILTER('SUMMARY DATA'!H:H,'SUMMARY DATA'!$D:$D=$C996,'SUMMARY DATA'!$B:$B=""RWS"",'SUMMARY DATA'!$H:$H=$D996)),"""")
  )
)"),"")</f>
      </c>
      <c r="I996" s="18" t="str">
        <f>IFERROR(__xludf.DUMMYFUNCTION("IF(H996="""","""",
SUM(ARRAYFORMULA(VALUE(SPLIT(H996,CHAR(10)))))
)"),"")</f>
      </c>
      <c r="J996" s="17" t="str">
        <f>IFERROR(__xludf.DUMMYFUNCTION("IFERROR(
  TEXTJOIN(CHAR(10),TRUE,FILTER('SUMMARY DATA'!I:I,'SUMMARY DATA'!$A:$A=$A996,'SUMMARY DATA'!$C:$C=$B996,'SUMMARY DATA'!$B:$B=""RWS"")),
  IF(
    OR(
      ISNUMBER(SEARCH(""CDM CASH DEPOSIT"",$C996)),
      ISNUMBER(SEARCH(""CASH DEPOSIT"",$C99"&amp;"6)),
      COUNTIFS('SUMMARY DATA'!$D:$D,$C996,'SUMMARY DATA'!$B:$B,""RWS"")&lt;&gt;1
    ),
    """",
    IFERROR(TEXTJOIN(CHAR(10),TRUE,FILTER('SUMMARY DATA'!I:I,'SUMMARY DATA'!$D:$D=$C996,'SUMMARY DATA'!$B:$B=""RWS"")),"""")
  )
)"),"")</f>
      </c>
      <c r="K996" s="2"/>
      <c r="L996" s="2"/>
      <c r="M996" s="2"/>
      <c r="N996" s="2"/>
      <c r="O996" s="2"/>
      <c r="P996" s="2"/>
      <c r="Q996" s="2"/>
      <c r="R996" s="2"/>
      <c r="S996" s="2"/>
      <c r="T996" s="2"/>
      <c r="U996" s="2"/>
      <c r="V996" s="2"/>
      <c r="W996" s="2"/>
      <c r="X996" s="2"/>
      <c r="Y996" s="2"/>
      <c r="Z996" s="2"/>
      <c r="AA996" s="2"/>
      <c r="AB996" s="2"/>
    </row>
    <row r="997" spans="1:28" customHeight="true">
      <c r="A997" s="2"/>
      <c r="B997" s="15">
        <v>45778</v>
      </c>
      <c r="C997" s="2" t="s">
        <v>1533</v>
      </c>
      <c r="D997" s="6">
        <v>641.64</v>
      </c>
      <c r="E997" s="16" t="str">
        <f>IFERROR(__xludf.DUMMYFUNCTION("IFERROR(
  TEXTJOIN(CHAR(10),TRUE,FILTER('SUMMARY DATA'!E:E,'SUMMARY DATA'!$A:$A=$A98,'SUMMARY DATA'!$C:$C=$B98,'SUMMARY DATA'!$B:$B=""GRP"")),
  IF(
    OR(
      ISNUMBER(SEARCH(""CDM CASH DEPOSIT"",$C98)),
      ISNUMBER(SEARCH(""CASH DEPOSIT"",$C98)),"&amp;"
      COUNTIFS('SUMMARY DATA'!$D:$D,$C98,'SUMMARY DATA'!$B:$B,""GRP"")&lt;&gt;1
    ),
    """",
    IFERROR(TEXTJOIN(CHAR(10),TRUE,FILTER('SUMMARY DATA'!E:E,'SUMMARY DATA'!$D:$D=$C98,'SUMMARY DATA'!$B:$B=""GRP"")),"""")
  )
)"),"")</f>
      </c>
      <c r="F997" s="17" t="str">
        <f>IFERROR(__xludf.DUMMYFUNCTION("IFERROR(
  TEXTJOIN(CHAR(10),TRUE,FILTER('SUMMARY DATA'!F:F,'SUMMARY DATA'!$A:$A=$A98,'SUMMARY DATA'!$C:$C=$B98,'SUMMARY DATA'!$B:$B=""GRP"")),
  IF(
    OR(
      ISNUMBER(SEARCH(""CDM CASH DEPOSIT"",$C98)),
      ISNUMBER(SEARCH(""CASH DEPOSIT"",$C98)),"&amp;"
      COUNTIFS('SUMMARY DATA'!$D:$D,$C98,'SUMMARY DATA'!$B:$B,""GRP"")&lt;&gt;1
    ),
    """",
    IFERROR(TEXTJOIN(CHAR(10),TRUE,FILTER('SUMMARY DATA'!F:F,'SUMMARY DATA'!$D:$D=$C98,'SUMMARY DATA'!$B:$B=""GRP"")),"""")
  )
)"),"")</f>
      </c>
      <c r="G997" s="17" t="str">
        <f>IFERROR(__xludf.DUMMYFUNCTION("IFERROR(
  TEXTJOIN(CHAR(10),TRUE,FILTER('SUMMARY DATA'!G:G,'SUMMARY DATA'!$A:$A=$A997,'SUMMARY DATA'!$C:$C=$B997,'SUMMARY DATA'!$B:$B=""RWS"")),
  IF(
    OR(
      ISNUMBER(SEARCH(""CDM CASH DEPOSIT"",$C997)),
      ISNUMBER(SEARCH(""CASH DEPOSIT"",$C99"&amp;"7)),
      COUNTIFS('SUMMARY DATA'!$D:$D,$C997,'SUMMARY DATA'!$B:$B,""RWS"")&lt;&gt;1
    ),
    """",
    IFERROR(TEXTJOIN(CHAR(10),TRUE,FILTER('SUMMARY DATA'!G:G,'SUMMARY DATA'!$D:$D=$C997,'SUMMARY DATA'!$B:$B=""RWS"")),"""")
  )
)"),"")</f>
      </c>
      <c r="H997" s="18" t="str">
        <f>IFERROR(__xludf.DUMMYFUNCTION("IFERROR(
  TEXTJOIN(CHAR(10),TRUE,FILTER('SUMMARY DATA'!H:H,'SUMMARY DATA'!$A:$A=$A997,'SUMMARY DATA'!$C:$C=$B997,'SUMMARY DATA'!$B:$B=""RWS"",'SUMMARY DATA'!$H:$H=$D997)),
  IF(
    OR(
      ISNUMBER(SEARCH(""CDM CASH DEPOSIT"",$C997)),
      ISNUMBER(S"&amp;"EARCH(""CASH DEPOSIT"",$C997))
    ),
    """",
    IFERROR(TEXTJOIN(CHAR(10),TRUE,FILTER('SUMMARY DATA'!H:H,'SUMMARY DATA'!$D:$D=$C997,'SUMMARY DATA'!$B:$B=""RWS"",'SUMMARY DATA'!$H:$H=$D997)),"""")
  )
)"),"")</f>
      </c>
      <c r="I997" s="18" t="str">
        <f>IFERROR(__xludf.DUMMYFUNCTION("IF(H997="""","""",
SUM(ARRAYFORMULA(VALUE(SPLIT(H997,CHAR(10)))))
)"),"")</f>
      </c>
      <c r="J997" s="17" t="str">
        <f>IFERROR(__xludf.DUMMYFUNCTION("IFERROR(
  TEXTJOIN(CHAR(10),TRUE,FILTER('SUMMARY DATA'!I:I,'SUMMARY DATA'!$A:$A=$A997,'SUMMARY DATA'!$C:$C=$B997,'SUMMARY DATA'!$B:$B=""RWS"")),
  IF(
    OR(
      ISNUMBER(SEARCH(""CDM CASH DEPOSIT"",$C997)),
      ISNUMBER(SEARCH(""CASH DEPOSIT"",$C99"&amp;"7)),
      COUNTIFS('SUMMARY DATA'!$D:$D,$C997,'SUMMARY DATA'!$B:$B,""RWS"")&lt;&gt;1
    ),
    """",
    IFERROR(TEXTJOIN(CHAR(10),TRUE,FILTER('SUMMARY DATA'!I:I,'SUMMARY DATA'!$D:$D=$C997,'SUMMARY DATA'!$B:$B=""RWS"")),"""")
  )
)"),"")</f>
      </c>
      <c r="K997" s="2"/>
      <c r="L997" s="2"/>
      <c r="M997" s="2"/>
      <c r="N997" s="2"/>
      <c r="O997" s="2"/>
      <c r="P997" s="2"/>
      <c r="Q997" s="2"/>
      <c r="R997" s="2"/>
      <c r="S997" s="2"/>
      <c r="T997" s="2"/>
      <c r="U997" s="2"/>
      <c r="V997" s="2"/>
      <c r="W997" s="2"/>
      <c r="X997" s="2"/>
      <c r="Y997" s="2"/>
      <c r="Z997" s="2"/>
      <c r="AA997" s="2"/>
      <c r="AB997" s="2"/>
    </row>
    <row r="998" spans="1:28" customHeight="true">
      <c r="A998" s="2" t="s">
        <v>1442</v>
      </c>
      <c r="B998" s="15">
        <v>45778</v>
      </c>
      <c r="C998" s="2" t="s">
        <v>1534</v>
      </c>
      <c r="D998" s="6">
        <v>131.64</v>
      </c>
      <c r="E998" s="16" t="str">
        <f>IFERROR(__xludf.DUMMYFUNCTION("IFERROR(
  TEXTJOIN(CHAR(10),TRUE,FILTER('SUMMARY DATA'!E:E,'SUMMARY DATA'!$A:$A=$A99,'SUMMARY DATA'!$C:$C=$B99,'SUMMARY DATA'!$B:$B=""GRP"")),
  IF(
    OR(
      ISNUMBER(SEARCH(""CDM CASH DEPOSIT"",$C99)),
      ISNUMBER(SEARCH(""CASH DEPOSIT"",$C99)),"&amp;"
      COUNTIFS('SUMMARY DATA'!$D:$D,$C99,'SUMMARY DATA'!$B:$B,""GRP"")&lt;&gt;1
    ),
    """",
    IFERROR(TEXTJOIN(CHAR(10),TRUE,FILTER('SUMMARY DATA'!E:E,'SUMMARY DATA'!$D:$D=$C99,'SUMMARY DATA'!$B:$B=""GRP"")),"""")
  )
)"),"")</f>
      </c>
      <c r="F998" s="17" t="str">
        <f>IFERROR(__xludf.DUMMYFUNCTION("IFERROR(
  TEXTJOIN(CHAR(10),TRUE,FILTER('SUMMARY DATA'!F:F,'SUMMARY DATA'!$A:$A=$A99,'SUMMARY DATA'!$C:$C=$B99,'SUMMARY DATA'!$B:$B=""GRP"")),
  IF(
    OR(
      ISNUMBER(SEARCH(""CDM CASH DEPOSIT"",$C99)),
      ISNUMBER(SEARCH(""CASH DEPOSIT"",$C99)),"&amp;"
      COUNTIFS('SUMMARY DATA'!$D:$D,$C99,'SUMMARY DATA'!$B:$B,""GRP"")&lt;&gt;1
    ),
    """",
    IFERROR(TEXTJOIN(CHAR(10),TRUE,FILTER('SUMMARY DATA'!F:F,'SUMMARY DATA'!$D:$D=$C99,'SUMMARY DATA'!$B:$B=""GRP"")),"""")
  )
)"),"")</f>
      </c>
      <c r="G998" s="17" t="str">
        <f>IFERROR(__xludf.DUMMYFUNCTION("IFERROR(
  TEXTJOIN(CHAR(10),TRUE,FILTER('SUMMARY DATA'!G:G,'SUMMARY DATA'!$A:$A=$A998,'SUMMARY DATA'!$C:$C=$B998,'SUMMARY DATA'!$B:$B=""RWS"")),
  IF(
    OR(
      ISNUMBER(SEARCH(""CDM CASH DEPOSIT"",$C998)),
      ISNUMBER(SEARCH(""CASH DEPOSIT"",$C99"&amp;"8)),
      COUNTIFS('SUMMARY DATA'!$D:$D,$C998,'SUMMARY DATA'!$B:$B,""RWS"")&lt;&gt;1
    ),
    """",
    IFERROR(TEXTJOIN(CHAR(10),TRUE,FILTER('SUMMARY DATA'!G:G,'SUMMARY DATA'!$D:$D=$C998,'SUMMARY DATA'!$B:$B=""RWS"")),"""")
  )
)"),"")</f>
      </c>
      <c r="H998" s="18" t="str">
        <f>IFERROR(__xludf.DUMMYFUNCTION("IFERROR(
  TEXTJOIN(CHAR(10),TRUE,FILTER('SUMMARY DATA'!H:H,'SUMMARY DATA'!$A:$A=$A998,'SUMMARY DATA'!$C:$C=$B998,'SUMMARY DATA'!$B:$B=""RWS"",'SUMMARY DATA'!$H:$H=$D998)),
  IF(
    OR(
      ISNUMBER(SEARCH(""CDM CASH DEPOSIT"",$C998)),
      ISNUMBER(S"&amp;"EARCH(""CASH DEPOSIT"",$C998))
    ),
    """",
    IFERROR(TEXTJOIN(CHAR(10),TRUE,FILTER('SUMMARY DATA'!H:H,'SUMMARY DATA'!$D:$D=$C998,'SUMMARY DATA'!$B:$B=""RWS"",'SUMMARY DATA'!$H:$H=$D998)),"""")
  )
)"),"")</f>
      </c>
      <c r="I998" s="18" t="str">
        <f>IFERROR(__xludf.DUMMYFUNCTION("IF(H998="""","""",
SUM(ARRAYFORMULA(VALUE(SPLIT(H998,CHAR(10)))))
)"),"")</f>
      </c>
      <c r="J998" s="17" t="str">
        <f>IFERROR(__xludf.DUMMYFUNCTION("IFERROR(
  TEXTJOIN(CHAR(10),TRUE,FILTER('SUMMARY DATA'!I:I,'SUMMARY DATA'!$A:$A=$A998,'SUMMARY DATA'!$C:$C=$B998,'SUMMARY DATA'!$B:$B=""RWS"")),
  IF(
    OR(
      ISNUMBER(SEARCH(""CDM CASH DEPOSIT"",$C998)),
      ISNUMBER(SEARCH(""CASH DEPOSIT"",$C99"&amp;"8)),
      COUNTIFS('SUMMARY DATA'!$D:$D,$C998,'SUMMARY DATA'!$B:$B,""RWS"")&lt;&gt;1
    ),
    """",
    IFERROR(TEXTJOIN(CHAR(10),TRUE,FILTER('SUMMARY DATA'!I:I,'SUMMARY DATA'!$D:$D=$C998,'SUMMARY DATA'!$B:$B=""RWS"")),"""")
  )
)"),"")</f>
      </c>
      <c r="K998" s="2"/>
      <c r="L998" s="2"/>
      <c r="M998" s="2"/>
      <c r="N998" s="2"/>
      <c r="O998" s="2"/>
      <c r="P998" s="2"/>
      <c r="Q998" s="2"/>
      <c r="R998" s="2"/>
      <c r="S998" s="2"/>
      <c r="T998" s="2"/>
      <c r="U998" s="2"/>
      <c r="V998" s="2"/>
      <c r="W998" s="2"/>
      <c r="X998" s="2"/>
      <c r="Y998" s="2"/>
      <c r="Z998" s="2"/>
      <c r="AA998" s="2"/>
      <c r="AB998" s="2"/>
    </row>
    <row r="999" spans="1:28" customHeight="true">
      <c r="A999" s="2"/>
      <c r="B999" s="15">
        <v>45778</v>
      </c>
      <c r="C999" s="2" t="s">
        <v>1535</v>
      </c>
      <c r="D999" s="6">
        <v>90</v>
      </c>
      <c r="E999" s="16" t="str">
        <f>IFERROR(__xludf.DUMMYFUNCTION("IFERROR(
  TEXTJOIN(CHAR(10),TRUE,FILTER('SUMMARY DATA'!E:E,'SUMMARY DATA'!$A:$A=$A100,'SUMMARY DATA'!$C:$C=$B100,'SUMMARY DATA'!$B:$B=""GRP"")),
  IF(
    OR(
      ISNUMBER(SEARCH(""CDM CASH DEPOSIT"",$C100)),
      ISNUMBER(SEARCH(""CASH DEPOSIT"",$C10"&amp;"0)),
      COUNTIFS('SUMMARY DATA'!$D:$D,$C100,'SUMMARY DATA'!$B:$B,""GRP"")&lt;&gt;1
    ),
    """",
    IFERROR(TEXTJOIN(CHAR(10),TRUE,FILTER('SUMMARY DATA'!E:E,'SUMMARY DATA'!$D:$D=$C100,'SUMMARY DATA'!$B:$B=""GRP"")),"""")
  )
)"),"")</f>
      </c>
      <c r="F999" s="17" t="str">
        <f>IFERROR(__xludf.DUMMYFUNCTION("IFERROR(
  TEXTJOIN(CHAR(10),TRUE,FILTER('SUMMARY DATA'!F:F,'SUMMARY DATA'!$A:$A=$A100,'SUMMARY DATA'!$C:$C=$B100,'SUMMARY DATA'!$B:$B=""GRP"")),
  IF(
    OR(
      ISNUMBER(SEARCH(""CDM CASH DEPOSIT"",$C100)),
      ISNUMBER(SEARCH(""CASH DEPOSIT"",$C10"&amp;"0)),
      COUNTIFS('SUMMARY DATA'!$D:$D,$C100,'SUMMARY DATA'!$B:$B,""GRP"")&lt;&gt;1
    ),
    """",
    IFERROR(TEXTJOIN(CHAR(10),TRUE,FILTER('SUMMARY DATA'!F:F,'SUMMARY DATA'!$D:$D=$C100,'SUMMARY DATA'!$B:$B=""GRP"")),"""")
  )
)"),"")</f>
      </c>
      <c r="G999" s="17" t="str">
        <f>IFERROR(__xludf.DUMMYFUNCTION("IFERROR(
  TEXTJOIN(CHAR(10),TRUE,FILTER('SUMMARY DATA'!G:G,'SUMMARY DATA'!$A:$A=$A999,'SUMMARY DATA'!$C:$C=$B999,'SUMMARY DATA'!$B:$B=""RWS"")),
  IF(
    OR(
      ISNUMBER(SEARCH(""CDM CASH DEPOSIT"",$C999)),
      ISNUMBER(SEARCH(""CASH DEPOSIT"",$C99"&amp;"9)),
      COUNTIFS('SUMMARY DATA'!$D:$D,$C999,'SUMMARY DATA'!$B:$B,""RWS"")&lt;&gt;1
    ),
    """",
    IFERROR(TEXTJOIN(CHAR(10),TRUE,FILTER('SUMMARY DATA'!G:G,'SUMMARY DATA'!$D:$D=$C999,'SUMMARY DATA'!$B:$B=""RWS"")),"""")
  )
)"),"")</f>
      </c>
      <c r="H999" s="18" t="str">
        <f>IFERROR(__xludf.DUMMYFUNCTION("IFERROR(
  TEXTJOIN(CHAR(10),TRUE,FILTER('SUMMARY DATA'!H:H,'SUMMARY DATA'!$A:$A=$A999,'SUMMARY DATA'!$C:$C=$B999,'SUMMARY DATA'!$B:$B=""RWS"",'SUMMARY DATA'!$H:$H=$D999)),
  IF(
    OR(
      ISNUMBER(SEARCH(""CDM CASH DEPOSIT"",$C999)),
      ISNUMBER(S"&amp;"EARCH(""CASH DEPOSIT"",$C999))
    ),
    """",
    IFERROR(TEXTJOIN(CHAR(10),TRUE,FILTER('SUMMARY DATA'!H:H,'SUMMARY DATA'!$D:$D=$C999,'SUMMARY DATA'!$B:$B=""RWS"",'SUMMARY DATA'!$H:$H=$D999)),"""")
  )
)"),"")</f>
      </c>
      <c r="I999" s="18" t="str">
        <f>IFERROR(__xludf.DUMMYFUNCTION("IF(H999="""","""",
SUM(ARRAYFORMULA(VALUE(SPLIT(H999,CHAR(10)))))
)"),"")</f>
      </c>
      <c r="J999" s="17" t="str">
        <f>IFERROR(__xludf.DUMMYFUNCTION("IFERROR(
  TEXTJOIN(CHAR(10),TRUE,FILTER('SUMMARY DATA'!I:I,'SUMMARY DATA'!$A:$A=$A999,'SUMMARY DATA'!$C:$C=$B999,'SUMMARY DATA'!$B:$B=""RWS"")),
  IF(
    OR(
      ISNUMBER(SEARCH(""CDM CASH DEPOSIT"",$C999)),
      ISNUMBER(SEARCH(""CASH DEPOSIT"",$C99"&amp;"9)),
      COUNTIFS('SUMMARY DATA'!$D:$D,$C999,'SUMMARY DATA'!$B:$B,""RWS"")&lt;&gt;1
    ),
    """",
    IFERROR(TEXTJOIN(CHAR(10),TRUE,FILTER('SUMMARY DATA'!I:I,'SUMMARY DATA'!$D:$D=$C999,'SUMMARY DATA'!$B:$B=""RWS"")),"""")
  )
)"),"")</f>
      </c>
      <c r="K999" s="2"/>
      <c r="L999" s="2"/>
      <c r="M999" s="2"/>
      <c r="N999" s="2"/>
      <c r="O999" s="2"/>
      <c r="P999" s="2"/>
      <c r="Q999" s="2"/>
      <c r="R999" s="2"/>
      <c r="S999" s="2"/>
      <c r="T999" s="2"/>
      <c r="U999" s="2"/>
      <c r="V999" s="2"/>
      <c r="W999" s="2"/>
      <c r="X999" s="2"/>
      <c r="Y999" s="2"/>
      <c r="Z999" s="2"/>
      <c r="AA999" s="2"/>
      <c r="AB999" s="2"/>
    </row>
    <row r="1000" spans="1:28" customHeight="true">
      <c r="A1000" s="2"/>
      <c r="B1000" s="15">
        <v>45778</v>
      </c>
      <c r="C1000" s="2" t="s">
        <v>1536</v>
      </c>
      <c r="D1000" s="6">
        <v>39.98</v>
      </c>
      <c r="E1000" s="16" t="str">
        <f>IFERROR(__xludf.DUMMYFUNCTION("IFERROR(
  TEXTJOIN(CHAR(10),TRUE,FILTER('SUMMARY DATA'!E:E,'SUMMARY DATA'!$A:$A=$A101,'SUMMARY DATA'!$C:$C=$B101,'SUMMARY DATA'!$B:$B=""GRP"")),
  IF(
    OR(
      ISNUMBER(SEARCH(""CDM CASH DEPOSIT"",$C101)),
      ISNUMBER(SEARCH(""CASH DEPOSIT"",$C10"&amp;"1)),
      COUNTIFS('SUMMARY DATA'!$D:$D,$C101,'SUMMARY DATA'!$B:$B,""GRP"")&lt;&gt;1
    ),
    """",
    IFERROR(TEXTJOIN(CHAR(10),TRUE,FILTER('SUMMARY DATA'!E:E,'SUMMARY DATA'!$D:$D=$C101,'SUMMARY DATA'!$B:$B=""GRP"")),"""")
  )
)"),"")</f>
      </c>
      <c r="F1000" s="17" t="str">
        <f>IFERROR(__xludf.DUMMYFUNCTION("IFERROR(
  TEXTJOIN(CHAR(10),TRUE,FILTER('SUMMARY DATA'!F:F,'SUMMARY DATA'!$A:$A=$A101,'SUMMARY DATA'!$C:$C=$B101,'SUMMARY DATA'!$B:$B=""GRP"")),
  IF(
    OR(
      ISNUMBER(SEARCH(""CDM CASH DEPOSIT"",$C101)),
      ISNUMBER(SEARCH(""CASH DEPOSIT"",$C10"&amp;"1)),
      COUNTIFS('SUMMARY DATA'!$D:$D,$C101,'SUMMARY DATA'!$B:$B,""GRP"")&lt;&gt;1
    ),
    """",
    IFERROR(TEXTJOIN(CHAR(10),TRUE,FILTER('SUMMARY DATA'!F:F,'SUMMARY DATA'!$D:$D=$C101,'SUMMARY DATA'!$B:$B=""GRP"")),"""")
  )
)"),"")</f>
      </c>
      <c r="G1000" s="17" t="str">
        <f>IFERROR(__xludf.DUMMYFUNCTION("IFERROR(
  TEXTJOIN(CHAR(10),TRUE,FILTER('SUMMARY DATA'!G:G,'SUMMARY DATA'!$A:$A=$A1000,'SUMMARY DATA'!$C:$C=$B1000,'SUMMARY DATA'!$B:$B=""RWS"")),
  IF(
    OR(
      ISNUMBER(SEARCH(""CDM CASH DEPOSIT"",$C1000)),
      ISNUMBER(SEARCH(""CASH DEPOSIT"",$"&amp;"C1000)),
      COUNTIFS('SUMMARY DATA'!$D:$D,$C1000,'SUMMARY DATA'!$B:$B,""RWS"")&lt;&gt;1
    ),
    """",
    IFERROR(TEXTJOIN(CHAR(10),TRUE,FILTER('SUMMARY DATA'!G:G,'SUMMARY DATA'!$D:$D=$C1000,'SUMMARY DATA'!$B:$B=""RWS"")),"""")
  )
)"),"")</f>
      </c>
      <c r="H1000" s="18" t="str">
        <f>IFERROR(__xludf.DUMMYFUNCTION("IFERROR(
  TEXTJOIN(CHAR(10),TRUE,FILTER('SUMMARY DATA'!H:H,'SUMMARY DATA'!$A:$A=$A1000,'SUMMARY DATA'!$C:$C=$B1000,'SUMMARY DATA'!$B:$B=""RWS"",'SUMMARY DATA'!$H:$H=$D1000)),
  IF(
    OR(
      ISNUMBER(SEARCH(""CDM CASH DEPOSIT"",$C1000)),
      ISNUMB"&amp;"ER(SEARCH(""CASH DEPOSIT"",$C1000))
    ),
    """",
    IFERROR(TEXTJOIN(CHAR(10),TRUE,FILTER('SUMMARY DATA'!H:H,'SUMMARY DATA'!$D:$D=$C1000,'SUMMARY DATA'!$B:$B=""RWS"",'SUMMARY DATA'!$H:$H=$D1000)),"""")
  )
)"),"")</f>
      </c>
      <c r="I1000" s="18" t="str">
        <f>IFERROR(__xludf.DUMMYFUNCTION("IF(H1000="""","""",
SUM(ARRAYFORMULA(VALUE(SPLIT(H1000,CHAR(10)))))
)"),"")</f>
      </c>
      <c r="J1000" s="17" t="str">
        <f>IFERROR(__xludf.DUMMYFUNCTION("IFERROR(
  TEXTJOIN(CHAR(10),TRUE,FILTER('SUMMARY DATA'!I:I,'SUMMARY DATA'!$A:$A=$A1000,'SUMMARY DATA'!$C:$C=$B1000,'SUMMARY DATA'!$B:$B=""RWS"")),
  IF(
    OR(
      ISNUMBER(SEARCH(""CDM CASH DEPOSIT"",$C1000)),
      ISNUMBER(SEARCH(""CASH DEPOSIT"",$"&amp;"C1000)),
      COUNTIFS('SUMMARY DATA'!$D:$D,$C1000,'SUMMARY DATA'!$B:$B,""RWS"")&lt;&gt;1
    ),
    """",
    IFERROR(TEXTJOIN(CHAR(10),TRUE,FILTER('SUMMARY DATA'!I:I,'SUMMARY DATA'!$D:$D=$C1000,'SUMMARY DATA'!$B:$B=""RWS"")),"""")
  )
)"),"")</f>
      </c>
      <c r="K1000" s="2"/>
      <c r="L1000" s="2"/>
      <c r="M1000" s="2"/>
      <c r="N1000" s="2"/>
      <c r="O1000" s="2"/>
      <c r="P1000" s="2"/>
      <c r="Q1000" s="2"/>
      <c r="R1000" s="2"/>
      <c r="S1000" s="2"/>
      <c r="T1000" s="2"/>
      <c r="U1000" s="2"/>
      <c r="V1000" s="2"/>
      <c r="W1000" s="2"/>
      <c r="X1000" s="2"/>
      <c r="Y1000" s="2"/>
      <c r="Z1000" s="2"/>
      <c r="AA1000" s="2"/>
      <c r="AB1000" s="2"/>
    </row>
    <row r="1001" spans="1:28" customHeight="true">
      <c r="A1001" s="2" t="s">
        <v>1537</v>
      </c>
      <c r="B1001" s="15">
        <v>45779</v>
      </c>
      <c r="C1001" s="2" t="s">
        <v>1538</v>
      </c>
      <c r="D1001" s="6">
        <v>293.74</v>
      </c>
      <c r="E1001" s="16" t="str">
        <f>IFERROR(__xludf.DUMMYFUNCTION("IFERROR(
  TEXTJOIN(CHAR(10),TRUE,FILTER('SUMMARY DATA'!E:E,'SUMMARY DATA'!$A:$A=$A102,'SUMMARY DATA'!$C:$C=$B102,'SUMMARY DATA'!$B:$B=""GRP"")),
  IF(
    OR(
      ISNUMBER(SEARCH(""CDM CASH DEPOSIT"",$C102)),
      ISNUMBER(SEARCH(""CASH DEPOSIT"",$C10"&amp;"2)),
      COUNTIFS('SUMMARY DATA'!$D:$D,$C102,'SUMMARY DATA'!$B:$B,""GRP"")&lt;&gt;1
    ),
    """",
    IFERROR(TEXTJOIN(CHAR(10),TRUE,FILTER('SUMMARY DATA'!E:E,'SUMMARY DATA'!$D:$D=$C102,'SUMMARY DATA'!$B:$B=""GRP"")),"""")
  )
)"),"")</f>
      </c>
      <c r="F1001" s="17" t="str">
        <f>IFERROR(__xludf.DUMMYFUNCTION("IFERROR(
  TEXTJOIN(CHAR(10),TRUE,FILTER('SUMMARY DATA'!F:F,'SUMMARY DATA'!$A:$A=$A102,'SUMMARY DATA'!$C:$C=$B102,'SUMMARY DATA'!$B:$B=""GRP"")),
  IF(
    OR(
      ISNUMBER(SEARCH(""CDM CASH DEPOSIT"",$C102)),
      ISNUMBER(SEARCH(""CASH DEPOSIT"",$C10"&amp;"2)),
      COUNTIFS('SUMMARY DATA'!$D:$D,$C102,'SUMMARY DATA'!$B:$B,""GRP"")&lt;&gt;1
    ),
    """",
    IFERROR(TEXTJOIN(CHAR(10),TRUE,FILTER('SUMMARY DATA'!F:F,'SUMMARY DATA'!$D:$D=$C102,'SUMMARY DATA'!$B:$B=""GRP"")),"""")
  )
)"),"")</f>
      </c>
      <c r="G1001" s="17" t="str">
        <f>IFERROR(__xludf.DUMMYFUNCTION("IFERROR(
  TEXTJOIN(CHAR(10),TRUE,FILTER('SUMMARY DATA'!G:G,'SUMMARY DATA'!$A:$A=$A1001,'SUMMARY DATA'!$C:$C=$B1001,'SUMMARY DATA'!$B:$B=""RWS"")),
  IF(
    OR(
      ISNUMBER(SEARCH(""CDM CASH DEPOSIT"",$C1001)),
      ISNUMBER(SEARCH(""CASH DEPOSIT"",$"&amp;"C1001)),
      COUNTIFS('SUMMARY DATA'!$D:$D,$C1001,'SUMMARY DATA'!$B:$B,""RWS"")&lt;&gt;1
    ),
    """",
    IFERROR(TEXTJOIN(CHAR(10),TRUE,FILTER('SUMMARY DATA'!G:G,'SUMMARY DATA'!$D:$D=$C1001,'SUMMARY DATA'!$B:$B=""RWS"")),"""")
  )
)"),"")</f>
      </c>
      <c r="H1001" s="18" t="str">
        <f>IFERROR(__xludf.DUMMYFUNCTION("IFERROR(
  TEXTJOIN(CHAR(10),TRUE,FILTER('SUMMARY DATA'!H:H,'SUMMARY DATA'!$A:$A=$A1001,'SUMMARY DATA'!$C:$C=$B1001,'SUMMARY DATA'!$B:$B=""RWS"",'SUMMARY DATA'!$H:$H=$D1001)),
  IF(
    OR(
      ISNUMBER(SEARCH(""CDM CASH DEPOSIT"",$C1001)),
      ISNUMB"&amp;"ER(SEARCH(""CASH DEPOSIT"",$C1001))
    ),
    """",
    IFERROR(TEXTJOIN(CHAR(10),TRUE,FILTER('SUMMARY DATA'!H:H,'SUMMARY DATA'!$D:$D=$C1001,'SUMMARY DATA'!$B:$B=""RWS"",'SUMMARY DATA'!$H:$H=$D1001)),"""")
  )
)"),"")</f>
      </c>
      <c r="I1001" s="18" t="str">
        <f>IFERROR(__xludf.DUMMYFUNCTION("IF(H1001="""","""",
SUM(ARRAYFORMULA(VALUE(SPLIT(H1001,CHAR(10)))))
)"),"")</f>
      </c>
      <c r="J1001" s="17" t="str">
        <f>IFERROR(__xludf.DUMMYFUNCTION("IFERROR(
  TEXTJOIN(CHAR(10),TRUE,FILTER('SUMMARY DATA'!I:I,'SUMMARY DATA'!$A:$A=$A1001,'SUMMARY DATA'!$C:$C=$B1001,'SUMMARY DATA'!$B:$B=""RWS"")),
  IF(
    OR(
      ISNUMBER(SEARCH(""CDM CASH DEPOSIT"",$C1001)),
      ISNUMBER(SEARCH(""CASH DEPOSIT"",$"&amp;"C1001)),
      COUNTIFS('SUMMARY DATA'!$D:$D,$C1001,'SUMMARY DATA'!$B:$B,""RWS"")&lt;&gt;1
    ),
    """",
    IFERROR(TEXTJOIN(CHAR(10),TRUE,FILTER('SUMMARY DATA'!I:I,'SUMMARY DATA'!$D:$D=$C1001,'SUMMARY DATA'!$B:$B=""RWS"")),"""")
  )
)"),"")</f>
      </c>
      <c r="K1001" s="2"/>
      <c r="L1001" s="2"/>
      <c r="M1001" s="2"/>
      <c r="N1001" s="2"/>
      <c r="O1001" s="2"/>
      <c r="P1001" s="2"/>
      <c r="Q1001" s="2"/>
      <c r="R1001" s="2"/>
      <c r="S1001" s="2"/>
      <c r="T1001" s="2"/>
      <c r="U1001" s="2"/>
      <c r="V1001" s="2"/>
      <c r="W1001" s="2"/>
      <c r="X1001" s="2"/>
      <c r="Y1001" s="2"/>
      <c r="Z1001" s="2"/>
      <c r="AA1001" s="2"/>
      <c r="AB1001" s="2"/>
    </row>
    <row r="1002" spans="1:28" customHeight="true">
      <c r="A1002" s="2"/>
      <c r="B1002" s="15">
        <v>45779</v>
      </c>
      <c r="C1002" s="2" t="s">
        <v>1539</v>
      </c>
      <c r="D1002" s="6">
        <v>57.76</v>
      </c>
      <c r="E1002" s="16" t="str">
        <f>IFERROR(__xludf.DUMMYFUNCTION("IFERROR(
  TEXTJOIN(CHAR(10),TRUE,FILTER('SUMMARY DATA'!E:E,'SUMMARY DATA'!$A:$A=$A103,'SUMMARY DATA'!$C:$C=$B103,'SUMMARY DATA'!$B:$B=""GRP"")),
  IF(
    OR(
      ISNUMBER(SEARCH(""CDM CASH DEPOSIT"",$C103)),
      ISNUMBER(SEARCH(""CASH DEPOSIT"",$C10"&amp;"3)),
      COUNTIFS('SUMMARY DATA'!$D:$D,$C103,'SUMMARY DATA'!$B:$B,""GRP"")&lt;&gt;1
    ),
    """",
    IFERROR(TEXTJOIN(CHAR(10),TRUE,FILTER('SUMMARY DATA'!E:E,'SUMMARY DATA'!$D:$D=$C103,'SUMMARY DATA'!$B:$B=""GRP"")),"""")
  )
)"),"")</f>
      </c>
      <c r="F1002" s="17" t="str">
        <f>IFERROR(__xludf.DUMMYFUNCTION("IFERROR(
  TEXTJOIN(CHAR(10),TRUE,FILTER('SUMMARY DATA'!F:F,'SUMMARY DATA'!$A:$A=$A103,'SUMMARY DATA'!$C:$C=$B103,'SUMMARY DATA'!$B:$B=""GRP"")),
  IF(
    OR(
      ISNUMBER(SEARCH(""CDM CASH DEPOSIT"",$C103)),
      ISNUMBER(SEARCH(""CASH DEPOSIT"",$C10"&amp;"3)),
      COUNTIFS('SUMMARY DATA'!$D:$D,$C103,'SUMMARY DATA'!$B:$B,""GRP"")&lt;&gt;1
    ),
    """",
    IFERROR(TEXTJOIN(CHAR(10),TRUE,FILTER('SUMMARY DATA'!F:F,'SUMMARY DATA'!$D:$D=$C103,'SUMMARY DATA'!$B:$B=""GRP"")),"""")
  )
)"),"")</f>
      </c>
      <c r="G1002" s="17" t="str">
        <f>IFERROR(__xludf.DUMMYFUNCTION("IFERROR(
  TEXTJOIN(CHAR(10),TRUE,FILTER('SUMMARY DATA'!G:G,'SUMMARY DATA'!$A:$A=$A1002,'SUMMARY DATA'!$C:$C=$B1002,'SUMMARY DATA'!$B:$B=""RWS"")),
  IF(
    OR(
      ISNUMBER(SEARCH(""CDM CASH DEPOSIT"",$C1002)),
      ISNUMBER(SEARCH(""CASH DEPOSIT"",$"&amp;"C1002)),
      COUNTIFS('SUMMARY DATA'!$D:$D,$C1002,'SUMMARY DATA'!$B:$B,""RWS"")&lt;&gt;1
    ),
    """",
    IFERROR(TEXTJOIN(CHAR(10),TRUE,FILTER('SUMMARY DATA'!G:G,'SUMMARY DATA'!$D:$D=$C1002,'SUMMARY DATA'!$B:$B=""RWS"")),"""")
  )
)"),"")</f>
      </c>
      <c r="H1002" s="18" t="str">
        <f>IFERROR(__xludf.DUMMYFUNCTION("IFERROR(
  TEXTJOIN(CHAR(10),TRUE,FILTER('SUMMARY DATA'!H:H,'SUMMARY DATA'!$A:$A=$A1002,'SUMMARY DATA'!$C:$C=$B1002,'SUMMARY DATA'!$B:$B=""RWS"",'SUMMARY DATA'!$H:$H=$D1002)),
  IF(
    OR(
      ISNUMBER(SEARCH(""CDM CASH DEPOSIT"",$C1002)),
      ISNUMB"&amp;"ER(SEARCH(""CASH DEPOSIT"",$C1002))
    ),
    """",
    IFERROR(TEXTJOIN(CHAR(10),TRUE,FILTER('SUMMARY DATA'!H:H,'SUMMARY DATA'!$D:$D=$C1002,'SUMMARY DATA'!$B:$B=""RWS"",'SUMMARY DATA'!$H:$H=$D1002)),"""")
  )
)"),"")</f>
      </c>
      <c r="I1002" s="18" t="str">
        <f>IFERROR(__xludf.DUMMYFUNCTION("IF(H1002="""","""",
SUM(ARRAYFORMULA(VALUE(SPLIT(H1002,CHAR(10)))))
)"),"")</f>
      </c>
      <c r="J1002" s="17" t="str">
        <f>IFERROR(__xludf.DUMMYFUNCTION("IFERROR(
  TEXTJOIN(CHAR(10),TRUE,FILTER('SUMMARY DATA'!I:I,'SUMMARY DATA'!$A:$A=$A1002,'SUMMARY DATA'!$C:$C=$B1002,'SUMMARY DATA'!$B:$B=""RWS"")),
  IF(
    OR(
      ISNUMBER(SEARCH(""CDM CASH DEPOSIT"",$C1002)),
      ISNUMBER(SEARCH(""CASH DEPOSIT"",$"&amp;"C1002)),
      COUNTIFS('SUMMARY DATA'!$D:$D,$C1002,'SUMMARY DATA'!$B:$B,""RWS"")&lt;&gt;1
    ),
    """",
    IFERROR(TEXTJOIN(CHAR(10),TRUE,FILTER('SUMMARY DATA'!I:I,'SUMMARY DATA'!$D:$D=$C1002,'SUMMARY DATA'!$B:$B=""RWS"")),"""")
  )
)"),"")</f>
      </c>
      <c r="K1002" s="2"/>
      <c r="L1002" s="2"/>
      <c r="M1002" s="2"/>
      <c r="N1002" s="2"/>
      <c r="O1002" s="2"/>
      <c r="P1002" s="2"/>
      <c r="Q1002" s="2"/>
      <c r="R1002" s="2"/>
      <c r="S1002" s="2"/>
      <c r="T1002" s="2"/>
      <c r="U1002" s="2"/>
      <c r="V1002" s="2"/>
      <c r="W1002" s="2"/>
      <c r="X1002" s="2"/>
      <c r="Y1002" s="2"/>
      <c r="Z1002" s="2"/>
      <c r="AA1002" s="2"/>
      <c r="AB1002" s="2"/>
    </row>
    <row r="1003" spans="1:28" customHeight="true">
      <c r="A1003" s="2"/>
      <c r="B1003" s="15">
        <v>45779</v>
      </c>
      <c r="C1003" s="2" t="s">
        <v>1540</v>
      </c>
      <c r="D1003" s="6">
        <v>10</v>
      </c>
      <c r="E1003" s="16" t="str">
        <f>IFERROR(__xludf.DUMMYFUNCTION("IFERROR(
  TEXTJOIN(CHAR(10),TRUE,FILTER('SUMMARY DATA'!E:E,'SUMMARY DATA'!$A:$A=$A104,'SUMMARY DATA'!$C:$C=$B104,'SUMMARY DATA'!$B:$B=""GRP"")),
  IF(
    OR(
      ISNUMBER(SEARCH(""CDM CASH DEPOSIT"",$C104)),
      ISNUMBER(SEARCH(""CASH DEPOSIT"",$C10"&amp;"4)),
      COUNTIFS('SUMMARY DATA'!$D:$D,$C104,'SUMMARY DATA'!$B:$B,""GRP"")&lt;&gt;1
    ),
    """",
    IFERROR(TEXTJOIN(CHAR(10),TRUE,FILTER('SUMMARY DATA'!E:E,'SUMMARY DATA'!$D:$D=$C104,'SUMMARY DATA'!$B:$B=""GRP"")),"""")
  )
)"),"")</f>
      </c>
      <c r="F1003" s="17" t="str">
        <f>IFERROR(__xludf.DUMMYFUNCTION("IFERROR(
  TEXTJOIN(CHAR(10),TRUE,FILTER('SUMMARY DATA'!F:F,'SUMMARY DATA'!$A:$A=$A104,'SUMMARY DATA'!$C:$C=$B104,'SUMMARY DATA'!$B:$B=""GRP"")),
  IF(
    OR(
      ISNUMBER(SEARCH(""CDM CASH DEPOSIT"",$C104)),
      ISNUMBER(SEARCH(""CASH DEPOSIT"",$C10"&amp;"4)),
      COUNTIFS('SUMMARY DATA'!$D:$D,$C104,'SUMMARY DATA'!$B:$B,""GRP"")&lt;&gt;1
    ),
    """",
    IFERROR(TEXTJOIN(CHAR(10),TRUE,FILTER('SUMMARY DATA'!F:F,'SUMMARY DATA'!$D:$D=$C104,'SUMMARY DATA'!$B:$B=""GRP"")),"""")
  )
)"),"")</f>
      </c>
      <c r="G1003" s="17" t="str">
        <f>IFERROR(__xludf.DUMMYFUNCTION("IFERROR(
  TEXTJOIN(CHAR(10),TRUE,FILTER('SUMMARY DATA'!G:G,'SUMMARY DATA'!$A:$A=$A1003,'SUMMARY DATA'!$C:$C=$B1003,'SUMMARY DATA'!$B:$B=""RWS"")),
  IF(
    OR(
      ISNUMBER(SEARCH(""CDM CASH DEPOSIT"",$C1003)),
      ISNUMBER(SEARCH(""CASH DEPOSIT"",$"&amp;"C1003)),
      COUNTIFS('SUMMARY DATA'!$D:$D,$C1003,'SUMMARY DATA'!$B:$B,""RWS"")&lt;&gt;1
    ),
    """",
    IFERROR(TEXTJOIN(CHAR(10),TRUE,FILTER('SUMMARY DATA'!G:G,'SUMMARY DATA'!$D:$D=$C1003,'SUMMARY DATA'!$B:$B=""RWS"")),"""")
  )
)"),"")</f>
      </c>
      <c r="H1003" s="18" t="str">
        <f>IFERROR(__xludf.DUMMYFUNCTION("IFERROR(
  TEXTJOIN(CHAR(10),TRUE,FILTER('SUMMARY DATA'!H:H,'SUMMARY DATA'!$A:$A=$A1003,'SUMMARY DATA'!$C:$C=$B1003,'SUMMARY DATA'!$B:$B=""RWS"",'SUMMARY DATA'!$H:$H=$D1003)),
  IF(
    OR(
      ISNUMBER(SEARCH(""CDM CASH DEPOSIT"",$C1003)),
      ISNUMB"&amp;"ER(SEARCH(""CASH DEPOSIT"",$C1003))
    ),
    """",
    IFERROR(TEXTJOIN(CHAR(10),TRUE,FILTER('SUMMARY DATA'!H:H,'SUMMARY DATA'!$D:$D=$C1003,'SUMMARY DATA'!$B:$B=""RWS"",'SUMMARY DATA'!$H:$H=$D1003)),"""")
  )
)"),"")</f>
      </c>
      <c r="I1003" s="18" t="str">
        <f>IFERROR(__xludf.DUMMYFUNCTION("IF(H1003="""","""",
SUM(ARRAYFORMULA(VALUE(SPLIT(H1003,CHAR(10)))))
)"),"")</f>
      </c>
      <c r="J1003" s="17" t="str">
        <f>IFERROR(__xludf.DUMMYFUNCTION("IFERROR(
  TEXTJOIN(CHAR(10),TRUE,FILTER('SUMMARY DATA'!I:I,'SUMMARY DATA'!$A:$A=$A1003,'SUMMARY DATA'!$C:$C=$B1003,'SUMMARY DATA'!$B:$B=""RWS"")),
  IF(
    OR(
      ISNUMBER(SEARCH(""CDM CASH DEPOSIT"",$C1003)),
      ISNUMBER(SEARCH(""CASH DEPOSIT"",$"&amp;"C1003)),
      COUNTIFS('SUMMARY DATA'!$D:$D,$C1003,'SUMMARY DATA'!$B:$B,""RWS"")&lt;&gt;1
    ),
    """",
    IFERROR(TEXTJOIN(CHAR(10),TRUE,FILTER('SUMMARY DATA'!I:I,'SUMMARY DATA'!$D:$D=$C1003,'SUMMARY DATA'!$B:$B=""RWS"")),"""")
  )
)"),"")</f>
      </c>
      <c r="K1003" s="2"/>
      <c r="L1003" s="2"/>
      <c r="M1003" s="2"/>
      <c r="N1003" s="2"/>
      <c r="O1003" s="2"/>
      <c r="P1003" s="2"/>
      <c r="Q1003" s="2"/>
      <c r="R1003" s="2"/>
      <c r="S1003" s="2"/>
      <c r="T1003" s="2"/>
      <c r="U1003" s="2"/>
      <c r="V1003" s="2"/>
      <c r="W1003" s="2"/>
      <c r="X1003" s="2"/>
      <c r="Y1003" s="2"/>
      <c r="Z1003" s="2"/>
      <c r="AA1003" s="2"/>
      <c r="AB1003" s="2"/>
    </row>
    <row r="1004" spans="1:28" customHeight="true">
      <c r="A1004" s="2" t="s">
        <v>1442</v>
      </c>
      <c r="B1004" s="15">
        <v>45780</v>
      </c>
      <c r="C1004" s="2" t="s">
        <v>1541</v>
      </c>
      <c r="D1004" s="6">
        <v>424</v>
      </c>
      <c r="E1004" s="16" t="str">
        <f>IFERROR(__xludf.DUMMYFUNCTION("IFERROR(
  TEXTJOIN(CHAR(10),TRUE,FILTER('SUMMARY DATA'!E:E,'SUMMARY DATA'!$A:$A=$A105,'SUMMARY DATA'!$C:$C=$B105,'SUMMARY DATA'!$B:$B=""GRP"")),
  IF(
    OR(
      ISNUMBER(SEARCH(""CDM CASH DEPOSIT"",$C105)),
      ISNUMBER(SEARCH(""CASH DEPOSIT"",$C10"&amp;"5)),
      COUNTIFS('SUMMARY DATA'!$D:$D,$C105,'SUMMARY DATA'!$B:$B,""GRP"")&lt;&gt;1
    ),
    """",
    IFERROR(TEXTJOIN(CHAR(10),TRUE,FILTER('SUMMARY DATA'!E:E,'SUMMARY DATA'!$D:$D=$C105,'SUMMARY DATA'!$B:$B=""GRP"")),"""")
  )
)"),"")</f>
      </c>
      <c r="F1004" s="17" t="str">
        <f>IFERROR(__xludf.DUMMYFUNCTION("IFERROR(
  TEXTJOIN(CHAR(10),TRUE,FILTER('SUMMARY DATA'!F:F,'SUMMARY DATA'!$A:$A=$A105,'SUMMARY DATA'!$C:$C=$B105,'SUMMARY DATA'!$B:$B=""GRP"")),
  IF(
    OR(
      ISNUMBER(SEARCH(""CDM CASH DEPOSIT"",$C105)),
      ISNUMBER(SEARCH(""CASH DEPOSIT"",$C10"&amp;"5)),
      COUNTIFS('SUMMARY DATA'!$D:$D,$C105,'SUMMARY DATA'!$B:$B,""GRP"")&lt;&gt;1
    ),
    """",
    IFERROR(TEXTJOIN(CHAR(10),TRUE,FILTER('SUMMARY DATA'!F:F,'SUMMARY DATA'!$D:$D=$C105,'SUMMARY DATA'!$B:$B=""GRP"")),"""")
  )
)"),"")</f>
      </c>
      <c r="G1004" s="17" t="str">
        <f>IFERROR(__xludf.DUMMYFUNCTION("IFERROR(
  TEXTJOIN(CHAR(10),TRUE,FILTER('SUMMARY DATA'!G:G,'SUMMARY DATA'!$A:$A=$A1004,'SUMMARY DATA'!$C:$C=$B1004,'SUMMARY DATA'!$B:$B=""RWS"")),
  IF(
    OR(
      ISNUMBER(SEARCH(""CDM CASH DEPOSIT"",$C1004)),
      ISNUMBER(SEARCH(""CASH DEPOSIT"",$"&amp;"C1004)),
      COUNTIFS('SUMMARY DATA'!$D:$D,$C1004,'SUMMARY DATA'!$B:$B,""RWS"")&lt;&gt;1
    ),
    """",
    IFERROR(TEXTJOIN(CHAR(10),TRUE,FILTER('SUMMARY DATA'!G:G,'SUMMARY DATA'!$D:$D=$C1004,'SUMMARY DATA'!$B:$B=""RWS"")),"""")
  )
)"),"")</f>
      </c>
      <c r="H1004" s="18" t="str">
        <f>IFERROR(__xludf.DUMMYFUNCTION("IFERROR(
  TEXTJOIN(CHAR(10),TRUE,FILTER('SUMMARY DATA'!H:H,'SUMMARY DATA'!$A:$A=$A1004,'SUMMARY DATA'!$C:$C=$B1004,'SUMMARY DATA'!$B:$B=""RWS"",'SUMMARY DATA'!$H:$H=$D1004)),
  IF(
    OR(
      ISNUMBER(SEARCH(""CDM CASH DEPOSIT"",$C1004)),
      ISNUMB"&amp;"ER(SEARCH(""CASH DEPOSIT"",$C1004))
    ),
    """",
    IFERROR(TEXTJOIN(CHAR(10),TRUE,FILTER('SUMMARY DATA'!H:H,'SUMMARY DATA'!$D:$D=$C1004,'SUMMARY DATA'!$B:$B=""RWS"",'SUMMARY DATA'!$H:$H=$D1004)),"""")
  )
)"),"")</f>
      </c>
      <c r="I1004" s="18" t="str">
        <f>IFERROR(__xludf.DUMMYFUNCTION("IF(H1004="""","""",
SUM(ARRAYFORMULA(VALUE(SPLIT(H1004,CHAR(10)))))
)"),"")</f>
      </c>
      <c r="J1004" s="17" t="str">
        <f>IFERROR(__xludf.DUMMYFUNCTION("IFERROR(
  TEXTJOIN(CHAR(10),TRUE,FILTER('SUMMARY DATA'!I:I,'SUMMARY DATA'!$A:$A=$A1004,'SUMMARY DATA'!$C:$C=$B1004,'SUMMARY DATA'!$B:$B=""RWS"")),
  IF(
    OR(
      ISNUMBER(SEARCH(""CDM CASH DEPOSIT"",$C1004)),
      ISNUMBER(SEARCH(""CASH DEPOSIT"",$"&amp;"C1004)),
      COUNTIFS('SUMMARY DATA'!$D:$D,$C1004,'SUMMARY DATA'!$B:$B,""RWS"")&lt;&gt;1
    ),
    """",
    IFERROR(TEXTJOIN(CHAR(10),TRUE,FILTER('SUMMARY DATA'!I:I,'SUMMARY DATA'!$D:$D=$C1004,'SUMMARY DATA'!$B:$B=""RWS"")),"""")
  )
)"),"")</f>
      </c>
      <c r="K1004" s="2"/>
      <c r="L1004" s="2"/>
      <c r="M1004" s="2"/>
      <c r="N1004" s="2"/>
      <c r="O1004" s="2"/>
      <c r="P1004" s="2"/>
      <c r="Q1004" s="2"/>
      <c r="R1004" s="2"/>
      <c r="S1004" s="2"/>
      <c r="T1004" s="2"/>
      <c r="U1004" s="2"/>
      <c r="V1004" s="2"/>
      <c r="W1004" s="2"/>
      <c r="X1004" s="2"/>
      <c r="Y1004" s="2"/>
      <c r="Z1004" s="2"/>
      <c r="AA1004" s="2"/>
      <c r="AB1004" s="2"/>
    </row>
    <row r="1005" spans="1:28" customHeight="true">
      <c r="A1005" s="2"/>
      <c r="B1005" s="15">
        <v>45780</v>
      </c>
      <c r="C1005" s="2" t="s">
        <v>1542</v>
      </c>
      <c r="D1005" s="6">
        <v>246.34</v>
      </c>
      <c r="E1005" s="16" t="str">
        <f>IFERROR(__xludf.DUMMYFUNCTION("IFERROR(
  TEXTJOIN(CHAR(10),TRUE,FILTER('SUMMARY DATA'!E:E,'SUMMARY DATA'!$A:$A=$A106,'SUMMARY DATA'!$C:$C=$B106,'SUMMARY DATA'!$B:$B=""GRP"")),
  IF(
    OR(
      ISNUMBER(SEARCH(""CDM CASH DEPOSIT"",$C106)),
      ISNUMBER(SEARCH(""CASH DEPOSIT"",$C10"&amp;"6)),
      COUNTIFS('SUMMARY DATA'!$D:$D,$C106,'SUMMARY DATA'!$B:$B,""GRP"")&lt;&gt;1
    ),
    """",
    IFERROR(TEXTJOIN(CHAR(10),TRUE,FILTER('SUMMARY DATA'!E:E,'SUMMARY DATA'!$D:$D=$C106,'SUMMARY DATA'!$B:$B=""GRP"")),"""")
  )
)"),"")</f>
      </c>
      <c r="F1005" s="17" t="str">
        <f>IFERROR(__xludf.DUMMYFUNCTION("IFERROR(
  TEXTJOIN(CHAR(10),TRUE,FILTER('SUMMARY DATA'!F:F,'SUMMARY DATA'!$A:$A=$A106,'SUMMARY DATA'!$C:$C=$B106,'SUMMARY DATA'!$B:$B=""GRP"")),
  IF(
    OR(
      ISNUMBER(SEARCH(""CDM CASH DEPOSIT"",$C106)),
      ISNUMBER(SEARCH(""CASH DEPOSIT"",$C10"&amp;"6)),
      COUNTIFS('SUMMARY DATA'!$D:$D,$C106,'SUMMARY DATA'!$B:$B,""GRP"")&lt;&gt;1
    ),
    """",
    IFERROR(TEXTJOIN(CHAR(10),TRUE,FILTER('SUMMARY DATA'!F:F,'SUMMARY DATA'!$D:$D=$C106,'SUMMARY DATA'!$B:$B=""GRP"")),"""")
  )
)"),"")</f>
      </c>
      <c r="G1005" s="17" t="str">
        <f>IFERROR(__xludf.DUMMYFUNCTION("IFERROR(
  TEXTJOIN(CHAR(10),TRUE,FILTER('SUMMARY DATA'!G:G,'SUMMARY DATA'!$A:$A=$A1005,'SUMMARY DATA'!$C:$C=$B1005,'SUMMARY DATA'!$B:$B=""RWS"")),
  IF(
    OR(
      ISNUMBER(SEARCH(""CDM CASH DEPOSIT"",$C1005)),
      ISNUMBER(SEARCH(""CASH DEPOSIT"",$"&amp;"C1005)),
      COUNTIFS('SUMMARY DATA'!$D:$D,$C1005,'SUMMARY DATA'!$B:$B,""RWS"")&lt;&gt;1
    ),
    """",
    IFERROR(TEXTJOIN(CHAR(10),TRUE,FILTER('SUMMARY DATA'!G:G,'SUMMARY DATA'!$D:$D=$C1005,'SUMMARY DATA'!$B:$B=""RWS"")),"""")
  )
)"),"")</f>
      </c>
      <c r="H1005" s="18" t="str">
        <f>IFERROR(__xludf.DUMMYFUNCTION("IFERROR(
  TEXTJOIN(CHAR(10),TRUE,FILTER('SUMMARY DATA'!H:H,'SUMMARY DATA'!$A:$A=$A1005,'SUMMARY DATA'!$C:$C=$B1005,'SUMMARY DATA'!$B:$B=""RWS"",'SUMMARY DATA'!$H:$H=$D1005)),
  IF(
    OR(
      ISNUMBER(SEARCH(""CDM CASH DEPOSIT"",$C1005)),
      ISNUMB"&amp;"ER(SEARCH(""CASH DEPOSIT"",$C1005))
    ),
    """",
    IFERROR(TEXTJOIN(CHAR(10),TRUE,FILTER('SUMMARY DATA'!H:H,'SUMMARY DATA'!$D:$D=$C1005,'SUMMARY DATA'!$B:$B=""RWS"",'SUMMARY DATA'!$H:$H=$D1005)),"""")
  )
)"),"")</f>
      </c>
      <c r="I1005" s="18" t="str">
        <f>IFERROR(__xludf.DUMMYFUNCTION("IF(H1005="""","""",
SUM(ARRAYFORMULA(VALUE(SPLIT(H1005,CHAR(10)))))
)"),"")</f>
      </c>
      <c r="J1005" s="17" t="str">
        <f>IFERROR(__xludf.DUMMYFUNCTION("IFERROR(
  TEXTJOIN(CHAR(10),TRUE,FILTER('SUMMARY DATA'!I:I,'SUMMARY DATA'!$A:$A=$A1005,'SUMMARY DATA'!$C:$C=$B1005,'SUMMARY DATA'!$B:$B=""RWS"")),
  IF(
    OR(
      ISNUMBER(SEARCH(""CDM CASH DEPOSIT"",$C1005)),
      ISNUMBER(SEARCH(""CASH DEPOSIT"",$"&amp;"C1005)),
      COUNTIFS('SUMMARY DATA'!$D:$D,$C1005,'SUMMARY DATA'!$B:$B,""RWS"")&lt;&gt;1
    ),
    """",
    IFERROR(TEXTJOIN(CHAR(10),TRUE,FILTER('SUMMARY DATA'!I:I,'SUMMARY DATA'!$D:$D=$C1005,'SUMMARY DATA'!$B:$B=""RWS"")),"""")
  )
)"),"")</f>
      </c>
      <c r="K1005" s="2"/>
      <c r="L1005" s="2"/>
      <c r="M1005" s="2"/>
      <c r="N1005" s="2"/>
      <c r="O1005" s="2"/>
      <c r="P1005" s="2"/>
      <c r="Q1005" s="2"/>
      <c r="R1005" s="2"/>
      <c r="S1005" s="2"/>
      <c r="T1005" s="2"/>
      <c r="U1005" s="2"/>
      <c r="V1005" s="2"/>
      <c r="W1005" s="2"/>
      <c r="X1005" s="2"/>
      <c r="Y1005" s="2"/>
      <c r="Z1005" s="2"/>
      <c r="AA1005" s="2"/>
      <c r="AB1005" s="2"/>
    </row>
    <row r="1006" spans="1:28" customHeight="true">
      <c r="A1006" s="2" t="s">
        <v>1442</v>
      </c>
      <c r="B1006" s="15">
        <v>45780</v>
      </c>
      <c r="C1006" s="2" t="s">
        <v>1543</v>
      </c>
      <c r="D1006" s="6">
        <v>207</v>
      </c>
      <c r="E1006" s="16" t="str">
        <f>IFERROR(__xludf.DUMMYFUNCTION("IFERROR(
  TEXTJOIN(CHAR(10),TRUE,FILTER('SUMMARY DATA'!E:E,'SUMMARY DATA'!$A:$A=$A107,'SUMMARY DATA'!$C:$C=$B107,'SUMMARY DATA'!$B:$B=""GRP"")),
  IF(
    OR(
      ISNUMBER(SEARCH(""CDM CASH DEPOSIT"",$C107)),
      ISNUMBER(SEARCH(""CASH DEPOSIT"",$C10"&amp;"7)),
      COUNTIFS('SUMMARY DATA'!$D:$D,$C107,'SUMMARY DATA'!$B:$B,""GRP"")&lt;&gt;1
    ),
    """",
    IFERROR(TEXTJOIN(CHAR(10),TRUE,FILTER('SUMMARY DATA'!E:E,'SUMMARY DATA'!$D:$D=$C107,'SUMMARY DATA'!$B:$B=""GRP"")),"""")
  )
)"),"")</f>
      </c>
      <c r="F1006" s="17" t="str">
        <f>IFERROR(__xludf.DUMMYFUNCTION("IFERROR(
  TEXTJOIN(CHAR(10),TRUE,FILTER('SUMMARY DATA'!F:F,'SUMMARY DATA'!$A:$A=$A107,'SUMMARY DATA'!$C:$C=$B107,'SUMMARY DATA'!$B:$B=""GRP"")),
  IF(
    OR(
      ISNUMBER(SEARCH(""CDM CASH DEPOSIT"",$C107)),
      ISNUMBER(SEARCH(""CASH DEPOSIT"",$C10"&amp;"7)),
      COUNTIFS('SUMMARY DATA'!$D:$D,$C107,'SUMMARY DATA'!$B:$B,""GRP"")&lt;&gt;1
    ),
    """",
    IFERROR(TEXTJOIN(CHAR(10),TRUE,FILTER('SUMMARY DATA'!F:F,'SUMMARY DATA'!$D:$D=$C107,'SUMMARY DATA'!$B:$B=""GRP"")),"""")
  )
)"),"")</f>
      </c>
      <c r="G1006" s="17" t="str">
        <f>IFERROR(__xludf.DUMMYFUNCTION("IFERROR(
  TEXTJOIN(CHAR(10),TRUE,FILTER('SUMMARY DATA'!G:G,'SUMMARY DATA'!$A:$A=$A1006,'SUMMARY DATA'!$C:$C=$B1006,'SUMMARY DATA'!$B:$B=""RWS"")),
  IF(
    OR(
      ISNUMBER(SEARCH(""CDM CASH DEPOSIT"",$C1006)),
      ISNUMBER(SEARCH(""CASH DEPOSIT"",$"&amp;"C1006)),
      COUNTIFS('SUMMARY DATA'!$D:$D,$C1006,'SUMMARY DATA'!$B:$B,""RWS"")&lt;&gt;1
    ),
    """",
    IFERROR(TEXTJOIN(CHAR(10),TRUE,FILTER('SUMMARY DATA'!G:G,'SUMMARY DATA'!$D:$D=$C1006,'SUMMARY DATA'!$B:$B=""RWS"")),"""")
  )
)"),"")</f>
      </c>
      <c r="H1006" s="18" t="str">
        <f>IFERROR(__xludf.DUMMYFUNCTION("IFERROR(
  TEXTJOIN(CHAR(10),TRUE,FILTER('SUMMARY DATA'!H:H,'SUMMARY DATA'!$A:$A=$A1006,'SUMMARY DATA'!$C:$C=$B1006,'SUMMARY DATA'!$B:$B=""RWS"",'SUMMARY DATA'!$H:$H=$D1006)),
  IF(
    OR(
      ISNUMBER(SEARCH(""CDM CASH DEPOSIT"",$C1006)),
      ISNUMB"&amp;"ER(SEARCH(""CASH DEPOSIT"",$C1006))
    ),
    """",
    IFERROR(TEXTJOIN(CHAR(10),TRUE,FILTER('SUMMARY DATA'!H:H,'SUMMARY DATA'!$D:$D=$C1006,'SUMMARY DATA'!$B:$B=""RWS"",'SUMMARY DATA'!$H:$H=$D1006)),"""")
  )
)"),"")</f>
      </c>
      <c r="I1006" s="18" t="str">
        <f>IFERROR(__xludf.DUMMYFUNCTION("IF(H1006="""","""",
SUM(ARRAYFORMULA(VALUE(SPLIT(H1006,CHAR(10)))))
)"),"")</f>
      </c>
      <c r="J1006" s="17" t="str">
        <f>IFERROR(__xludf.DUMMYFUNCTION("IFERROR(
  TEXTJOIN(CHAR(10),TRUE,FILTER('SUMMARY DATA'!I:I,'SUMMARY DATA'!$A:$A=$A1006,'SUMMARY DATA'!$C:$C=$B1006,'SUMMARY DATA'!$B:$B=""RWS"")),
  IF(
    OR(
      ISNUMBER(SEARCH(""CDM CASH DEPOSIT"",$C1006)),
      ISNUMBER(SEARCH(""CASH DEPOSIT"",$"&amp;"C1006)),
      COUNTIFS('SUMMARY DATA'!$D:$D,$C1006,'SUMMARY DATA'!$B:$B,""RWS"")&lt;&gt;1
    ),
    """",
    IFERROR(TEXTJOIN(CHAR(10),TRUE,FILTER('SUMMARY DATA'!I:I,'SUMMARY DATA'!$D:$D=$C1006,'SUMMARY DATA'!$B:$B=""RWS"")),"""")
  )
)"),"")</f>
      </c>
      <c r="K1006" s="2"/>
      <c r="L1006" s="2"/>
      <c r="M1006" s="2"/>
      <c r="N1006" s="2"/>
      <c r="O1006" s="2"/>
      <c r="P1006" s="2"/>
      <c r="Q1006" s="2"/>
      <c r="R1006" s="2"/>
      <c r="S1006" s="2"/>
      <c r="T1006" s="2"/>
      <c r="U1006" s="2"/>
      <c r="V1006" s="2"/>
      <c r="W1006" s="2"/>
      <c r="X1006" s="2"/>
      <c r="Y1006" s="2"/>
      <c r="Z1006" s="2"/>
      <c r="AA1006" s="2"/>
      <c r="AB1006" s="2"/>
    </row>
    <row r="1007" spans="1:28" customHeight="true">
      <c r="A1007" s="2"/>
      <c r="B1007" s="15">
        <v>45780</v>
      </c>
      <c r="C1007" s="2" t="s">
        <v>1544</v>
      </c>
      <c r="D1007" s="6">
        <v>103.95</v>
      </c>
      <c r="E1007" s="16" t="str">
        <f>IFERROR(__xludf.DUMMYFUNCTION("IFERROR(
  TEXTJOIN(CHAR(10),TRUE,FILTER('SUMMARY DATA'!E:E,'SUMMARY DATA'!$A:$A=$A108,'SUMMARY DATA'!$C:$C=$B108,'SUMMARY DATA'!$B:$B=""GRP"")),
  IF(
    OR(
      ISNUMBER(SEARCH(""CDM CASH DEPOSIT"",$C108)),
      ISNUMBER(SEARCH(""CASH DEPOSIT"",$C10"&amp;"8)),
      COUNTIFS('SUMMARY DATA'!$D:$D,$C108,'SUMMARY DATA'!$B:$B,""GRP"")&lt;&gt;1
    ),
    """",
    IFERROR(TEXTJOIN(CHAR(10),TRUE,FILTER('SUMMARY DATA'!E:E,'SUMMARY DATA'!$D:$D=$C108,'SUMMARY DATA'!$B:$B=""GRP"")),"""")
  )
)"),"")</f>
      </c>
      <c r="F1007" s="17" t="str">
        <f>IFERROR(__xludf.DUMMYFUNCTION("IFERROR(
  TEXTJOIN(CHAR(10),TRUE,FILTER('SUMMARY DATA'!F:F,'SUMMARY DATA'!$A:$A=$A108,'SUMMARY DATA'!$C:$C=$B108,'SUMMARY DATA'!$B:$B=""GRP"")),
  IF(
    OR(
      ISNUMBER(SEARCH(""CDM CASH DEPOSIT"",$C108)),
      ISNUMBER(SEARCH(""CASH DEPOSIT"",$C10"&amp;"8)),
      COUNTIFS('SUMMARY DATA'!$D:$D,$C108,'SUMMARY DATA'!$B:$B,""GRP"")&lt;&gt;1
    ),
    """",
    IFERROR(TEXTJOIN(CHAR(10),TRUE,FILTER('SUMMARY DATA'!F:F,'SUMMARY DATA'!$D:$D=$C108,'SUMMARY DATA'!$B:$B=""GRP"")),"""")
  )
)"),"")</f>
      </c>
      <c r="G1007" s="17" t="str">
        <f>IFERROR(__xludf.DUMMYFUNCTION("IFERROR(
  TEXTJOIN(CHAR(10),TRUE,FILTER('SUMMARY DATA'!G:G,'SUMMARY DATA'!$A:$A=$A1007,'SUMMARY DATA'!$C:$C=$B1007,'SUMMARY DATA'!$B:$B=""RWS"")),
  IF(
    OR(
      ISNUMBER(SEARCH(""CDM CASH DEPOSIT"",$C1007)),
      ISNUMBER(SEARCH(""CASH DEPOSIT"",$"&amp;"C1007)),
      COUNTIFS('SUMMARY DATA'!$D:$D,$C1007,'SUMMARY DATA'!$B:$B,""RWS"")&lt;&gt;1
    ),
    """",
    IFERROR(TEXTJOIN(CHAR(10),TRUE,FILTER('SUMMARY DATA'!G:G,'SUMMARY DATA'!$D:$D=$C1007,'SUMMARY DATA'!$B:$B=""RWS"")),"""")
  )
)"),"")</f>
      </c>
      <c r="H1007" s="18" t="str">
        <f>IFERROR(__xludf.DUMMYFUNCTION("IFERROR(
  TEXTJOIN(CHAR(10),TRUE,FILTER('SUMMARY DATA'!H:H,'SUMMARY DATA'!$A:$A=$A1007,'SUMMARY DATA'!$C:$C=$B1007,'SUMMARY DATA'!$B:$B=""RWS"",'SUMMARY DATA'!$H:$H=$D1007)),
  IF(
    OR(
      ISNUMBER(SEARCH(""CDM CASH DEPOSIT"",$C1007)),
      ISNUMB"&amp;"ER(SEARCH(""CASH DEPOSIT"",$C1007))
    ),
    """",
    IFERROR(TEXTJOIN(CHAR(10),TRUE,FILTER('SUMMARY DATA'!H:H,'SUMMARY DATA'!$D:$D=$C1007,'SUMMARY DATA'!$B:$B=""RWS"",'SUMMARY DATA'!$H:$H=$D1007)),"""")
  )
)"),"")</f>
      </c>
      <c r="I1007" s="18" t="str">
        <f>IFERROR(__xludf.DUMMYFUNCTION("IF(H1007="""","""",
SUM(ARRAYFORMULA(VALUE(SPLIT(H1007,CHAR(10)))))
)"),"")</f>
      </c>
      <c r="J1007" s="17" t="str">
        <f>IFERROR(__xludf.DUMMYFUNCTION("IFERROR(
  TEXTJOIN(CHAR(10),TRUE,FILTER('SUMMARY DATA'!I:I,'SUMMARY DATA'!$A:$A=$A1007,'SUMMARY DATA'!$C:$C=$B1007,'SUMMARY DATA'!$B:$B=""RWS"")),
  IF(
    OR(
      ISNUMBER(SEARCH(""CDM CASH DEPOSIT"",$C1007)),
      ISNUMBER(SEARCH(""CASH DEPOSIT"",$"&amp;"C1007)),
      COUNTIFS('SUMMARY DATA'!$D:$D,$C1007,'SUMMARY DATA'!$B:$B,""RWS"")&lt;&gt;1
    ),
    """",
    IFERROR(TEXTJOIN(CHAR(10),TRUE,FILTER('SUMMARY DATA'!I:I,'SUMMARY DATA'!$D:$D=$C1007,'SUMMARY DATA'!$B:$B=""RWS"")),"""")
  )
)"),"")</f>
      </c>
      <c r="K1007" s="2"/>
      <c r="L1007" s="2"/>
      <c r="M1007" s="2"/>
      <c r="N1007" s="2"/>
      <c r="O1007" s="2"/>
      <c r="P1007" s="2"/>
      <c r="Q1007" s="2"/>
      <c r="R1007" s="2"/>
      <c r="S1007" s="2"/>
      <c r="T1007" s="2"/>
      <c r="U1007" s="2"/>
      <c r="V1007" s="2"/>
      <c r="W1007" s="2"/>
      <c r="X1007" s="2"/>
      <c r="Y1007" s="2"/>
      <c r="Z1007" s="2"/>
      <c r="AA1007" s="2"/>
      <c r="AB1007" s="2"/>
    </row>
    <row r="1008" spans="1:28" customHeight="true">
      <c r="A1008" s="2" t="s">
        <v>1545</v>
      </c>
      <c r="B1008" s="15">
        <v>45780</v>
      </c>
      <c r="C1008" s="2" t="s">
        <v>1546</v>
      </c>
      <c r="D1008" s="6">
        <v>10</v>
      </c>
      <c r="E1008" s="16" t="str">
        <f>IFERROR(__xludf.DUMMYFUNCTION("IFERROR(
  TEXTJOIN(CHAR(10),TRUE,FILTER('SUMMARY DATA'!E:E,'SUMMARY DATA'!$A:$A=$A109,'SUMMARY DATA'!$C:$C=$B109,'SUMMARY DATA'!$B:$B=""GRP"")),
  IF(
    OR(
      ISNUMBER(SEARCH(""CDM CASH DEPOSIT"",$C109)),
      ISNUMBER(SEARCH(""CASH DEPOSIT"",$C10"&amp;"9)),
      COUNTIFS('SUMMARY DATA'!$D:$D,$C109,'SUMMARY DATA'!$B:$B,""GRP"")&lt;&gt;1
    ),
    """",
    IFERROR(TEXTJOIN(CHAR(10),TRUE,FILTER('SUMMARY DATA'!E:E,'SUMMARY DATA'!$D:$D=$C109,'SUMMARY DATA'!$B:$B=""GRP"")),"""")
  )
)"),"")</f>
      </c>
      <c r="F1008" s="17" t="str">
        <f>IFERROR(__xludf.DUMMYFUNCTION("IFERROR(
  TEXTJOIN(CHAR(10),TRUE,FILTER('SUMMARY DATA'!F:F,'SUMMARY DATA'!$A:$A=$A109,'SUMMARY DATA'!$C:$C=$B109,'SUMMARY DATA'!$B:$B=""GRP"")),
  IF(
    OR(
      ISNUMBER(SEARCH(""CDM CASH DEPOSIT"",$C109)),
      ISNUMBER(SEARCH(""CASH DEPOSIT"",$C10"&amp;"9)),
      COUNTIFS('SUMMARY DATA'!$D:$D,$C109,'SUMMARY DATA'!$B:$B,""GRP"")&lt;&gt;1
    ),
    """",
    IFERROR(TEXTJOIN(CHAR(10),TRUE,FILTER('SUMMARY DATA'!F:F,'SUMMARY DATA'!$D:$D=$C109,'SUMMARY DATA'!$B:$B=""GRP"")),"""")
  )
)"),"")</f>
      </c>
      <c r="G1008" s="17" t="str">
        <f>IFERROR(__xludf.DUMMYFUNCTION("IFERROR(
  TEXTJOIN(CHAR(10),TRUE,FILTER('SUMMARY DATA'!G:G,'SUMMARY DATA'!$A:$A=$A1008,'SUMMARY DATA'!$C:$C=$B1008,'SUMMARY DATA'!$B:$B=""RWS"")),
  IF(
    OR(
      ISNUMBER(SEARCH(""CDM CASH DEPOSIT"",$C1008)),
      ISNUMBER(SEARCH(""CASH DEPOSIT"",$"&amp;"C1008)),
      COUNTIFS('SUMMARY DATA'!$D:$D,$C1008,'SUMMARY DATA'!$B:$B,""RWS"")&lt;&gt;1
    ),
    """",
    IFERROR(TEXTJOIN(CHAR(10),TRUE,FILTER('SUMMARY DATA'!G:G,'SUMMARY DATA'!$D:$D=$C1008,'SUMMARY DATA'!$B:$B=""RWS"")),"""")
  )
)"),"")</f>
      </c>
      <c r="H1008" s="18" t="str">
        <f>IFERROR(__xludf.DUMMYFUNCTION("IFERROR(
  TEXTJOIN(CHAR(10),TRUE,FILTER('SUMMARY DATA'!H:H,'SUMMARY DATA'!$A:$A=$A1008,'SUMMARY DATA'!$C:$C=$B1008,'SUMMARY DATA'!$B:$B=""RWS"",'SUMMARY DATA'!$H:$H=$D1008)),
  IF(
    OR(
      ISNUMBER(SEARCH(""CDM CASH DEPOSIT"",$C1008)),
      ISNUMB"&amp;"ER(SEARCH(""CASH DEPOSIT"",$C1008))
    ),
    """",
    IFERROR(TEXTJOIN(CHAR(10),TRUE,FILTER('SUMMARY DATA'!H:H,'SUMMARY DATA'!$D:$D=$C1008,'SUMMARY DATA'!$B:$B=""RWS"",'SUMMARY DATA'!$H:$H=$D1008)),"""")
  )
)"),"")</f>
      </c>
      <c r="I1008" s="18" t="str">
        <f>IFERROR(__xludf.DUMMYFUNCTION("IF(H1008="""","""",
SUM(ARRAYFORMULA(VALUE(SPLIT(H1008,CHAR(10)))))
)"),"")</f>
      </c>
      <c r="J1008" s="17" t="str">
        <f>IFERROR(__xludf.DUMMYFUNCTION("IFERROR(
  TEXTJOIN(CHAR(10),TRUE,FILTER('SUMMARY DATA'!I:I,'SUMMARY DATA'!$A:$A=$A1008,'SUMMARY DATA'!$C:$C=$B1008,'SUMMARY DATA'!$B:$B=""RWS"")),
  IF(
    OR(
      ISNUMBER(SEARCH(""CDM CASH DEPOSIT"",$C1008)),
      ISNUMBER(SEARCH(""CASH DEPOSIT"",$"&amp;"C1008)),
      COUNTIFS('SUMMARY DATA'!$D:$D,$C1008,'SUMMARY DATA'!$B:$B,""RWS"")&lt;&gt;1
    ),
    """",
    IFERROR(TEXTJOIN(CHAR(10),TRUE,FILTER('SUMMARY DATA'!I:I,'SUMMARY DATA'!$D:$D=$C1008,'SUMMARY DATA'!$B:$B=""RWS"")),"""")
  )
)"),"")</f>
      </c>
      <c r="K1008" s="2"/>
      <c r="L1008" s="2"/>
      <c r="M1008" s="2"/>
      <c r="N1008" s="2"/>
      <c r="O1008" s="2"/>
      <c r="P1008" s="2"/>
      <c r="Q1008" s="2"/>
      <c r="R1008" s="2"/>
      <c r="S1008" s="2"/>
      <c r="T1008" s="2"/>
      <c r="U1008" s="2"/>
      <c r="V1008" s="2"/>
      <c r="W1008" s="2"/>
      <c r="X1008" s="2"/>
      <c r="Y1008" s="2"/>
      <c r="Z1008" s="2"/>
      <c r="AA1008" s="2"/>
      <c r="AB1008" s="2"/>
    </row>
    <row r="1009" spans="1:28" customHeight="true">
      <c r="A1009" s="2"/>
      <c r="B1009" s="15">
        <v>45780</v>
      </c>
      <c r="C1009" s="2" t="s">
        <v>1547</v>
      </c>
      <c r="D1009" s="6">
        <v>10</v>
      </c>
      <c r="E1009" s="16" t="str">
        <f>IFERROR(__xludf.DUMMYFUNCTION("IFERROR(
  TEXTJOIN(CHAR(10),TRUE,FILTER('SUMMARY DATA'!E:E,'SUMMARY DATA'!$A:$A=$A110,'SUMMARY DATA'!$C:$C=$B110,'SUMMARY DATA'!$B:$B=""GRP"")),
  IF(
    OR(
      ISNUMBER(SEARCH(""CDM CASH DEPOSIT"",$C110)),
      ISNUMBER(SEARCH(""CASH DEPOSIT"",$C11"&amp;"0)),
      COUNTIFS('SUMMARY DATA'!$D:$D,$C110,'SUMMARY DATA'!$B:$B,""GRP"")&lt;&gt;1
    ),
    """",
    IFERROR(TEXTJOIN(CHAR(10),TRUE,FILTER('SUMMARY DATA'!E:E,'SUMMARY DATA'!$D:$D=$C110,'SUMMARY DATA'!$B:$B=""GRP"")),"""")
  )
)"),"")</f>
      </c>
      <c r="F1009" s="17" t="str">
        <f>IFERROR(__xludf.DUMMYFUNCTION("IFERROR(
  TEXTJOIN(CHAR(10),TRUE,FILTER('SUMMARY DATA'!F:F,'SUMMARY DATA'!$A:$A=$A110,'SUMMARY DATA'!$C:$C=$B110,'SUMMARY DATA'!$B:$B=""GRP"")),
  IF(
    OR(
      ISNUMBER(SEARCH(""CDM CASH DEPOSIT"",$C110)),
      ISNUMBER(SEARCH(""CASH DEPOSIT"",$C11"&amp;"0)),
      COUNTIFS('SUMMARY DATA'!$D:$D,$C110,'SUMMARY DATA'!$B:$B,""GRP"")&lt;&gt;1
    ),
    """",
    IFERROR(TEXTJOIN(CHAR(10),TRUE,FILTER('SUMMARY DATA'!F:F,'SUMMARY DATA'!$D:$D=$C110,'SUMMARY DATA'!$B:$B=""GRP"")),"""")
  )
)"),"")</f>
      </c>
      <c r="G1009" s="17" t="str">
        <f>IFERROR(__xludf.DUMMYFUNCTION("IFERROR(
  TEXTJOIN(CHAR(10),TRUE,FILTER('SUMMARY DATA'!G:G,'SUMMARY DATA'!$A:$A=$A1009,'SUMMARY DATA'!$C:$C=$B1009,'SUMMARY DATA'!$B:$B=""RWS"")),
  IF(
    OR(
      ISNUMBER(SEARCH(""CDM CASH DEPOSIT"",$C1009)),
      ISNUMBER(SEARCH(""CASH DEPOSIT"",$"&amp;"C1009)),
      COUNTIFS('SUMMARY DATA'!$D:$D,$C1009,'SUMMARY DATA'!$B:$B,""RWS"")&lt;&gt;1
    ),
    """",
    IFERROR(TEXTJOIN(CHAR(10),TRUE,FILTER('SUMMARY DATA'!G:G,'SUMMARY DATA'!$D:$D=$C1009,'SUMMARY DATA'!$B:$B=""RWS"")),"""")
  )
)"),"")</f>
      </c>
      <c r="H1009" s="18" t="str">
        <f>IFERROR(__xludf.DUMMYFUNCTION("IFERROR(
  TEXTJOIN(CHAR(10),TRUE,FILTER('SUMMARY DATA'!H:H,'SUMMARY DATA'!$A:$A=$A1009,'SUMMARY DATA'!$C:$C=$B1009,'SUMMARY DATA'!$B:$B=""RWS"",'SUMMARY DATA'!$H:$H=$D1009)),
  IF(
    OR(
      ISNUMBER(SEARCH(""CDM CASH DEPOSIT"",$C1009)),
      ISNUMB"&amp;"ER(SEARCH(""CASH DEPOSIT"",$C1009))
    ),
    """",
    IFERROR(TEXTJOIN(CHAR(10),TRUE,FILTER('SUMMARY DATA'!H:H,'SUMMARY DATA'!$D:$D=$C1009,'SUMMARY DATA'!$B:$B=""RWS"",'SUMMARY DATA'!$H:$H=$D1009)),"""")
  )
)"),"")</f>
      </c>
      <c r="I1009" s="18" t="str">
        <f>IFERROR(__xludf.DUMMYFUNCTION("IF(H1009="""","""",
SUM(ARRAYFORMULA(VALUE(SPLIT(H1009,CHAR(10)))))
)"),"")</f>
      </c>
      <c r="J1009" s="17" t="str">
        <f>IFERROR(__xludf.DUMMYFUNCTION("IFERROR(
  TEXTJOIN(CHAR(10),TRUE,FILTER('SUMMARY DATA'!I:I,'SUMMARY DATA'!$A:$A=$A1009,'SUMMARY DATA'!$C:$C=$B1009,'SUMMARY DATA'!$B:$B=""RWS"")),
  IF(
    OR(
      ISNUMBER(SEARCH(""CDM CASH DEPOSIT"",$C1009)),
      ISNUMBER(SEARCH(""CASH DEPOSIT"",$"&amp;"C1009)),
      COUNTIFS('SUMMARY DATA'!$D:$D,$C1009,'SUMMARY DATA'!$B:$B,""RWS"")&lt;&gt;1
    ),
    """",
    IFERROR(TEXTJOIN(CHAR(10),TRUE,FILTER('SUMMARY DATA'!I:I,'SUMMARY DATA'!$D:$D=$C1009,'SUMMARY DATA'!$B:$B=""RWS"")),"""")
  )
)"),"")</f>
      </c>
      <c r="K1009" s="2"/>
      <c r="L1009" s="2"/>
      <c r="M1009" s="2"/>
      <c r="N1009" s="2"/>
      <c r="O1009" s="2"/>
      <c r="P1009" s="2"/>
      <c r="Q1009" s="2"/>
      <c r="R1009" s="2"/>
      <c r="S1009" s="2"/>
      <c r="T1009" s="2"/>
      <c r="U1009" s="2"/>
      <c r="V1009" s="2"/>
      <c r="W1009" s="2"/>
      <c r="X1009" s="2"/>
      <c r="Y1009" s="2"/>
      <c r="Z1009" s="2"/>
      <c r="AA1009" s="2"/>
      <c r="AB1009" s="2"/>
    </row>
    <row r="1010" spans="1:28" customHeight="true">
      <c r="A1010" s="2"/>
      <c r="B1010" s="15">
        <v>45780</v>
      </c>
      <c r="C1010" s="2" t="s">
        <v>1548</v>
      </c>
      <c r="D1010" s="6">
        <v>5.96</v>
      </c>
      <c r="E1010" s="16" t="str">
        <f>IFERROR(__xludf.DUMMYFUNCTION("IFERROR(
  TEXTJOIN(CHAR(10),TRUE,FILTER('SUMMARY DATA'!E:E,'SUMMARY DATA'!$A:$A=$A111,'SUMMARY DATA'!$C:$C=$B111,'SUMMARY DATA'!$B:$B=""GRP"")),
  IF(
    OR(
      ISNUMBER(SEARCH(""CDM CASH DEPOSIT"",$C111)),
      ISNUMBER(SEARCH(""CASH DEPOSIT"",$C11"&amp;"1)),
      COUNTIFS('SUMMARY DATA'!$D:$D,$C111,'SUMMARY DATA'!$B:$B,""GRP"")&lt;&gt;1
    ),
    """",
    IFERROR(TEXTJOIN(CHAR(10),TRUE,FILTER('SUMMARY DATA'!E:E,'SUMMARY DATA'!$D:$D=$C111,'SUMMARY DATA'!$B:$B=""GRP"")),"""")
  )
)"),"")</f>
      </c>
      <c r="F1010" s="17" t="str">
        <f>IFERROR(__xludf.DUMMYFUNCTION("IFERROR(
  TEXTJOIN(CHAR(10),TRUE,FILTER('SUMMARY DATA'!F:F,'SUMMARY DATA'!$A:$A=$A111,'SUMMARY DATA'!$C:$C=$B111,'SUMMARY DATA'!$B:$B=""GRP"")),
  IF(
    OR(
      ISNUMBER(SEARCH(""CDM CASH DEPOSIT"",$C111)),
      ISNUMBER(SEARCH(""CASH DEPOSIT"",$C11"&amp;"1)),
      COUNTIFS('SUMMARY DATA'!$D:$D,$C111,'SUMMARY DATA'!$B:$B,""GRP"")&lt;&gt;1
    ),
    """",
    IFERROR(TEXTJOIN(CHAR(10),TRUE,FILTER('SUMMARY DATA'!F:F,'SUMMARY DATA'!$D:$D=$C111,'SUMMARY DATA'!$B:$B=""GRP"")),"""")
  )
)"),"")</f>
      </c>
      <c r="G1010" s="17" t="str">
        <f>IFERROR(__xludf.DUMMYFUNCTION("IFERROR(
  TEXTJOIN(CHAR(10),TRUE,FILTER('SUMMARY DATA'!G:G,'SUMMARY DATA'!$A:$A=$A1010,'SUMMARY DATA'!$C:$C=$B1010,'SUMMARY DATA'!$B:$B=""RWS"")),
  IF(
    OR(
      ISNUMBER(SEARCH(""CDM CASH DEPOSIT"",$C1010)),
      ISNUMBER(SEARCH(""CASH DEPOSIT"",$"&amp;"C1010)),
      COUNTIFS('SUMMARY DATA'!$D:$D,$C1010,'SUMMARY DATA'!$B:$B,""RWS"")&lt;&gt;1
    ),
    """",
    IFERROR(TEXTJOIN(CHAR(10),TRUE,FILTER('SUMMARY DATA'!G:G,'SUMMARY DATA'!$D:$D=$C1010,'SUMMARY DATA'!$B:$B=""RWS"")),"""")
  )
)"),"")</f>
      </c>
      <c r="H1010" s="18" t="str">
        <f>IFERROR(__xludf.DUMMYFUNCTION("IFERROR(
  TEXTJOIN(CHAR(10),TRUE,FILTER('SUMMARY DATA'!H:H,'SUMMARY DATA'!$A:$A=$A1010,'SUMMARY DATA'!$C:$C=$B1010,'SUMMARY DATA'!$B:$B=""RWS"",'SUMMARY DATA'!$H:$H=$D1010)),
  IF(
    OR(
      ISNUMBER(SEARCH(""CDM CASH DEPOSIT"",$C1010)),
      ISNUMB"&amp;"ER(SEARCH(""CASH DEPOSIT"",$C1010))
    ),
    """",
    IFERROR(TEXTJOIN(CHAR(10),TRUE,FILTER('SUMMARY DATA'!H:H,'SUMMARY DATA'!$D:$D=$C1010,'SUMMARY DATA'!$B:$B=""RWS"",'SUMMARY DATA'!$H:$H=$D1010)),"""")
  )
)"),"")</f>
      </c>
      <c r="I1010" s="18" t="str">
        <f>IFERROR(__xludf.DUMMYFUNCTION("IF(H1010="""","""",
SUM(ARRAYFORMULA(VALUE(SPLIT(H1010,CHAR(10)))))
)"),"")</f>
      </c>
      <c r="J1010" s="17" t="str">
        <f>IFERROR(__xludf.DUMMYFUNCTION("IFERROR(
  TEXTJOIN(CHAR(10),TRUE,FILTER('SUMMARY DATA'!I:I,'SUMMARY DATA'!$A:$A=$A1010,'SUMMARY DATA'!$C:$C=$B1010,'SUMMARY DATA'!$B:$B=""RWS"")),
  IF(
    OR(
      ISNUMBER(SEARCH(""CDM CASH DEPOSIT"",$C1010)),
      ISNUMBER(SEARCH(""CASH DEPOSIT"",$"&amp;"C1010)),
      COUNTIFS('SUMMARY DATA'!$D:$D,$C1010,'SUMMARY DATA'!$B:$B,""RWS"")&lt;&gt;1
    ),
    """",
    IFERROR(TEXTJOIN(CHAR(10),TRUE,FILTER('SUMMARY DATA'!I:I,'SUMMARY DATA'!$D:$D=$C1010,'SUMMARY DATA'!$B:$B=""RWS"")),"""")
  )
)"),"")</f>
      </c>
      <c r="K1010" s="2"/>
      <c r="L1010" s="2"/>
      <c r="M1010" s="2"/>
      <c r="N1010" s="2"/>
      <c r="O1010" s="2"/>
      <c r="P1010" s="2"/>
      <c r="Q1010" s="2"/>
      <c r="R1010" s="2"/>
      <c r="S1010" s="2"/>
      <c r="T1010" s="2"/>
      <c r="U1010" s="2"/>
      <c r="V1010" s="2"/>
      <c r="W1010" s="2"/>
      <c r="X1010" s="2"/>
      <c r="Y1010" s="2"/>
      <c r="Z1010" s="2"/>
      <c r="AA1010" s="2"/>
      <c r="AB1010" s="2"/>
    </row>
    <row r="1011" spans="1:28" customHeight="true">
      <c r="A1011" s="2" t="s">
        <v>1442</v>
      </c>
      <c r="B1011" s="15">
        <v>45781</v>
      </c>
      <c r="C1011" s="2" t="s">
        <v>1549</v>
      </c>
      <c r="D1011" s="6">
        <v>217</v>
      </c>
      <c r="E1011" s="16" t="str">
        <f>IFERROR(__xludf.DUMMYFUNCTION("IFERROR(
  TEXTJOIN(CHAR(10),TRUE,FILTER('SUMMARY DATA'!E:E,'SUMMARY DATA'!$A:$A=$A112,'SUMMARY DATA'!$C:$C=$B112,'SUMMARY DATA'!$B:$B=""GRP"")),
  IF(
    OR(
      ISNUMBER(SEARCH(""CDM CASH DEPOSIT"",$C112)),
      ISNUMBER(SEARCH(""CASH DEPOSIT"",$C11"&amp;"2)),
      COUNTIFS('SUMMARY DATA'!$D:$D,$C112,'SUMMARY DATA'!$B:$B,""GRP"")&lt;&gt;1
    ),
    """",
    IFERROR(TEXTJOIN(CHAR(10),TRUE,FILTER('SUMMARY DATA'!E:E,'SUMMARY DATA'!$D:$D=$C112,'SUMMARY DATA'!$B:$B=""GRP"")),"""")
  )
)"),"")</f>
      </c>
      <c r="F1011" s="17" t="str">
        <f>IFERROR(__xludf.DUMMYFUNCTION("IFERROR(
  TEXTJOIN(CHAR(10),TRUE,FILTER('SUMMARY DATA'!F:F,'SUMMARY DATA'!$A:$A=$A112,'SUMMARY DATA'!$C:$C=$B112,'SUMMARY DATA'!$B:$B=""GRP"")),
  IF(
    OR(
      ISNUMBER(SEARCH(""CDM CASH DEPOSIT"",$C112)),
      ISNUMBER(SEARCH(""CASH DEPOSIT"",$C11"&amp;"2)),
      COUNTIFS('SUMMARY DATA'!$D:$D,$C112,'SUMMARY DATA'!$B:$B,""GRP"")&lt;&gt;1
    ),
    """",
    IFERROR(TEXTJOIN(CHAR(10),TRUE,FILTER('SUMMARY DATA'!F:F,'SUMMARY DATA'!$D:$D=$C112,'SUMMARY DATA'!$B:$B=""GRP"")),"""")
  )
)"),"")</f>
      </c>
      <c r="G1011" s="17" t="str">
        <f>IFERROR(__xludf.DUMMYFUNCTION("IFERROR(
  TEXTJOIN(CHAR(10),TRUE,FILTER('SUMMARY DATA'!G:G,'SUMMARY DATA'!$A:$A=$A1011,'SUMMARY DATA'!$C:$C=$B1011,'SUMMARY DATA'!$B:$B=""RWS"")),
  IF(
    OR(
      ISNUMBER(SEARCH(""CDM CASH DEPOSIT"",$C1011)),
      ISNUMBER(SEARCH(""CASH DEPOSIT"",$"&amp;"C1011)),
      COUNTIFS('SUMMARY DATA'!$D:$D,$C1011,'SUMMARY DATA'!$B:$B,""RWS"")&lt;&gt;1
    ),
    """",
    IFERROR(TEXTJOIN(CHAR(10),TRUE,FILTER('SUMMARY DATA'!G:G,'SUMMARY DATA'!$D:$D=$C1011,'SUMMARY DATA'!$B:$B=""RWS"")),"""")
  )
)"),"")</f>
      </c>
      <c r="H1011" s="18" t="str">
        <f>IFERROR(__xludf.DUMMYFUNCTION("IFERROR(
  TEXTJOIN(CHAR(10),TRUE,FILTER('SUMMARY DATA'!H:H,'SUMMARY DATA'!$A:$A=$A1011,'SUMMARY DATA'!$C:$C=$B1011,'SUMMARY DATA'!$B:$B=""RWS"",'SUMMARY DATA'!$H:$H=$D1011)),
  IF(
    OR(
      ISNUMBER(SEARCH(""CDM CASH DEPOSIT"",$C1011)),
      ISNUMB"&amp;"ER(SEARCH(""CASH DEPOSIT"",$C1011))
    ),
    """",
    IFERROR(TEXTJOIN(CHAR(10),TRUE,FILTER('SUMMARY DATA'!H:H,'SUMMARY DATA'!$D:$D=$C1011,'SUMMARY DATA'!$B:$B=""RWS"",'SUMMARY DATA'!$H:$H=$D1011)),"""")
  )
)"),"")</f>
      </c>
      <c r="I1011" s="18" t="str">
        <f>IFERROR(__xludf.DUMMYFUNCTION("IF(H1011="""","""",
SUM(ARRAYFORMULA(VALUE(SPLIT(H1011,CHAR(10)))))
)"),"")</f>
      </c>
      <c r="J1011" s="17" t="str">
        <f>IFERROR(__xludf.DUMMYFUNCTION("IFERROR(
  TEXTJOIN(CHAR(10),TRUE,FILTER('SUMMARY DATA'!I:I,'SUMMARY DATA'!$A:$A=$A1011,'SUMMARY DATA'!$C:$C=$B1011,'SUMMARY DATA'!$B:$B=""RWS"")),
  IF(
    OR(
      ISNUMBER(SEARCH(""CDM CASH DEPOSIT"",$C1011)),
      ISNUMBER(SEARCH(""CASH DEPOSIT"",$"&amp;"C1011)),
      COUNTIFS('SUMMARY DATA'!$D:$D,$C1011,'SUMMARY DATA'!$B:$B,""RWS"")&lt;&gt;1
    ),
    """",
    IFERROR(TEXTJOIN(CHAR(10),TRUE,FILTER('SUMMARY DATA'!I:I,'SUMMARY DATA'!$D:$D=$C1011,'SUMMARY DATA'!$B:$B=""RWS"")),"""")
  )
)"),"")</f>
      </c>
      <c r="K1011" s="2"/>
      <c r="L1011" s="2"/>
      <c r="M1011" s="2"/>
      <c r="N1011" s="2"/>
      <c r="O1011" s="2"/>
      <c r="P1011" s="2"/>
      <c r="Q1011" s="2"/>
      <c r="R1011" s="2"/>
      <c r="S1011" s="2"/>
      <c r="T1011" s="2"/>
      <c r="U1011" s="2"/>
      <c r="V1011" s="2"/>
      <c r="W1011" s="2"/>
      <c r="X1011" s="2"/>
      <c r="Y1011" s="2"/>
      <c r="Z1011" s="2"/>
      <c r="AA1011" s="2"/>
      <c r="AB1011" s="2"/>
    </row>
    <row r="1012" spans="1:28" customHeight="true">
      <c r="A1012" s="2"/>
      <c r="B1012" s="15">
        <v>45781</v>
      </c>
      <c r="C1012" s="2" t="s">
        <v>1550</v>
      </c>
      <c r="D1012" s="6">
        <v>79</v>
      </c>
      <c r="E1012" s="16" t="str">
        <f>IFERROR(__xludf.DUMMYFUNCTION("IFERROR(
  TEXTJOIN(CHAR(10),TRUE,FILTER('SUMMARY DATA'!E:E,'SUMMARY DATA'!$A:$A=$A113,'SUMMARY DATA'!$C:$C=$B113,'SUMMARY DATA'!$B:$B=""GRP"")),
  IF(
    OR(
      ISNUMBER(SEARCH(""CDM CASH DEPOSIT"",$C113)),
      ISNUMBER(SEARCH(""CASH DEPOSIT"",$C11"&amp;"3)),
      COUNTIFS('SUMMARY DATA'!$D:$D,$C113,'SUMMARY DATA'!$B:$B,""GRP"")&lt;&gt;1
    ),
    """",
    IFERROR(TEXTJOIN(CHAR(10),TRUE,FILTER('SUMMARY DATA'!E:E,'SUMMARY DATA'!$D:$D=$C113,'SUMMARY DATA'!$B:$B=""GRP"")),"""")
  )
)"),"")</f>
      </c>
      <c r="F1012" s="17" t="str">
        <f>IFERROR(__xludf.DUMMYFUNCTION("IFERROR(
  TEXTJOIN(CHAR(10),TRUE,FILTER('SUMMARY DATA'!F:F,'SUMMARY DATA'!$A:$A=$A113,'SUMMARY DATA'!$C:$C=$B113,'SUMMARY DATA'!$B:$B=""GRP"")),
  IF(
    OR(
      ISNUMBER(SEARCH(""CDM CASH DEPOSIT"",$C113)),
      ISNUMBER(SEARCH(""CASH DEPOSIT"",$C11"&amp;"3)),
      COUNTIFS('SUMMARY DATA'!$D:$D,$C113,'SUMMARY DATA'!$B:$B,""GRP"")&lt;&gt;1
    ),
    """",
    IFERROR(TEXTJOIN(CHAR(10),TRUE,FILTER('SUMMARY DATA'!F:F,'SUMMARY DATA'!$D:$D=$C113,'SUMMARY DATA'!$B:$B=""GRP"")),"""")
  )
)"),"")</f>
      </c>
      <c r="G1012" s="17" t="str">
        <f>IFERROR(__xludf.DUMMYFUNCTION("IFERROR(
  TEXTJOIN(CHAR(10),TRUE,FILTER('SUMMARY DATA'!G:G,'SUMMARY DATA'!$A:$A=$A1012,'SUMMARY DATA'!$C:$C=$B1012,'SUMMARY DATA'!$B:$B=""RWS"")),
  IF(
    OR(
      ISNUMBER(SEARCH(""CDM CASH DEPOSIT"",$C1012)),
      ISNUMBER(SEARCH(""CASH DEPOSIT"",$"&amp;"C1012)),
      COUNTIFS('SUMMARY DATA'!$D:$D,$C1012,'SUMMARY DATA'!$B:$B,""RWS"")&lt;&gt;1
    ),
    """",
    IFERROR(TEXTJOIN(CHAR(10),TRUE,FILTER('SUMMARY DATA'!G:G,'SUMMARY DATA'!$D:$D=$C1012,'SUMMARY DATA'!$B:$B=""RWS"")),"""")
  )
)"),"")</f>
      </c>
      <c r="H1012" s="18" t="str">
        <f>IFERROR(__xludf.DUMMYFUNCTION("IFERROR(
  TEXTJOIN(CHAR(10),TRUE,FILTER('SUMMARY DATA'!H:H,'SUMMARY DATA'!$A:$A=$A1012,'SUMMARY DATA'!$C:$C=$B1012,'SUMMARY DATA'!$B:$B=""RWS"",'SUMMARY DATA'!$H:$H=$D1012)),
  IF(
    OR(
      ISNUMBER(SEARCH(""CDM CASH DEPOSIT"",$C1012)),
      ISNUMB"&amp;"ER(SEARCH(""CASH DEPOSIT"",$C1012))
    ),
    """",
    IFERROR(TEXTJOIN(CHAR(10),TRUE,FILTER('SUMMARY DATA'!H:H,'SUMMARY DATA'!$D:$D=$C1012,'SUMMARY DATA'!$B:$B=""RWS"",'SUMMARY DATA'!$H:$H=$D1012)),"""")
  )
)"),"")</f>
      </c>
      <c r="I1012" s="18" t="str">
        <f>IFERROR(__xludf.DUMMYFUNCTION("IF(H1012="""","""",
SUM(ARRAYFORMULA(VALUE(SPLIT(H1012,CHAR(10)))))
)"),"")</f>
      </c>
      <c r="J1012" s="17" t="str">
        <f>IFERROR(__xludf.DUMMYFUNCTION("IFERROR(
  TEXTJOIN(CHAR(10),TRUE,FILTER('SUMMARY DATA'!I:I,'SUMMARY DATA'!$A:$A=$A1012,'SUMMARY DATA'!$C:$C=$B1012,'SUMMARY DATA'!$B:$B=""RWS"")),
  IF(
    OR(
      ISNUMBER(SEARCH(""CDM CASH DEPOSIT"",$C1012)),
      ISNUMBER(SEARCH(""CASH DEPOSIT"",$"&amp;"C1012)),
      COUNTIFS('SUMMARY DATA'!$D:$D,$C1012,'SUMMARY DATA'!$B:$B,""RWS"")&lt;&gt;1
    ),
    """",
    IFERROR(TEXTJOIN(CHAR(10),TRUE,FILTER('SUMMARY DATA'!I:I,'SUMMARY DATA'!$D:$D=$C1012,'SUMMARY DATA'!$B:$B=""RWS"")),"""")
  )
)"),"")</f>
      </c>
      <c r="K1012" s="2"/>
      <c r="L1012" s="2"/>
      <c r="M1012" s="2"/>
      <c r="N1012" s="2"/>
      <c r="O1012" s="2"/>
      <c r="P1012" s="2"/>
      <c r="Q1012" s="2"/>
      <c r="R1012" s="2"/>
      <c r="S1012" s="2"/>
      <c r="T1012" s="2"/>
      <c r="U1012" s="2"/>
      <c r="V1012" s="2"/>
      <c r="W1012" s="2"/>
      <c r="X1012" s="2"/>
      <c r="Y1012" s="2"/>
      <c r="Z1012" s="2"/>
      <c r="AA1012" s="2"/>
      <c r="AB1012" s="2"/>
    </row>
    <row r="1013" spans="1:28" customHeight="true">
      <c r="A1013" s="2" t="s">
        <v>1446</v>
      </c>
      <c r="B1013" s="15">
        <v>45781</v>
      </c>
      <c r="C1013" s="2" t="s">
        <v>1551</v>
      </c>
      <c r="D1013" s="6">
        <v>70</v>
      </c>
      <c r="E1013" s="16" t="str">
        <f>IFERROR(__xludf.DUMMYFUNCTION("IFERROR(
  TEXTJOIN(CHAR(10),TRUE,FILTER('SUMMARY DATA'!E:E,'SUMMARY DATA'!$A:$A=$A114,'SUMMARY DATA'!$C:$C=$B114,'SUMMARY DATA'!$B:$B=""GRP"")),
  IF(
    OR(
      ISNUMBER(SEARCH(""CDM CASH DEPOSIT"",$C114)),
      ISNUMBER(SEARCH(""CASH DEPOSIT"",$C11"&amp;"4)),
      COUNTIFS('SUMMARY DATA'!$D:$D,$C114,'SUMMARY DATA'!$B:$B,""GRP"")&lt;&gt;1
    ),
    """",
    IFERROR(TEXTJOIN(CHAR(10),TRUE,FILTER('SUMMARY DATA'!E:E,'SUMMARY DATA'!$D:$D=$C114,'SUMMARY DATA'!$B:$B=""GRP"")),"""")
  )
)"),"")</f>
      </c>
      <c r="F1013" s="17" t="str">
        <f>IFERROR(__xludf.DUMMYFUNCTION("IFERROR(
  TEXTJOIN(CHAR(10),TRUE,FILTER('SUMMARY DATA'!F:F,'SUMMARY DATA'!$A:$A=$A114,'SUMMARY DATA'!$C:$C=$B114,'SUMMARY DATA'!$B:$B=""GRP"")),
  IF(
    OR(
      ISNUMBER(SEARCH(""CDM CASH DEPOSIT"",$C114)),
      ISNUMBER(SEARCH(""CASH DEPOSIT"",$C11"&amp;"4)),
      COUNTIFS('SUMMARY DATA'!$D:$D,$C114,'SUMMARY DATA'!$B:$B,""GRP"")&lt;&gt;1
    ),
    """",
    IFERROR(TEXTJOIN(CHAR(10),TRUE,FILTER('SUMMARY DATA'!F:F,'SUMMARY DATA'!$D:$D=$C114,'SUMMARY DATA'!$B:$B=""GRP"")),"""")
  )
)"),"")</f>
      </c>
      <c r="G1013" s="17" t="str">
        <f>IFERROR(__xludf.DUMMYFUNCTION("IFERROR(
  TEXTJOIN(CHAR(10),TRUE,FILTER('SUMMARY DATA'!G:G,'SUMMARY DATA'!$A:$A=$A1013,'SUMMARY DATA'!$C:$C=$B1013,'SUMMARY DATA'!$B:$B=""RWS"")),
  IF(
    OR(
      ISNUMBER(SEARCH(""CDM CASH DEPOSIT"",$C1013)),
      ISNUMBER(SEARCH(""CASH DEPOSIT"",$"&amp;"C1013)),
      COUNTIFS('SUMMARY DATA'!$D:$D,$C1013,'SUMMARY DATA'!$B:$B,""RWS"")&lt;&gt;1
    ),
    """",
    IFERROR(TEXTJOIN(CHAR(10),TRUE,FILTER('SUMMARY DATA'!G:G,'SUMMARY DATA'!$D:$D=$C1013,'SUMMARY DATA'!$B:$B=""RWS"")),"""")
  )
)"),"")</f>
      </c>
      <c r="H1013" s="18" t="str">
        <f>IFERROR(__xludf.DUMMYFUNCTION("IFERROR(
  TEXTJOIN(CHAR(10),TRUE,FILTER('SUMMARY DATA'!H:H,'SUMMARY DATA'!$A:$A=$A1013,'SUMMARY DATA'!$C:$C=$B1013,'SUMMARY DATA'!$B:$B=""RWS"",'SUMMARY DATA'!$H:$H=$D1013)),
  IF(
    OR(
      ISNUMBER(SEARCH(""CDM CASH DEPOSIT"",$C1013)),
      ISNUMB"&amp;"ER(SEARCH(""CASH DEPOSIT"",$C1013))
    ),
    """",
    IFERROR(TEXTJOIN(CHAR(10),TRUE,FILTER('SUMMARY DATA'!H:H,'SUMMARY DATA'!$D:$D=$C1013,'SUMMARY DATA'!$B:$B=""RWS"",'SUMMARY DATA'!$H:$H=$D1013)),"""")
  )
)"),"")</f>
      </c>
      <c r="I1013" s="18" t="str">
        <f>IFERROR(__xludf.DUMMYFUNCTION("IF(H1013="""","""",
SUM(ARRAYFORMULA(VALUE(SPLIT(H1013,CHAR(10)))))
)"),"")</f>
      </c>
      <c r="J1013" s="17" t="str">
        <f>IFERROR(__xludf.DUMMYFUNCTION("IFERROR(
  TEXTJOIN(CHAR(10),TRUE,FILTER('SUMMARY DATA'!I:I,'SUMMARY DATA'!$A:$A=$A1013,'SUMMARY DATA'!$C:$C=$B1013,'SUMMARY DATA'!$B:$B=""RWS"")),
  IF(
    OR(
      ISNUMBER(SEARCH(""CDM CASH DEPOSIT"",$C1013)),
      ISNUMBER(SEARCH(""CASH DEPOSIT"",$"&amp;"C1013)),
      COUNTIFS('SUMMARY DATA'!$D:$D,$C1013,'SUMMARY DATA'!$B:$B,""RWS"")&lt;&gt;1
    ),
    """",
    IFERROR(TEXTJOIN(CHAR(10),TRUE,FILTER('SUMMARY DATA'!I:I,'SUMMARY DATA'!$D:$D=$C1013,'SUMMARY DATA'!$B:$B=""RWS"")),"""")
  )
)"),"")</f>
      </c>
      <c r="K1013" s="2"/>
      <c r="L1013" s="2"/>
      <c r="M1013" s="2"/>
      <c r="N1013" s="2"/>
      <c r="O1013" s="2"/>
      <c r="P1013" s="2"/>
      <c r="Q1013" s="2"/>
      <c r="R1013" s="2"/>
      <c r="S1013" s="2"/>
      <c r="T1013" s="2"/>
      <c r="U1013" s="2"/>
      <c r="V1013" s="2"/>
      <c r="W1013" s="2"/>
      <c r="X1013" s="2"/>
      <c r="Y1013" s="2"/>
      <c r="Z1013" s="2"/>
      <c r="AA1013" s="2"/>
      <c r="AB1013" s="2"/>
    </row>
    <row r="1014" spans="1:28" customHeight="true">
      <c r="A1014" s="2"/>
      <c r="B1014" s="15">
        <v>45781</v>
      </c>
      <c r="C1014" s="2" t="s">
        <v>1552</v>
      </c>
      <c r="D1014" s="6">
        <v>10.02</v>
      </c>
      <c r="E1014" s="16" t="str">
        <f>IFERROR(__xludf.DUMMYFUNCTION("IFERROR(
  TEXTJOIN(CHAR(10),TRUE,FILTER('SUMMARY DATA'!E:E,'SUMMARY DATA'!$A:$A=$A115,'SUMMARY DATA'!$C:$C=$B115,'SUMMARY DATA'!$B:$B=""GRP"")),
  IF(
    OR(
      ISNUMBER(SEARCH(""CDM CASH DEPOSIT"",$C115)),
      ISNUMBER(SEARCH(""CASH DEPOSIT"",$C11"&amp;"5)),
      COUNTIFS('SUMMARY DATA'!$D:$D,$C115,'SUMMARY DATA'!$B:$B,""GRP"")&lt;&gt;1
    ),
    """",
    IFERROR(TEXTJOIN(CHAR(10),TRUE,FILTER('SUMMARY DATA'!E:E,'SUMMARY DATA'!$D:$D=$C115,'SUMMARY DATA'!$B:$B=""GRP"")),"""")
  )
)"),"")</f>
      </c>
      <c r="F1014" s="17" t="str">
        <f>IFERROR(__xludf.DUMMYFUNCTION("IFERROR(
  TEXTJOIN(CHAR(10),TRUE,FILTER('SUMMARY DATA'!F:F,'SUMMARY DATA'!$A:$A=$A115,'SUMMARY DATA'!$C:$C=$B115,'SUMMARY DATA'!$B:$B=""GRP"")),
  IF(
    OR(
      ISNUMBER(SEARCH(""CDM CASH DEPOSIT"",$C115)),
      ISNUMBER(SEARCH(""CASH DEPOSIT"",$C11"&amp;"5)),
      COUNTIFS('SUMMARY DATA'!$D:$D,$C115,'SUMMARY DATA'!$B:$B,""GRP"")&lt;&gt;1
    ),
    """",
    IFERROR(TEXTJOIN(CHAR(10),TRUE,FILTER('SUMMARY DATA'!F:F,'SUMMARY DATA'!$D:$D=$C115,'SUMMARY DATA'!$B:$B=""GRP"")),"""")
  )
)"),"")</f>
      </c>
      <c r="G1014" s="17" t="str">
        <f>IFERROR(__xludf.DUMMYFUNCTION("IFERROR(
  TEXTJOIN(CHAR(10),TRUE,FILTER('SUMMARY DATA'!G:G,'SUMMARY DATA'!$A:$A=$A1014,'SUMMARY DATA'!$C:$C=$B1014,'SUMMARY DATA'!$B:$B=""RWS"")),
  IF(
    OR(
      ISNUMBER(SEARCH(""CDM CASH DEPOSIT"",$C1014)),
      ISNUMBER(SEARCH(""CASH DEPOSIT"",$"&amp;"C1014)),
      COUNTIFS('SUMMARY DATA'!$D:$D,$C1014,'SUMMARY DATA'!$B:$B,""RWS"")&lt;&gt;1
    ),
    """",
    IFERROR(TEXTJOIN(CHAR(10),TRUE,FILTER('SUMMARY DATA'!G:G,'SUMMARY DATA'!$D:$D=$C1014,'SUMMARY DATA'!$B:$B=""RWS"")),"""")
  )
)"),"")</f>
      </c>
      <c r="H1014" s="18" t="str">
        <f>IFERROR(__xludf.DUMMYFUNCTION("IFERROR(
  TEXTJOIN(CHAR(10),TRUE,FILTER('SUMMARY DATA'!H:H,'SUMMARY DATA'!$A:$A=$A1014,'SUMMARY DATA'!$C:$C=$B1014,'SUMMARY DATA'!$B:$B=""RWS"",'SUMMARY DATA'!$H:$H=$D1014)),
  IF(
    OR(
      ISNUMBER(SEARCH(""CDM CASH DEPOSIT"",$C1014)),
      ISNUMB"&amp;"ER(SEARCH(""CASH DEPOSIT"",$C1014))
    ),
    """",
    IFERROR(TEXTJOIN(CHAR(10),TRUE,FILTER('SUMMARY DATA'!H:H,'SUMMARY DATA'!$D:$D=$C1014,'SUMMARY DATA'!$B:$B=""RWS"",'SUMMARY DATA'!$H:$H=$D1014)),"""")
  )
)"),"")</f>
      </c>
      <c r="I1014" s="18" t="str">
        <f>IFERROR(__xludf.DUMMYFUNCTION("IF(H1014="""","""",
SUM(ARRAYFORMULA(VALUE(SPLIT(H1014,CHAR(10)))))
)"),"")</f>
      </c>
      <c r="J1014" s="17" t="str">
        <f>IFERROR(__xludf.DUMMYFUNCTION("IFERROR(
  TEXTJOIN(CHAR(10),TRUE,FILTER('SUMMARY DATA'!I:I,'SUMMARY DATA'!$A:$A=$A1014,'SUMMARY DATA'!$C:$C=$B1014,'SUMMARY DATA'!$B:$B=""RWS"")),
  IF(
    OR(
      ISNUMBER(SEARCH(""CDM CASH DEPOSIT"",$C1014)),
      ISNUMBER(SEARCH(""CASH DEPOSIT"",$"&amp;"C1014)),
      COUNTIFS('SUMMARY DATA'!$D:$D,$C1014,'SUMMARY DATA'!$B:$B,""RWS"")&lt;&gt;1
    ),
    """",
    IFERROR(TEXTJOIN(CHAR(10),TRUE,FILTER('SUMMARY DATA'!I:I,'SUMMARY DATA'!$D:$D=$C1014,'SUMMARY DATA'!$B:$B=""RWS"")),"""")
  )
)"),"")</f>
      </c>
      <c r="K1014" s="2"/>
      <c r="L1014" s="2"/>
      <c r="M1014" s="2"/>
      <c r="N1014" s="2"/>
      <c r="O1014" s="2"/>
      <c r="P1014" s="2"/>
      <c r="Q1014" s="2"/>
      <c r="R1014" s="2"/>
      <c r="S1014" s="2"/>
      <c r="T1014" s="2"/>
      <c r="U1014" s="2"/>
      <c r="V1014" s="2"/>
      <c r="W1014" s="2"/>
      <c r="X1014" s="2"/>
      <c r="Y1014" s="2"/>
      <c r="Z1014" s="2"/>
      <c r="AA1014" s="2"/>
      <c r="AB1014" s="2"/>
    </row>
    <row r="1015" spans="1:28" customHeight="true">
      <c r="A1015" s="2"/>
      <c r="B1015" s="15">
        <v>45781</v>
      </c>
      <c r="C1015" s="2" t="s">
        <v>1553</v>
      </c>
      <c r="D1015" s="6">
        <v>10</v>
      </c>
      <c r="E1015" s="16" t="str">
        <f>IFERROR(__xludf.DUMMYFUNCTION("IFERROR(
  TEXTJOIN(CHAR(10),TRUE,FILTER('SUMMARY DATA'!E:E,'SUMMARY DATA'!$A:$A=$A116,'SUMMARY DATA'!$C:$C=$B116,'SUMMARY DATA'!$B:$B=""GRP"")),
  IF(
    OR(
      ISNUMBER(SEARCH(""CDM CASH DEPOSIT"",$C116)),
      ISNUMBER(SEARCH(""CASH DEPOSIT"",$C11"&amp;"6)),
      COUNTIFS('SUMMARY DATA'!$D:$D,$C116,'SUMMARY DATA'!$B:$B,""GRP"")&lt;&gt;1
    ),
    """",
    IFERROR(TEXTJOIN(CHAR(10),TRUE,FILTER('SUMMARY DATA'!E:E,'SUMMARY DATA'!$D:$D=$C116,'SUMMARY DATA'!$B:$B=""GRP"")),"""")
  )
)"),"")</f>
      </c>
      <c r="F1015" s="17" t="str">
        <f>IFERROR(__xludf.DUMMYFUNCTION("IFERROR(
  TEXTJOIN(CHAR(10),TRUE,FILTER('SUMMARY DATA'!F:F,'SUMMARY DATA'!$A:$A=$A116,'SUMMARY DATA'!$C:$C=$B116,'SUMMARY DATA'!$B:$B=""GRP"")),
  IF(
    OR(
      ISNUMBER(SEARCH(""CDM CASH DEPOSIT"",$C116)),
      ISNUMBER(SEARCH(""CASH DEPOSIT"",$C11"&amp;"6)),
      COUNTIFS('SUMMARY DATA'!$D:$D,$C116,'SUMMARY DATA'!$B:$B,""GRP"")&lt;&gt;1
    ),
    """",
    IFERROR(TEXTJOIN(CHAR(10),TRUE,FILTER('SUMMARY DATA'!F:F,'SUMMARY DATA'!$D:$D=$C116,'SUMMARY DATA'!$B:$B=""GRP"")),"""")
  )
)"),"")</f>
      </c>
      <c r="G1015" s="17" t="str">
        <f>IFERROR(__xludf.DUMMYFUNCTION("IFERROR(
  TEXTJOIN(CHAR(10),TRUE,FILTER('SUMMARY DATA'!G:G,'SUMMARY DATA'!$A:$A=$A1015,'SUMMARY DATA'!$C:$C=$B1015,'SUMMARY DATA'!$B:$B=""RWS"")),
  IF(
    OR(
      ISNUMBER(SEARCH(""CDM CASH DEPOSIT"",$C1015)),
      ISNUMBER(SEARCH(""CASH DEPOSIT"",$"&amp;"C1015)),
      COUNTIFS('SUMMARY DATA'!$D:$D,$C1015,'SUMMARY DATA'!$B:$B,""RWS"")&lt;&gt;1
    ),
    """",
    IFERROR(TEXTJOIN(CHAR(10),TRUE,FILTER('SUMMARY DATA'!G:G,'SUMMARY DATA'!$D:$D=$C1015,'SUMMARY DATA'!$B:$B=""RWS"")),"""")
  )
)"),"")</f>
      </c>
      <c r="H1015" s="18" t="str">
        <f>IFERROR(__xludf.DUMMYFUNCTION("IFERROR(
  TEXTJOIN(CHAR(10),TRUE,FILTER('SUMMARY DATA'!H:H,'SUMMARY DATA'!$A:$A=$A1015,'SUMMARY DATA'!$C:$C=$B1015,'SUMMARY DATA'!$B:$B=""RWS"",'SUMMARY DATA'!$H:$H=$D1015)),
  IF(
    OR(
      ISNUMBER(SEARCH(""CDM CASH DEPOSIT"",$C1015)),
      ISNUMB"&amp;"ER(SEARCH(""CASH DEPOSIT"",$C1015))
    ),
    """",
    IFERROR(TEXTJOIN(CHAR(10),TRUE,FILTER('SUMMARY DATA'!H:H,'SUMMARY DATA'!$D:$D=$C1015,'SUMMARY DATA'!$B:$B=""RWS"",'SUMMARY DATA'!$H:$H=$D1015)),"""")
  )
)"),"")</f>
      </c>
      <c r="I1015" s="18" t="str">
        <f>IFERROR(__xludf.DUMMYFUNCTION("IF(H1015="""","""",
SUM(ARRAYFORMULA(VALUE(SPLIT(H1015,CHAR(10)))))
)"),"")</f>
      </c>
      <c r="J1015" s="17" t="str">
        <f>IFERROR(__xludf.DUMMYFUNCTION("IFERROR(
  TEXTJOIN(CHAR(10),TRUE,FILTER('SUMMARY DATA'!I:I,'SUMMARY DATA'!$A:$A=$A1015,'SUMMARY DATA'!$C:$C=$B1015,'SUMMARY DATA'!$B:$B=""RWS"")),
  IF(
    OR(
      ISNUMBER(SEARCH(""CDM CASH DEPOSIT"",$C1015)),
      ISNUMBER(SEARCH(""CASH DEPOSIT"",$"&amp;"C1015)),
      COUNTIFS('SUMMARY DATA'!$D:$D,$C1015,'SUMMARY DATA'!$B:$B,""RWS"")&lt;&gt;1
    ),
    """",
    IFERROR(TEXTJOIN(CHAR(10),TRUE,FILTER('SUMMARY DATA'!I:I,'SUMMARY DATA'!$D:$D=$C1015,'SUMMARY DATA'!$B:$B=""RWS"")),"""")
  )
)"),"")</f>
      </c>
      <c r="K1015" s="2"/>
      <c r="L1015" s="2"/>
      <c r="M1015" s="2"/>
      <c r="N1015" s="2"/>
      <c r="O1015" s="2"/>
      <c r="P1015" s="2"/>
      <c r="Q1015" s="2"/>
      <c r="R1015" s="2"/>
      <c r="S1015" s="2"/>
      <c r="T1015" s="2"/>
      <c r="U1015" s="2"/>
      <c r="V1015" s="2"/>
      <c r="W1015" s="2"/>
      <c r="X1015" s="2"/>
      <c r="Y1015" s="2"/>
      <c r="Z1015" s="2"/>
      <c r="AA1015" s="2"/>
      <c r="AB1015" s="2"/>
    </row>
    <row r="1016" spans="1:28" customHeight="true">
      <c r="A1016" s="2" t="s">
        <v>1554</v>
      </c>
      <c r="B1016" s="15">
        <v>45781</v>
      </c>
      <c r="C1016" s="2" t="s">
        <v>1409</v>
      </c>
      <c r="D1016" s="6">
        <v>5</v>
      </c>
      <c r="E1016" s="16" t="str">
        <f>IFERROR(__xludf.DUMMYFUNCTION("IFERROR(
  TEXTJOIN(CHAR(10),TRUE,FILTER('SUMMARY DATA'!E:E,'SUMMARY DATA'!$A:$A=$A117,'SUMMARY DATA'!$C:$C=$B117,'SUMMARY DATA'!$B:$B=""GRP"")),
  IF(
    OR(
      ISNUMBER(SEARCH(""CDM CASH DEPOSIT"",$C117)),
      ISNUMBER(SEARCH(""CASH DEPOSIT"",$C11"&amp;"7)),
      COUNTIFS('SUMMARY DATA'!$D:$D,$C117,'SUMMARY DATA'!$B:$B,""GRP"")&lt;&gt;1
    ),
    """",
    IFERROR(TEXTJOIN(CHAR(10),TRUE,FILTER('SUMMARY DATA'!E:E,'SUMMARY DATA'!$D:$D=$C117,'SUMMARY DATA'!$B:$B=""GRP"")),"""")
  )
)"),"")</f>
      </c>
      <c r="F1016" s="17" t="str">
        <f>IFERROR(__xludf.DUMMYFUNCTION("IFERROR(
  TEXTJOIN(CHAR(10),TRUE,FILTER('SUMMARY DATA'!F:F,'SUMMARY DATA'!$A:$A=$A117,'SUMMARY DATA'!$C:$C=$B117,'SUMMARY DATA'!$B:$B=""GRP"")),
  IF(
    OR(
      ISNUMBER(SEARCH(""CDM CASH DEPOSIT"",$C117)),
      ISNUMBER(SEARCH(""CASH DEPOSIT"",$C11"&amp;"7)),
      COUNTIFS('SUMMARY DATA'!$D:$D,$C117,'SUMMARY DATA'!$B:$B,""GRP"")&lt;&gt;1
    ),
    """",
    IFERROR(TEXTJOIN(CHAR(10),TRUE,FILTER('SUMMARY DATA'!F:F,'SUMMARY DATA'!$D:$D=$C117,'SUMMARY DATA'!$B:$B=""GRP"")),"""")
  )
)"),"")</f>
      </c>
      <c r="G1016" s="17" t="str">
        <f>IFERROR(__xludf.DUMMYFUNCTION("IFERROR(
  TEXTJOIN(CHAR(10),TRUE,FILTER('SUMMARY DATA'!G:G,'SUMMARY DATA'!$A:$A=$A1016,'SUMMARY DATA'!$C:$C=$B1016,'SUMMARY DATA'!$B:$B=""RWS"")),
  IF(
    OR(
      ISNUMBER(SEARCH(""CDM CASH DEPOSIT"",$C1016)),
      ISNUMBER(SEARCH(""CASH DEPOSIT"",$"&amp;"C1016)),
      COUNTIFS('SUMMARY DATA'!$D:$D,$C1016,'SUMMARY DATA'!$B:$B,""RWS"")&lt;&gt;1
    ),
    """",
    IFERROR(TEXTJOIN(CHAR(10),TRUE,FILTER('SUMMARY DATA'!G:G,'SUMMARY DATA'!$D:$D=$C1016,'SUMMARY DATA'!$B:$B=""RWS"")),"""")
  )
)"),"")</f>
      </c>
      <c r="H1016" s="18" t="str">
        <f>IFERROR(__xludf.DUMMYFUNCTION("IFERROR(
  TEXTJOIN(CHAR(10),TRUE,FILTER('SUMMARY DATA'!H:H,'SUMMARY DATA'!$A:$A=$A1016,'SUMMARY DATA'!$C:$C=$B1016,'SUMMARY DATA'!$B:$B=""RWS"",'SUMMARY DATA'!$H:$H=$D1016)),
  IF(
    OR(
      ISNUMBER(SEARCH(""CDM CASH DEPOSIT"",$C1016)),
      ISNUMB"&amp;"ER(SEARCH(""CASH DEPOSIT"",$C1016))
    ),
    """",
    IFERROR(TEXTJOIN(CHAR(10),TRUE,FILTER('SUMMARY DATA'!H:H,'SUMMARY DATA'!$D:$D=$C1016,'SUMMARY DATA'!$B:$B=""RWS"",'SUMMARY DATA'!$H:$H=$D1016)),"""")
  )
)"),"")</f>
      </c>
      <c r="I1016" s="18" t="str">
        <f>IFERROR(__xludf.DUMMYFUNCTION("IF(H1016="""","""",
SUM(ARRAYFORMULA(VALUE(SPLIT(H1016,CHAR(10)))))
)"),"")</f>
      </c>
      <c r="J1016" s="17" t="str">
        <f>IFERROR(__xludf.DUMMYFUNCTION("IFERROR(
  TEXTJOIN(CHAR(10),TRUE,FILTER('SUMMARY DATA'!I:I,'SUMMARY DATA'!$A:$A=$A1016,'SUMMARY DATA'!$C:$C=$B1016,'SUMMARY DATA'!$B:$B=""RWS"")),
  IF(
    OR(
      ISNUMBER(SEARCH(""CDM CASH DEPOSIT"",$C1016)),
      ISNUMBER(SEARCH(""CASH DEPOSIT"",$"&amp;"C1016)),
      COUNTIFS('SUMMARY DATA'!$D:$D,$C1016,'SUMMARY DATA'!$B:$B,""RWS"")&lt;&gt;1
    ),
    """",
    IFERROR(TEXTJOIN(CHAR(10),TRUE,FILTER('SUMMARY DATA'!I:I,'SUMMARY DATA'!$D:$D=$C1016,'SUMMARY DATA'!$B:$B=""RWS"")),"""")
  )
)"),"")</f>
      </c>
      <c r="K1016" s="2"/>
      <c r="L1016" s="2"/>
      <c r="M1016" s="2"/>
      <c r="N1016" s="2"/>
      <c r="O1016" s="2"/>
      <c r="P1016" s="2"/>
      <c r="Q1016" s="2"/>
      <c r="R1016" s="2"/>
      <c r="S1016" s="2"/>
      <c r="T1016" s="2"/>
      <c r="U1016" s="2"/>
      <c r="V1016" s="2"/>
      <c r="W1016" s="2"/>
      <c r="X1016" s="2"/>
      <c r="Y1016" s="2"/>
      <c r="Z1016" s="2"/>
      <c r="AA1016" s="2"/>
      <c r="AB1016" s="2"/>
    </row>
    <row r="1017" spans="1:28" customHeight="true">
      <c r="A1017" s="2"/>
      <c r="B1017" s="15">
        <v>45782</v>
      </c>
      <c r="C1017" s="2" t="s">
        <v>1555</v>
      </c>
      <c r="D1017" s="6">
        <v>230</v>
      </c>
      <c r="E1017" s="16" t="str">
        <f>IFERROR(__xludf.DUMMYFUNCTION("IFERROR(
  TEXTJOIN(CHAR(10),TRUE,FILTER('SUMMARY DATA'!E:E,'SUMMARY DATA'!$A:$A=$A118,'SUMMARY DATA'!$C:$C=$B118,'SUMMARY DATA'!$B:$B=""GRP"")),
  IF(
    OR(
      ISNUMBER(SEARCH(""CDM CASH DEPOSIT"",$C118)),
      ISNUMBER(SEARCH(""CASH DEPOSIT"",$C11"&amp;"8)),
      COUNTIFS('SUMMARY DATA'!$D:$D,$C118,'SUMMARY DATA'!$B:$B,""GRP"")&lt;&gt;1
    ),
    """",
    IFERROR(TEXTJOIN(CHAR(10),TRUE,FILTER('SUMMARY DATA'!E:E,'SUMMARY DATA'!$D:$D=$C118,'SUMMARY DATA'!$B:$B=""GRP"")),"""")
  )
)"),"")</f>
      </c>
      <c r="F1017" s="17" t="str">
        <f>IFERROR(__xludf.DUMMYFUNCTION("IFERROR(
  TEXTJOIN(CHAR(10),TRUE,FILTER('SUMMARY DATA'!F:F,'SUMMARY DATA'!$A:$A=$A118,'SUMMARY DATA'!$C:$C=$B118,'SUMMARY DATA'!$B:$B=""GRP"")),
  IF(
    OR(
      ISNUMBER(SEARCH(""CDM CASH DEPOSIT"",$C118)),
      ISNUMBER(SEARCH(""CASH DEPOSIT"",$C11"&amp;"8)),
      COUNTIFS('SUMMARY DATA'!$D:$D,$C118,'SUMMARY DATA'!$B:$B,""GRP"")&lt;&gt;1
    ),
    """",
    IFERROR(TEXTJOIN(CHAR(10),TRUE,FILTER('SUMMARY DATA'!F:F,'SUMMARY DATA'!$D:$D=$C118,'SUMMARY DATA'!$B:$B=""GRP"")),"""")
  )
)"),"")</f>
      </c>
      <c r="G1017" s="17" t="str">
        <f>IFERROR(__xludf.DUMMYFUNCTION("IFERROR(
  TEXTJOIN(CHAR(10),TRUE,FILTER('SUMMARY DATA'!G:G,'SUMMARY DATA'!$A:$A=$A1017,'SUMMARY DATA'!$C:$C=$B1017,'SUMMARY DATA'!$B:$B=""RWS"")),
  IF(
    OR(
      ISNUMBER(SEARCH(""CDM CASH DEPOSIT"",$C1017)),
      ISNUMBER(SEARCH(""CASH DEPOSIT"",$"&amp;"C1017)),
      COUNTIFS('SUMMARY DATA'!$D:$D,$C1017,'SUMMARY DATA'!$B:$B,""RWS"")&lt;&gt;1
    ),
    """",
    IFERROR(TEXTJOIN(CHAR(10),TRUE,FILTER('SUMMARY DATA'!G:G,'SUMMARY DATA'!$D:$D=$C1017,'SUMMARY DATA'!$B:$B=""RWS"")),"""")
  )
)"),"")</f>
      </c>
      <c r="H1017" s="18" t="str">
        <f>IFERROR(__xludf.DUMMYFUNCTION("IFERROR(
  TEXTJOIN(CHAR(10),TRUE,FILTER('SUMMARY DATA'!H:H,'SUMMARY DATA'!$A:$A=$A1017,'SUMMARY DATA'!$C:$C=$B1017,'SUMMARY DATA'!$B:$B=""RWS"",'SUMMARY DATA'!$H:$H=$D1017)),
  IF(
    OR(
      ISNUMBER(SEARCH(""CDM CASH DEPOSIT"",$C1017)),
      ISNUMB"&amp;"ER(SEARCH(""CASH DEPOSIT"",$C1017))
    ),
    """",
    IFERROR(TEXTJOIN(CHAR(10),TRUE,FILTER('SUMMARY DATA'!H:H,'SUMMARY DATA'!$D:$D=$C1017,'SUMMARY DATA'!$B:$B=""RWS"",'SUMMARY DATA'!$H:$H=$D1017)),"""")
  )
)"),"")</f>
      </c>
      <c r="I1017" s="18" t="str">
        <f>IFERROR(__xludf.DUMMYFUNCTION("IF(H1017="""","""",
SUM(ARRAYFORMULA(VALUE(SPLIT(H1017,CHAR(10)))))
)"),"")</f>
      </c>
      <c r="J1017" s="17" t="str">
        <f>IFERROR(__xludf.DUMMYFUNCTION("IFERROR(
  TEXTJOIN(CHAR(10),TRUE,FILTER('SUMMARY DATA'!I:I,'SUMMARY DATA'!$A:$A=$A1017,'SUMMARY DATA'!$C:$C=$B1017,'SUMMARY DATA'!$B:$B=""RWS"")),
  IF(
    OR(
      ISNUMBER(SEARCH(""CDM CASH DEPOSIT"",$C1017)),
      ISNUMBER(SEARCH(""CASH DEPOSIT"",$"&amp;"C1017)),
      COUNTIFS('SUMMARY DATA'!$D:$D,$C1017,'SUMMARY DATA'!$B:$B,""RWS"")&lt;&gt;1
    ),
    """",
    IFERROR(TEXTJOIN(CHAR(10),TRUE,FILTER('SUMMARY DATA'!I:I,'SUMMARY DATA'!$D:$D=$C1017,'SUMMARY DATA'!$B:$B=""RWS"")),"""")
  )
)"),"")</f>
      </c>
      <c r="K1017" s="2"/>
      <c r="L1017" s="2"/>
      <c r="M1017" s="2"/>
      <c r="N1017" s="2"/>
      <c r="O1017" s="2"/>
      <c r="P1017" s="2"/>
      <c r="Q1017" s="2"/>
      <c r="R1017" s="2"/>
      <c r="S1017" s="2"/>
      <c r="T1017" s="2"/>
      <c r="U1017" s="2"/>
      <c r="V1017" s="2"/>
      <c r="W1017" s="2"/>
      <c r="X1017" s="2"/>
      <c r="Y1017" s="2"/>
      <c r="Z1017" s="2"/>
      <c r="AA1017" s="2"/>
      <c r="AB1017" s="2"/>
    </row>
    <row r="1018" spans="1:28" customHeight="true">
      <c r="A1018" s="2"/>
      <c r="B1018" s="15">
        <v>45782</v>
      </c>
      <c r="C1018" s="2" t="s">
        <v>1556</v>
      </c>
      <c r="D1018" s="6">
        <v>82</v>
      </c>
      <c r="E1018" s="16" t="str">
        <f>IFERROR(__xludf.DUMMYFUNCTION("IFERROR(
  TEXTJOIN(CHAR(10),TRUE,FILTER('SUMMARY DATA'!E:E,'SUMMARY DATA'!$A:$A=$A119,'SUMMARY DATA'!$C:$C=$B119,'SUMMARY DATA'!$B:$B=""GRP"")),
  IF(
    OR(
      ISNUMBER(SEARCH(""CDM CASH DEPOSIT"",$C119)),
      ISNUMBER(SEARCH(""CASH DEPOSIT"",$C11"&amp;"9)),
      COUNTIFS('SUMMARY DATA'!$D:$D,$C119,'SUMMARY DATA'!$B:$B,""GRP"")&lt;&gt;1
    ),
    """",
    IFERROR(TEXTJOIN(CHAR(10),TRUE,FILTER('SUMMARY DATA'!E:E,'SUMMARY DATA'!$D:$D=$C119,'SUMMARY DATA'!$B:$B=""GRP"")),"""")
  )
)"),"")</f>
      </c>
      <c r="F1018" s="17" t="str">
        <f>IFERROR(__xludf.DUMMYFUNCTION("IFERROR(
  TEXTJOIN(CHAR(10),TRUE,FILTER('SUMMARY DATA'!F:F,'SUMMARY DATA'!$A:$A=$A119,'SUMMARY DATA'!$C:$C=$B119,'SUMMARY DATA'!$B:$B=""GRP"")),
  IF(
    OR(
      ISNUMBER(SEARCH(""CDM CASH DEPOSIT"",$C119)),
      ISNUMBER(SEARCH(""CASH DEPOSIT"",$C11"&amp;"9)),
      COUNTIFS('SUMMARY DATA'!$D:$D,$C119,'SUMMARY DATA'!$B:$B,""GRP"")&lt;&gt;1
    ),
    """",
    IFERROR(TEXTJOIN(CHAR(10),TRUE,FILTER('SUMMARY DATA'!F:F,'SUMMARY DATA'!$D:$D=$C119,'SUMMARY DATA'!$B:$B=""GRP"")),"""")
  )
)"),"")</f>
      </c>
      <c r="G1018" s="17" t="str">
        <f>IFERROR(__xludf.DUMMYFUNCTION("IFERROR(
  TEXTJOIN(CHAR(10),TRUE,FILTER('SUMMARY DATA'!G:G,'SUMMARY DATA'!$A:$A=$A1018,'SUMMARY DATA'!$C:$C=$B1018,'SUMMARY DATA'!$B:$B=""RWS"")),
  IF(
    OR(
      ISNUMBER(SEARCH(""CDM CASH DEPOSIT"",$C1018)),
      ISNUMBER(SEARCH(""CASH DEPOSIT"",$"&amp;"C1018)),
      COUNTIFS('SUMMARY DATA'!$D:$D,$C1018,'SUMMARY DATA'!$B:$B,""RWS"")&lt;&gt;1
    ),
    """",
    IFERROR(TEXTJOIN(CHAR(10),TRUE,FILTER('SUMMARY DATA'!G:G,'SUMMARY DATA'!$D:$D=$C1018,'SUMMARY DATA'!$B:$B=""RWS"")),"""")
  )
)"),"")</f>
      </c>
      <c r="H1018" s="18" t="str">
        <f>IFERROR(__xludf.DUMMYFUNCTION("IFERROR(
  TEXTJOIN(CHAR(10),TRUE,FILTER('SUMMARY DATA'!H:H,'SUMMARY DATA'!$A:$A=$A1018,'SUMMARY DATA'!$C:$C=$B1018,'SUMMARY DATA'!$B:$B=""RWS"",'SUMMARY DATA'!$H:$H=$D1018)),
  IF(
    OR(
      ISNUMBER(SEARCH(""CDM CASH DEPOSIT"",$C1018)),
      ISNUMB"&amp;"ER(SEARCH(""CASH DEPOSIT"",$C1018))
    ),
    """",
    IFERROR(TEXTJOIN(CHAR(10),TRUE,FILTER('SUMMARY DATA'!H:H,'SUMMARY DATA'!$D:$D=$C1018,'SUMMARY DATA'!$B:$B=""RWS"",'SUMMARY DATA'!$H:$H=$D1018)),"""")
  )
)"),"")</f>
      </c>
      <c r="I1018" s="18" t="str">
        <f>IFERROR(__xludf.DUMMYFUNCTION("IF(H1018="""","""",
SUM(ARRAYFORMULA(VALUE(SPLIT(H1018,CHAR(10)))))
)"),"")</f>
      </c>
      <c r="J1018" s="17" t="str">
        <f>IFERROR(__xludf.DUMMYFUNCTION("IFERROR(
  TEXTJOIN(CHAR(10),TRUE,FILTER('SUMMARY DATA'!I:I,'SUMMARY DATA'!$A:$A=$A1018,'SUMMARY DATA'!$C:$C=$B1018,'SUMMARY DATA'!$B:$B=""RWS"")),
  IF(
    OR(
      ISNUMBER(SEARCH(""CDM CASH DEPOSIT"",$C1018)),
      ISNUMBER(SEARCH(""CASH DEPOSIT"",$"&amp;"C1018)),
      COUNTIFS('SUMMARY DATA'!$D:$D,$C1018,'SUMMARY DATA'!$B:$B,""RWS"")&lt;&gt;1
    ),
    """",
    IFERROR(TEXTJOIN(CHAR(10),TRUE,FILTER('SUMMARY DATA'!I:I,'SUMMARY DATA'!$D:$D=$C1018,'SUMMARY DATA'!$B:$B=""RWS"")),"""")
  )
)"),"")</f>
      </c>
      <c r="K1018" s="2"/>
      <c r="L1018" s="2"/>
      <c r="M1018" s="2"/>
      <c r="N1018" s="2"/>
      <c r="O1018" s="2"/>
      <c r="P1018" s="2"/>
      <c r="Q1018" s="2"/>
      <c r="R1018" s="2"/>
      <c r="S1018" s="2"/>
      <c r="T1018" s="2"/>
      <c r="U1018" s="2"/>
      <c r="V1018" s="2"/>
      <c r="W1018" s="2"/>
      <c r="X1018" s="2"/>
      <c r="Y1018" s="2"/>
      <c r="Z1018" s="2"/>
      <c r="AA1018" s="2"/>
      <c r="AB1018" s="2"/>
    </row>
    <row r="1019" spans="1:28" customHeight="true">
      <c r="A1019" s="2"/>
      <c r="B1019" s="15">
        <v>45782</v>
      </c>
      <c r="C1019" s="2" t="s">
        <v>1557</v>
      </c>
      <c r="D1019" s="6">
        <v>75.93</v>
      </c>
      <c r="E1019" s="16" t="str">
        <f>IFERROR(__xludf.DUMMYFUNCTION("IFERROR(
  TEXTJOIN(CHAR(10),TRUE,FILTER('SUMMARY DATA'!E:E,'SUMMARY DATA'!$A:$A=$A120,'SUMMARY DATA'!$C:$C=$B120,'SUMMARY DATA'!$B:$B=""GRP"")),
  IF(
    OR(
      ISNUMBER(SEARCH(""CDM CASH DEPOSIT"",$C120)),
      ISNUMBER(SEARCH(""CASH DEPOSIT"",$C12"&amp;"0)),
      COUNTIFS('SUMMARY DATA'!$D:$D,$C120,'SUMMARY DATA'!$B:$B,""GRP"")&lt;&gt;1
    ),
    """",
    IFERROR(TEXTJOIN(CHAR(10),TRUE,FILTER('SUMMARY DATA'!E:E,'SUMMARY DATA'!$D:$D=$C120,'SUMMARY DATA'!$B:$B=""GRP"")),"""")
  )
)"),"")</f>
      </c>
      <c r="F1019" s="17" t="str">
        <f>IFERROR(__xludf.DUMMYFUNCTION("IFERROR(
  TEXTJOIN(CHAR(10),TRUE,FILTER('SUMMARY DATA'!F:F,'SUMMARY DATA'!$A:$A=$A120,'SUMMARY DATA'!$C:$C=$B120,'SUMMARY DATA'!$B:$B=""GRP"")),
  IF(
    OR(
      ISNUMBER(SEARCH(""CDM CASH DEPOSIT"",$C120)),
      ISNUMBER(SEARCH(""CASH DEPOSIT"",$C12"&amp;"0)),
      COUNTIFS('SUMMARY DATA'!$D:$D,$C120,'SUMMARY DATA'!$B:$B,""GRP"")&lt;&gt;1
    ),
    """",
    IFERROR(TEXTJOIN(CHAR(10),TRUE,FILTER('SUMMARY DATA'!F:F,'SUMMARY DATA'!$D:$D=$C120,'SUMMARY DATA'!$B:$B=""GRP"")),"""")
  )
)"),"")</f>
      </c>
      <c r="G1019" s="17" t="str">
        <f>IFERROR(__xludf.DUMMYFUNCTION("IFERROR(
  TEXTJOIN(CHAR(10),TRUE,FILTER('SUMMARY DATA'!G:G,'SUMMARY DATA'!$A:$A=$A1019,'SUMMARY DATA'!$C:$C=$B1019,'SUMMARY DATA'!$B:$B=""RWS"")),
  IF(
    OR(
      ISNUMBER(SEARCH(""CDM CASH DEPOSIT"",$C1019)),
      ISNUMBER(SEARCH(""CASH DEPOSIT"",$"&amp;"C1019)),
      COUNTIFS('SUMMARY DATA'!$D:$D,$C1019,'SUMMARY DATA'!$B:$B,""RWS"")&lt;&gt;1
    ),
    """",
    IFERROR(TEXTJOIN(CHAR(10),TRUE,FILTER('SUMMARY DATA'!G:G,'SUMMARY DATA'!$D:$D=$C1019,'SUMMARY DATA'!$B:$B=""RWS"")),"""")
  )
)"),"")</f>
      </c>
      <c r="H1019" s="18" t="str">
        <f>IFERROR(__xludf.DUMMYFUNCTION("IFERROR(
  TEXTJOIN(CHAR(10),TRUE,FILTER('SUMMARY DATA'!H:H,'SUMMARY DATA'!$A:$A=$A1019,'SUMMARY DATA'!$C:$C=$B1019,'SUMMARY DATA'!$B:$B=""RWS"",'SUMMARY DATA'!$H:$H=$D1019)),
  IF(
    OR(
      ISNUMBER(SEARCH(""CDM CASH DEPOSIT"",$C1019)),
      ISNUMB"&amp;"ER(SEARCH(""CASH DEPOSIT"",$C1019))
    ),
    """",
    IFERROR(TEXTJOIN(CHAR(10),TRUE,FILTER('SUMMARY DATA'!H:H,'SUMMARY DATA'!$D:$D=$C1019,'SUMMARY DATA'!$B:$B=""RWS"",'SUMMARY DATA'!$H:$H=$D1019)),"""")
  )
)"),"")</f>
      </c>
      <c r="I1019" s="18" t="str">
        <f>IFERROR(__xludf.DUMMYFUNCTION("IF(H1019="""","""",
SUM(ARRAYFORMULA(VALUE(SPLIT(H1019,CHAR(10)))))
)"),"")</f>
      </c>
      <c r="J1019" s="17" t="str">
        <f>IFERROR(__xludf.DUMMYFUNCTION("IFERROR(
  TEXTJOIN(CHAR(10),TRUE,FILTER('SUMMARY DATA'!I:I,'SUMMARY DATA'!$A:$A=$A1019,'SUMMARY DATA'!$C:$C=$B1019,'SUMMARY DATA'!$B:$B=""RWS"")),
  IF(
    OR(
      ISNUMBER(SEARCH(""CDM CASH DEPOSIT"",$C1019)),
      ISNUMBER(SEARCH(""CASH DEPOSIT"",$"&amp;"C1019)),
      COUNTIFS('SUMMARY DATA'!$D:$D,$C1019,'SUMMARY DATA'!$B:$B,""RWS"")&lt;&gt;1
    ),
    """",
    IFERROR(TEXTJOIN(CHAR(10),TRUE,FILTER('SUMMARY DATA'!I:I,'SUMMARY DATA'!$D:$D=$C1019,'SUMMARY DATA'!$B:$B=""RWS"")),"""")
  )
)"),"")</f>
      </c>
      <c r="K1019" s="2"/>
      <c r="L1019" s="2"/>
      <c r="M1019" s="2"/>
      <c r="N1019" s="2"/>
      <c r="O1019" s="2"/>
      <c r="P1019" s="2"/>
      <c r="Q1019" s="2"/>
      <c r="R1019" s="2"/>
      <c r="S1019" s="2"/>
      <c r="T1019" s="2"/>
      <c r="U1019" s="2"/>
      <c r="V1019" s="2"/>
      <c r="W1019" s="2"/>
      <c r="X1019" s="2"/>
      <c r="Y1019" s="2"/>
      <c r="Z1019" s="2"/>
      <c r="AA1019" s="2"/>
      <c r="AB1019" s="2"/>
    </row>
    <row r="1020" spans="1:28" customHeight="true">
      <c r="A1020" s="2" t="s">
        <v>1558</v>
      </c>
      <c r="B1020" s="15">
        <v>45782</v>
      </c>
      <c r="C1020" s="2" t="s">
        <v>1559</v>
      </c>
      <c r="D1020" s="6">
        <v>10</v>
      </c>
      <c r="E1020" s="16" t="str">
        <f>IFERROR(__xludf.DUMMYFUNCTION("IFERROR(
  TEXTJOIN(CHAR(10),TRUE,FILTER('SUMMARY DATA'!E:E,'SUMMARY DATA'!$A:$A=$A121,'SUMMARY DATA'!$C:$C=$B121,'SUMMARY DATA'!$B:$B=""GRP"")),
  IF(
    OR(
      ISNUMBER(SEARCH(""CDM CASH DEPOSIT"",$C121)),
      ISNUMBER(SEARCH(""CASH DEPOSIT"",$C12"&amp;"1)),
      COUNTIFS('SUMMARY DATA'!$D:$D,$C121,'SUMMARY DATA'!$B:$B,""GRP"")&lt;&gt;1
    ),
    """",
    IFERROR(TEXTJOIN(CHAR(10),TRUE,FILTER('SUMMARY DATA'!E:E,'SUMMARY DATA'!$D:$D=$C121,'SUMMARY DATA'!$B:$B=""GRP"")),"""")
  )
)"),"")</f>
      </c>
      <c r="F1020" s="17" t="str">
        <f>IFERROR(__xludf.DUMMYFUNCTION("IFERROR(
  TEXTJOIN(CHAR(10),TRUE,FILTER('SUMMARY DATA'!F:F,'SUMMARY DATA'!$A:$A=$A121,'SUMMARY DATA'!$C:$C=$B121,'SUMMARY DATA'!$B:$B=""GRP"")),
  IF(
    OR(
      ISNUMBER(SEARCH(""CDM CASH DEPOSIT"",$C121)),
      ISNUMBER(SEARCH(""CASH DEPOSIT"",$C12"&amp;"1)),
      COUNTIFS('SUMMARY DATA'!$D:$D,$C121,'SUMMARY DATA'!$B:$B,""GRP"")&lt;&gt;1
    ),
    """",
    IFERROR(TEXTJOIN(CHAR(10),TRUE,FILTER('SUMMARY DATA'!F:F,'SUMMARY DATA'!$D:$D=$C121,'SUMMARY DATA'!$B:$B=""GRP"")),"""")
  )
)"),"")</f>
      </c>
      <c r="G1020" s="17" t="str">
        <f>IFERROR(__xludf.DUMMYFUNCTION("IFERROR(
  TEXTJOIN(CHAR(10),TRUE,FILTER('SUMMARY DATA'!G:G,'SUMMARY DATA'!$A:$A=$A1020,'SUMMARY DATA'!$C:$C=$B1020,'SUMMARY DATA'!$B:$B=""RWS"")),
  IF(
    OR(
      ISNUMBER(SEARCH(""CDM CASH DEPOSIT"",$C1020)),
      ISNUMBER(SEARCH(""CASH DEPOSIT"",$"&amp;"C1020)),
      COUNTIFS('SUMMARY DATA'!$D:$D,$C1020,'SUMMARY DATA'!$B:$B,""RWS"")&lt;&gt;1
    ),
    """",
    IFERROR(TEXTJOIN(CHAR(10),TRUE,FILTER('SUMMARY DATA'!G:G,'SUMMARY DATA'!$D:$D=$C1020,'SUMMARY DATA'!$B:$B=""RWS"")),"""")
  )
)"),"")</f>
      </c>
      <c r="H1020" s="18" t="str">
        <f>IFERROR(__xludf.DUMMYFUNCTION("IFERROR(
  TEXTJOIN(CHAR(10),TRUE,FILTER('SUMMARY DATA'!H:H,'SUMMARY DATA'!$A:$A=$A1020,'SUMMARY DATA'!$C:$C=$B1020,'SUMMARY DATA'!$B:$B=""RWS"",'SUMMARY DATA'!$H:$H=$D1020)),
  IF(
    OR(
      ISNUMBER(SEARCH(""CDM CASH DEPOSIT"",$C1020)),
      ISNUMB"&amp;"ER(SEARCH(""CASH DEPOSIT"",$C1020))
    ),
    """",
    IFERROR(TEXTJOIN(CHAR(10),TRUE,FILTER('SUMMARY DATA'!H:H,'SUMMARY DATA'!$D:$D=$C1020,'SUMMARY DATA'!$B:$B=""RWS"",'SUMMARY DATA'!$H:$H=$D1020)),"""")
  )
)"),"")</f>
      </c>
      <c r="I1020" s="18" t="str">
        <f>IFERROR(__xludf.DUMMYFUNCTION("IF(H1020="""","""",
SUM(ARRAYFORMULA(VALUE(SPLIT(H1020,CHAR(10)))))
)"),"")</f>
      </c>
      <c r="J1020" s="17" t="str">
        <f>IFERROR(__xludf.DUMMYFUNCTION("IFERROR(
  TEXTJOIN(CHAR(10),TRUE,FILTER('SUMMARY DATA'!I:I,'SUMMARY DATA'!$A:$A=$A1020,'SUMMARY DATA'!$C:$C=$B1020,'SUMMARY DATA'!$B:$B=""RWS"")),
  IF(
    OR(
      ISNUMBER(SEARCH(""CDM CASH DEPOSIT"",$C1020)),
      ISNUMBER(SEARCH(""CASH DEPOSIT"",$"&amp;"C1020)),
      COUNTIFS('SUMMARY DATA'!$D:$D,$C1020,'SUMMARY DATA'!$B:$B,""RWS"")&lt;&gt;1
    ),
    """",
    IFERROR(TEXTJOIN(CHAR(10),TRUE,FILTER('SUMMARY DATA'!I:I,'SUMMARY DATA'!$D:$D=$C1020,'SUMMARY DATA'!$B:$B=""RWS"")),"""")
  )
)"),"")</f>
      </c>
      <c r="K1020" s="2"/>
      <c r="L1020" s="2"/>
      <c r="M1020" s="2"/>
      <c r="N1020" s="2"/>
      <c r="O1020" s="2"/>
      <c r="P1020" s="2"/>
      <c r="Q1020" s="2"/>
      <c r="R1020" s="2"/>
      <c r="S1020" s="2"/>
      <c r="T1020" s="2"/>
      <c r="U1020" s="2"/>
      <c r="V1020" s="2"/>
      <c r="W1020" s="2"/>
      <c r="X1020" s="2"/>
      <c r="Y1020" s="2"/>
      <c r="Z1020" s="2"/>
      <c r="AA1020" s="2"/>
      <c r="AB1020" s="2"/>
    </row>
    <row r="1021" spans="1:28" customHeight="true">
      <c r="A1021" s="2"/>
      <c r="B1021" s="15">
        <v>45782</v>
      </c>
      <c r="C1021" s="2" t="s">
        <v>1560</v>
      </c>
      <c r="D1021" s="6">
        <v>10</v>
      </c>
      <c r="E1021" s="16" t="str">
        <f>IFERROR(__xludf.DUMMYFUNCTION("IFERROR(
  TEXTJOIN(CHAR(10),TRUE,FILTER('SUMMARY DATA'!E:E,'SUMMARY DATA'!$A:$A=$A122,'SUMMARY DATA'!$C:$C=$B122,'SUMMARY DATA'!$B:$B=""GRP"")),
  IF(
    OR(
      ISNUMBER(SEARCH(""CDM CASH DEPOSIT"",$C122)),
      ISNUMBER(SEARCH(""CASH DEPOSIT"",$C12"&amp;"2)),
      COUNTIFS('SUMMARY DATA'!$D:$D,$C122,'SUMMARY DATA'!$B:$B,""GRP"")&lt;&gt;1
    ),
    """",
    IFERROR(TEXTJOIN(CHAR(10),TRUE,FILTER('SUMMARY DATA'!E:E,'SUMMARY DATA'!$D:$D=$C122,'SUMMARY DATA'!$B:$B=""GRP"")),"""")
  )
)"),"")</f>
      </c>
      <c r="F1021" s="17" t="str">
        <f>IFERROR(__xludf.DUMMYFUNCTION("IFERROR(
  TEXTJOIN(CHAR(10),TRUE,FILTER('SUMMARY DATA'!F:F,'SUMMARY DATA'!$A:$A=$A122,'SUMMARY DATA'!$C:$C=$B122,'SUMMARY DATA'!$B:$B=""GRP"")),
  IF(
    OR(
      ISNUMBER(SEARCH(""CDM CASH DEPOSIT"",$C122)),
      ISNUMBER(SEARCH(""CASH DEPOSIT"",$C12"&amp;"2)),
      COUNTIFS('SUMMARY DATA'!$D:$D,$C122,'SUMMARY DATA'!$B:$B,""GRP"")&lt;&gt;1
    ),
    """",
    IFERROR(TEXTJOIN(CHAR(10),TRUE,FILTER('SUMMARY DATA'!F:F,'SUMMARY DATA'!$D:$D=$C122,'SUMMARY DATA'!$B:$B=""GRP"")),"""")
  )
)"),"")</f>
      </c>
      <c r="G1021" s="17" t="str">
        <f>IFERROR(__xludf.DUMMYFUNCTION("IFERROR(
  TEXTJOIN(CHAR(10),TRUE,FILTER('SUMMARY DATA'!G:G,'SUMMARY DATA'!$A:$A=$A1021,'SUMMARY DATA'!$C:$C=$B1021,'SUMMARY DATA'!$B:$B=""RWS"")),
  IF(
    OR(
      ISNUMBER(SEARCH(""CDM CASH DEPOSIT"",$C1021)),
      ISNUMBER(SEARCH(""CASH DEPOSIT"",$"&amp;"C1021)),
      COUNTIFS('SUMMARY DATA'!$D:$D,$C1021,'SUMMARY DATA'!$B:$B,""RWS"")&lt;&gt;1
    ),
    """",
    IFERROR(TEXTJOIN(CHAR(10),TRUE,FILTER('SUMMARY DATA'!G:G,'SUMMARY DATA'!$D:$D=$C1021,'SUMMARY DATA'!$B:$B=""RWS"")),"""")
  )
)"),"")</f>
      </c>
      <c r="H1021" s="18" t="str">
        <f>IFERROR(__xludf.DUMMYFUNCTION("IFERROR(
  TEXTJOIN(CHAR(10),TRUE,FILTER('SUMMARY DATA'!H:H,'SUMMARY DATA'!$A:$A=$A1021,'SUMMARY DATA'!$C:$C=$B1021,'SUMMARY DATA'!$B:$B=""RWS"",'SUMMARY DATA'!$H:$H=$D1021)),
  IF(
    OR(
      ISNUMBER(SEARCH(""CDM CASH DEPOSIT"",$C1021)),
      ISNUMB"&amp;"ER(SEARCH(""CASH DEPOSIT"",$C1021))
    ),
    """",
    IFERROR(TEXTJOIN(CHAR(10),TRUE,FILTER('SUMMARY DATA'!H:H,'SUMMARY DATA'!$D:$D=$C1021,'SUMMARY DATA'!$B:$B=""RWS"",'SUMMARY DATA'!$H:$H=$D1021)),"""")
  )
)"),"")</f>
      </c>
      <c r="I1021" s="18" t="str">
        <f>IFERROR(__xludf.DUMMYFUNCTION("IF(H1021="""","""",
SUM(ARRAYFORMULA(VALUE(SPLIT(H1021,CHAR(10)))))
)"),"")</f>
      </c>
      <c r="J1021" s="17" t="str">
        <f>IFERROR(__xludf.DUMMYFUNCTION("IFERROR(
  TEXTJOIN(CHAR(10),TRUE,FILTER('SUMMARY DATA'!I:I,'SUMMARY DATA'!$A:$A=$A1021,'SUMMARY DATA'!$C:$C=$B1021,'SUMMARY DATA'!$B:$B=""RWS"")),
  IF(
    OR(
      ISNUMBER(SEARCH(""CDM CASH DEPOSIT"",$C1021)),
      ISNUMBER(SEARCH(""CASH DEPOSIT"",$"&amp;"C1021)),
      COUNTIFS('SUMMARY DATA'!$D:$D,$C1021,'SUMMARY DATA'!$B:$B,""RWS"")&lt;&gt;1
    ),
    """",
    IFERROR(TEXTJOIN(CHAR(10),TRUE,FILTER('SUMMARY DATA'!I:I,'SUMMARY DATA'!$D:$D=$C1021,'SUMMARY DATA'!$B:$B=""RWS"")),"""")
  )
)"),"")</f>
      </c>
      <c r="K1021" s="2"/>
      <c r="L1021" s="2"/>
      <c r="M1021" s="2"/>
      <c r="N1021" s="2"/>
      <c r="O1021" s="2"/>
      <c r="P1021" s="2"/>
      <c r="Q1021" s="2"/>
      <c r="R1021" s="2"/>
      <c r="S1021" s="2"/>
      <c r="T1021" s="2"/>
      <c r="U1021" s="2"/>
      <c r="V1021" s="2"/>
      <c r="W1021" s="2"/>
      <c r="X1021" s="2"/>
      <c r="Y1021" s="2"/>
      <c r="Z1021" s="2"/>
      <c r="AA1021" s="2"/>
      <c r="AB1021" s="2"/>
    </row>
    <row r="1022" spans="1:28" customHeight="true">
      <c r="A1022" s="2"/>
      <c r="B1022" s="15">
        <v>45783</v>
      </c>
      <c r="C1022" s="2" t="s">
        <v>1561</v>
      </c>
      <c r="D1022" s="6">
        <v>18</v>
      </c>
      <c r="E1022" s="16" t="str">
        <f>IFERROR(__xludf.DUMMYFUNCTION("IFERROR(
  TEXTJOIN(CHAR(10),TRUE,FILTER('SUMMARY DATA'!E:E,'SUMMARY DATA'!$A:$A=$A123,'SUMMARY DATA'!$C:$C=$B123,'SUMMARY DATA'!$B:$B=""GRP"")),
  IF(
    OR(
      ISNUMBER(SEARCH(""CDM CASH DEPOSIT"",$C123)),
      ISNUMBER(SEARCH(""CASH DEPOSIT"",$C12"&amp;"3)),
      COUNTIFS('SUMMARY DATA'!$D:$D,$C123,'SUMMARY DATA'!$B:$B,""GRP"")&lt;&gt;1
    ),
    """",
    IFERROR(TEXTJOIN(CHAR(10),TRUE,FILTER('SUMMARY DATA'!E:E,'SUMMARY DATA'!$D:$D=$C123,'SUMMARY DATA'!$B:$B=""GRP"")),"""")
  )
)"),"")</f>
      </c>
      <c r="F1022" s="17" t="str">
        <f>IFERROR(__xludf.DUMMYFUNCTION("IFERROR(
  TEXTJOIN(CHAR(10),TRUE,FILTER('SUMMARY DATA'!F:F,'SUMMARY DATA'!$A:$A=$A123,'SUMMARY DATA'!$C:$C=$B123,'SUMMARY DATA'!$B:$B=""GRP"")),
  IF(
    OR(
      ISNUMBER(SEARCH(""CDM CASH DEPOSIT"",$C123)),
      ISNUMBER(SEARCH(""CASH DEPOSIT"",$C12"&amp;"3)),
      COUNTIFS('SUMMARY DATA'!$D:$D,$C123,'SUMMARY DATA'!$B:$B,""GRP"")&lt;&gt;1
    ),
    """",
    IFERROR(TEXTJOIN(CHAR(10),TRUE,FILTER('SUMMARY DATA'!F:F,'SUMMARY DATA'!$D:$D=$C123,'SUMMARY DATA'!$B:$B=""GRP"")),"""")
  )
)"),"")</f>
      </c>
      <c r="G1022" s="17" t="str">
        <f>IFERROR(__xludf.DUMMYFUNCTION("IFERROR(
  TEXTJOIN(CHAR(10),TRUE,FILTER('SUMMARY DATA'!G:G,'SUMMARY DATA'!$A:$A=$A1022,'SUMMARY DATA'!$C:$C=$B1022,'SUMMARY DATA'!$B:$B=""RWS"")),
  IF(
    OR(
      ISNUMBER(SEARCH(""CDM CASH DEPOSIT"",$C1022)),
      ISNUMBER(SEARCH(""CASH DEPOSIT"",$"&amp;"C1022)),
      COUNTIFS('SUMMARY DATA'!$D:$D,$C1022,'SUMMARY DATA'!$B:$B,""RWS"")&lt;&gt;1
    ),
    """",
    IFERROR(TEXTJOIN(CHAR(10),TRUE,FILTER('SUMMARY DATA'!G:G,'SUMMARY DATA'!$D:$D=$C1022,'SUMMARY DATA'!$B:$B=""RWS"")),"""")
  )
)"),"")</f>
      </c>
      <c r="H1022" s="18" t="str">
        <f>IFERROR(__xludf.DUMMYFUNCTION("IFERROR(
  TEXTJOIN(CHAR(10),TRUE,FILTER('SUMMARY DATA'!H:H,'SUMMARY DATA'!$A:$A=$A1022,'SUMMARY DATA'!$C:$C=$B1022,'SUMMARY DATA'!$B:$B=""RWS"",'SUMMARY DATA'!$H:$H=$D1022)),
  IF(
    OR(
      ISNUMBER(SEARCH(""CDM CASH DEPOSIT"",$C1022)),
      ISNUMB"&amp;"ER(SEARCH(""CASH DEPOSIT"",$C1022))
    ),
    """",
    IFERROR(TEXTJOIN(CHAR(10),TRUE,FILTER('SUMMARY DATA'!H:H,'SUMMARY DATA'!$D:$D=$C1022,'SUMMARY DATA'!$B:$B=""RWS"",'SUMMARY DATA'!$H:$H=$D1022)),"""")
  )
)"),"")</f>
      </c>
      <c r="I1022" s="18" t="str">
        <f>IFERROR(__xludf.DUMMYFUNCTION("IF(H1022="""","""",
SUM(ARRAYFORMULA(VALUE(SPLIT(H1022,CHAR(10)))))
)"),"")</f>
      </c>
      <c r="J1022" s="17" t="str">
        <f>IFERROR(__xludf.DUMMYFUNCTION("IFERROR(
  TEXTJOIN(CHAR(10),TRUE,FILTER('SUMMARY DATA'!I:I,'SUMMARY DATA'!$A:$A=$A1022,'SUMMARY DATA'!$C:$C=$B1022,'SUMMARY DATA'!$B:$B=""RWS"")),
  IF(
    OR(
      ISNUMBER(SEARCH(""CDM CASH DEPOSIT"",$C1022)),
      ISNUMBER(SEARCH(""CASH DEPOSIT"",$"&amp;"C1022)),
      COUNTIFS('SUMMARY DATA'!$D:$D,$C1022,'SUMMARY DATA'!$B:$B,""RWS"")&lt;&gt;1
    ),
    """",
    IFERROR(TEXTJOIN(CHAR(10),TRUE,FILTER('SUMMARY DATA'!I:I,'SUMMARY DATA'!$D:$D=$C1022,'SUMMARY DATA'!$B:$B=""RWS"")),"""")
  )
)"),"")</f>
      </c>
      <c r="K1022" s="2"/>
      <c r="L1022" s="2"/>
      <c r="M1022" s="2"/>
      <c r="N1022" s="2"/>
      <c r="O1022" s="2"/>
      <c r="P1022" s="2"/>
      <c r="Q1022" s="2"/>
      <c r="R1022" s="2"/>
      <c r="S1022" s="2"/>
      <c r="T1022" s="2"/>
      <c r="U1022" s="2"/>
      <c r="V1022" s="2"/>
      <c r="W1022" s="2"/>
      <c r="X1022" s="2"/>
      <c r="Y1022" s="2"/>
      <c r="Z1022" s="2"/>
      <c r="AA1022" s="2"/>
      <c r="AB1022" s="2"/>
    </row>
    <row r="1023" spans="1:28" customHeight="true">
      <c r="A1023" s="2"/>
      <c r="B1023" s="15">
        <v>45783</v>
      </c>
      <c r="C1023" s="2" t="s">
        <v>1562</v>
      </c>
      <c r="D1023" s="6">
        <v>10</v>
      </c>
      <c r="E1023" s="16" t="str">
        <f>IFERROR(__xludf.DUMMYFUNCTION("IFERROR(
  TEXTJOIN(CHAR(10),TRUE,FILTER('SUMMARY DATA'!E:E,'SUMMARY DATA'!$A:$A=$A124,'SUMMARY DATA'!$C:$C=$B124,'SUMMARY DATA'!$B:$B=""GRP"")),
  IF(
    OR(
      ISNUMBER(SEARCH(""CDM CASH DEPOSIT"",$C124)),
      ISNUMBER(SEARCH(""CASH DEPOSIT"",$C12"&amp;"4)),
      COUNTIFS('SUMMARY DATA'!$D:$D,$C124,'SUMMARY DATA'!$B:$B,""GRP"")&lt;&gt;1
    ),
    """",
    IFERROR(TEXTJOIN(CHAR(10),TRUE,FILTER('SUMMARY DATA'!E:E,'SUMMARY DATA'!$D:$D=$C124,'SUMMARY DATA'!$B:$B=""GRP"")),"""")
  )
)"),"")</f>
      </c>
      <c r="F1023" s="17" t="str">
        <f>IFERROR(__xludf.DUMMYFUNCTION("IFERROR(
  TEXTJOIN(CHAR(10),TRUE,FILTER('SUMMARY DATA'!F:F,'SUMMARY DATA'!$A:$A=$A124,'SUMMARY DATA'!$C:$C=$B124,'SUMMARY DATA'!$B:$B=""GRP"")),
  IF(
    OR(
      ISNUMBER(SEARCH(""CDM CASH DEPOSIT"",$C124)),
      ISNUMBER(SEARCH(""CASH DEPOSIT"",$C12"&amp;"4)),
      COUNTIFS('SUMMARY DATA'!$D:$D,$C124,'SUMMARY DATA'!$B:$B,""GRP"")&lt;&gt;1
    ),
    """",
    IFERROR(TEXTJOIN(CHAR(10),TRUE,FILTER('SUMMARY DATA'!F:F,'SUMMARY DATA'!$D:$D=$C124,'SUMMARY DATA'!$B:$B=""GRP"")),"""")
  )
)"),"")</f>
      </c>
      <c r="G1023" s="17" t="str">
        <f>IFERROR(__xludf.DUMMYFUNCTION("IFERROR(
  TEXTJOIN(CHAR(10),TRUE,FILTER('SUMMARY DATA'!G:G,'SUMMARY DATA'!$A:$A=$A1023,'SUMMARY DATA'!$C:$C=$B1023,'SUMMARY DATA'!$B:$B=""RWS"")),
  IF(
    OR(
      ISNUMBER(SEARCH(""CDM CASH DEPOSIT"",$C1023)),
      ISNUMBER(SEARCH(""CASH DEPOSIT"",$"&amp;"C1023)),
      COUNTIFS('SUMMARY DATA'!$D:$D,$C1023,'SUMMARY DATA'!$B:$B,""RWS"")&lt;&gt;1
    ),
    """",
    IFERROR(TEXTJOIN(CHAR(10),TRUE,FILTER('SUMMARY DATA'!G:G,'SUMMARY DATA'!$D:$D=$C1023,'SUMMARY DATA'!$B:$B=""RWS"")),"""")
  )
)"),"")</f>
      </c>
      <c r="H1023" s="18" t="str">
        <f>IFERROR(__xludf.DUMMYFUNCTION("IFERROR(
  TEXTJOIN(CHAR(10),TRUE,FILTER('SUMMARY DATA'!H:H,'SUMMARY DATA'!$A:$A=$A1023,'SUMMARY DATA'!$C:$C=$B1023,'SUMMARY DATA'!$B:$B=""RWS"",'SUMMARY DATA'!$H:$H=$D1023)),
  IF(
    OR(
      ISNUMBER(SEARCH(""CDM CASH DEPOSIT"",$C1023)),
      ISNUMB"&amp;"ER(SEARCH(""CASH DEPOSIT"",$C1023))
    ),
    """",
    IFERROR(TEXTJOIN(CHAR(10),TRUE,FILTER('SUMMARY DATA'!H:H,'SUMMARY DATA'!$D:$D=$C1023,'SUMMARY DATA'!$B:$B=""RWS"",'SUMMARY DATA'!$H:$H=$D1023)),"""")
  )
)"),"")</f>
      </c>
      <c r="I1023" s="18" t="str">
        <f>IFERROR(__xludf.DUMMYFUNCTION("IF(H1023="""","""",
SUM(ARRAYFORMULA(VALUE(SPLIT(H1023,CHAR(10)))))
)"),"")</f>
      </c>
      <c r="J1023" s="17" t="str">
        <f>IFERROR(__xludf.DUMMYFUNCTION("IFERROR(
  TEXTJOIN(CHAR(10),TRUE,FILTER('SUMMARY DATA'!I:I,'SUMMARY DATA'!$A:$A=$A1023,'SUMMARY DATA'!$C:$C=$B1023,'SUMMARY DATA'!$B:$B=""RWS"")),
  IF(
    OR(
      ISNUMBER(SEARCH(""CDM CASH DEPOSIT"",$C1023)),
      ISNUMBER(SEARCH(""CASH DEPOSIT"",$"&amp;"C1023)),
      COUNTIFS('SUMMARY DATA'!$D:$D,$C1023,'SUMMARY DATA'!$B:$B,""RWS"")&lt;&gt;1
    ),
    """",
    IFERROR(TEXTJOIN(CHAR(10),TRUE,FILTER('SUMMARY DATA'!I:I,'SUMMARY DATA'!$D:$D=$C1023,'SUMMARY DATA'!$B:$B=""RWS"")),"""")
  )
)"),"")</f>
      </c>
      <c r="K1023" s="2"/>
      <c r="L1023" s="2"/>
      <c r="M1023" s="2"/>
      <c r="N1023" s="2"/>
      <c r="O1023" s="2"/>
      <c r="P1023" s="2"/>
      <c r="Q1023" s="2"/>
      <c r="R1023" s="2"/>
      <c r="S1023" s="2"/>
      <c r="T1023" s="2"/>
      <c r="U1023" s="2"/>
      <c r="V1023" s="2"/>
      <c r="W1023" s="2"/>
      <c r="X1023" s="2"/>
      <c r="Y1023" s="2"/>
      <c r="Z1023" s="2"/>
      <c r="AA1023" s="2"/>
      <c r="AB1023" s="2"/>
    </row>
    <row r="1024" spans="1:28" customHeight="true">
      <c r="A1024" s="2" t="s">
        <v>1563</v>
      </c>
      <c r="B1024" s="15">
        <v>45783</v>
      </c>
      <c r="C1024" s="2" t="s">
        <v>1564</v>
      </c>
      <c r="D1024" s="6">
        <v>10</v>
      </c>
      <c r="E1024" s="16" t="str">
        <f>IFERROR(__xludf.DUMMYFUNCTION("IFERROR(
  TEXTJOIN(CHAR(10),TRUE,FILTER('SUMMARY DATA'!E:E,'SUMMARY DATA'!$A:$A=$A125,'SUMMARY DATA'!$C:$C=$B125,'SUMMARY DATA'!$B:$B=""GRP"")),
  IF(
    OR(
      ISNUMBER(SEARCH(""CDM CASH DEPOSIT"",$C125)),
      ISNUMBER(SEARCH(""CASH DEPOSIT"",$C12"&amp;"5)),
      COUNTIFS('SUMMARY DATA'!$D:$D,$C125,'SUMMARY DATA'!$B:$B,""GRP"")&lt;&gt;1
    ),
    """",
    IFERROR(TEXTJOIN(CHAR(10),TRUE,FILTER('SUMMARY DATA'!E:E,'SUMMARY DATA'!$D:$D=$C125,'SUMMARY DATA'!$B:$B=""GRP"")),"""")
  )
)"),"")</f>
      </c>
      <c r="F1024" s="17" t="str">
        <f>IFERROR(__xludf.DUMMYFUNCTION("IFERROR(
  TEXTJOIN(CHAR(10),TRUE,FILTER('SUMMARY DATA'!F:F,'SUMMARY DATA'!$A:$A=$A125,'SUMMARY DATA'!$C:$C=$B125,'SUMMARY DATA'!$B:$B=""GRP"")),
  IF(
    OR(
      ISNUMBER(SEARCH(""CDM CASH DEPOSIT"",$C125)),
      ISNUMBER(SEARCH(""CASH DEPOSIT"",$C12"&amp;"5)),
      COUNTIFS('SUMMARY DATA'!$D:$D,$C125,'SUMMARY DATA'!$B:$B,""GRP"")&lt;&gt;1
    ),
    """",
    IFERROR(TEXTJOIN(CHAR(10),TRUE,FILTER('SUMMARY DATA'!F:F,'SUMMARY DATA'!$D:$D=$C125,'SUMMARY DATA'!$B:$B=""GRP"")),"""")
  )
)"),"")</f>
      </c>
      <c r="G1024" s="17" t="str">
        <f>IFERROR(__xludf.DUMMYFUNCTION("IFERROR(
  TEXTJOIN(CHAR(10),TRUE,FILTER('SUMMARY DATA'!G:G,'SUMMARY DATA'!$A:$A=$A1024,'SUMMARY DATA'!$C:$C=$B1024,'SUMMARY DATA'!$B:$B=""RWS"")),
  IF(
    OR(
      ISNUMBER(SEARCH(""CDM CASH DEPOSIT"",$C1024)),
      ISNUMBER(SEARCH(""CASH DEPOSIT"",$"&amp;"C1024)),
      COUNTIFS('SUMMARY DATA'!$D:$D,$C1024,'SUMMARY DATA'!$B:$B,""RWS"")&lt;&gt;1
    ),
    """",
    IFERROR(TEXTJOIN(CHAR(10),TRUE,FILTER('SUMMARY DATA'!G:G,'SUMMARY DATA'!$D:$D=$C1024,'SUMMARY DATA'!$B:$B=""RWS"")),"""")
  )
)"),"")</f>
      </c>
      <c r="H1024" s="18" t="str">
        <f>IFERROR(__xludf.DUMMYFUNCTION("IFERROR(
  TEXTJOIN(CHAR(10),TRUE,FILTER('SUMMARY DATA'!H:H,'SUMMARY DATA'!$A:$A=$A1024,'SUMMARY DATA'!$C:$C=$B1024,'SUMMARY DATA'!$B:$B=""RWS"",'SUMMARY DATA'!$H:$H=$D1024)),
  IF(
    OR(
      ISNUMBER(SEARCH(""CDM CASH DEPOSIT"",$C1024)),
      ISNUMB"&amp;"ER(SEARCH(""CASH DEPOSIT"",$C1024))
    ),
    """",
    IFERROR(TEXTJOIN(CHAR(10),TRUE,FILTER('SUMMARY DATA'!H:H,'SUMMARY DATA'!$D:$D=$C1024,'SUMMARY DATA'!$B:$B=""RWS"",'SUMMARY DATA'!$H:$H=$D1024)),"""")
  )
)"),"")</f>
      </c>
      <c r="I1024" s="18" t="str">
        <f>IFERROR(__xludf.DUMMYFUNCTION("IF(H1024="""","""",
SUM(ARRAYFORMULA(VALUE(SPLIT(H1024,CHAR(10)))))
)"),"")</f>
      </c>
      <c r="J1024" s="17" t="str">
        <f>IFERROR(__xludf.DUMMYFUNCTION("IFERROR(
  TEXTJOIN(CHAR(10),TRUE,FILTER('SUMMARY DATA'!I:I,'SUMMARY DATA'!$A:$A=$A1024,'SUMMARY DATA'!$C:$C=$B1024,'SUMMARY DATA'!$B:$B=""RWS"")),
  IF(
    OR(
      ISNUMBER(SEARCH(""CDM CASH DEPOSIT"",$C1024)),
      ISNUMBER(SEARCH(""CASH DEPOSIT"",$"&amp;"C1024)),
      COUNTIFS('SUMMARY DATA'!$D:$D,$C1024,'SUMMARY DATA'!$B:$B,""RWS"")&lt;&gt;1
    ),
    """",
    IFERROR(TEXTJOIN(CHAR(10),TRUE,FILTER('SUMMARY DATA'!I:I,'SUMMARY DATA'!$D:$D=$C1024,'SUMMARY DATA'!$B:$B=""RWS"")),"""")
  )
)"),"")</f>
      </c>
      <c r="K1024" s="2"/>
      <c r="L1024" s="2"/>
      <c r="M1024" s="2"/>
      <c r="N1024" s="2"/>
      <c r="O1024" s="2"/>
      <c r="P1024" s="2"/>
      <c r="Q1024" s="2"/>
      <c r="R1024" s="2"/>
      <c r="S1024" s="2"/>
      <c r="T1024" s="2"/>
      <c r="U1024" s="2"/>
      <c r="V1024" s="2"/>
      <c r="W1024" s="2"/>
      <c r="X1024" s="2"/>
      <c r="Y1024" s="2"/>
      <c r="Z1024" s="2"/>
      <c r="AA1024" s="2"/>
      <c r="AB1024" s="2"/>
    </row>
    <row r="1025" spans="1:28" customHeight="true">
      <c r="A1025" s="2"/>
      <c r="B1025" s="15">
        <v>45783</v>
      </c>
      <c r="C1025" s="2" t="s">
        <v>1565</v>
      </c>
      <c r="D1025" s="6">
        <v>2.01</v>
      </c>
      <c r="E1025" s="16" t="str">
        <f>IFERROR(__xludf.DUMMYFUNCTION("IFERROR(
  TEXTJOIN(CHAR(10),TRUE,FILTER('SUMMARY DATA'!E:E,'SUMMARY DATA'!$A:$A=$A126,'SUMMARY DATA'!$C:$C=$B126,'SUMMARY DATA'!$B:$B=""GRP"")),
  IF(
    OR(
      ISNUMBER(SEARCH(""CDM CASH DEPOSIT"",$C126)),
      ISNUMBER(SEARCH(""CASH DEPOSIT"",$C12"&amp;"6)),
      COUNTIFS('SUMMARY DATA'!$D:$D,$C126,'SUMMARY DATA'!$B:$B,""GRP"")&lt;&gt;1
    ),
    """",
    IFERROR(TEXTJOIN(CHAR(10),TRUE,FILTER('SUMMARY DATA'!E:E,'SUMMARY DATA'!$D:$D=$C126,'SUMMARY DATA'!$B:$B=""GRP"")),"""")
  )
)"),"")</f>
      </c>
      <c r="F1025" s="17" t="str">
        <f>IFERROR(__xludf.DUMMYFUNCTION("IFERROR(
  TEXTJOIN(CHAR(10),TRUE,FILTER('SUMMARY DATA'!F:F,'SUMMARY DATA'!$A:$A=$A126,'SUMMARY DATA'!$C:$C=$B126,'SUMMARY DATA'!$B:$B=""GRP"")),
  IF(
    OR(
      ISNUMBER(SEARCH(""CDM CASH DEPOSIT"",$C126)),
      ISNUMBER(SEARCH(""CASH DEPOSIT"",$C12"&amp;"6)),
      COUNTIFS('SUMMARY DATA'!$D:$D,$C126,'SUMMARY DATA'!$B:$B,""GRP"")&lt;&gt;1
    ),
    """",
    IFERROR(TEXTJOIN(CHAR(10),TRUE,FILTER('SUMMARY DATA'!F:F,'SUMMARY DATA'!$D:$D=$C126,'SUMMARY DATA'!$B:$B=""GRP"")),"""")
  )
)"),"")</f>
      </c>
      <c r="G1025" s="17" t="str">
        <f>IFERROR(__xludf.DUMMYFUNCTION("IFERROR(
  TEXTJOIN(CHAR(10),TRUE,FILTER('SUMMARY DATA'!G:G,'SUMMARY DATA'!$A:$A=$A1025,'SUMMARY DATA'!$C:$C=$B1025,'SUMMARY DATA'!$B:$B=""RWS"")),
  IF(
    OR(
      ISNUMBER(SEARCH(""CDM CASH DEPOSIT"",$C1025)),
      ISNUMBER(SEARCH(""CASH DEPOSIT"",$"&amp;"C1025)),
      COUNTIFS('SUMMARY DATA'!$D:$D,$C1025,'SUMMARY DATA'!$B:$B,""RWS"")&lt;&gt;1
    ),
    """",
    IFERROR(TEXTJOIN(CHAR(10),TRUE,FILTER('SUMMARY DATA'!G:G,'SUMMARY DATA'!$D:$D=$C1025,'SUMMARY DATA'!$B:$B=""RWS"")),"""")
  )
)"),"")</f>
      </c>
      <c r="H1025" s="18" t="str">
        <f>IFERROR(__xludf.DUMMYFUNCTION("IFERROR(
  TEXTJOIN(CHAR(10),TRUE,FILTER('SUMMARY DATA'!H:H,'SUMMARY DATA'!$A:$A=$A1025,'SUMMARY DATA'!$C:$C=$B1025,'SUMMARY DATA'!$B:$B=""RWS"",'SUMMARY DATA'!$H:$H=$D1025)),
  IF(
    OR(
      ISNUMBER(SEARCH(""CDM CASH DEPOSIT"",$C1025)),
      ISNUMB"&amp;"ER(SEARCH(""CASH DEPOSIT"",$C1025))
    ),
    """",
    IFERROR(TEXTJOIN(CHAR(10),TRUE,FILTER('SUMMARY DATA'!H:H,'SUMMARY DATA'!$D:$D=$C1025,'SUMMARY DATA'!$B:$B=""RWS"",'SUMMARY DATA'!$H:$H=$D1025)),"""")
  )
)"),"")</f>
      </c>
      <c r="I1025" s="18" t="str">
        <f>IFERROR(__xludf.DUMMYFUNCTION("IF(H1025="""","""",
SUM(ARRAYFORMULA(VALUE(SPLIT(H1025,CHAR(10)))))
)"),"")</f>
      </c>
      <c r="J1025" s="17" t="str">
        <f>IFERROR(__xludf.DUMMYFUNCTION("IFERROR(
  TEXTJOIN(CHAR(10),TRUE,FILTER('SUMMARY DATA'!I:I,'SUMMARY DATA'!$A:$A=$A1025,'SUMMARY DATA'!$C:$C=$B1025,'SUMMARY DATA'!$B:$B=""RWS"")),
  IF(
    OR(
      ISNUMBER(SEARCH(""CDM CASH DEPOSIT"",$C1025)),
      ISNUMBER(SEARCH(""CASH DEPOSIT"",$"&amp;"C1025)),
      COUNTIFS('SUMMARY DATA'!$D:$D,$C1025,'SUMMARY DATA'!$B:$B,""RWS"")&lt;&gt;1
    ),
    """",
    IFERROR(TEXTJOIN(CHAR(10),TRUE,FILTER('SUMMARY DATA'!I:I,'SUMMARY DATA'!$D:$D=$C1025,'SUMMARY DATA'!$B:$B=""RWS"")),"""")
  )
)"),"")</f>
      </c>
      <c r="K1025" s="2"/>
      <c r="L1025" s="2"/>
      <c r="M1025" s="2"/>
      <c r="N1025" s="2"/>
      <c r="O1025" s="2"/>
      <c r="P1025" s="2"/>
      <c r="Q1025" s="2"/>
      <c r="R1025" s="2"/>
      <c r="S1025" s="2"/>
      <c r="T1025" s="2"/>
      <c r="U1025" s="2"/>
      <c r="V1025" s="2"/>
      <c r="W1025" s="2"/>
      <c r="X1025" s="2"/>
      <c r="Y1025" s="2"/>
      <c r="Z1025" s="2"/>
      <c r="AA1025" s="2"/>
      <c r="AB1025" s="2"/>
    </row>
    <row r="1026" spans="1:28" customHeight="true">
      <c r="A1026" s="2"/>
      <c r="B1026" s="15">
        <v>45784</v>
      </c>
      <c r="C1026" s="2" t="s">
        <v>1566</v>
      </c>
      <c r="D1026" s="6">
        <v>106.4</v>
      </c>
      <c r="E1026" s="16" t="str">
        <f>IFERROR(__xludf.DUMMYFUNCTION("IFERROR(
  TEXTJOIN(CHAR(10),TRUE,FILTER('SUMMARY DATA'!E:E,'SUMMARY DATA'!$A:$A=$A127,'SUMMARY DATA'!$C:$C=$B127,'SUMMARY DATA'!$B:$B=""GRP"")),
  IF(
    OR(
      ISNUMBER(SEARCH(""CDM CASH DEPOSIT"",$C127)),
      ISNUMBER(SEARCH(""CASH DEPOSIT"",$C12"&amp;"7)),
      COUNTIFS('SUMMARY DATA'!$D:$D,$C127,'SUMMARY DATA'!$B:$B,""GRP"")&lt;&gt;1
    ),
    """",
    IFERROR(TEXTJOIN(CHAR(10),TRUE,FILTER('SUMMARY DATA'!E:E,'SUMMARY DATA'!$D:$D=$C127,'SUMMARY DATA'!$B:$B=""GRP"")),"""")
  )
)"),"")</f>
      </c>
      <c r="F1026" s="17" t="str">
        <f>IFERROR(__xludf.DUMMYFUNCTION("IFERROR(
  TEXTJOIN(CHAR(10),TRUE,FILTER('SUMMARY DATA'!F:F,'SUMMARY DATA'!$A:$A=$A127,'SUMMARY DATA'!$C:$C=$B127,'SUMMARY DATA'!$B:$B=""GRP"")),
  IF(
    OR(
      ISNUMBER(SEARCH(""CDM CASH DEPOSIT"",$C127)),
      ISNUMBER(SEARCH(""CASH DEPOSIT"",$C12"&amp;"7)),
      COUNTIFS('SUMMARY DATA'!$D:$D,$C127,'SUMMARY DATA'!$B:$B,""GRP"")&lt;&gt;1
    ),
    """",
    IFERROR(TEXTJOIN(CHAR(10),TRUE,FILTER('SUMMARY DATA'!F:F,'SUMMARY DATA'!$D:$D=$C127,'SUMMARY DATA'!$B:$B=""GRP"")),"""")
  )
)"),"")</f>
      </c>
      <c r="G1026" s="17" t="str">
        <f>IFERROR(__xludf.DUMMYFUNCTION("IFERROR(
  TEXTJOIN(CHAR(10),TRUE,FILTER('SUMMARY DATA'!G:G,'SUMMARY DATA'!$A:$A=$A1026,'SUMMARY DATA'!$C:$C=$B1026,'SUMMARY DATA'!$B:$B=""RWS"")),
  IF(
    OR(
      ISNUMBER(SEARCH(""CDM CASH DEPOSIT"",$C1026)),
      ISNUMBER(SEARCH(""CASH DEPOSIT"",$"&amp;"C1026)),
      COUNTIFS('SUMMARY DATA'!$D:$D,$C1026,'SUMMARY DATA'!$B:$B,""RWS"")&lt;&gt;1
    ),
    """",
    IFERROR(TEXTJOIN(CHAR(10),TRUE,FILTER('SUMMARY DATA'!G:G,'SUMMARY DATA'!$D:$D=$C1026,'SUMMARY DATA'!$B:$B=""RWS"")),"""")
  )
)"),"")</f>
      </c>
      <c r="H1026" s="18" t="str">
        <f>IFERROR(__xludf.DUMMYFUNCTION("IFERROR(
  TEXTJOIN(CHAR(10),TRUE,FILTER('SUMMARY DATA'!H:H,'SUMMARY DATA'!$A:$A=$A1026,'SUMMARY DATA'!$C:$C=$B1026,'SUMMARY DATA'!$B:$B=""RWS"",'SUMMARY DATA'!$H:$H=$D1026)),
  IF(
    OR(
      ISNUMBER(SEARCH(""CDM CASH DEPOSIT"",$C1026)),
      ISNUMB"&amp;"ER(SEARCH(""CASH DEPOSIT"",$C1026))
    ),
    """",
    IFERROR(TEXTJOIN(CHAR(10),TRUE,FILTER('SUMMARY DATA'!H:H,'SUMMARY DATA'!$D:$D=$C1026,'SUMMARY DATA'!$B:$B=""RWS"",'SUMMARY DATA'!$H:$H=$D1026)),"""")
  )
)"),"")</f>
      </c>
      <c r="I1026" s="18" t="str">
        <f>IFERROR(__xludf.DUMMYFUNCTION("IF(H1026="""","""",
SUM(ARRAYFORMULA(VALUE(SPLIT(H1026,CHAR(10)))))
)"),"")</f>
      </c>
      <c r="J1026" s="17" t="str">
        <f>IFERROR(__xludf.DUMMYFUNCTION("IFERROR(
  TEXTJOIN(CHAR(10),TRUE,FILTER('SUMMARY DATA'!I:I,'SUMMARY DATA'!$A:$A=$A1026,'SUMMARY DATA'!$C:$C=$B1026,'SUMMARY DATA'!$B:$B=""RWS"")),
  IF(
    OR(
      ISNUMBER(SEARCH(""CDM CASH DEPOSIT"",$C1026)),
      ISNUMBER(SEARCH(""CASH DEPOSIT"",$"&amp;"C1026)),
      COUNTIFS('SUMMARY DATA'!$D:$D,$C1026,'SUMMARY DATA'!$B:$B,""RWS"")&lt;&gt;1
    ),
    """",
    IFERROR(TEXTJOIN(CHAR(10),TRUE,FILTER('SUMMARY DATA'!I:I,'SUMMARY DATA'!$D:$D=$C1026,'SUMMARY DATA'!$B:$B=""RWS"")),"""")
  )
)"),"")</f>
      </c>
      <c r="K1026" s="2"/>
      <c r="L1026" s="2"/>
      <c r="M1026" s="2"/>
      <c r="N1026" s="2"/>
      <c r="O1026" s="2"/>
      <c r="P1026" s="2"/>
      <c r="Q1026" s="2"/>
      <c r="R1026" s="2"/>
      <c r="S1026" s="2"/>
      <c r="T1026" s="2"/>
      <c r="U1026" s="2"/>
      <c r="V1026" s="2"/>
      <c r="W1026" s="2"/>
      <c r="X1026" s="2"/>
      <c r="Y1026" s="2"/>
      <c r="Z1026" s="2"/>
      <c r="AA1026" s="2"/>
      <c r="AB1026" s="2"/>
    </row>
    <row r="1027" spans="1:28" customHeight="true">
      <c r="A1027" s="2"/>
      <c r="B1027" s="15">
        <v>45784</v>
      </c>
      <c r="C1027" s="2" t="s">
        <v>1477</v>
      </c>
      <c r="D1027" s="6">
        <v>9</v>
      </c>
      <c r="E1027" s="16" t="str">
        <f>IFERROR(__xludf.DUMMYFUNCTION("IFERROR(
  TEXTJOIN(CHAR(10),TRUE,FILTER('SUMMARY DATA'!E:E,'SUMMARY DATA'!$A:$A=$A128,'SUMMARY DATA'!$C:$C=$B128,'SUMMARY DATA'!$B:$B=""GRP"")),
  IF(
    OR(
      ISNUMBER(SEARCH(""CDM CASH DEPOSIT"",$C128)),
      ISNUMBER(SEARCH(""CASH DEPOSIT"",$C12"&amp;"8)),
      COUNTIFS('SUMMARY DATA'!$D:$D,$C128,'SUMMARY DATA'!$B:$B,""GRP"")&lt;&gt;1
    ),
    """",
    IFERROR(TEXTJOIN(CHAR(10),TRUE,FILTER('SUMMARY DATA'!E:E,'SUMMARY DATA'!$D:$D=$C128,'SUMMARY DATA'!$B:$B=""GRP"")),"""")
  )
)"),"")</f>
      </c>
      <c r="F1027" s="17" t="str">
        <f>IFERROR(__xludf.DUMMYFUNCTION("IFERROR(
  TEXTJOIN(CHAR(10),TRUE,FILTER('SUMMARY DATA'!F:F,'SUMMARY DATA'!$A:$A=$A128,'SUMMARY DATA'!$C:$C=$B128,'SUMMARY DATA'!$B:$B=""GRP"")),
  IF(
    OR(
      ISNUMBER(SEARCH(""CDM CASH DEPOSIT"",$C128)),
      ISNUMBER(SEARCH(""CASH DEPOSIT"",$C12"&amp;"8)),
      COUNTIFS('SUMMARY DATA'!$D:$D,$C128,'SUMMARY DATA'!$B:$B,""GRP"")&lt;&gt;1
    ),
    """",
    IFERROR(TEXTJOIN(CHAR(10),TRUE,FILTER('SUMMARY DATA'!F:F,'SUMMARY DATA'!$D:$D=$C128,'SUMMARY DATA'!$B:$B=""GRP"")),"""")
  )
)"),"")</f>
      </c>
      <c r="G1027" s="17" t="str">
        <f>IFERROR(__xludf.DUMMYFUNCTION("IFERROR(
  TEXTJOIN(CHAR(10),TRUE,FILTER('SUMMARY DATA'!G:G,'SUMMARY DATA'!$A:$A=$A1027,'SUMMARY DATA'!$C:$C=$B1027,'SUMMARY DATA'!$B:$B=""RWS"")),
  IF(
    OR(
      ISNUMBER(SEARCH(""CDM CASH DEPOSIT"",$C1027)),
      ISNUMBER(SEARCH(""CASH DEPOSIT"",$"&amp;"C1027)),
      COUNTIFS('SUMMARY DATA'!$D:$D,$C1027,'SUMMARY DATA'!$B:$B,""RWS"")&lt;&gt;1
    ),
    """",
    IFERROR(TEXTJOIN(CHAR(10),TRUE,FILTER('SUMMARY DATA'!G:G,'SUMMARY DATA'!$D:$D=$C1027,'SUMMARY DATA'!$B:$B=""RWS"")),"""")
  )
)"),"")</f>
      </c>
      <c r="H1027" s="18" t="str">
        <f>IFERROR(__xludf.DUMMYFUNCTION("IFERROR(
  TEXTJOIN(CHAR(10),TRUE,FILTER('SUMMARY DATA'!H:H,'SUMMARY DATA'!$A:$A=$A1027,'SUMMARY DATA'!$C:$C=$B1027,'SUMMARY DATA'!$B:$B=""RWS"",'SUMMARY DATA'!$H:$H=$D1027)),
  IF(
    OR(
      ISNUMBER(SEARCH(""CDM CASH DEPOSIT"",$C1027)),
      ISNUMB"&amp;"ER(SEARCH(""CASH DEPOSIT"",$C1027))
    ),
    """",
    IFERROR(TEXTJOIN(CHAR(10),TRUE,FILTER('SUMMARY DATA'!H:H,'SUMMARY DATA'!$D:$D=$C1027,'SUMMARY DATA'!$B:$B=""RWS"",'SUMMARY DATA'!$H:$H=$D1027)),"""")
  )
)"),"")</f>
      </c>
      <c r="I1027" s="18" t="str">
        <f>IFERROR(__xludf.DUMMYFUNCTION("IF(H1027="""","""",
SUM(ARRAYFORMULA(VALUE(SPLIT(H1027,CHAR(10)))))
)"),"")</f>
      </c>
      <c r="J1027" s="17" t="str">
        <f>IFERROR(__xludf.DUMMYFUNCTION("IFERROR(
  TEXTJOIN(CHAR(10),TRUE,FILTER('SUMMARY DATA'!I:I,'SUMMARY DATA'!$A:$A=$A1027,'SUMMARY DATA'!$C:$C=$B1027,'SUMMARY DATA'!$B:$B=""RWS"")),
  IF(
    OR(
      ISNUMBER(SEARCH(""CDM CASH DEPOSIT"",$C1027)),
      ISNUMBER(SEARCH(""CASH DEPOSIT"",$"&amp;"C1027)),
      COUNTIFS('SUMMARY DATA'!$D:$D,$C1027,'SUMMARY DATA'!$B:$B,""RWS"")&lt;&gt;1
    ),
    """",
    IFERROR(TEXTJOIN(CHAR(10),TRUE,FILTER('SUMMARY DATA'!I:I,'SUMMARY DATA'!$D:$D=$C1027,'SUMMARY DATA'!$B:$B=""RWS"")),"""")
  )
)"),"")</f>
      </c>
      <c r="K1027" s="2"/>
      <c r="L1027" s="2"/>
      <c r="M1027" s="2"/>
      <c r="N1027" s="2"/>
      <c r="O1027" s="2"/>
      <c r="P1027" s="2"/>
      <c r="Q1027" s="2"/>
      <c r="R1027" s="2"/>
      <c r="S1027" s="2"/>
      <c r="T1027" s="2"/>
      <c r="U1027" s="2"/>
      <c r="V1027" s="2"/>
      <c r="W1027" s="2"/>
      <c r="X1027" s="2"/>
      <c r="Y1027" s="2"/>
      <c r="Z1027" s="2"/>
      <c r="AA1027" s="2"/>
      <c r="AB1027" s="2"/>
    </row>
    <row r="1028" spans="1:28" customHeight="true">
      <c r="A1028" s="2"/>
      <c r="B1028" s="15">
        <v>45784</v>
      </c>
      <c r="C1028" s="2" t="s">
        <v>1567</v>
      </c>
      <c r="D1028" s="6">
        <v>6.99</v>
      </c>
      <c r="E1028" s="16" t="str">
        <f>IFERROR(__xludf.DUMMYFUNCTION("IFERROR(
  TEXTJOIN(CHAR(10),TRUE,FILTER('SUMMARY DATA'!E:E,'SUMMARY DATA'!$A:$A=$A129,'SUMMARY DATA'!$C:$C=$B129,'SUMMARY DATA'!$B:$B=""GRP"")),
  IF(
    OR(
      ISNUMBER(SEARCH(""CDM CASH DEPOSIT"",$C129)),
      ISNUMBER(SEARCH(""CASH DEPOSIT"",$C12"&amp;"9)),
      COUNTIFS('SUMMARY DATA'!$D:$D,$C129,'SUMMARY DATA'!$B:$B,""GRP"")&lt;&gt;1
    ),
    """",
    IFERROR(TEXTJOIN(CHAR(10),TRUE,FILTER('SUMMARY DATA'!E:E,'SUMMARY DATA'!$D:$D=$C129,'SUMMARY DATA'!$B:$B=""GRP"")),"""")
  )
)"),"")</f>
      </c>
      <c r="F1028" s="17" t="str">
        <f>IFERROR(__xludf.DUMMYFUNCTION("IFERROR(
  TEXTJOIN(CHAR(10),TRUE,FILTER('SUMMARY DATA'!F:F,'SUMMARY DATA'!$A:$A=$A129,'SUMMARY DATA'!$C:$C=$B129,'SUMMARY DATA'!$B:$B=""GRP"")),
  IF(
    OR(
      ISNUMBER(SEARCH(""CDM CASH DEPOSIT"",$C129)),
      ISNUMBER(SEARCH(""CASH DEPOSIT"",$C12"&amp;"9)),
      COUNTIFS('SUMMARY DATA'!$D:$D,$C129,'SUMMARY DATA'!$B:$B,""GRP"")&lt;&gt;1
    ),
    """",
    IFERROR(TEXTJOIN(CHAR(10),TRUE,FILTER('SUMMARY DATA'!F:F,'SUMMARY DATA'!$D:$D=$C129,'SUMMARY DATA'!$B:$B=""GRP"")),"""")
  )
)"),"")</f>
      </c>
      <c r="G1028" s="17" t="str">
        <f>IFERROR(__xludf.DUMMYFUNCTION("IFERROR(
  TEXTJOIN(CHAR(10),TRUE,FILTER('SUMMARY DATA'!G:G,'SUMMARY DATA'!$A:$A=$A1028,'SUMMARY DATA'!$C:$C=$B1028,'SUMMARY DATA'!$B:$B=""RWS"")),
  IF(
    OR(
      ISNUMBER(SEARCH(""CDM CASH DEPOSIT"",$C1028)),
      ISNUMBER(SEARCH(""CASH DEPOSIT"",$"&amp;"C1028)),
      COUNTIFS('SUMMARY DATA'!$D:$D,$C1028,'SUMMARY DATA'!$B:$B,""RWS"")&lt;&gt;1
    ),
    """",
    IFERROR(TEXTJOIN(CHAR(10),TRUE,FILTER('SUMMARY DATA'!G:G,'SUMMARY DATA'!$D:$D=$C1028,'SUMMARY DATA'!$B:$B=""RWS"")),"""")
  )
)"),"")</f>
      </c>
      <c r="H1028" s="18" t="str">
        <f>IFERROR(__xludf.DUMMYFUNCTION("IFERROR(
  TEXTJOIN(CHAR(10),TRUE,FILTER('SUMMARY DATA'!H:H,'SUMMARY DATA'!$A:$A=$A1028,'SUMMARY DATA'!$C:$C=$B1028,'SUMMARY DATA'!$B:$B=""RWS"",'SUMMARY DATA'!$H:$H=$D1028)),
  IF(
    OR(
      ISNUMBER(SEARCH(""CDM CASH DEPOSIT"",$C1028)),
      ISNUMB"&amp;"ER(SEARCH(""CASH DEPOSIT"",$C1028))
    ),
    """",
    IFERROR(TEXTJOIN(CHAR(10),TRUE,FILTER('SUMMARY DATA'!H:H,'SUMMARY DATA'!$D:$D=$C1028,'SUMMARY DATA'!$B:$B=""RWS"",'SUMMARY DATA'!$H:$H=$D1028)),"""")
  )
)"),"")</f>
      </c>
      <c r="I1028" s="18" t="str">
        <f>IFERROR(__xludf.DUMMYFUNCTION("IF(H1028="""","""",
SUM(ARRAYFORMULA(VALUE(SPLIT(H1028,CHAR(10)))))
)"),"")</f>
      </c>
      <c r="J1028" s="17" t="str">
        <f>IFERROR(__xludf.DUMMYFUNCTION("IFERROR(
  TEXTJOIN(CHAR(10),TRUE,FILTER('SUMMARY DATA'!I:I,'SUMMARY DATA'!$A:$A=$A1028,'SUMMARY DATA'!$C:$C=$B1028,'SUMMARY DATA'!$B:$B=""RWS"")),
  IF(
    OR(
      ISNUMBER(SEARCH(""CDM CASH DEPOSIT"",$C1028)),
      ISNUMBER(SEARCH(""CASH DEPOSIT"",$"&amp;"C1028)),
      COUNTIFS('SUMMARY DATA'!$D:$D,$C1028,'SUMMARY DATA'!$B:$B,""RWS"")&lt;&gt;1
    ),
    """",
    IFERROR(TEXTJOIN(CHAR(10),TRUE,FILTER('SUMMARY DATA'!I:I,'SUMMARY DATA'!$D:$D=$C1028,'SUMMARY DATA'!$B:$B=""RWS"")),"""")
  )
)"),"")</f>
      </c>
      <c r="K1028" s="2"/>
      <c r="L1028" s="2"/>
      <c r="M1028" s="2"/>
      <c r="N1028" s="2"/>
      <c r="O1028" s="2"/>
      <c r="P1028" s="2"/>
      <c r="Q1028" s="2"/>
      <c r="R1028" s="2"/>
      <c r="S1028" s="2"/>
      <c r="T1028" s="2"/>
      <c r="U1028" s="2"/>
      <c r="V1028" s="2"/>
      <c r="W1028" s="2"/>
      <c r="X1028" s="2"/>
      <c r="Y1028" s="2"/>
      <c r="Z1028" s="2"/>
      <c r="AA1028" s="2"/>
      <c r="AB1028" s="2"/>
    </row>
    <row r="1029" spans="1:28" customHeight="true">
      <c r="A1029" s="2"/>
      <c r="B1029" s="15">
        <v>45784</v>
      </c>
      <c r="C1029" s="2" t="s">
        <v>1568</v>
      </c>
      <c r="D1029" s="6">
        <v>6.99</v>
      </c>
      <c r="E1029" s="16" t="str">
        <f>IFERROR(__xludf.DUMMYFUNCTION("IFERROR(
  TEXTJOIN(CHAR(10),TRUE,FILTER('SUMMARY DATA'!E:E,'SUMMARY DATA'!$A:$A=$A130,'SUMMARY DATA'!$C:$C=$B130,'SUMMARY DATA'!$B:$B=""GRP"")),
  IF(
    OR(
      ISNUMBER(SEARCH(""CDM CASH DEPOSIT"",$C130)),
      ISNUMBER(SEARCH(""CASH DEPOSIT"",$C13"&amp;"0)),
      COUNTIFS('SUMMARY DATA'!$D:$D,$C130,'SUMMARY DATA'!$B:$B,""GRP"")&lt;&gt;1
    ),
    """",
    IFERROR(TEXTJOIN(CHAR(10),TRUE,FILTER('SUMMARY DATA'!E:E,'SUMMARY DATA'!$D:$D=$C130,'SUMMARY DATA'!$B:$B=""GRP"")),"""")
  )
)"),"")</f>
      </c>
      <c r="F1029" s="17" t="str">
        <f>IFERROR(__xludf.DUMMYFUNCTION("IFERROR(
  TEXTJOIN(CHAR(10),TRUE,FILTER('SUMMARY DATA'!F:F,'SUMMARY DATA'!$A:$A=$A130,'SUMMARY DATA'!$C:$C=$B130,'SUMMARY DATA'!$B:$B=""GRP"")),
  IF(
    OR(
      ISNUMBER(SEARCH(""CDM CASH DEPOSIT"",$C130)),
      ISNUMBER(SEARCH(""CASH DEPOSIT"",$C13"&amp;"0)),
      COUNTIFS('SUMMARY DATA'!$D:$D,$C130,'SUMMARY DATA'!$B:$B,""GRP"")&lt;&gt;1
    ),
    """",
    IFERROR(TEXTJOIN(CHAR(10),TRUE,FILTER('SUMMARY DATA'!F:F,'SUMMARY DATA'!$D:$D=$C130,'SUMMARY DATA'!$B:$B=""GRP"")),"""")
  )
)"),"")</f>
      </c>
      <c r="G1029" s="17" t="str">
        <f>IFERROR(__xludf.DUMMYFUNCTION("IFERROR(
  TEXTJOIN(CHAR(10),TRUE,FILTER('SUMMARY DATA'!G:G,'SUMMARY DATA'!$A:$A=$A1029,'SUMMARY DATA'!$C:$C=$B1029,'SUMMARY DATA'!$B:$B=""RWS"")),
  IF(
    OR(
      ISNUMBER(SEARCH(""CDM CASH DEPOSIT"",$C1029)),
      ISNUMBER(SEARCH(""CASH DEPOSIT"",$"&amp;"C1029)),
      COUNTIFS('SUMMARY DATA'!$D:$D,$C1029,'SUMMARY DATA'!$B:$B,""RWS"")&lt;&gt;1
    ),
    """",
    IFERROR(TEXTJOIN(CHAR(10),TRUE,FILTER('SUMMARY DATA'!G:G,'SUMMARY DATA'!$D:$D=$C1029,'SUMMARY DATA'!$B:$B=""RWS"")),"""")
  )
)"),"")</f>
      </c>
      <c r="H1029" s="18" t="str">
        <f>IFERROR(__xludf.DUMMYFUNCTION("IFERROR(
  TEXTJOIN(CHAR(10),TRUE,FILTER('SUMMARY DATA'!H:H,'SUMMARY DATA'!$A:$A=$A1029,'SUMMARY DATA'!$C:$C=$B1029,'SUMMARY DATA'!$B:$B=""RWS"",'SUMMARY DATA'!$H:$H=$D1029)),
  IF(
    OR(
      ISNUMBER(SEARCH(""CDM CASH DEPOSIT"",$C1029)),
      ISNUMB"&amp;"ER(SEARCH(""CASH DEPOSIT"",$C1029))
    ),
    """",
    IFERROR(TEXTJOIN(CHAR(10),TRUE,FILTER('SUMMARY DATA'!H:H,'SUMMARY DATA'!$D:$D=$C1029,'SUMMARY DATA'!$B:$B=""RWS"",'SUMMARY DATA'!$H:$H=$D1029)),"""")
  )
)"),"")</f>
      </c>
      <c r="I1029" s="18" t="str">
        <f>IFERROR(__xludf.DUMMYFUNCTION("IF(H1029="""","""",
SUM(ARRAYFORMULA(VALUE(SPLIT(H1029,CHAR(10)))))
)"),"")</f>
      </c>
      <c r="J1029" s="17" t="str">
        <f>IFERROR(__xludf.DUMMYFUNCTION("IFERROR(
  TEXTJOIN(CHAR(10),TRUE,FILTER('SUMMARY DATA'!I:I,'SUMMARY DATA'!$A:$A=$A1029,'SUMMARY DATA'!$C:$C=$B1029,'SUMMARY DATA'!$B:$B=""RWS"")),
  IF(
    OR(
      ISNUMBER(SEARCH(""CDM CASH DEPOSIT"",$C1029)),
      ISNUMBER(SEARCH(""CASH DEPOSIT"",$"&amp;"C1029)),
      COUNTIFS('SUMMARY DATA'!$D:$D,$C1029,'SUMMARY DATA'!$B:$B,""RWS"")&lt;&gt;1
    ),
    """",
    IFERROR(TEXTJOIN(CHAR(10),TRUE,FILTER('SUMMARY DATA'!I:I,'SUMMARY DATA'!$D:$D=$C1029,'SUMMARY DATA'!$B:$B=""RWS"")),"""")
  )
)"),"")</f>
      </c>
      <c r="K1029" s="2"/>
      <c r="L1029" s="2"/>
      <c r="M1029" s="2"/>
      <c r="N1029" s="2"/>
      <c r="O1029" s="2"/>
      <c r="P1029" s="2"/>
      <c r="Q1029" s="2"/>
      <c r="R1029" s="2"/>
      <c r="S1029" s="2"/>
      <c r="T1029" s="2"/>
      <c r="U1029" s="2"/>
      <c r="V1029" s="2"/>
      <c r="W1029" s="2"/>
      <c r="X1029" s="2"/>
      <c r="Y1029" s="2"/>
      <c r="Z1029" s="2"/>
      <c r="AA1029" s="2"/>
      <c r="AB1029" s="2"/>
    </row>
    <row r="1030" spans="1:28" customHeight="true">
      <c r="A1030" s="2" t="s">
        <v>1442</v>
      </c>
      <c r="B1030" s="15">
        <v>45785</v>
      </c>
      <c r="C1030" s="2" t="s">
        <v>1569</v>
      </c>
      <c r="D1030" s="6">
        <v>424</v>
      </c>
      <c r="E1030" s="16" t="str">
        <f>IFERROR(__xludf.DUMMYFUNCTION("IFERROR(
  TEXTJOIN(CHAR(10),TRUE,FILTER('SUMMARY DATA'!E:E,'SUMMARY DATA'!$A:$A=$A131,'SUMMARY DATA'!$C:$C=$B131,'SUMMARY DATA'!$B:$B=""GRP"")),
  IF(
    OR(
      ISNUMBER(SEARCH(""CDM CASH DEPOSIT"",$C131)),
      ISNUMBER(SEARCH(""CASH DEPOSIT"",$C13"&amp;"1)),
      COUNTIFS('SUMMARY DATA'!$D:$D,$C131,'SUMMARY DATA'!$B:$B,""GRP"")&lt;&gt;1
    ),
    """",
    IFERROR(TEXTJOIN(CHAR(10),TRUE,FILTER('SUMMARY DATA'!E:E,'SUMMARY DATA'!$D:$D=$C131,'SUMMARY DATA'!$B:$B=""GRP"")),"""")
  )
)"),"")</f>
      </c>
      <c r="F1030" s="17" t="str">
        <f>IFERROR(__xludf.DUMMYFUNCTION("IFERROR(
  TEXTJOIN(CHAR(10),TRUE,FILTER('SUMMARY DATA'!F:F,'SUMMARY DATA'!$A:$A=$A131,'SUMMARY DATA'!$C:$C=$B131,'SUMMARY DATA'!$B:$B=""GRP"")),
  IF(
    OR(
      ISNUMBER(SEARCH(""CDM CASH DEPOSIT"",$C131)),
      ISNUMBER(SEARCH(""CASH DEPOSIT"",$C13"&amp;"1)),
      COUNTIFS('SUMMARY DATA'!$D:$D,$C131,'SUMMARY DATA'!$B:$B,""GRP"")&lt;&gt;1
    ),
    """",
    IFERROR(TEXTJOIN(CHAR(10),TRUE,FILTER('SUMMARY DATA'!F:F,'SUMMARY DATA'!$D:$D=$C131,'SUMMARY DATA'!$B:$B=""GRP"")),"""")
  )
)"),"")</f>
      </c>
      <c r="G1030" s="17" t="str">
        <f>IFERROR(__xludf.DUMMYFUNCTION("IFERROR(
  TEXTJOIN(CHAR(10),TRUE,FILTER('SUMMARY DATA'!G:G,'SUMMARY DATA'!$A:$A=$A1030,'SUMMARY DATA'!$C:$C=$B1030,'SUMMARY DATA'!$B:$B=""RWS"")),
  IF(
    OR(
      ISNUMBER(SEARCH(""CDM CASH DEPOSIT"",$C1030)),
      ISNUMBER(SEARCH(""CASH DEPOSIT"",$"&amp;"C1030)),
      COUNTIFS('SUMMARY DATA'!$D:$D,$C1030,'SUMMARY DATA'!$B:$B,""RWS"")&lt;&gt;1
    ),
    """",
    IFERROR(TEXTJOIN(CHAR(10),TRUE,FILTER('SUMMARY DATA'!G:G,'SUMMARY DATA'!$D:$D=$C1030,'SUMMARY DATA'!$B:$B=""RWS"")),"""")
  )
)"),"")</f>
      </c>
      <c r="H1030" s="18" t="str">
        <f>IFERROR(__xludf.DUMMYFUNCTION("IFERROR(
  TEXTJOIN(CHAR(10),TRUE,FILTER('SUMMARY DATA'!H:H,'SUMMARY DATA'!$A:$A=$A1030,'SUMMARY DATA'!$C:$C=$B1030,'SUMMARY DATA'!$B:$B=""RWS"",'SUMMARY DATA'!$H:$H=$D1030)),
  IF(
    OR(
      ISNUMBER(SEARCH(""CDM CASH DEPOSIT"",$C1030)),
      ISNUMB"&amp;"ER(SEARCH(""CASH DEPOSIT"",$C1030))
    ),
    """",
    IFERROR(TEXTJOIN(CHAR(10),TRUE,FILTER('SUMMARY DATA'!H:H,'SUMMARY DATA'!$D:$D=$C1030,'SUMMARY DATA'!$B:$B=""RWS"",'SUMMARY DATA'!$H:$H=$D1030)),"""")
  )
)"),"")</f>
      </c>
      <c r="I1030" s="18" t="str">
        <f>IFERROR(__xludf.DUMMYFUNCTION("IF(H1030="""","""",
SUM(ARRAYFORMULA(VALUE(SPLIT(H1030,CHAR(10)))))
)"),"")</f>
      </c>
      <c r="J1030" s="17" t="str">
        <f>IFERROR(__xludf.DUMMYFUNCTION("IFERROR(
  TEXTJOIN(CHAR(10),TRUE,FILTER('SUMMARY DATA'!I:I,'SUMMARY DATA'!$A:$A=$A1030,'SUMMARY DATA'!$C:$C=$B1030,'SUMMARY DATA'!$B:$B=""RWS"")),
  IF(
    OR(
      ISNUMBER(SEARCH(""CDM CASH DEPOSIT"",$C1030)),
      ISNUMBER(SEARCH(""CASH DEPOSIT"",$"&amp;"C1030)),
      COUNTIFS('SUMMARY DATA'!$D:$D,$C1030,'SUMMARY DATA'!$B:$B,""RWS"")&lt;&gt;1
    ),
    """",
    IFERROR(TEXTJOIN(CHAR(10),TRUE,FILTER('SUMMARY DATA'!I:I,'SUMMARY DATA'!$D:$D=$C1030,'SUMMARY DATA'!$B:$B=""RWS"")),"""")
  )
)"),"")</f>
      </c>
      <c r="K1030" s="2"/>
      <c r="L1030" s="2"/>
      <c r="M1030" s="2"/>
      <c r="N1030" s="2"/>
      <c r="O1030" s="2"/>
      <c r="P1030" s="2"/>
      <c r="Q1030" s="2"/>
      <c r="R1030" s="2"/>
      <c r="S1030" s="2"/>
      <c r="T1030" s="2"/>
      <c r="U1030" s="2"/>
      <c r="V1030" s="2"/>
      <c r="W1030" s="2"/>
      <c r="X1030" s="2"/>
      <c r="Y1030" s="2"/>
      <c r="Z1030" s="2"/>
      <c r="AA1030" s="2"/>
      <c r="AB1030" s="2"/>
    </row>
    <row r="1031" spans="1:28" customHeight="true">
      <c r="A1031" s="2"/>
      <c r="B1031" s="15">
        <v>45785</v>
      </c>
      <c r="C1031" s="2" t="s">
        <v>1570</v>
      </c>
      <c r="D1031" s="6">
        <v>157.9</v>
      </c>
      <c r="E1031" s="16" t="str">
        <f>IFERROR(__xludf.DUMMYFUNCTION("IFERROR(
  TEXTJOIN(CHAR(10),TRUE,FILTER('SUMMARY DATA'!E:E,'SUMMARY DATA'!$A:$A=$A132,'SUMMARY DATA'!$C:$C=$B132,'SUMMARY DATA'!$B:$B=""GRP"")),
  IF(
    OR(
      ISNUMBER(SEARCH(""CDM CASH DEPOSIT"",$C132)),
      ISNUMBER(SEARCH(""CASH DEPOSIT"",$C13"&amp;"2)),
      COUNTIFS('SUMMARY DATA'!$D:$D,$C132,'SUMMARY DATA'!$B:$B,""GRP"")&lt;&gt;1
    ),
    """",
    IFERROR(TEXTJOIN(CHAR(10),TRUE,FILTER('SUMMARY DATA'!E:E,'SUMMARY DATA'!$D:$D=$C132,'SUMMARY DATA'!$B:$B=""GRP"")),"""")
  )
)"),"")</f>
      </c>
      <c r="F1031" s="17" t="str">
        <f>IFERROR(__xludf.DUMMYFUNCTION("IFERROR(
  TEXTJOIN(CHAR(10),TRUE,FILTER('SUMMARY DATA'!F:F,'SUMMARY DATA'!$A:$A=$A132,'SUMMARY DATA'!$C:$C=$B132,'SUMMARY DATA'!$B:$B=""GRP"")),
  IF(
    OR(
      ISNUMBER(SEARCH(""CDM CASH DEPOSIT"",$C132)),
      ISNUMBER(SEARCH(""CASH DEPOSIT"",$C13"&amp;"2)),
      COUNTIFS('SUMMARY DATA'!$D:$D,$C132,'SUMMARY DATA'!$B:$B,""GRP"")&lt;&gt;1
    ),
    """",
    IFERROR(TEXTJOIN(CHAR(10),TRUE,FILTER('SUMMARY DATA'!F:F,'SUMMARY DATA'!$D:$D=$C132,'SUMMARY DATA'!$B:$B=""GRP"")),"""")
  )
)"),"")</f>
      </c>
      <c r="G1031" s="17" t="str">
        <f>IFERROR(__xludf.DUMMYFUNCTION("IFERROR(
  TEXTJOIN(CHAR(10),TRUE,FILTER('SUMMARY DATA'!G:G,'SUMMARY DATA'!$A:$A=$A1031,'SUMMARY DATA'!$C:$C=$B1031,'SUMMARY DATA'!$B:$B=""RWS"")),
  IF(
    OR(
      ISNUMBER(SEARCH(""CDM CASH DEPOSIT"",$C1031)),
      ISNUMBER(SEARCH(""CASH DEPOSIT"",$"&amp;"C1031)),
      COUNTIFS('SUMMARY DATA'!$D:$D,$C1031,'SUMMARY DATA'!$B:$B,""RWS"")&lt;&gt;1
    ),
    """",
    IFERROR(TEXTJOIN(CHAR(10),TRUE,FILTER('SUMMARY DATA'!G:G,'SUMMARY DATA'!$D:$D=$C1031,'SUMMARY DATA'!$B:$B=""RWS"")),"""")
  )
)"),"")</f>
      </c>
      <c r="H1031" s="18" t="str">
        <f>IFERROR(__xludf.DUMMYFUNCTION("IFERROR(
  TEXTJOIN(CHAR(10),TRUE,FILTER('SUMMARY DATA'!H:H,'SUMMARY DATA'!$A:$A=$A1031,'SUMMARY DATA'!$C:$C=$B1031,'SUMMARY DATA'!$B:$B=""RWS"",'SUMMARY DATA'!$H:$H=$D1031)),
  IF(
    OR(
      ISNUMBER(SEARCH(""CDM CASH DEPOSIT"",$C1031)),
      ISNUMB"&amp;"ER(SEARCH(""CASH DEPOSIT"",$C1031))
    ),
    """",
    IFERROR(TEXTJOIN(CHAR(10),TRUE,FILTER('SUMMARY DATA'!H:H,'SUMMARY DATA'!$D:$D=$C1031,'SUMMARY DATA'!$B:$B=""RWS"",'SUMMARY DATA'!$H:$H=$D1031)),"""")
  )
)"),"")</f>
      </c>
      <c r="I1031" s="18" t="str">
        <f>IFERROR(__xludf.DUMMYFUNCTION("IF(H1031="""","""",
SUM(ARRAYFORMULA(VALUE(SPLIT(H1031,CHAR(10)))))
)"),"")</f>
      </c>
      <c r="J1031" s="17" t="str">
        <f>IFERROR(__xludf.DUMMYFUNCTION("IFERROR(
  TEXTJOIN(CHAR(10),TRUE,FILTER('SUMMARY DATA'!I:I,'SUMMARY DATA'!$A:$A=$A1031,'SUMMARY DATA'!$C:$C=$B1031,'SUMMARY DATA'!$B:$B=""RWS"")),
  IF(
    OR(
      ISNUMBER(SEARCH(""CDM CASH DEPOSIT"",$C1031)),
      ISNUMBER(SEARCH(""CASH DEPOSIT"",$"&amp;"C1031)),
      COUNTIFS('SUMMARY DATA'!$D:$D,$C1031,'SUMMARY DATA'!$B:$B,""RWS"")&lt;&gt;1
    ),
    """",
    IFERROR(TEXTJOIN(CHAR(10),TRUE,FILTER('SUMMARY DATA'!I:I,'SUMMARY DATA'!$D:$D=$C1031,'SUMMARY DATA'!$B:$B=""RWS"")),"""")
  )
)"),"")</f>
      </c>
      <c r="K1031" s="2"/>
      <c r="L1031" s="2"/>
      <c r="M1031" s="2"/>
      <c r="N1031" s="2"/>
      <c r="O1031" s="2"/>
      <c r="P1031" s="2"/>
      <c r="Q1031" s="2"/>
      <c r="R1031" s="2"/>
      <c r="S1031" s="2"/>
      <c r="T1031" s="2"/>
      <c r="U1031" s="2"/>
      <c r="V1031" s="2"/>
      <c r="W1031" s="2"/>
      <c r="X1031" s="2"/>
      <c r="Y1031" s="2"/>
      <c r="Z1031" s="2"/>
      <c r="AA1031" s="2"/>
      <c r="AB1031" s="2"/>
    </row>
    <row r="1032" spans="1:28" customHeight="true">
      <c r="A1032" s="2"/>
      <c r="B1032" s="15">
        <v>45785</v>
      </c>
      <c r="C1032" s="2" t="s">
        <v>1571</v>
      </c>
      <c r="D1032" s="6">
        <v>129.96</v>
      </c>
      <c r="E1032" s="16" t="str">
        <f>IFERROR(__xludf.DUMMYFUNCTION("IFERROR(
  TEXTJOIN(CHAR(10),TRUE,FILTER('SUMMARY DATA'!E:E,'SUMMARY DATA'!$A:$A=$A133,'SUMMARY DATA'!$C:$C=$B133,'SUMMARY DATA'!$B:$B=""GRP"")),
  IF(
    OR(
      ISNUMBER(SEARCH(""CDM CASH DEPOSIT"",$C133)),
      ISNUMBER(SEARCH(""CASH DEPOSIT"",$C13"&amp;"3)),
      COUNTIFS('SUMMARY DATA'!$D:$D,$C133,'SUMMARY DATA'!$B:$B,""GRP"")&lt;&gt;1
    ),
    """",
    IFERROR(TEXTJOIN(CHAR(10),TRUE,FILTER('SUMMARY DATA'!E:E,'SUMMARY DATA'!$D:$D=$C133,'SUMMARY DATA'!$B:$B=""GRP"")),"""")
  )
)"),"")</f>
      </c>
      <c r="F1032" s="17" t="str">
        <f>IFERROR(__xludf.DUMMYFUNCTION("IFERROR(
  TEXTJOIN(CHAR(10),TRUE,FILTER('SUMMARY DATA'!F:F,'SUMMARY DATA'!$A:$A=$A133,'SUMMARY DATA'!$C:$C=$B133,'SUMMARY DATA'!$B:$B=""GRP"")),
  IF(
    OR(
      ISNUMBER(SEARCH(""CDM CASH DEPOSIT"",$C133)),
      ISNUMBER(SEARCH(""CASH DEPOSIT"",$C13"&amp;"3)),
      COUNTIFS('SUMMARY DATA'!$D:$D,$C133,'SUMMARY DATA'!$B:$B,""GRP"")&lt;&gt;1
    ),
    """",
    IFERROR(TEXTJOIN(CHAR(10),TRUE,FILTER('SUMMARY DATA'!F:F,'SUMMARY DATA'!$D:$D=$C133,'SUMMARY DATA'!$B:$B=""GRP"")),"""")
  )
)"),"")</f>
      </c>
      <c r="G1032" s="17" t="str">
        <f>IFERROR(__xludf.DUMMYFUNCTION("IFERROR(
  TEXTJOIN(CHAR(10),TRUE,FILTER('SUMMARY DATA'!G:G,'SUMMARY DATA'!$A:$A=$A1032,'SUMMARY DATA'!$C:$C=$B1032,'SUMMARY DATA'!$B:$B=""RWS"")),
  IF(
    OR(
      ISNUMBER(SEARCH(""CDM CASH DEPOSIT"",$C1032)),
      ISNUMBER(SEARCH(""CASH DEPOSIT"",$"&amp;"C1032)),
      COUNTIFS('SUMMARY DATA'!$D:$D,$C1032,'SUMMARY DATA'!$B:$B,""RWS"")&lt;&gt;1
    ),
    """",
    IFERROR(TEXTJOIN(CHAR(10),TRUE,FILTER('SUMMARY DATA'!G:G,'SUMMARY DATA'!$D:$D=$C1032,'SUMMARY DATA'!$B:$B=""RWS"")),"""")
  )
)"),"")</f>
      </c>
      <c r="H1032" s="18" t="str">
        <f>IFERROR(__xludf.DUMMYFUNCTION("IFERROR(
  TEXTJOIN(CHAR(10),TRUE,FILTER('SUMMARY DATA'!H:H,'SUMMARY DATA'!$A:$A=$A1032,'SUMMARY DATA'!$C:$C=$B1032,'SUMMARY DATA'!$B:$B=""RWS"",'SUMMARY DATA'!$H:$H=$D1032)),
  IF(
    OR(
      ISNUMBER(SEARCH(""CDM CASH DEPOSIT"",$C1032)),
      ISNUMB"&amp;"ER(SEARCH(""CASH DEPOSIT"",$C1032))
    ),
    """",
    IFERROR(TEXTJOIN(CHAR(10),TRUE,FILTER('SUMMARY DATA'!H:H,'SUMMARY DATA'!$D:$D=$C1032,'SUMMARY DATA'!$B:$B=""RWS"",'SUMMARY DATA'!$H:$H=$D1032)),"""")
  )
)"),"")</f>
      </c>
      <c r="I1032" s="18" t="str">
        <f>IFERROR(__xludf.DUMMYFUNCTION("IF(H1032="""","""",
SUM(ARRAYFORMULA(VALUE(SPLIT(H1032,CHAR(10)))))
)"),"")</f>
      </c>
      <c r="J1032" s="17" t="str">
        <f>IFERROR(__xludf.DUMMYFUNCTION("IFERROR(
  TEXTJOIN(CHAR(10),TRUE,FILTER('SUMMARY DATA'!I:I,'SUMMARY DATA'!$A:$A=$A1032,'SUMMARY DATA'!$C:$C=$B1032,'SUMMARY DATA'!$B:$B=""RWS"")),
  IF(
    OR(
      ISNUMBER(SEARCH(""CDM CASH DEPOSIT"",$C1032)),
      ISNUMBER(SEARCH(""CASH DEPOSIT"",$"&amp;"C1032)),
      COUNTIFS('SUMMARY DATA'!$D:$D,$C1032,'SUMMARY DATA'!$B:$B,""RWS"")&lt;&gt;1
    ),
    """",
    IFERROR(TEXTJOIN(CHAR(10),TRUE,FILTER('SUMMARY DATA'!I:I,'SUMMARY DATA'!$D:$D=$C1032,'SUMMARY DATA'!$B:$B=""RWS"")),"""")
  )
)"),"")</f>
      </c>
      <c r="K1032" s="2"/>
      <c r="L1032" s="2"/>
      <c r="M1032" s="2"/>
      <c r="N1032" s="2"/>
      <c r="O1032" s="2"/>
      <c r="P1032" s="2"/>
      <c r="Q1032" s="2"/>
      <c r="R1032" s="2"/>
      <c r="S1032" s="2"/>
      <c r="T1032" s="2"/>
      <c r="U1032" s="2"/>
      <c r="V1032" s="2"/>
      <c r="W1032" s="2"/>
      <c r="X1032" s="2"/>
      <c r="Y1032" s="2"/>
      <c r="Z1032" s="2"/>
      <c r="AA1032" s="2"/>
      <c r="AB1032" s="2"/>
    </row>
    <row r="1033" spans="1:28" customHeight="true">
      <c r="A1033" s="2"/>
      <c r="B1033" s="15">
        <v>45785</v>
      </c>
      <c r="C1033" s="2" t="s">
        <v>1572</v>
      </c>
      <c r="D1033" s="6">
        <v>79.99</v>
      </c>
      <c r="E1033" s="16" t="str">
        <f>IFERROR(__xludf.DUMMYFUNCTION("IFERROR(
  TEXTJOIN(CHAR(10),TRUE,FILTER('SUMMARY DATA'!E:E,'SUMMARY DATA'!$A:$A=$A134,'SUMMARY DATA'!$C:$C=$B134,'SUMMARY DATA'!$B:$B=""GRP"")),
  IF(
    OR(
      ISNUMBER(SEARCH(""CDM CASH DEPOSIT"",$C134)),
      ISNUMBER(SEARCH(""CASH DEPOSIT"",$C13"&amp;"4)),
      COUNTIFS('SUMMARY DATA'!$D:$D,$C134,'SUMMARY DATA'!$B:$B,""GRP"")&lt;&gt;1
    ),
    """",
    IFERROR(TEXTJOIN(CHAR(10),TRUE,FILTER('SUMMARY DATA'!E:E,'SUMMARY DATA'!$D:$D=$C134,'SUMMARY DATA'!$B:$B=""GRP"")),"""")
  )
)"),"")</f>
      </c>
      <c r="F1033" s="17" t="str">
        <f>IFERROR(__xludf.DUMMYFUNCTION("IFERROR(
  TEXTJOIN(CHAR(10),TRUE,FILTER('SUMMARY DATA'!F:F,'SUMMARY DATA'!$A:$A=$A134,'SUMMARY DATA'!$C:$C=$B134,'SUMMARY DATA'!$B:$B=""GRP"")),
  IF(
    OR(
      ISNUMBER(SEARCH(""CDM CASH DEPOSIT"",$C134)),
      ISNUMBER(SEARCH(""CASH DEPOSIT"",$C13"&amp;"4)),
      COUNTIFS('SUMMARY DATA'!$D:$D,$C134,'SUMMARY DATA'!$B:$B,""GRP"")&lt;&gt;1
    ),
    """",
    IFERROR(TEXTJOIN(CHAR(10),TRUE,FILTER('SUMMARY DATA'!F:F,'SUMMARY DATA'!$D:$D=$C134,'SUMMARY DATA'!$B:$B=""GRP"")),"""")
  )
)"),"")</f>
      </c>
      <c r="G1033" s="17" t="str">
        <f>IFERROR(__xludf.DUMMYFUNCTION("IFERROR(
  TEXTJOIN(CHAR(10),TRUE,FILTER('SUMMARY DATA'!G:G,'SUMMARY DATA'!$A:$A=$A1033,'SUMMARY DATA'!$C:$C=$B1033,'SUMMARY DATA'!$B:$B=""RWS"")),
  IF(
    OR(
      ISNUMBER(SEARCH(""CDM CASH DEPOSIT"",$C1033)),
      ISNUMBER(SEARCH(""CASH DEPOSIT"",$"&amp;"C1033)),
      COUNTIFS('SUMMARY DATA'!$D:$D,$C1033,'SUMMARY DATA'!$B:$B,""RWS"")&lt;&gt;1
    ),
    """",
    IFERROR(TEXTJOIN(CHAR(10),TRUE,FILTER('SUMMARY DATA'!G:G,'SUMMARY DATA'!$D:$D=$C1033,'SUMMARY DATA'!$B:$B=""RWS"")),"""")
  )
)"),"")</f>
      </c>
      <c r="H1033" s="18" t="str">
        <f>IFERROR(__xludf.DUMMYFUNCTION("IFERROR(
  TEXTJOIN(CHAR(10),TRUE,FILTER('SUMMARY DATA'!H:H,'SUMMARY DATA'!$A:$A=$A1033,'SUMMARY DATA'!$C:$C=$B1033,'SUMMARY DATA'!$B:$B=""RWS"",'SUMMARY DATA'!$H:$H=$D1033)),
  IF(
    OR(
      ISNUMBER(SEARCH(""CDM CASH DEPOSIT"",$C1033)),
      ISNUMB"&amp;"ER(SEARCH(""CASH DEPOSIT"",$C1033))
    ),
    """",
    IFERROR(TEXTJOIN(CHAR(10),TRUE,FILTER('SUMMARY DATA'!H:H,'SUMMARY DATA'!$D:$D=$C1033,'SUMMARY DATA'!$B:$B=""RWS"",'SUMMARY DATA'!$H:$H=$D1033)),"""")
  )
)"),"")</f>
      </c>
      <c r="I1033" s="18" t="str">
        <f>IFERROR(__xludf.DUMMYFUNCTION("IF(H1033="""","""",
SUM(ARRAYFORMULA(VALUE(SPLIT(H1033,CHAR(10)))))
)"),"")</f>
      </c>
      <c r="J1033" s="17" t="str">
        <f>IFERROR(__xludf.DUMMYFUNCTION("IFERROR(
  TEXTJOIN(CHAR(10),TRUE,FILTER('SUMMARY DATA'!I:I,'SUMMARY DATA'!$A:$A=$A1033,'SUMMARY DATA'!$C:$C=$B1033,'SUMMARY DATA'!$B:$B=""RWS"")),
  IF(
    OR(
      ISNUMBER(SEARCH(""CDM CASH DEPOSIT"",$C1033)),
      ISNUMBER(SEARCH(""CASH DEPOSIT"",$"&amp;"C1033)),
      COUNTIFS('SUMMARY DATA'!$D:$D,$C1033,'SUMMARY DATA'!$B:$B,""RWS"")&lt;&gt;1
    ),
    """",
    IFERROR(TEXTJOIN(CHAR(10),TRUE,FILTER('SUMMARY DATA'!I:I,'SUMMARY DATA'!$D:$D=$C1033,'SUMMARY DATA'!$B:$B=""RWS"")),"""")
  )
)"),"")</f>
      </c>
      <c r="K1033" s="2"/>
      <c r="L1033" s="2"/>
      <c r="M1033" s="2"/>
      <c r="N1033" s="2"/>
      <c r="O1033" s="2"/>
      <c r="P1033" s="2"/>
      <c r="Q1033" s="2"/>
      <c r="R1033" s="2"/>
      <c r="S1033" s="2"/>
      <c r="T1033" s="2"/>
      <c r="U1033" s="2"/>
      <c r="V1033" s="2"/>
      <c r="W1033" s="2"/>
      <c r="X1033" s="2"/>
      <c r="Y1033" s="2"/>
      <c r="Z1033" s="2"/>
      <c r="AA1033" s="2"/>
      <c r="AB1033" s="2"/>
    </row>
    <row r="1034" spans="1:28" customHeight="true">
      <c r="A1034" s="2"/>
      <c r="B1034" s="15">
        <v>45785</v>
      </c>
      <c r="C1034" s="2" t="s">
        <v>1573</v>
      </c>
      <c r="D1034" s="6">
        <v>10</v>
      </c>
      <c r="E1034" s="16" t="str">
        <f>IFERROR(__xludf.DUMMYFUNCTION("IFERROR(
  TEXTJOIN(CHAR(10),TRUE,FILTER('SUMMARY DATA'!E:E,'SUMMARY DATA'!$A:$A=$A135,'SUMMARY DATA'!$C:$C=$B135,'SUMMARY DATA'!$B:$B=""GRP"")),
  IF(
    OR(
      ISNUMBER(SEARCH(""CDM CASH DEPOSIT"",$C135)),
      ISNUMBER(SEARCH(""CASH DEPOSIT"",$C13"&amp;"5)),
      COUNTIFS('SUMMARY DATA'!$D:$D,$C135,'SUMMARY DATA'!$B:$B,""GRP"")&lt;&gt;1
    ),
    """",
    IFERROR(TEXTJOIN(CHAR(10),TRUE,FILTER('SUMMARY DATA'!E:E,'SUMMARY DATA'!$D:$D=$C135,'SUMMARY DATA'!$B:$B=""GRP"")),"""")
  )
)"),"")</f>
      </c>
      <c r="F1034" s="17" t="str">
        <f>IFERROR(__xludf.DUMMYFUNCTION("IFERROR(
  TEXTJOIN(CHAR(10),TRUE,FILTER('SUMMARY DATA'!F:F,'SUMMARY DATA'!$A:$A=$A135,'SUMMARY DATA'!$C:$C=$B135,'SUMMARY DATA'!$B:$B=""GRP"")),
  IF(
    OR(
      ISNUMBER(SEARCH(""CDM CASH DEPOSIT"",$C135)),
      ISNUMBER(SEARCH(""CASH DEPOSIT"",$C13"&amp;"5)),
      COUNTIFS('SUMMARY DATA'!$D:$D,$C135,'SUMMARY DATA'!$B:$B,""GRP"")&lt;&gt;1
    ),
    """",
    IFERROR(TEXTJOIN(CHAR(10),TRUE,FILTER('SUMMARY DATA'!F:F,'SUMMARY DATA'!$D:$D=$C135,'SUMMARY DATA'!$B:$B=""GRP"")),"""")
  )
)"),"")</f>
      </c>
      <c r="G1034" s="17" t="str">
        <f>IFERROR(__xludf.DUMMYFUNCTION("IFERROR(
  TEXTJOIN(CHAR(10),TRUE,FILTER('SUMMARY DATA'!G:G,'SUMMARY DATA'!$A:$A=$A1034,'SUMMARY DATA'!$C:$C=$B1034,'SUMMARY DATA'!$B:$B=""RWS"")),
  IF(
    OR(
      ISNUMBER(SEARCH(""CDM CASH DEPOSIT"",$C1034)),
      ISNUMBER(SEARCH(""CASH DEPOSIT"",$"&amp;"C1034)),
      COUNTIFS('SUMMARY DATA'!$D:$D,$C1034,'SUMMARY DATA'!$B:$B,""RWS"")&lt;&gt;1
    ),
    """",
    IFERROR(TEXTJOIN(CHAR(10),TRUE,FILTER('SUMMARY DATA'!G:G,'SUMMARY DATA'!$D:$D=$C1034,'SUMMARY DATA'!$B:$B=""RWS"")),"""")
  )
)"),"")</f>
      </c>
      <c r="H1034" s="18" t="str">
        <f>IFERROR(__xludf.DUMMYFUNCTION("IFERROR(
  TEXTJOIN(CHAR(10),TRUE,FILTER('SUMMARY DATA'!H:H,'SUMMARY DATA'!$A:$A=$A1034,'SUMMARY DATA'!$C:$C=$B1034,'SUMMARY DATA'!$B:$B=""RWS"",'SUMMARY DATA'!$H:$H=$D1034)),
  IF(
    OR(
      ISNUMBER(SEARCH(""CDM CASH DEPOSIT"",$C1034)),
      ISNUMB"&amp;"ER(SEARCH(""CASH DEPOSIT"",$C1034))
    ),
    """",
    IFERROR(TEXTJOIN(CHAR(10),TRUE,FILTER('SUMMARY DATA'!H:H,'SUMMARY DATA'!$D:$D=$C1034,'SUMMARY DATA'!$B:$B=""RWS"",'SUMMARY DATA'!$H:$H=$D1034)),"""")
  )
)"),"")</f>
      </c>
      <c r="I1034" s="18" t="str">
        <f>IFERROR(__xludf.DUMMYFUNCTION("IF(H1034="""","""",
SUM(ARRAYFORMULA(VALUE(SPLIT(H1034,CHAR(10)))))
)"),"")</f>
      </c>
      <c r="J1034" s="17" t="str">
        <f>IFERROR(__xludf.DUMMYFUNCTION("IFERROR(
  TEXTJOIN(CHAR(10),TRUE,FILTER('SUMMARY DATA'!I:I,'SUMMARY DATA'!$A:$A=$A1034,'SUMMARY DATA'!$C:$C=$B1034,'SUMMARY DATA'!$B:$B=""RWS"")),
  IF(
    OR(
      ISNUMBER(SEARCH(""CDM CASH DEPOSIT"",$C1034)),
      ISNUMBER(SEARCH(""CASH DEPOSIT"",$"&amp;"C1034)),
      COUNTIFS('SUMMARY DATA'!$D:$D,$C1034,'SUMMARY DATA'!$B:$B,""RWS"")&lt;&gt;1
    ),
    """",
    IFERROR(TEXTJOIN(CHAR(10),TRUE,FILTER('SUMMARY DATA'!I:I,'SUMMARY DATA'!$D:$D=$C1034,'SUMMARY DATA'!$B:$B=""RWS"")),"""")
  )
)"),"")</f>
      </c>
      <c r="K1034" s="2"/>
      <c r="L1034" s="2"/>
      <c r="M1034" s="2"/>
      <c r="N1034" s="2"/>
      <c r="O1034" s="2"/>
      <c r="P1034" s="2"/>
      <c r="Q1034" s="2"/>
      <c r="R1034" s="2"/>
      <c r="S1034" s="2"/>
      <c r="T1034" s="2"/>
      <c r="U1034" s="2"/>
      <c r="V1034" s="2"/>
      <c r="W1034" s="2"/>
      <c r="X1034" s="2"/>
      <c r="Y1034" s="2"/>
      <c r="Z1034" s="2"/>
      <c r="AA1034" s="2"/>
      <c r="AB1034" s="2"/>
    </row>
    <row r="1035" spans="1:28" customHeight="true">
      <c r="A1035" s="2"/>
      <c r="B1035" s="15">
        <v>45785</v>
      </c>
      <c r="C1035" s="2" t="s">
        <v>1574</v>
      </c>
      <c r="D1035" s="6">
        <v>10</v>
      </c>
      <c r="E1035" s="16" t="str">
        <f>IFERROR(__xludf.DUMMYFUNCTION("IFERROR(
  TEXTJOIN(CHAR(10),TRUE,FILTER('SUMMARY DATA'!E:E,'SUMMARY DATA'!$A:$A=$A136,'SUMMARY DATA'!$C:$C=$B136,'SUMMARY DATA'!$B:$B=""GRP"")),
  IF(
    OR(
      ISNUMBER(SEARCH(""CDM CASH DEPOSIT"",$C136)),
      ISNUMBER(SEARCH(""CASH DEPOSIT"",$C13"&amp;"6)),
      COUNTIFS('SUMMARY DATA'!$D:$D,$C136,'SUMMARY DATA'!$B:$B,""GRP"")&lt;&gt;1
    ),
    """",
    IFERROR(TEXTJOIN(CHAR(10),TRUE,FILTER('SUMMARY DATA'!E:E,'SUMMARY DATA'!$D:$D=$C136,'SUMMARY DATA'!$B:$B=""GRP"")),"""")
  )
)"),"")</f>
      </c>
      <c r="F1035" s="17" t="str">
        <f>IFERROR(__xludf.DUMMYFUNCTION("IFERROR(
  TEXTJOIN(CHAR(10),TRUE,FILTER('SUMMARY DATA'!F:F,'SUMMARY DATA'!$A:$A=$A136,'SUMMARY DATA'!$C:$C=$B136,'SUMMARY DATA'!$B:$B=""GRP"")),
  IF(
    OR(
      ISNUMBER(SEARCH(""CDM CASH DEPOSIT"",$C136)),
      ISNUMBER(SEARCH(""CASH DEPOSIT"",$C13"&amp;"6)),
      COUNTIFS('SUMMARY DATA'!$D:$D,$C136,'SUMMARY DATA'!$B:$B,""GRP"")&lt;&gt;1
    ),
    """",
    IFERROR(TEXTJOIN(CHAR(10),TRUE,FILTER('SUMMARY DATA'!F:F,'SUMMARY DATA'!$D:$D=$C136,'SUMMARY DATA'!$B:$B=""GRP"")),"""")
  )
)"),"")</f>
      </c>
      <c r="G1035" s="17" t="str">
        <f>IFERROR(__xludf.DUMMYFUNCTION("IFERROR(
  TEXTJOIN(CHAR(10),TRUE,FILTER('SUMMARY DATA'!G:G,'SUMMARY DATA'!$A:$A=$A1035,'SUMMARY DATA'!$C:$C=$B1035,'SUMMARY DATA'!$B:$B=""RWS"")),
  IF(
    OR(
      ISNUMBER(SEARCH(""CDM CASH DEPOSIT"",$C1035)),
      ISNUMBER(SEARCH(""CASH DEPOSIT"",$"&amp;"C1035)),
      COUNTIFS('SUMMARY DATA'!$D:$D,$C1035,'SUMMARY DATA'!$B:$B,""RWS"")&lt;&gt;1
    ),
    """",
    IFERROR(TEXTJOIN(CHAR(10),TRUE,FILTER('SUMMARY DATA'!G:G,'SUMMARY DATA'!$D:$D=$C1035,'SUMMARY DATA'!$B:$B=""RWS"")),"""")
  )
)"),"")</f>
      </c>
      <c r="H1035" s="18" t="str">
        <f>IFERROR(__xludf.DUMMYFUNCTION("IFERROR(
  TEXTJOIN(CHAR(10),TRUE,FILTER('SUMMARY DATA'!H:H,'SUMMARY DATA'!$A:$A=$A1035,'SUMMARY DATA'!$C:$C=$B1035,'SUMMARY DATA'!$B:$B=""RWS"",'SUMMARY DATA'!$H:$H=$D1035)),
  IF(
    OR(
      ISNUMBER(SEARCH(""CDM CASH DEPOSIT"",$C1035)),
      ISNUMB"&amp;"ER(SEARCH(""CASH DEPOSIT"",$C1035))
    ),
    """",
    IFERROR(TEXTJOIN(CHAR(10),TRUE,FILTER('SUMMARY DATA'!H:H,'SUMMARY DATA'!$D:$D=$C1035,'SUMMARY DATA'!$B:$B=""RWS"",'SUMMARY DATA'!$H:$H=$D1035)),"""")
  )
)"),"")</f>
      </c>
      <c r="I1035" s="18" t="str">
        <f>IFERROR(__xludf.DUMMYFUNCTION("IF(H1035="""","""",
SUM(ARRAYFORMULA(VALUE(SPLIT(H1035,CHAR(10)))))
)"),"")</f>
      </c>
      <c r="J1035" s="17" t="str">
        <f>IFERROR(__xludf.DUMMYFUNCTION("IFERROR(
  TEXTJOIN(CHAR(10),TRUE,FILTER('SUMMARY DATA'!I:I,'SUMMARY DATA'!$A:$A=$A1035,'SUMMARY DATA'!$C:$C=$B1035,'SUMMARY DATA'!$B:$B=""RWS"")),
  IF(
    OR(
      ISNUMBER(SEARCH(""CDM CASH DEPOSIT"",$C1035)),
      ISNUMBER(SEARCH(""CASH DEPOSIT"",$"&amp;"C1035)),
      COUNTIFS('SUMMARY DATA'!$D:$D,$C1035,'SUMMARY DATA'!$B:$B,""RWS"")&lt;&gt;1
    ),
    """",
    IFERROR(TEXTJOIN(CHAR(10),TRUE,FILTER('SUMMARY DATA'!I:I,'SUMMARY DATA'!$D:$D=$C1035,'SUMMARY DATA'!$B:$B=""RWS"")),"""")
  )
)"),"")</f>
      </c>
      <c r="K1035" s="2"/>
      <c r="L1035" s="2"/>
      <c r="M1035" s="2"/>
      <c r="N1035" s="2"/>
      <c r="O1035" s="2"/>
      <c r="P1035" s="2"/>
      <c r="Q1035" s="2"/>
      <c r="R1035" s="2"/>
      <c r="S1035" s="2"/>
      <c r="T1035" s="2"/>
      <c r="U1035" s="2"/>
      <c r="V1035" s="2"/>
      <c r="W1035" s="2"/>
      <c r="X1035" s="2"/>
      <c r="Y1035" s="2"/>
      <c r="Z1035" s="2"/>
      <c r="AA1035" s="2"/>
      <c r="AB1035" s="2"/>
    </row>
    <row r="1036" spans="1:28" customHeight="true">
      <c r="A1036" s="2"/>
      <c r="B1036" s="15">
        <v>45786</v>
      </c>
      <c r="C1036" s="2" t="s">
        <v>1575</v>
      </c>
      <c r="D1036" s="6">
        <v>236.17</v>
      </c>
      <c r="E1036" s="16" t="str">
        <f>IFERROR(__xludf.DUMMYFUNCTION("IFERROR(
  TEXTJOIN(CHAR(10),TRUE,FILTER('SUMMARY DATA'!E:E,'SUMMARY DATA'!$A:$A=$A137,'SUMMARY DATA'!$C:$C=$B137,'SUMMARY DATA'!$B:$B=""GRP"")),
  IF(
    OR(
      ISNUMBER(SEARCH(""CDM CASH DEPOSIT"",$C137)),
      ISNUMBER(SEARCH(""CASH DEPOSIT"",$C13"&amp;"7)),
      COUNTIFS('SUMMARY DATA'!$D:$D,$C137,'SUMMARY DATA'!$B:$B,""GRP"")&lt;&gt;1
    ),
    """",
    IFERROR(TEXTJOIN(CHAR(10),TRUE,FILTER('SUMMARY DATA'!E:E,'SUMMARY DATA'!$D:$D=$C137,'SUMMARY DATA'!$B:$B=""GRP"")),"""")
  )
)"),"")</f>
      </c>
      <c r="F1036" s="17" t="str">
        <f>IFERROR(__xludf.DUMMYFUNCTION("IFERROR(
  TEXTJOIN(CHAR(10),TRUE,FILTER('SUMMARY DATA'!F:F,'SUMMARY DATA'!$A:$A=$A137,'SUMMARY DATA'!$C:$C=$B137,'SUMMARY DATA'!$B:$B=""GRP"")),
  IF(
    OR(
      ISNUMBER(SEARCH(""CDM CASH DEPOSIT"",$C137)),
      ISNUMBER(SEARCH(""CASH DEPOSIT"",$C13"&amp;"7)),
      COUNTIFS('SUMMARY DATA'!$D:$D,$C137,'SUMMARY DATA'!$B:$B,""GRP"")&lt;&gt;1
    ),
    """",
    IFERROR(TEXTJOIN(CHAR(10),TRUE,FILTER('SUMMARY DATA'!F:F,'SUMMARY DATA'!$D:$D=$C137,'SUMMARY DATA'!$B:$B=""GRP"")),"""")
  )
)"),"")</f>
      </c>
      <c r="G1036" s="17" t="str">
        <f>IFERROR(__xludf.DUMMYFUNCTION("IFERROR(
  TEXTJOIN(CHAR(10),TRUE,FILTER('SUMMARY DATA'!G:G,'SUMMARY DATA'!$A:$A=$A1036,'SUMMARY DATA'!$C:$C=$B1036,'SUMMARY DATA'!$B:$B=""RWS"")),
  IF(
    OR(
      ISNUMBER(SEARCH(""CDM CASH DEPOSIT"",$C1036)),
      ISNUMBER(SEARCH(""CASH DEPOSIT"",$"&amp;"C1036)),
      COUNTIFS('SUMMARY DATA'!$D:$D,$C1036,'SUMMARY DATA'!$B:$B,""RWS"")&lt;&gt;1
    ),
    """",
    IFERROR(TEXTJOIN(CHAR(10),TRUE,FILTER('SUMMARY DATA'!G:G,'SUMMARY DATA'!$D:$D=$C1036,'SUMMARY DATA'!$B:$B=""RWS"")),"""")
  )
)"),"")</f>
      </c>
      <c r="H1036" s="18" t="str">
        <f>IFERROR(__xludf.DUMMYFUNCTION("IFERROR(
  TEXTJOIN(CHAR(10),TRUE,FILTER('SUMMARY DATA'!H:H,'SUMMARY DATA'!$A:$A=$A1036,'SUMMARY DATA'!$C:$C=$B1036,'SUMMARY DATA'!$B:$B=""RWS"",'SUMMARY DATA'!$H:$H=$D1036)),
  IF(
    OR(
      ISNUMBER(SEARCH(""CDM CASH DEPOSIT"",$C1036)),
      ISNUMB"&amp;"ER(SEARCH(""CASH DEPOSIT"",$C1036))
    ),
    """",
    IFERROR(TEXTJOIN(CHAR(10),TRUE,FILTER('SUMMARY DATA'!H:H,'SUMMARY DATA'!$D:$D=$C1036,'SUMMARY DATA'!$B:$B=""RWS"",'SUMMARY DATA'!$H:$H=$D1036)),"""")
  )
)"),"")</f>
      </c>
      <c r="I1036" s="18" t="str">
        <f>IFERROR(__xludf.DUMMYFUNCTION("IF(H1036="""","""",
SUM(ARRAYFORMULA(VALUE(SPLIT(H1036,CHAR(10)))))
)"),"")</f>
      </c>
      <c r="J1036" s="17" t="str">
        <f>IFERROR(__xludf.DUMMYFUNCTION("IFERROR(
  TEXTJOIN(CHAR(10),TRUE,FILTER('SUMMARY DATA'!I:I,'SUMMARY DATA'!$A:$A=$A1036,'SUMMARY DATA'!$C:$C=$B1036,'SUMMARY DATA'!$B:$B=""RWS"")),
  IF(
    OR(
      ISNUMBER(SEARCH(""CDM CASH DEPOSIT"",$C1036)),
      ISNUMBER(SEARCH(""CASH DEPOSIT"",$"&amp;"C1036)),
      COUNTIFS('SUMMARY DATA'!$D:$D,$C1036,'SUMMARY DATA'!$B:$B,""RWS"")&lt;&gt;1
    ),
    """",
    IFERROR(TEXTJOIN(CHAR(10),TRUE,FILTER('SUMMARY DATA'!I:I,'SUMMARY DATA'!$D:$D=$C1036,'SUMMARY DATA'!$B:$B=""RWS"")),"""")
  )
)"),"")</f>
      </c>
      <c r="K1036" s="2"/>
      <c r="L1036" s="2"/>
      <c r="M1036" s="2"/>
      <c r="N1036" s="2"/>
      <c r="O1036" s="2"/>
      <c r="P1036" s="2"/>
      <c r="Q1036" s="2"/>
      <c r="R1036" s="2"/>
      <c r="S1036" s="2"/>
      <c r="T1036" s="2"/>
      <c r="U1036" s="2"/>
      <c r="V1036" s="2"/>
      <c r="W1036" s="2"/>
      <c r="X1036" s="2"/>
      <c r="Y1036" s="2"/>
      <c r="Z1036" s="2"/>
      <c r="AA1036" s="2"/>
      <c r="AB1036" s="2"/>
    </row>
    <row r="1037" spans="1:28" customHeight="true">
      <c r="A1037" s="2"/>
      <c r="B1037" s="15">
        <v>45786</v>
      </c>
      <c r="C1037" s="2" t="s">
        <v>1576</v>
      </c>
      <c r="D1037" s="6">
        <v>113.99</v>
      </c>
      <c r="E1037" s="16" t="str">
        <f>IFERROR(__xludf.DUMMYFUNCTION("IFERROR(
  TEXTJOIN(CHAR(10),TRUE,FILTER('SUMMARY DATA'!E:E,'SUMMARY DATA'!$A:$A=$A138,'SUMMARY DATA'!$C:$C=$B138,'SUMMARY DATA'!$B:$B=""GRP"")),
  IF(
    OR(
      ISNUMBER(SEARCH(""CDM CASH DEPOSIT"",$C138)),
      ISNUMBER(SEARCH(""CASH DEPOSIT"",$C13"&amp;"8)),
      COUNTIFS('SUMMARY DATA'!$D:$D,$C138,'SUMMARY DATA'!$B:$B,""GRP"")&lt;&gt;1
    ),
    """",
    IFERROR(TEXTJOIN(CHAR(10),TRUE,FILTER('SUMMARY DATA'!E:E,'SUMMARY DATA'!$D:$D=$C138,'SUMMARY DATA'!$B:$B=""GRP"")),"""")
  )
)"),"")</f>
      </c>
      <c r="F1037" s="17" t="str">
        <f>IFERROR(__xludf.DUMMYFUNCTION("IFERROR(
  TEXTJOIN(CHAR(10),TRUE,FILTER('SUMMARY DATA'!F:F,'SUMMARY DATA'!$A:$A=$A138,'SUMMARY DATA'!$C:$C=$B138,'SUMMARY DATA'!$B:$B=""GRP"")),
  IF(
    OR(
      ISNUMBER(SEARCH(""CDM CASH DEPOSIT"",$C138)),
      ISNUMBER(SEARCH(""CASH DEPOSIT"",$C13"&amp;"8)),
      COUNTIFS('SUMMARY DATA'!$D:$D,$C138,'SUMMARY DATA'!$B:$B,""GRP"")&lt;&gt;1
    ),
    """",
    IFERROR(TEXTJOIN(CHAR(10),TRUE,FILTER('SUMMARY DATA'!F:F,'SUMMARY DATA'!$D:$D=$C138,'SUMMARY DATA'!$B:$B=""GRP"")),"""")
  )
)"),"")</f>
      </c>
      <c r="G1037" s="17" t="str">
        <f>IFERROR(__xludf.DUMMYFUNCTION("IFERROR(
  TEXTJOIN(CHAR(10),TRUE,FILTER('SUMMARY DATA'!G:G,'SUMMARY DATA'!$A:$A=$A1037,'SUMMARY DATA'!$C:$C=$B1037,'SUMMARY DATA'!$B:$B=""RWS"")),
  IF(
    OR(
      ISNUMBER(SEARCH(""CDM CASH DEPOSIT"",$C1037)),
      ISNUMBER(SEARCH(""CASH DEPOSIT"",$"&amp;"C1037)),
      COUNTIFS('SUMMARY DATA'!$D:$D,$C1037,'SUMMARY DATA'!$B:$B,""RWS"")&lt;&gt;1
    ),
    """",
    IFERROR(TEXTJOIN(CHAR(10),TRUE,FILTER('SUMMARY DATA'!G:G,'SUMMARY DATA'!$D:$D=$C1037,'SUMMARY DATA'!$B:$B=""RWS"")),"""")
  )
)"),"")</f>
      </c>
      <c r="H1037" s="18" t="str">
        <f>IFERROR(__xludf.DUMMYFUNCTION("IFERROR(
  TEXTJOIN(CHAR(10),TRUE,FILTER('SUMMARY DATA'!H:H,'SUMMARY DATA'!$A:$A=$A1037,'SUMMARY DATA'!$C:$C=$B1037,'SUMMARY DATA'!$B:$B=""RWS"",'SUMMARY DATA'!$H:$H=$D1037)),
  IF(
    OR(
      ISNUMBER(SEARCH(""CDM CASH DEPOSIT"",$C1037)),
      ISNUMB"&amp;"ER(SEARCH(""CASH DEPOSIT"",$C1037))
    ),
    """",
    IFERROR(TEXTJOIN(CHAR(10),TRUE,FILTER('SUMMARY DATA'!H:H,'SUMMARY DATA'!$D:$D=$C1037,'SUMMARY DATA'!$B:$B=""RWS"",'SUMMARY DATA'!$H:$H=$D1037)),"""")
  )
)"),"")</f>
      </c>
      <c r="I1037" s="18" t="str">
        <f>IFERROR(__xludf.DUMMYFUNCTION("IF(H1037="""","""",
SUM(ARRAYFORMULA(VALUE(SPLIT(H1037,CHAR(10)))))
)"),"")</f>
      </c>
      <c r="J1037" s="17" t="str">
        <f>IFERROR(__xludf.DUMMYFUNCTION("IFERROR(
  TEXTJOIN(CHAR(10),TRUE,FILTER('SUMMARY DATA'!I:I,'SUMMARY DATA'!$A:$A=$A1037,'SUMMARY DATA'!$C:$C=$B1037,'SUMMARY DATA'!$B:$B=""RWS"")),
  IF(
    OR(
      ISNUMBER(SEARCH(""CDM CASH DEPOSIT"",$C1037)),
      ISNUMBER(SEARCH(""CASH DEPOSIT"",$"&amp;"C1037)),
      COUNTIFS('SUMMARY DATA'!$D:$D,$C1037,'SUMMARY DATA'!$B:$B,""RWS"")&lt;&gt;1
    ),
    """",
    IFERROR(TEXTJOIN(CHAR(10),TRUE,FILTER('SUMMARY DATA'!I:I,'SUMMARY DATA'!$D:$D=$C1037,'SUMMARY DATA'!$B:$B=""RWS"")),"""")
  )
)"),"")</f>
      </c>
      <c r="K1037" s="2"/>
      <c r="L1037" s="2"/>
      <c r="M1037" s="2"/>
      <c r="N1037" s="2"/>
      <c r="O1037" s="2"/>
      <c r="P1037" s="2"/>
      <c r="Q1037" s="2"/>
      <c r="R1037" s="2"/>
      <c r="S1037" s="2"/>
      <c r="T1037" s="2"/>
      <c r="U1037" s="2"/>
      <c r="V1037" s="2"/>
      <c r="W1037" s="2"/>
      <c r="X1037" s="2"/>
      <c r="Y1037" s="2"/>
      <c r="Z1037" s="2"/>
      <c r="AA1037" s="2"/>
      <c r="AB1037" s="2"/>
    </row>
    <row r="1038" spans="1:28" customHeight="true">
      <c r="A1038" s="2"/>
      <c r="B1038" s="15">
        <v>45786</v>
      </c>
      <c r="C1038" s="2" t="s">
        <v>1577</v>
      </c>
      <c r="D1038" s="6">
        <v>112.6</v>
      </c>
      <c r="E1038" s="16" t="str">
        <f>IFERROR(__xludf.DUMMYFUNCTION("IFERROR(
  TEXTJOIN(CHAR(10),TRUE,FILTER('SUMMARY DATA'!E:E,'SUMMARY DATA'!$A:$A=$A139,'SUMMARY DATA'!$C:$C=$B139,'SUMMARY DATA'!$B:$B=""GRP"")),
  IF(
    OR(
      ISNUMBER(SEARCH(""CDM CASH DEPOSIT"",$C139)),
      ISNUMBER(SEARCH(""CASH DEPOSIT"",$C13"&amp;"9)),
      COUNTIFS('SUMMARY DATA'!$D:$D,$C139,'SUMMARY DATA'!$B:$B,""GRP"")&lt;&gt;1
    ),
    """",
    IFERROR(TEXTJOIN(CHAR(10),TRUE,FILTER('SUMMARY DATA'!E:E,'SUMMARY DATA'!$D:$D=$C139,'SUMMARY DATA'!$B:$B=""GRP"")),"""")
  )
)"),"")</f>
      </c>
      <c r="F1038" s="17" t="str">
        <f>IFERROR(__xludf.DUMMYFUNCTION("IFERROR(
  TEXTJOIN(CHAR(10),TRUE,FILTER('SUMMARY DATA'!F:F,'SUMMARY DATA'!$A:$A=$A139,'SUMMARY DATA'!$C:$C=$B139,'SUMMARY DATA'!$B:$B=""GRP"")),
  IF(
    OR(
      ISNUMBER(SEARCH(""CDM CASH DEPOSIT"",$C139)),
      ISNUMBER(SEARCH(""CASH DEPOSIT"",$C13"&amp;"9)),
      COUNTIFS('SUMMARY DATA'!$D:$D,$C139,'SUMMARY DATA'!$B:$B,""GRP"")&lt;&gt;1
    ),
    """",
    IFERROR(TEXTJOIN(CHAR(10),TRUE,FILTER('SUMMARY DATA'!F:F,'SUMMARY DATA'!$D:$D=$C139,'SUMMARY DATA'!$B:$B=""GRP"")),"""")
  )
)"),"")</f>
      </c>
      <c r="G1038" s="17" t="str">
        <f>IFERROR(__xludf.DUMMYFUNCTION("IFERROR(
  TEXTJOIN(CHAR(10),TRUE,FILTER('SUMMARY DATA'!G:G,'SUMMARY DATA'!$A:$A=$A1038,'SUMMARY DATA'!$C:$C=$B1038,'SUMMARY DATA'!$B:$B=""RWS"")),
  IF(
    OR(
      ISNUMBER(SEARCH(""CDM CASH DEPOSIT"",$C1038)),
      ISNUMBER(SEARCH(""CASH DEPOSIT"",$"&amp;"C1038)),
      COUNTIFS('SUMMARY DATA'!$D:$D,$C1038,'SUMMARY DATA'!$B:$B,""RWS"")&lt;&gt;1
    ),
    """",
    IFERROR(TEXTJOIN(CHAR(10),TRUE,FILTER('SUMMARY DATA'!G:G,'SUMMARY DATA'!$D:$D=$C1038,'SUMMARY DATA'!$B:$B=""RWS"")),"""")
  )
)"),"")</f>
      </c>
      <c r="H1038" s="18" t="str">
        <f>IFERROR(__xludf.DUMMYFUNCTION("IFERROR(
  TEXTJOIN(CHAR(10),TRUE,FILTER('SUMMARY DATA'!H:H,'SUMMARY DATA'!$A:$A=$A1038,'SUMMARY DATA'!$C:$C=$B1038,'SUMMARY DATA'!$B:$B=""RWS"",'SUMMARY DATA'!$H:$H=$D1038)),
  IF(
    OR(
      ISNUMBER(SEARCH(""CDM CASH DEPOSIT"",$C1038)),
      ISNUMB"&amp;"ER(SEARCH(""CASH DEPOSIT"",$C1038))
    ),
    """",
    IFERROR(TEXTJOIN(CHAR(10),TRUE,FILTER('SUMMARY DATA'!H:H,'SUMMARY DATA'!$D:$D=$C1038,'SUMMARY DATA'!$B:$B=""RWS"",'SUMMARY DATA'!$H:$H=$D1038)),"""")
  )
)"),"")</f>
      </c>
      <c r="I1038" s="18" t="str">
        <f>IFERROR(__xludf.DUMMYFUNCTION("IF(H1038="""","""",
SUM(ARRAYFORMULA(VALUE(SPLIT(H1038,CHAR(10)))))
)"),"")</f>
      </c>
      <c r="J1038" s="17" t="str">
        <f>IFERROR(__xludf.DUMMYFUNCTION("IFERROR(
  TEXTJOIN(CHAR(10),TRUE,FILTER('SUMMARY DATA'!I:I,'SUMMARY DATA'!$A:$A=$A1038,'SUMMARY DATA'!$C:$C=$B1038,'SUMMARY DATA'!$B:$B=""RWS"")),
  IF(
    OR(
      ISNUMBER(SEARCH(""CDM CASH DEPOSIT"",$C1038)),
      ISNUMBER(SEARCH(""CASH DEPOSIT"",$"&amp;"C1038)),
      COUNTIFS('SUMMARY DATA'!$D:$D,$C1038,'SUMMARY DATA'!$B:$B,""RWS"")&lt;&gt;1
    ),
    """",
    IFERROR(TEXTJOIN(CHAR(10),TRUE,FILTER('SUMMARY DATA'!I:I,'SUMMARY DATA'!$D:$D=$C1038,'SUMMARY DATA'!$B:$B=""RWS"")),"""")
  )
)"),"")</f>
      </c>
      <c r="K1038" s="2"/>
      <c r="L1038" s="2"/>
      <c r="M1038" s="2"/>
      <c r="N1038" s="2"/>
      <c r="O1038" s="2"/>
      <c r="P1038" s="2"/>
      <c r="Q1038" s="2"/>
      <c r="R1038" s="2"/>
      <c r="S1038" s="2"/>
      <c r="T1038" s="2"/>
      <c r="U1038" s="2"/>
      <c r="V1038" s="2"/>
      <c r="W1038" s="2"/>
      <c r="X1038" s="2"/>
      <c r="Y1038" s="2"/>
      <c r="Z1038" s="2"/>
      <c r="AA1038" s="2"/>
      <c r="AB1038" s="2"/>
    </row>
    <row r="1039" spans="1:28" customHeight="true">
      <c r="A1039" s="2" t="s">
        <v>1578</v>
      </c>
      <c r="B1039" s="15">
        <v>45786</v>
      </c>
      <c r="C1039" s="2" t="s">
        <v>1579</v>
      </c>
      <c r="D1039" s="6">
        <v>25</v>
      </c>
      <c r="E1039" s="16" t="str">
        <f>IFERROR(__xludf.DUMMYFUNCTION("IFERROR(
  TEXTJOIN(CHAR(10),TRUE,FILTER('SUMMARY DATA'!E:E,'SUMMARY DATA'!$A:$A=$A140,'SUMMARY DATA'!$C:$C=$B140,'SUMMARY DATA'!$B:$B=""GRP"")),
  IF(
    OR(
      ISNUMBER(SEARCH(""CDM CASH DEPOSIT"",$C140)),
      ISNUMBER(SEARCH(""CASH DEPOSIT"",$C14"&amp;"0)),
      COUNTIFS('SUMMARY DATA'!$D:$D,$C140,'SUMMARY DATA'!$B:$B,""GRP"")&lt;&gt;1
    ),
    """",
    IFERROR(TEXTJOIN(CHAR(10),TRUE,FILTER('SUMMARY DATA'!E:E,'SUMMARY DATA'!$D:$D=$C140,'SUMMARY DATA'!$B:$B=""GRP"")),"""")
  )
)"),"")</f>
      </c>
      <c r="F1039" s="17" t="str">
        <f>IFERROR(__xludf.DUMMYFUNCTION("IFERROR(
  TEXTJOIN(CHAR(10),TRUE,FILTER('SUMMARY DATA'!F:F,'SUMMARY DATA'!$A:$A=$A140,'SUMMARY DATA'!$C:$C=$B140,'SUMMARY DATA'!$B:$B=""GRP"")),
  IF(
    OR(
      ISNUMBER(SEARCH(""CDM CASH DEPOSIT"",$C140)),
      ISNUMBER(SEARCH(""CASH DEPOSIT"",$C14"&amp;"0)),
      COUNTIFS('SUMMARY DATA'!$D:$D,$C140,'SUMMARY DATA'!$B:$B,""GRP"")&lt;&gt;1
    ),
    """",
    IFERROR(TEXTJOIN(CHAR(10),TRUE,FILTER('SUMMARY DATA'!F:F,'SUMMARY DATA'!$D:$D=$C140,'SUMMARY DATA'!$B:$B=""GRP"")),"""")
  )
)"),"")</f>
      </c>
      <c r="G1039" s="17" t="str">
        <f>IFERROR(__xludf.DUMMYFUNCTION("IFERROR(
  TEXTJOIN(CHAR(10),TRUE,FILTER('SUMMARY DATA'!G:G,'SUMMARY DATA'!$A:$A=$A1039,'SUMMARY DATA'!$C:$C=$B1039,'SUMMARY DATA'!$B:$B=""RWS"")),
  IF(
    OR(
      ISNUMBER(SEARCH(""CDM CASH DEPOSIT"",$C1039)),
      ISNUMBER(SEARCH(""CASH DEPOSIT"",$"&amp;"C1039)),
      COUNTIFS('SUMMARY DATA'!$D:$D,$C1039,'SUMMARY DATA'!$B:$B,""RWS"")&lt;&gt;1
    ),
    """",
    IFERROR(TEXTJOIN(CHAR(10),TRUE,FILTER('SUMMARY DATA'!G:G,'SUMMARY DATA'!$D:$D=$C1039,'SUMMARY DATA'!$B:$B=""RWS"")),"""")
  )
)"),"")</f>
      </c>
      <c r="H1039" s="18" t="str">
        <f>IFERROR(__xludf.DUMMYFUNCTION("IFERROR(
  TEXTJOIN(CHAR(10),TRUE,FILTER('SUMMARY DATA'!H:H,'SUMMARY DATA'!$A:$A=$A1039,'SUMMARY DATA'!$C:$C=$B1039,'SUMMARY DATA'!$B:$B=""RWS"",'SUMMARY DATA'!$H:$H=$D1039)),
  IF(
    OR(
      ISNUMBER(SEARCH(""CDM CASH DEPOSIT"",$C1039)),
      ISNUMB"&amp;"ER(SEARCH(""CASH DEPOSIT"",$C1039))
    ),
    """",
    IFERROR(TEXTJOIN(CHAR(10),TRUE,FILTER('SUMMARY DATA'!H:H,'SUMMARY DATA'!$D:$D=$C1039,'SUMMARY DATA'!$B:$B=""RWS"",'SUMMARY DATA'!$H:$H=$D1039)),"""")
  )
)"),"")</f>
      </c>
      <c r="I1039" s="18" t="str">
        <f>IFERROR(__xludf.DUMMYFUNCTION("IF(H1039="""","""",
SUM(ARRAYFORMULA(VALUE(SPLIT(H1039,CHAR(10)))))
)"),"")</f>
      </c>
      <c r="J1039" s="17" t="str">
        <f>IFERROR(__xludf.DUMMYFUNCTION("IFERROR(
  TEXTJOIN(CHAR(10),TRUE,FILTER('SUMMARY DATA'!I:I,'SUMMARY DATA'!$A:$A=$A1039,'SUMMARY DATA'!$C:$C=$B1039,'SUMMARY DATA'!$B:$B=""RWS"")),
  IF(
    OR(
      ISNUMBER(SEARCH(""CDM CASH DEPOSIT"",$C1039)),
      ISNUMBER(SEARCH(""CASH DEPOSIT"",$"&amp;"C1039)),
      COUNTIFS('SUMMARY DATA'!$D:$D,$C1039,'SUMMARY DATA'!$B:$B,""RWS"")&lt;&gt;1
    ),
    """",
    IFERROR(TEXTJOIN(CHAR(10),TRUE,FILTER('SUMMARY DATA'!I:I,'SUMMARY DATA'!$D:$D=$C1039,'SUMMARY DATA'!$B:$B=""RWS"")),"""")
  )
)"),"")</f>
      </c>
      <c r="K1039" s="2"/>
      <c r="L1039" s="2"/>
      <c r="M1039" s="2"/>
      <c r="N1039" s="2"/>
      <c r="O1039" s="2"/>
      <c r="P1039" s="2"/>
      <c r="Q1039" s="2"/>
      <c r="R1039" s="2"/>
      <c r="S1039" s="2"/>
      <c r="T1039" s="2"/>
      <c r="U1039" s="2"/>
      <c r="V1039" s="2"/>
      <c r="W1039" s="2"/>
      <c r="X1039" s="2"/>
      <c r="Y1039" s="2"/>
      <c r="Z1039" s="2"/>
      <c r="AA1039" s="2"/>
      <c r="AB1039" s="2"/>
    </row>
    <row r="1040" spans="1:28" customHeight="true">
      <c r="A1040" s="2"/>
      <c r="B1040" s="15">
        <v>45786</v>
      </c>
      <c r="C1040" s="2" t="s">
        <v>1580</v>
      </c>
      <c r="D1040" s="6">
        <v>10</v>
      </c>
      <c r="E1040" s="16" t="str">
        <f>IFERROR(__xludf.DUMMYFUNCTION("IFERROR(
  TEXTJOIN(CHAR(10),TRUE,FILTER('SUMMARY DATA'!E:E,'SUMMARY DATA'!$A:$A=$A141,'SUMMARY DATA'!$C:$C=$B141,'SUMMARY DATA'!$B:$B=""GRP"")),
  IF(
    OR(
      ISNUMBER(SEARCH(""CDM CASH DEPOSIT"",$C141)),
      ISNUMBER(SEARCH(""CASH DEPOSIT"",$C14"&amp;"1)),
      COUNTIFS('SUMMARY DATA'!$D:$D,$C141,'SUMMARY DATA'!$B:$B,""GRP"")&lt;&gt;1
    ),
    """",
    IFERROR(TEXTJOIN(CHAR(10),TRUE,FILTER('SUMMARY DATA'!E:E,'SUMMARY DATA'!$D:$D=$C141,'SUMMARY DATA'!$B:$B=""GRP"")),"""")
  )
)"),"")</f>
      </c>
      <c r="F1040" s="17" t="str">
        <f>IFERROR(__xludf.DUMMYFUNCTION("IFERROR(
  TEXTJOIN(CHAR(10),TRUE,FILTER('SUMMARY DATA'!F:F,'SUMMARY DATA'!$A:$A=$A141,'SUMMARY DATA'!$C:$C=$B141,'SUMMARY DATA'!$B:$B=""GRP"")),
  IF(
    OR(
      ISNUMBER(SEARCH(""CDM CASH DEPOSIT"",$C141)),
      ISNUMBER(SEARCH(""CASH DEPOSIT"",$C14"&amp;"1)),
      COUNTIFS('SUMMARY DATA'!$D:$D,$C141,'SUMMARY DATA'!$B:$B,""GRP"")&lt;&gt;1
    ),
    """",
    IFERROR(TEXTJOIN(CHAR(10),TRUE,FILTER('SUMMARY DATA'!F:F,'SUMMARY DATA'!$D:$D=$C141,'SUMMARY DATA'!$B:$B=""GRP"")),"""")
  )
)"),"")</f>
      </c>
      <c r="G1040" s="17" t="str">
        <f>IFERROR(__xludf.DUMMYFUNCTION("IFERROR(
  TEXTJOIN(CHAR(10),TRUE,FILTER('SUMMARY DATA'!G:G,'SUMMARY DATA'!$A:$A=$A1040,'SUMMARY DATA'!$C:$C=$B1040,'SUMMARY DATA'!$B:$B=""RWS"")),
  IF(
    OR(
      ISNUMBER(SEARCH(""CDM CASH DEPOSIT"",$C1040)),
      ISNUMBER(SEARCH(""CASH DEPOSIT"",$"&amp;"C1040)),
      COUNTIFS('SUMMARY DATA'!$D:$D,$C1040,'SUMMARY DATA'!$B:$B,""RWS"")&lt;&gt;1
    ),
    """",
    IFERROR(TEXTJOIN(CHAR(10),TRUE,FILTER('SUMMARY DATA'!G:G,'SUMMARY DATA'!$D:$D=$C1040,'SUMMARY DATA'!$B:$B=""RWS"")),"""")
  )
)"),"")</f>
      </c>
      <c r="H1040" s="18" t="str">
        <f>IFERROR(__xludf.DUMMYFUNCTION("IFERROR(
  TEXTJOIN(CHAR(10),TRUE,FILTER('SUMMARY DATA'!H:H,'SUMMARY DATA'!$A:$A=$A1040,'SUMMARY DATA'!$C:$C=$B1040,'SUMMARY DATA'!$B:$B=""RWS"",'SUMMARY DATA'!$H:$H=$D1040)),
  IF(
    OR(
      ISNUMBER(SEARCH(""CDM CASH DEPOSIT"",$C1040)),
      ISNUMB"&amp;"ER(SEARCH(""CASH DEPOSIT"",$C1040))
    ),
    """",
    IFERROR(TEXTJOIN(CHAR(10),TRUE,FILTER('SUMMARY DATA'!H:H,'SUMMARY DATA'!$D:$D=$C1040,'SUMMARY DATA'!$B:$B=""RWS"",'SUMMARY DATA'!$H:$H=$D1040)),"""")
  )
)"),"")</f>
      </c>
      <c r="I1040" s="18" t="str">
        <f>IFERROR(__xludf.DUMMYFUNCTION("IF(H1040="""","""",
SUM(ARRAYFORMULA(VALUE(SPLIT(H1040,CHAR(10)))))
)"),"")</f>
      </c>
      <c r="J1040" s="17" t="str">
        <f>IFERROR(__xludf.DUMMYFUNCTION("IFERROR(
  TEXTJOIN(CHAR(10),TRUE,FILTER('SUMMARY DATA'!I:I,'SUMMARY DATA'!$A:$A=$A1040,'SUMMARY DATA'!$C:$C=$B1040,'SUMMARY DATA'!$B:$B=""RWS"")),
  IF(
    OR(
      ISNUMBER(SEARCH(""CDM CASH DEPOSIT"",$C1040)),
      ISNUMBER(SEARCH(""CASH DEPOSIT"",$"&amp;"C1040)),
      COUNTIFS('SUMMARY DATA'!$D:$D,$C1040,'SUMMARY DATA'!$B:$B,""RWS"")&lt;&gt;1
    ),
    """",
    IFERROR(TEXTJOIN(CHAR(10),TRUE,FILTER('SUMMARY DATA'!I:I,'SUMMARY DATA'!$D:$D=$C1040,'SUMMARY DATA'!$B:$B=""RWS"")),"""")
  )
)"),"")</f>
      </c>
      <c r="K1040" s="2"/>
      <c r="L1040" s="2"/>
      <c r="M1040" s="2"/>
      <c r="N1040" s="2"/>
      <c r="O1040" s="2"/>
      <c r="P1040" s="2"/>
      <c r="Q1040" s="2"/>
      <c r="R1040" s="2"/>
      <c r="S1040" s="2"/>
      <c r="T1040" s="2"/>
      <c r="U1040" s="2"/>
      <c r="V1040" s="2"/>
      <c r="W1040" s="2"/>
      <c r="X1040" s="2"/>
      <c r="Y1040" s="2"/>
      <c r="Z1040" s="2"/>
      <c r="AA1040" s="2"/>
      <c r="AB1040" s="2"/>
    </row>
    <row r="1041" spans="1:28" customHeight="true">
      <c r="A1041" s="2"/>
      <c r="B1041" s="15">
        <v>45786</v>
      </c>
      <c r="C1041" s="2" t="s">
        <v>1581</v>
      </c>
      <c r="D1041" s="6">
        <v>10</v>
      </c>
      <c r="E1041" s="16" t="str">
        <f>IFERROR(__xludf.DUMMYFUNCTION("IFERROR(
  TEXTJOIN(CHAR(10),TRUE,FILTER('SUMMARY DATA'!E:E,'SUMMARY DATA'!$A:$A=$A142,'SUMMARY DATA'!$C:$C=$B142,'SUMMARY DATA'!$B:$B=""GRP"")),
  IF(
    OR(
      ISNUMBER(SEARCH(""CDM CASH DEPOSIT"",$C142)),
      ISNUMBER(SEARCH(""CASH DEPOSIT"",$C14"&amp;"2)),
      COUNTIFS('SUMMARY DATA'!$D:$D,$C142,'SUMMARY DATA'!$B:$B,""GRP"")&lt;&gt;1
    ),
    """",
    IFERROR(TEXTJOIN(CHAR(10),TRUE,FILTER('SUMMARY DATA'!E:E,'SUMMARY DATA'!$D:$D=$C142,'SUMMARY DATA'!$B:$B=""GRP"")),"""")
  )
)"),"")</f>
      </c>
      <c r="F1041" s="17" t="str">
        <f>IFERROR(__xludf.DUMMYFUNCTION("IFERROR(
  TEXTJOIN(CHAR(10),TRUE,FILTER('SUMMARY DATA'!F:F,'SUMMARY DATA'!$A:$A=$A142,'SUMMARY DATA'!$C:$C=$B142,'SUMMARY DATA'!$B:$B=""GRP"")),
  IF(
    OR(
      ISNUMBER(SEARCH(""CDM CASH DEPOSIT"",$C142)),
      ISNUMBER(SEARCH(""CASH DEPOSIT"",$C14"&amp;"2)),
      COUNTIFS('SUMMARY DATA'!$D:$D,$C142,'SUMMARY DATA'!$B:$B,""GRP"")&lt;&gt;1
    ),
    """",
    IFERROR(TEXTJOIN(CHAR(10),TRUE,FILTER('SUMMARY DATA'!F:F,'SUMMARY DATA'!$D:$D=$C142,'SUMMARY DATA'!$B:$B=""GRP"")),"""")
  )
)"),"")</f>
      </c>
      <c r="G1041" s="17" t="str">
        <f>IFERROR(__xludf.DUMMYFUNCTION("IFERROR(
  TEXTJOIN(CHAR(10),TRUE,FILTER('SUMMARY DATA'!G:G,'SUMMARY DATA'!$A:$A=$A1041,'SUMMARY DATA'!$C:$C=$B1041,'SUMMARY DATA'!$B:$B=""RWS"")),
  IF(
    OR(
      ISNUMBER(SEARCH(""CDM CASH DEPOSIT"",$C1041)),
      ISNUMBER(SEARCH(""CASH DEPOSIT"",$"&amp;"C1041)),
      COUNTIFS('SUMMARY DATA'!$D:$D,$C1041,'SUMMARY DATA'!$B:$B,""RWS"")&lt;&gt;1
    ),
    """",
    IFERROR(TEXTJOIN(CHAR(10),TRUE,FILTER('SUMMARY DATA'!G:G,'SUMMARY DATA'!$D:$D=$C1041,'SUMMARY DATA'!$B:$B=""RWS"")),"""")
  )
)"),"")</f>
      </c>
      <c r="H1041" s="18" t="str">
        <f>IFERROR(__xludf.DUMMYFUNCTION("IFERROR(
  TEXTJOIN(CHAR(10),TRUE,FILTER('SUMMARY DATA'!H:H,'SUMMARY DATA'!$A:$A=$A1041,'SUMMARY DATA'!$C:$C=$B1041,'SUMMARY DATA'!$B:$B=""RWS"",'SUMMARY DATA'!$H:$H=$D1041)),
  IF(
    OR(
      ISNUMBER(SEARCH(""CDM CASH DEPOSIT"",$C1041)),
      ISNUMB"&amp;"ER(SEARCH(""CASH DEPOSIT"",$C1041))
    ),
    """",
    IFERROR(TEXTJOIN(CHAR(10),TRUE,FILTER('SUMMARY DATA'!H:H,'SUMMARY DATA'!$D:$D=$C1041,'SUMMARY DATA'!$B:$B=""RWS"",'SUMMARY DATA'!$H:$H=$D1041)),"""")
  )
)"),"")</f>
      </c>
      <c r="I1041" s="18" t="str">
        <f>IFERROR(__xludf.DUMMYFUNCTION("IF(H1041="""","""",
SUM(ARRAYFORMULA(VALUE(SPLIT(H1041,CHAR(10)))))
)"),"")</f>
      </c>
      <c r="J1041" s="17" t="str">
        <f>IFERROR(__xludf.DUMMYFUNCTION("IFERROR(
  TEXTJOIN(CHAR(10),TRUE,FILTER('SUMMARY DATA'!I:I,'SUMMARY DATA'!$A:$A=$A1041,'SUMMARY DATA'!$C:$C=$B1041,'SUMMARY DATA'!$B:$B=""RWS"")),
  IF(
    OR(
      ISNUMBER(SEARCH(""CDM CASH DEPOSIT"",$C1041)),
      ISNUMBER(SEARCH(""CASH DEPOSIT"",$"&amp;"C1041)),
      COUNTIFS('SUMMARY DATA'!$D:$D,$C1041,'SUMMARY DATA'!$B:$B,""RWS"")&lt;&gt;1
    ),
    """",
    IFERROR(TEXTJOIN(CHAR(10),TRUE,FILTER('SUMMARY DATA'!I:I,'SUMMARY DATA'!$D:$D=$C1041,'SUMMARY DATA'!$B:$B=""RWS"")),"""")
  )
)"),"")</f>
      </c>
      <c r="K1041" s="2"/>
      <c r="L1041" s="2"/>
      <c r="M1041" s="2"/>
      <c r="N1041" s="2"/>
      <c r="O1041" s="2"/>
      <c r="P1041" s="2"/>
      <c r="Q1041" s="2"/>
      <c r="R1041" s="2"/>
      <c r="S1041" s="2"/>
      <c r="T1041" s="2"/>
      <c r="U1041" s="2"/>
      <c r="V1041" s="2"/>
      <c r="W1041" s="2"/>
      <c r="X1041" s="2"/>
      <c r="Y1041" s="2"/>
      <c r="Z1041" s="2"/>
      <c r="AA1041" s="2"/>
      <c r="AB1041" s="2"/>
    </row>
    <row r="1042" spans="1:28" customHeight="true">
      <c r="A1042" s="2"/>
      <c r="B1042" s="15">
        <v>45787</v>
      </c>
      <c r="C1042" s="2" t="s">
        <v>1582</v>
      </c>
      <c r="D1042" s="6">
        <v>712.46</v>
      </c>
      <c r="E1042" s="16" t="str">
        <f>IFERROR(__xludf.DUMMYFUNCTION("IFERROR(
  TEXTJOIN(CHAR(10),TRUE,FILTER('SUMMARY DATA'!E:E,'SUMMARY DATA'!$A:$A=$A143,'SUMMARY DATA'!$C:$C=$B143,'SUMMARY DATA'!$B:$B=""GRP"")),
  IF(
    OR(
      ISNUMBER(SEARCH(""CDM CASH DEPOSIT"",$C143)),
      ISNUMBER(SEARCH(""CASH DEPOSIT"",$C14"&amp;"3)),
      COUNTIFS('SUMMARY DATA'!$D:$D,$C143,'SUMMARY DATA'!$B:$B,""GRP"")&lt;&gt;1
    ),
    """",
    IFERROR(TEXTJOIN(CHAR(10),TRUE,FILTER('SUMMARY DATA'!E:E,'SUMMARY DATA'!$D:$D=$C143,'SUMMARY DATA'!$B:$B=""GRP"")),"""")
  )
)"),"")</f>
      </c>
      <c r="F1042" s="17" t="str">
        <f>IFERROR(__xludf.DUMMYFUNCTION("IFERROR(
  TEXTJOIN(CHAR(10),TRUE,FILTER('SUMMARY DATA'!F:F,'SUMMARY DATA'!$A:$A=$A143,'SUMMARY DATA'!$C:$C=$B143,'SUMMARY DATA'!$B:$B=""GRP"")),
  IF(
    OR(
      ISNUMBER(SEARCH(""CDM CASH DEPOSIT"",$C143)),
      ISNUMBER(SEARCH(""CASH DEPOSIT"",$C14"&amp;"3)),
      COUNTIFS('SUMMARY DATA'!$D:$D,$C143,'SUMMARY DATA'!$B:$B,""GRP"")&lt;&gt;1
    ),
    """",
    IFERROR(TEXTJOIN(CHAR(10),TRUE,FILTER('SUMMARY DATA'!F:F,'SUMMARY DATA'!$D:$D=$C143,'SUMMARY DATA'!$B:$B=""GRP"")),"""")
  )
)"),"")</f>
      </c>
      <c r="G1042" s="17" t="str">
        <f>IFERROR(__xludf.DUMMYFUNCTION("IFERROR(
  TEXTJOIN(CHAR(10),TRUE,FILTER('SUMMARY DATA'!G:G,'SUMMARY DATA'!$A:$A=$A1042,'SUMMARY DATA'!$C:$C=$B1042,'SUMMARY DATA'!$B:$B=""RWS"")),
  IF(
    OR(
      ISNUMBER(SEARCH(""CDM CASH DEPOSIT"",$C1042)),
      ISNUMBER(SEARCH(""CASH DEPOSIT"",$"&amp;"C1042)),
      COUNTIFS('SUMMARY DATA'!$D:$D,$C1042,'SUMMARY DATA'!$B:$B,""RWS"")&lt;&gt;1
    ),
    """",
    IFERROR(TEXTJOIN(CHAR(10),TRUE,FILTER('SUMMARY DATA'!G:G,'SUMMARY DATA'!$D:$D=$C1042,'SUMMARY DATA'!$B:$B=""RWS"")),"""")
  )
)"),"")</f>
      </c>
      <c r="H1042" s="18" t="str">
        <f>IFERROR(__xludf.DUMMYFUNCTION("IFERROR(
  TEXTJOIN(CHAR(10),TRUE,FILTER('SUMMARY DATA'!H:H,'SUMMARY DATA'!$A:$A=$A1042,'SUMMARY DATA'!$C:$C=$B1042,'SUMMARY DATA'!$B:$B=""RWS"",'SUMMARY DATA'!$H:$H=$D1042)),
  IF(
    OR(
      ISNUMBER(SEARCH(""CDM CASH DEPOSIT"",$C1042)),
      ISNUMB"&amp;"ER(SEARCH(""CASH DEPOSIT"",$C1042))
    ),
    """",
    IFERROR(TEXTJOIN(CHAR(10),TRUE,FILTER('SUMMARY DATA'!H:H,'SUMMARY DATA'!$D:$D=$C1042,'SUMMARY DATA'!$B:$B=""RWS"",'SUMMARY DATA'!$H:$H=$D1042)),"""")
  )
)"),"")</f>
      </c>
      <c r="I1042" s="18" t="str">
        <f>IFERROR(__xludf.DUMMYFUNCTION("IF(H1042="""","""",
SUM(ARRAYFORMULA(VALUE(SPLIT(H1042,CHAR(10)))))
)"),"")</f>
      </c>
      <c r="J1042" s="17" t="str">
        <f>IFERROR(__xludf.DUMMYFUNCTION("IFERROR(
  TEXTJOIN(CHAR(10),TRUE,FILTER('SUMMARY DATA'!I:I,'SUMMARY DATA'!$A:$A=$A1042,'SUMMARY DATA'!$C:$C=$B1042,'SUMMARY DATA'!$B:$B=""RWS"")),
  IF(
    OR(
      ISNUMBER(SEARCH(""CDM CASH DEPOSIT"",$C1042)),
      ISNUMBER(SEARCH(""CASH DEPOSIT"",$"&amp;"C1042)),
      COUNTIFS('SUMMARY DATA'!$D:$D,$C1042,'SUMMARY DATA'!$B:$B,""RWS"")&lt;&gt;1
    ),
    """",
    IFERROR(TEXTJOIN(CHAR(10),TRUE,FILTER('SUMMARY DATA'!I:I,'SUMMARY DATA'!$D:$D=$C1042,'SUMMARY DATA'!$B:$B=""RWS"")),"""")
  )
)"),"")</f>
      </c>
      <c r="K1042" s="2"/>
      <c r="L1042" s="2"/>
      <c r="M1042" s="2"/>
      <c r="N1042" s="2"/>
      <c r="O1042" s="2"/>
      <c r="P1042" s="2"/>
      <c r="Q1042" s="2"/>
      <c r="R1042" s="2"/>
      <c r="S1042" s="2"/>
      <c r="T1042" s="2"/>
      <c r="U1042" s="2"/>
      <c r="V1042" s="2"/>
      <c r="W1042" s="2"/>
      <c r="X1042" s="2"/>
      <c r="Y1042" s="2"/>
      <c r="Z1042" s="2"/>
      <c r="AA1042" s="2"/>
      <c r="AB1042" s="2"/>
    </row>
    <row r="1043" spans="1:28" customHeight="true">
      <c r="A1043" s="2"/>
      <c r="B1043" s="15">
        <v>45787</v>
      </c>
      <c r="C1043" s="2" t="s">
        <v>1583</v>
      </c>
      <c r="D1043" s="6">
        <v>240</v>
      </c>
      <c r="E1043" s="16" t="str">
        <f>IFERROR(__xludf.DUMMYFUNCTION("IFERROR(
  TEXTJOIN(CHAR(10),TRUE,FILTER('SUMMARY DATA'!E:E,'SUMMARY DATA'!$A:$A=$A144,'SUMMARY DATA'!$C:$C=$B144,'SUMMARY DATA'!$B:$B=""GRP"")),
  IF(
    OR(
      ISNUMBER(SEARCH(""CDM CASH DEPOSIT"",$C144)),
      ISNUMBER(SEARCH(""CASH DEPOSIT"",$C14"&amp;"4)),
      COUNTIFS('SUMMARY DATA'!$D:$D,$C144,'SUMMARY DATA'!$B:$B,""GRP"")&lt;&gt;1
    ),
    """",
    IFERROR(TEXTJOIN(CHAR(10),TRUE,FILTER('SUMMARY DATA'!E:E,'SUMMARY DATA'!$D:$D=$C144,'SUMMARY DATA'!$B:$B=""GRP"")),"""")
  )
)"),"")</f>
      </c>
      <c r="F1043" s="17" t="str">
        <f>IFERROR(__xludf.DUMMYFUNCTION("IFERROR(
  TEXTJOIN(CHAR(10),TRUE,FILTER('SUMMARY DATA'!F:F,'SUMMARY DATA'!$A:$A=$A144,'SUMMARY DATA'!$C:$C=$B144,'SUMMARY DATA'!$B:$B=""GRP"")),
  IF(
    OR(
      ISNUMBER(SEARCH(""CDM CASH DEPOSIT"",$C144)),
      ISNUMBER(SEARCH(""CASH DEPOSIT"",$C14"&amp;"4)),
      COUNTIFS('SUMMARY DATA'!$D:$D,$C144,'SUMMARY DATA'!$B:$B,""GRP"")&lt;&gt;1
    ),
    """",
    IFERROR(TEXTJOIN(CHAR(10),TRUE,FILTER('SUMMARY DATA'!F:F,'SUMMARY DATA'!$D:$D=$C144,'SUMMARY DATA'!$B:$B=""GRP"")),"""")
  )
)"),"")</f>
      </c>
      <c r="G1043" s="17" t="str">
        <f>IFERROR(__xludf.DUMMYFUNCTION("IFERROR(
  TEXTJOIN(CHAR(10),TRUE,FILTER('SUMMARY DATA'!G:G,'SUMMARY DATA'!$A:$A=$A1043,'SUMMARY DATA'!$C:$C=$B1043,'SUMMARY DATA'!$B:$B=""RWS"")),
  IF(
    OR(
      ISNUMBER(SEARCH(""CDM CASH DEPOSIT"",$C1043)),
      ISNUMBER(SEARCH(""CASH DEPOSIT"",$"&amp;"C1043)),
      COUNTIFS('SUMMARY DATA'!$D:$D,$C1043,'SUMMARY DATA'!$B:$B,""RWS"")&lt;&gt;1
    ),
    """",
    IFERROR(TEXTJOIN(CHAR(10),TRUE,FILTER('SUMMARY DATA'!G:G,'SUMMARY DATA'!$D:$D=$C1043,'SUMMARY DATA'!$B:$B=""RWS"")),"""")
  )
)"),"")</f>
      </c>
      <c r="H1043" s="18" t="str">
        <f>IFERROR(__xludf.DUMMYFUNCTION("IFERROR(
  TEXTJOIN(CHAR(10),TRUE,FILTER('SUMMARY DATA'!H:H,'SUMMARY DATA'!$A:$A=$A1043,'SUMMARY DATA'!$C:$C=$B1043,'SUMMARY DATA'!$B:$B=""RWS"",'SUMMARY DATA'!$H:$H=$D1043)),
  IF(
    OR(
      ISNUMBER(SEARCH(""CDM CASH DEPOSIT"",$C1043)),
      ISNUMB"&amp;"ER(SEARCH(""CASH DEPOSIT"",$C1043))
    ),
    """",
    IFERROR(TEXTJOIN(CHAR(10),TRUE,FILTER('SUMMARY DATA'!H:H,'SUMMARY DATA'!$D:$D=$C1043,'SUMMARY DATA'!$B:$B=""RWS"",'SUMMARY DATA'!$H:$H=$D1043)),"""")
  )
)"),"")</f>
      </c>
      <c r="I1043" s="18" t="str">
        <f>IFERROR(__xludf.DUMMYFUNCTION("IF(H1043="""","""",
SUM(ARRAYFORMULA(VALUE(SPLIT(H1043,CHAR(10)))))
)"),"")</f>
      </c>
      <c r="J1043" s="17" t="str">
        <f>IFERROR(__xludf.DUMMYFUNCTION("IFERROR(
  TEXTJOIN(CHAR(10),TRUE,FILTER('SUMMARY DATA'!I:I,'SUMMARY DATA'!$A:$A=$A1043,'SUMMARY DATA'!$C:$C=$B1043,'SUMMARY DATA'!$B:$B=""RWS"")),
  IF(
    OR(
      ISNUMBER(SEARCH(""CDM CASH DEPOSIT"",$C1043)),
      ISNUMBER(SEARCH(""CASH DEPOSIT"",$"&amp;"C1043)),
      COUNTIFS('SUMMARY DATA'!$D:$D,$C1043,'SUMMARY DATA'!$B:$B,""RWS"")&lt;&gt;1
    ),
    """",
    IFERROR(TEXTJOIN(CHAR(10),TRUE,FILTER('SUMMARY DATA'!I:I,'SUMMARY DATA'!$D:$D=$C1043,'SUMMARY DATA'!$B:$B=""RWS"")),"""")
  )
)"),"")</f>
      </c>
      <c r="K1043" s="2"/>
      <c r="L1043" s="2"/>
      <c r="M1043" s="2"/>
      <c r="N1043" s="2"/>
      <c r="O1043" s="2"/>
      <c r="P1043" s="2"/>
      <c r="Q1043" s="2"/>
      <c r="R1043" s="2"/>
      <c r="S1043" s="2"/>
      <c r="T1043" s="2"/>
      <c r="U1043" s="2"/>
      <c r="V1043" s="2"/>
      <c r="W1043" s="2"/>
      <c r="X1043" s="2"/>
      <c r="Y1043" s="2"/>
      <c r="Z1043" s="2"/>
      <c r="AA1043" s="2"/>
      <c r="AB1043" s="2"/>
    </row>
    <row r="1044" spans="1:28" customHeight="true">
      <c r="A1044" s="2"/>
      <c r="B1044" s="15">
        <v>45787</v>
      </c>
      <c r="C1044" s="2" t="s">
        <v>1584</v>
      </c>
      <c r="D1044" s="6">
        <v>208.5</v>
      </c>
      <c r="E1044" s="16" t="str">
        <f>IFERROR(__xludf.DUMMYFUNCTION("IFERROR(
  TEXTJOIN(CHAR(10),TRUE,FILTER('SUMMARY DATA'!E:E,'SUMMARY DATA'!$A:$A=$A145,'SUMMARY DATA'!$C:$C=$B145,'SUMMARY DATA'!$B:$B=""GRP"")),
  IF(
    OR(
      ISNUMBER(SEARCH(""CDM CASH DEPOSIT"",$C145)),
      ISNUMBER(SEARCH(""CASH DEPOSIT"",$C14"&amp;"5)),
      COUNTIFS('SUMMARY DATA'!$D:$D,$C145,'SUMMARY DATA'!$B:$B,""GRP"")&lt;&gt;1
    ),
    """",
    IFERROR(TEXTJOIN(CHAR(10),TRUE,FILTER('SUMMARY DATA'!E:E,'SUMMARY DATA'!$D:$D=$C145,'SUMMARY DATA'!$B:$B=""GRP"")),"""")
  )
)"),"")</f>
      </c>
      <c r="F1044" s="17" t="str">
        <f>IFERROR(__xludf.DUMMYFUNCTION("IFERROR(
  TEXTJOIN(CHAR(10),TRUE,FILTER('SUMMARY DATA'!F:F,'SUMMARY DATA'!$A:$A=$A145,'SUMMARY DATA'!$C:$C=$B145,'SUMMARY DATA'!$B:$B=""GRP"")),
  IF(
    OR(
      ISNUMBER(SEARCH(""CDM CASH DEPOSIT"",$C145)),
      ISNUMBER(SEARCH(""CASH DEPOSIT"",$C14"&amp;"5)),
      COUNTIFS('SUMMARY DATA'!$D:$D,$C145,'SUMMARY DATA'!$B:$B,""GRP"")&lt;&gt;1
    ),
    """",
    IFERROR(TEXTJOIN(CHAR(10),TRUE,FILTER('SUMMARY DATA'!F:F,'SUMMARY DATA'!$D:$D=$C145,'SUMMARY DATA'!$B:$B=""GRP"")),"""")
  )
)"),"")</f>
      </c>
      <c r="G1044" s="17" t="str">
        <f>IFERROR(__xludf.DUMMYFUNCTION("IFERROR(
  TEXTJOIN(CHAR(10),TRUE,FILTER('SUMMARY DATA'!G:G,'SUMMARY DATA'!$A:$A=$A1044,'SUMMARY DATA'!$C:$C=$B1044,'SUMMARY DATA'!$B:$B=""RWS"")),
  IF(
    OR(
      ISNUMBER(SEARCH(""CDM CASH DEPOSIT"",$C1044)),
      ISNUMBER(SEARCH(""CASH DEPOSIT"",$"&amp;"C1044)),
      COUNTIFS('SUMMARY DATA'!$D:$D,$C1044,'SUMMARY DATA'!$B:$B,""RWS"")&lt;&gt;1
    ),
    """",
    IFERROR(TEXTJOIN(CHAR(10),TRUE,FILTER('SUMMARY DATA'!G:G,'SUMMARY DATA'!$D:$D=$C1044,'SUMMARY DATA'!$B:$B=""RWS"")),"""")
  )
)"),"")</f>
      </c>
      <c r="H1044" s="18" t="str">
        <f>IFERROR(__xludf.DUMMYFUNCTION("IFERROR(
  TEXTJOIN(CHAR(10),TRUE,FILTER('SUMMARY DATA'!H:H,'SUMMARY DATA'!$A:$A=$A1044,'SUMMARY DATA'!$C:$C=$B1044,'SUMMARY DATA'!$B:$B=""RWS"",'SUMMARY DATA'!$H:$H=$D1044)),
  IF(
    OR(
      ISNUMBER(SEARCH(""CDM CASH DEPOSIT"",$C1044)),
      ISNUMB"&amp;"ER(SEARCH(""CASH DEPOSIT"",$C1044))
    ),
    """",
    IFERROR(TEXTJOIN(CHAR(10),TRUE,FILTER('SUMMARY DATA'!H:H,'SUMMARY DATA'!$D:$D=$C1044,'SUMMARY DATA'!$B:$B=""RWS"",'SUMMARY DATA'!$H:$H=$D1044)),"""")
  )
)"),"")</f>
      </c>
      <c r="I1044" s="18" t="str">
        <f>IFERROR(__xludf.DUMMYFUNCTION("IF(H1044="""","""",
SUM(ARRAYFORMULA(VALUE(SPLIT(H1044,CHAR(10)))))
)"),"")</f>
      </c>
      <c r="J1044" s="17" t="str">
        <f>IFERROR(__xludf.DUMMYFUNCTION("IFERROR(
  TEXTJOIN(CHAR(10),TRUE,FILTER('SUMMARY DATA'!I:I,'SUMMARY DATA'!$A:$A=$A1044,'SUMMARY DATA'!$C:$C=$B1044,'SUMMARY DATA'!$B:$B=""RWS"")),
  IF(
    OR(
      ISNUMBER(SEARCH(""CDM CASH DEPOSIT"",$C1044)),
      ISNUMBER(SEARCH(""CASH DEPOSIT"",$"&amp;"C1044)),
      COUNTIFS('SUMMARY DATA'!$D:$D,$C1044,'SUMMARY DATA'!$B:$B,""RWS"")&lt;&gt;1
    ),
    """",
    IFERROR(TEXTJOIN(CHAR(10),TRUE,FILTER('SUMMARY DATA'!I:I,'SUMMARY DATA'!$D:$D=$C1044,'SUMMARY DATA'!$B:$B=""RWS"")),"""")
  )
)"),"")</f>
      </c>
      <c r="K1044" s="2"/>
      <c r="L1044" s="2"/>
      <c r="M1044" s="2"/>
      <c r="N1044" s="2"/>
      <c r="O1044" s="2"/>
      <c r="P1044" s="2"/>
      <c r="Q1044" s="2"/>
      <c r="R1044" s="2"/>
      <c r="S1044" s="2"/>
      <c r="T1044" s="2"/>
      <c r="U1044" s="2"/>
      <c r="V1044" s="2"/>
      <c r="W1044" s="2"/>
      <c r="X1044" s="2"/>
      <c r="Y1044" s="2"/>
      <c r="Z1044" s="2"/>
      <c r="AA1044" s="2"/>
      <c r="AB1044" s="2"/>
    </row>
    <row r="1045" spans="1:28" customHeight="true">
      <c r="A1045" s="2"/>
      <c r="B1045" s="15">
        <v>45787</v>
      </c>
      <c r="C1045" s="2" t="s">
        <v>997</v>
      </c>
      <c r="D1045" s="6">
        <v>120</v>
      </c>
      <c r="E1045" s="16" t="str">
        <f>IFERROR(__xludf.DUMMYFUNCTION("IFERROR(
  TEXTJOIN(CHAR(10),TRUE,FILTER('SUMMARY DATA'!E:E,'SUMMARY DATA'!$A:$A=$A146,'SUMMARY DATA'!$C:$C=$B146,'SUMMARY DATA'!$B:$B=""GRP"")),
  IF(
    OR(
      ISNUMBER(SEARCH(""CDM CASH DEPOSIT"",$C146)),
      ISNUMBER(SEARCH(""CASH DEPOSIT"",$C14"&amp;"6)),
      COUNTIFS('SUMMARY DATA'!$D:$D,$C146,'SUMMARY DATA'!$B:$B,""GRP"")&lt;&gt;1
    ),
    """",
    IFERROR(TEXTJOIN(CHAR(10),TRUE,FILTER('SUMMARY DATA'!E:E,'SUMMARY DATA'!$D:$D=$C146,'SUMMARY DATA'!$B:$B=""GRP"")),"""")
  )
)"),"")</f>
      </c>
      <c r="F1045" s="17" t="str">
        <f>IFERROR(__xludf.DUMMYFUNCTION("IFERROR(
  TEXTJOIN(CHAR(10),TRUE,FILTER('SUMMARY DATA'!F:F,'SUMMARY DATA'!$A:$A=$A146,'SUMMARY DATA'!$C:$C=$B146,'SUMMARY DATA'!$B:$B=""GRP"")),
  IF(
    OR(
      ISNUMBER(SEARCH(""CDM CASH DEPOSIT"",$C146)),
      ISNUMBER(SEARCH(""CASH DEPOSIT"",$C14"&amp;"6)),
      COUNTIFS('SUMMARY DATA'!$D:$D,$C146,'SUMMARY DATA'!$B:$B,""GRP"")&lt;&gt;1
    ),
    """",
    IFERROR(TEXTJOIN(CHAR(10),TRUE,FILTER('SUMMARY DATA'!F:F,'SUMMARY DATA'!$D:$D=$C146,'SUMMARY DATA'!$B:$B=""GRP"")),"""")
  )
)"),"")</f>
      </c>
      <c r="G1045" s="17" t="str">
        <f>IFERROR(__xludf.DUMMYFUNCTION("IFERROR(
  TEXTJOIN(CHAR(10),TRUE,FILTER('SUMMARY DATA'!G:G,'SUMMARY DATA'!$A:$A=$A1045,'SUMMARY DATA'!$C:$C=$B1045,'SUMMARY DATA'!$B:$B=""RWS"")),
  IF(
    OR(
      ISNUMBER(SEARCH(""CDM CASH DEPOSIT"",$C1045)),
      ISNUMBER(SEARCH(""CASH DEPOSIT"",$"&amp;"C1045)),
      COUNTIFS('SUMMARY DATA'!$D:$D,$C1045,'SUMMARY DATA'!$B:$B,""RWS"")&lt;&gt;1
    ),
    """",
    IFERROR(TEXTJOIN(CHAR(10),TRUE,FILTER('SUMMARY DATA'!G:G,'SUMMARY DATA'!$D:$D=$C1045,'SUMMARY DATA'!$B:$B=""RWS"")),"""")
  )
)"),"")</f>
      </c>
      <c r="H1045" s="18" t="str">
        <f>IFERROR(__xludf.DUMMYFUNCTION("IFERROR(
  TEXTJOIN(CHAR(10),TRUE,FILTER('SUMMARY DATA'!H:H,'SUMMARY DATA'!$A:$A=$A1045,'SUMMARY DATA'!$C:$C=$B1045,'SUMMARY DATA'!$B:$B=""RWS"",'SUMMARY DATA'!$H:$H=$D1045)),
  IF(
    OR(
      ISNUMBER(SEARCH(""CDM CASH DEPOSIT"",$C1045)),
      ISNUMB"&amp;"ER(SEARCH(""CASH DEPOSIT"",$C1045))
    ),
    """",
    IFERROR(TEXTJOIN(CHAR(10),TRUE,FILTER('SUMMARY DATA'!H:H,'SUMMARY DATA'!$D:$D=$C1045,'SUMMARY DATA'!$B:$B=""RWS"",'SUMMARY DATA'!$H:$H=$D1045)),"""")
  )
)"),"")</f>
      </c>
      <c r="I1045" s="18" t="str">
        <f>IFERROR(__xludf.DUMMYFUNCTION("IF(H1045="""","""",
SUM(ARRAYFORMULA(VALUE(SPLIT(H1045,CHAR(10)))))
)"),"")</f>
      </c>
      <c r="J1045" s="17" t="str">
        <f>IFERROR(__xludf.DUMMYFUNCTION("IFERROR(
  TEXTJOIN(CHAR(10),TRUE,FILTER('SUMMARY DATA'!I:I,'SUMMARY DATA'!$A:$A=$A1045,'SUMMARY DATA'!$C:$C=$B1045,'SUMMARY DATA'!$B:$B=""RWS"")),
  IF(
    OR(
      ISNUMBER(SEARCH(""CDM CASH DEPOSIT"",$C1045)),
      ISNUMBER(SEARCH(""CASH DEPOSIT"",$"&amp;"C1045)),
      COUNTIFS('SUMMARY DATA'!$D:$D,$C1045,'SUMMARY DATA'!$B:$B,""RWS"")&lt;&gt;1
    ),
    """",
    IFERROR(TEXTJOIN(CHAR(10),TRUE,FILTER('SUMMARY DATA'!I:I,'SUMMARY DATA'!$D:$D=$C1045,'SUMMARY DATA'!$B:$B=""RWS"")),"""")
  )
)"),"")</f>
      </c>
      <c r="K1045" s="2"/>
      <c r="L1045" s="2"/>
      <c r="M1045" s="2"/>
      <c r="N1045" s="2"/>
      <c r="O1045" s="2"/>
      <c r="P1045" s="2"/>
      <c r="Q1045" s="2"/>
      <c r="R1045" s="2"/>
      <c r="S1045" s="2"/>
      <c r="T1045" s="2"/>
      <c r="U1045" s="2"/>
      <c r="V1045" s="2"/>
      <c r="W1045" s="2"/>
      <c r="X1045" s="2"/>
      <c r="Y1045" s="2"/>
      <c r="Z1045" s="2"/>
      <c r="AA1045" s="2"/>
      <c r="AB1045" s="2"/>
    </row>
    <row r="1046" spans="1:28" customHeight="true">
      <c r="A1046" s="2"/>
      <c r="B1046" s="15">
        <v>45787</v>
      </c>
      <c r="C1046" s="2" t="s">
        <v>1583</v>
      </c>
      <c r="D1046" s="6">
        <v>113.28</v>
      </c>
      <c r="E1046" s="16" t="str">
        <f>IFERROR(__xludf.DUMMYFUNCTION("IFERROR(
  TEXTJOIN(CHAR(10),TRUE,FILTER('SUMMARY DATA'!E:E,'SUMMARY DATA'!$A:$A=$A147,'SUMMARY DATA'!$C:$C=$B147,'SUMMARY DATA'!$B:$B=""GRP"")),
  IF(
    OR(
      ISNUMBER(SEARCH(""CDM CASH DEPOSIT"",$C147)),
      ISNUMBER(SEARCH(""CASH DEPOSIT"",$C14"&amp;"7)),
      COUNTIFS('SUMMARY DATA'!$D:$D,$C147,'SUMMARY DATA'!$B:$B,""GRP"")&lt;&gt;1
    ),
    """",
    IFERROR(TEXTJOIN(CHAR(10),TRUE,FILTER('SUMMARY DATA'!E:E,'SUMMARY DATA'!$D:$D=$C147,'SUMMARY DATA'!$B:$B=""GRP"")),"""")
  )
)"),"")</f>
      </c>
      <c r="F1046" s="17" t="str">
        <f>IFERROR(__xludf.DUMMYFUNCTION("IFERROR(
  TEXTJOIN(CHAR(10),TRUE,FILTER('SUMMARY DATA'!F:F,'SUMMARY DATA'!$A:$A=$A147,'SUMMARY DATA'!$C:$C=$B147,'SUMMARY DATA'!$B:$B=""GRP"")),
  IF(
    OR(
      ISNUMBER(SEARCH(""CDM CASH DEPOSIT"",$C147)),
      ISNUMBER(SEARCH(""CASH DEPOSIT"",$C14"&amp;"7)),
      COUNTIFS('SUMMARY DATA'!$D:$D,$C147,'SUMMARY DATA'!$B:$B,""GRP"")&lt;&gt;1
    ),
    """",
    IFERROR(TEXTJOIN(CHAR(10),TRUE,FILTER('SUMMARY DATA'!F:F,'SUMMARY DATA'!$D:$D=$C147,'SUMMARY DATA'!$B:$B=""GRP"")),"""")
  )
)"),"")</f>
      </c>
      <c r="G1046" s="17" t="str">
        <f>IFERROR(__xludf.DUMMYFUNCTION("IFERROR(
  TEXTJOIN(CHAR(10),TRUE,FILTER('SUMMARY DATA'!G:G,'SUMMARY DATA'!$A:$A=$A1046,'SUMMARY DATA'!$C:$C=$B1046,'SUMMARY DATA'!$B:$B=""RWS"")),
  IF(
    OR(
      ISNUMBER(SEARCH(""CDM CASH DEPOSIT"",$C1046)),
      ISNUMBER(SEARCH(""CASH DEPOSIT"",$"&amp;"C1046)),
      COUNTIFS('SUMMARY DATA'!$D:$D,$C1046,'SUMMARY DATA'!$B:$B,""RWS"")&lt;&gt;1
    ),
    """",
    IFERROR(TEXTJOIN(CHAR(10),TRUE,FILTER('SUMMARY DATA'!G:G,'SUMMARY DATA'!$D:$D=$C1046,'SUMMARY DATA'!$B:$B=""RWS"")),"""")
  )
)"),"")</f>
      </c>
      <c r="H1046" s="18" t="str">
        <f>IFERROR(__xludf.DUMMYFUNCTION("IFERROR(
  TEXTJOIN(CHAR(10),TRUE,FILTER('SUMMARY DATA'!H:H,'SUMMARY DATA'!$A:$A=$A1046,'SUMMARY DATA'!$C:$C=$B1046,'SUMMARY DATA'!$B:$B=""RWS"",'SUMMARY DATA'!$H:$H=$D1046)),
  IF(
    OR(
      ISNUMBER(SEARCH(""CDM CASH DEPOSIT"",$C1046)),
      ISNUMB"&amp;"ER(SEARCH(""CASH DEPOSIT"",$C1046))
    ),
    """",
    IFERROR(TEXTJOIN(CHAR(10),TRUE,FILTER('SUMMARY DATA'!H:H,'SUMMARY DATA'!$D:$D=$C1046,'SUMMARY DATA'!$B:$B=""RWS"",'SUMMARY DATA'!$H:$H=$D1046)),"""")
  )
)"),"")</f>
      </c>
      <c r="I1046" s="18" t="str">
        <f>IFERROR(__xludf.DUMMYFUNCTION("IF(H1046="""","""",
SUM(ARRAYFORMULA(VALUE(SPLIT(H1046,CHAR(10)))))
)"),"")</f>
      </c>
      <c r="J1046" s="17" t="str">
        <f>IFERROR(__xludf.DUMMYFUNCTION("IFERROR(
  TEXTJOIN(CHAR(10),TRUE,FILTER('SUMMARY DATA'!I:I,'SUMMARY DATA'!$A:$A=$A1046,'SUMMARY DATA'!$C:$C=$B1046,'SUMMARY DATA'!$B:$B=""RWS"")),
  IF(
    OR(
      ISNUMBER(SEARCH(""CDM CASH DEPOSIT"",$C1046)),
      ISNUMBER(SEARCH(""CASH DEPOSIT"",$"&amp;"C1046)),
      COUNTIFS('SUMMARY DATA'!$D:$D,$C1046,'SUMMARY DATA'!$B:$B,""RWS"")&lt;&gt;1
    ),
    """",
    IFERROR(TEXTJOIN(CHAR(10),TRUE,FILTER('SUMMARY DATA'!I:I,'SUMMARY DATA'!$D:$D=$C1046,'SUMMARY DATA'!$B:$B=""RWS"")),"""")
  )
)"),"")</f>
      </c>
      <c r="K1046" s="2"/>
      <c r="L1046" s="2"/>
      <c r="M1046" s="2"/>
      <c r="N1046" s="2"/>
      <c r="O1046" s="2"/>
      <c r="P1046" s="2"/>
      <c r="Q1046" s="2"/>
      <c r="R1046" s="2"/>
      <c r="S1046" s="2"/>
      <c r="T1046" s="2"/>
      <c r="U1046" s="2"/>
      <c r="V1046" s="2"/>
      <c r="W1046" s="2"/>
      <c r="X1046" s="2"/>
      <c r="Y1046" s="2"/>
      <c r="Z1046" s="2"/>
      <c r="AA1046" s="2"/>
      <c r="AB1046" s="2"/>
    </row>
    <row r="1047" spans="1:28" customHeight="true">
      <c r="A1047" s="2"/>
      <c r="B1047" s="15">
        <v>45787</v>
      </c>
      <c r="C1047" s="2" t="s">
        <v>1585</v>
      </c>
      <c r="D1047" s="6">
        <v>98</v>
      </c>
      <c r="E1047" s="16" t="str">
        <f>IFERROR(__xludf.DUMMYFUNCTION("IFERROR(
  TEXTJOIN(CHAR(10),TRUE,FILTER('SUMMARY DATA'!E:E,'SUMMARY DATA'!$A:$A=$A148,'SUMMARY DATA'!$C:$C=$B148,'SUMMARY DATA'!$B:$B=""GRP"")),
  IF(
    OR(
      ISNUMBER(SEARCH(""CDM CASH DEPOSIT"",$C148)),
      ISNUMBER(SEARCH(""CASH DEPOSIT"",$C14"&amp;"8)),
      COUNTIFS('SUMMARY DATA'!$D:$D,$C148,'SUMMARY DATA'!$B:$B,""GRP"")&lt;&gt;1
    ),
    """",
    IFERROR(TEXTJOIN(CHAR(10),TRUE,FILTER('SUMMARY DATA'!E:E,'SUMMARY DATA'!$D:$D=$C148,'SUMMARY DATA'!$B:$B=""GRP"")),"""")
  )
)"),"")</f>
      </c>
      <c r="F1047" s="17" t="str">
        <f>IFERROR(__xludf.DUMMYFUNCTION("IFERROR(
  TEXTJOIN(CHAR(10),TRUE,FILTER('SUMMARY DATA'!F:F,'SUMMARY DATA'!$A:$A=$A148,'SUMMARY DATA'!$C:$C=$B148,'SUMMARY DATA'!$B:$B=""GRP"")),
  IF(
    OR(
      ISNUMBER(SEARCH(""CDM CASH DEPOSIT"",$C148)),
      ISNUMBER(SEARCH(""CASH DEPOSIT"",$C14"&amp;"8)),
      COUNTIFS('SUMMARY DATA'!$D:$D,$C148,'SUMMARY DATA'!$B:$B,""GRP"")&lt;&gt;1
    ),
    """",
    IFERROR(TEXTJOIN(CHAR(10),TRUE,FILTER('SUMMARY DATA'!F:F,'SUMMARY DATA'!$D:$D=$C148,'SUMMARY DATA'!$B:$B=""GRP"")),"""")
  )
)"),"")</f>
      </c>
      <c r="G1047" s="17" t="str">
        <f>IFERROR(__xludf.DUMMYFUNCTION("IFERROR(
  TEXTJOIN(CHAR(10),TRUE,FILTER('SUMMARY DATA'!G:G,'SUMMARY DATA'!$A:$A=$A1047,'SUMMARY DATA'!$C:$C=$B1047,'SUMMARY DATA'!$B:$B=""RWS"")),
  IF(
    OR(
      ISNUMBER(SEARCH(""CDM CASH DEPOSIT"",$C1047)),
      ISNUMBER(SEARCH(""CASH DEPOSIT"",$"&amp;"C1047)),
      COUNTIFS('SUMMARY DATA'!$D:$D,$C1047,'SUMMARY DATA'!$B:$B,""RWS"")&lt;&gt;1
    ),
    """",
    IFERROR(TEXTJOIN(CHAR(10),TRUE,FILTER('SUMMARY DATA'!G:G,'SUMMARY DATA'!$D:$D=$C1047,'SUMMARY DATA'!$B:$B=""RWS"")),"""")
  )
)"),"")</f>
      </c>
      <c r="H1047" s="18" t="str">
        <f>IFERROR(__xludf.DUMMYFUNCTION("IFERROR(
  TEXTJOIN(CHAR(10),TRUE,FILTER('SUMMARY DATA'!H:H,'SUMMARY DATA'!$A:$A=$A1047,'SUMMARY DATA'!$C:$C=$B1047,'SUMMARY DATA'!$B:$B=""RWS"",'SUMMARY DATA'!$H:$H=$D1047)),
  IF(
    OR(
      ISNUMBER(SEARCH(""CDM CASH DEPOSIT"",$C1047)),
      ISNUMB"&amp;"ER(SEARCH(""CASH DEPOSIT"",$C1047))
    ),
    """",
    IFERROR(TEXTJOIN(CHAR(10),TRUE,FILTER('SUMMARY DATA'!H:H,'SUMMARY DATA'!$D:$D=$C1047,'SUMMARY DATA'!$B:$B=""RWS"",'SUMMARY DATA'!$H:$H=$D1047)),"""")
  )
)"),"")</f>
      </c>
      <c r="I1047" s="18" t="str">
        <f>IFERROR(__xludf.DUMMYFUNCTION("IF(H1047="""","""",
SUM(ARRAYFORMULA(VALUE(SPLIT(H1047,CHAR(10)))))
)"),"")</f>
      </c>
      <c r="J1047" s="17" t="str">
        <f>IFERROR(__xludf.DUMMYFUNCTION("IFERROR(
  TEXTJOIN(CHAR(10),TRUE,FILTER('SUMMARY DATA'!I:I,'SUMMARY DATA'!$A:$A=$A1047,'SUMMARY DATA'!$C:$C=$B1047,'SUMMARY DATA'!$B:$B=""RWS"")),
  IF(
    OR(
      ISNUMBER(SEARCH(""CDM CASH DEPOSIT"",$C1047)),
      ISNUMBER(SEARCH(""CASH DEPOSIT"",$"&amp;"C1047)),
      COUNTIFS('SUMMARY DATA'!$D:$D,$C1047,'SUMMARY DATA'!$B:$B,""RWS"")&lt;&gt;1
    ),
    """",
    IFERROR(TEXTJOIN(CHAR(10),TRUE,FILTER('SUMMARY DATA'!I:I,'SUMMARY DATA'!$D:$D=$C1047,'SUMMARY DATA'!$B:$B=""RWS"")),"""")
  )
)"),"")</f>
      </c>
      <c r="K1047" s="2"/>
      <c r="L1047" s="2"/>
      <c r="M1047" s="2"/>
      <c r="N1047" s="2"/>
      <c r="O1047" s="2"/>
      <c r="P1047" s="2"/>
      <c r="Q1047" s="2"/>
      <c r="R1047" s="2"/>
      <c r="S1047" s="2"/>
      <c r="T1047" s="2"/>
      <c r="U1047" s="2"/>
      <c r="V1047" s="2"/>
      <c r="W1047" s="2"/>
      <c r="X1047" s="2"/>
      <c r="Y1047" s="2"/>
      <c r="Z1047" s="2"/>
      <c r="AA1047" s="2"/>
      <c r="AB1047" s="2"/>
    </row>
    <row r="1048" spans="1:28" customHeight="true">
      <c r="A1048" s="2" t="s">
        <v>1446</v>
      </c>
      <c r="B1048" s="15">
        <v>45787</v>
      </c>
      <c r="C1048" s="2" t="s">
        <v>1586</v>
      </c>
      <c r="D1048" s="6">
        <v>10</v>
      </c>
      <c r="E1048" s="16" t="str">
        <f>IFERROR(__xludf.DUMMYFUNCTION("IFERROR(
  TEXTJOIN(CHAR(10),TRUE,FILTER('SUMMARY DATA'!E:E,'SUMMARY DATA'!$A:$A=$A149,'SUMMARY DATA'!$C:$C=$B149,'SUMMARY DATA'!$B:$B=""GRP"")),
  IF(
    OR(
      ISNUMBER(SEARCH(""CDM CASH DEPOSIT"",$C149)),
      ISNUMBER(SEARCH(""CASH DEPOSIT"",$C14"&amp;"9)),
      COUNTIFS('SUMMARY DATA'!$D:$D,$C149,'SUMMARY DATA'!$B:$B,""GRP"")&lt;&gt;1
    ),
    """",
    IFERROR(TEXTJOIN(CHAR(10),TRUE,FILTER('SUMMARY DATA'!E:E,'SUMMARY DATA'!$D:$D=$C149,'SUMMARY DATA'!$B:$B=""GRP"")),"""")
  )
)"),"")</f>
      </c>
      <c r="F1048" s="17" t="str">
        <f>IFERROR(__xludf.DUMMYFUNCTION("IFERROR(
  TEXTJOIN(CHAR(10),TRUE,FILTER('SUMMARY DATA'!F:F,'SUMMARY DATA'!$A:$A=$A149,'SUMMARY DATA'!$C:$C=$B149,'SUMMARY DATA'!$B:$B=""GRP"")),
  IF(
    OR(
      ISNUMBER(SEARCH(""CDM CASH DEPOSIT"",$C149)),
      ISNUMBER(SEARCH(""CASH DEPOSIT"",$C14"&amp;"9)),
      COUNTIFS('SUMMARY DATA'!$D:$D,$C149,'SUMMARY DATA'!$B:$B,""GRP"")&lt;&gt;1
    ),
    """",
    IFERROR(TEXTJOIN(CHAR(10),TRUE,FILTER('SUMMARY DATA'!F:F,'SUMMARY DATA'!$D:$D=$C149,'SUMMARY DATA'!$B:$B=""GRP"")),"""")
  )
)"),"")</f>
      </c>
      <c r="G1048" s="17" t="str">
        <f>IFERROR(__xludf.DUMMYFUNCTION("IFERROR(
  TEXTJOIN(CHAR(10),TRUE,FILTER('SUMMARY DATA'!G:G,'SUMMARY DATA'!$A:$A=$A1048,'SUMMARY DATA'!$C:$C=$B1048,'SUMMARY DATA'!$B:$B=""RWS"")),
  IF(
    OR(
      ISNUMBER(SEARCH(""CDM CASH DEPOSIT"",$C1048)),
      ISNUMBER(SEARCH(""CASH DEPOSIT"",$"&amp;"C1048)),
      COUNTIFS('SUMMARY DATA'!$D:$D,$C1048,'SUMMARY DATA'!$B:$B,""RWS"")&lt;&gt;1
    ),
    """",
    IFERROR(TEXTJOIN(CHAR(10),TRUE,FILTER('SUMMARY DATA'!G:G,'SUMMARY DATA'!$D:$D=$C1048,'SUMMARY DATA'!$B:$B=""RWS"")),"""")
  )
)"),"")</f>
      </c>
      <c r="H1048" s="18" t="str">
        <f>IFERROR(__xludf.DUMMYFUNCTION("IFERROR(
  TEXTJOIN(CHAR(10),TRUE,FILTER('SUMMARY DATA'!H:H,'SUMMARY DATA'!$A:$A=$A1048,'SUMMARY DATA'!$C:$C=$B1048,'SUMMARY DATA'!$B:$B=""RWS"",'SUMMARY DATA'!$H:$H=$D1048)),
  IF(
    OR(
      ISNUMBER(SEARCH(""CDM CASH DEPOSIT"",$C1048)),
      ISNUMB"&amp;"ER(SEARCH(""CASH DEPOSIT"",$C1048))
    ),
    """",
    IFERROR(TEXTJOIN(CHAR(10),TRUE,FILTER('SUMMARY DATA'!H:H,'SUMMARY DATA'!$D:$D=$C1048,'SUMMARY DATA'!$B:$B=""RWS"",'SUMMARY DATA'!$H:$H=$D1048)),"""")
  )
)"),"")</f>
      </c>
      <c r="I1048" s="18" t="str">
        <f>IFERROR(__xludf.DUMMYFUNCTION("IF(H1048="""","""",
SUM(ARRAYFORMULA(VALUE(SPLIT(H1048,CHAR(10)))))
)"),"")</f>
      </c>
      <c r="J1048" s="17" t="str">
        <f>IFERROR(__xludf.DUMMYFUNCTION("IFERROR(
  TEXTJOIN(CHAR(10),TRUE,FILTER('SUMMARY DATA'!I:I,'SUMMARY DATA'!$A:$A=$A1048,'SUMMARY DATA'!$C:$C=$B1048,'SUMMARY DATA'!$B:$B=""RWS"")),
  IF(
    OR(
      ISNUMBER(SEARCH(""CDM CASH DEPOSIT"",$C1048)),
      ISNUMBER(SEARCH(""CASH DEPOSIT"",$"&amp;"C1048)),
      COUNTIFS('SUMMARY DATA'!$D:$D,$C1048,'SUMMARY DATA'!$B:$B,""RWS"")&lt;&gt;1
    ),
    """",
    IFERROR(TEXTJOIN(CHAR(10),TRUE,FILTER('SUMMARY DATA'!I:I,'SUMMARY DATA'!$D:$D=$C1048,'SUMMARY DATA'!$B:$B=""RWS"")),"""")
  )
)"),"")</f>
      </c>
      <c r="K1048" s="2"/>
      <c r="L1048" s="2"/>
      <c r="M1048" s="2"/>
      <c r="N1048" s="2"/>
      <c r="O1048" s="2"/>
      <c r="P1048" s="2"/>
      <c r="Q1048" s="2"/>
      <c r="R1048" s="2"/>
      <c r="S1048" s="2"/>
      <c r="T1048" s="2"/>
      <c r="U1048" s="2"/>
      <c r="V1048" s="2"/>
      <c r="W1048" s="2"/>
      <c r="X1048" s="2"/>
      <c r="Y1048" s="2"/>
      <c r="Z1048" s="2"/>
      <c r="AA1048" s="2"/>
      <c r="AB1048" s="2"/>
    </row>
    <row r="1049" spans="1:28" customHeight="true">
      <c r="A1049" s="2" t="s">
        <v>1587</v>
      </c>
      <c r="B1049" s="15">
        <v>45787</v>
      </c>
      <c r="C1049" s="2" t="s">
        <v>1588</v>
      </c>
      <c r="D1049" s="6">
        <v>4</v>
      </c>
      <c r="E1049" s="16" t="str">
        <f>IFERROR(__xludf.DUMMYFUNCTION("IFERROR(
  TEXTJOIN(CHAR(10),TRUE,FILTER('SUMMARY DATA'!E:E,'SUMMARY DATA'!$A:$A=$A150,'SUMMARY DATA'!$C:$C=$B150,'SUMMARY DATA'!$B:$B=""GRP"")),
  IF(
    OR(
      ISNUMBER(SEARCH(""CDM CASH DEPOSIT"",$C150)),
      ISNUMBER(SEARCH(""CASH DEPOSIT"",$C15"&amp;"0)),
      COUNTIFS('SUMMARY DATA'!$D:$D,$C150,'SUMMARY DATA'!$B:$B,""GRP"")&lt;&gt;1
    ),
    """",
    IFERROR(TEXTJOIN(CHAR(10),TRUE,FILTER('SUMMARY DATA'!E:E,'SUMMARY DATA'!$D:$D=$C150,'SUMMARY DATA'!$B:$B=""GRP"")),"""")
  )
)"),"")</f>
      </c>
      <c r="F1049" s="17" t="str">
        <f>IFERROR(__xludf.DUMMYFUNCTION("IFERROR(
  TEXTJOIN(CHAR(10),TRUE,FILTER('SUMMARY DATA'!F:F,'SUMMARY DATA'!$A:$A=$A150,'SUMMARY DATA'!$C:$C=$B150,'SUMMARY DATA'!$B:$B=""GRP"")),
  IF(
    OR(
      ISNUMBER(SEARCH(""CDM CASH DEPOSIT"",$C150)),
      ISNUMBER(SEARCH(""CASH DEPOSIT"",$C15"&amp;"0)),
      COUNTIFS('SUMMARY DATA'!$D:$D,$C150,'SUMMARY DATA'!$B:$B,""GRP"")&lt;&gt;1
    ),
    """",
    IFERROR(TEXTJOIN(CHAR(10),TRUE,FILTER('SUMMARY DATA'!F:F,'SUMMARY DATA'!$D:$D=$C150,'SUMMARY DATA'!$B:$B=""GRP"")),"""")
  )
)"),"")</f>
      </c>
      <c r="G1049" s="17" t="str">
        <f>IFERROR(__xludf.DUMMYFUNCTION("IFERROR(
  TEXTJOIN(CHAR(10),TRUE,FILTER('SUMMARY DATA'!G:G,'SUMMARY DATA'!$A:$A=$A1049,'SUMMARY DATA'!$C:$C=$B1049,'SUMMARY DATA'!$B:$B=""RWS"")),
  IF(
    OR(
      ISNUMBER(SEARCH(""CDM CASH DEPOSIT"",$C1049)),
      ISNUMBER(SEARCH(""CASH DEPOSIT"",$"&amp;"C1049)),
      COUNTIFS('SUMMARY DATA'!$D:$D,$C1049,'SUMMARY DATA'!$B:$B,""RWS"")&lt;&gt;1
    ),
    """",
    IFERROR(TEXTJOIN(CHAR(10),TRUE,FILTER('SUMMARY DATA'!G:G,'SUMMARY DATA'!$D:$D=$C1049,'SUMMARY DATA'!$B:$B=""RWS"")),"""")
  )
)"),"")</f>
      </c>
      <c r="H1049" s="18" t="str">
        <f>IFERROR(__xludf.DUMMYFUNCTION("IFERROR(
  TEXTJOIN(CHAR(10),TRUE,FILTER('SUMMARY DATA'!H:H,'SUMMARY DATA'!$A:$A=$A1049,'SUMMARY DATA'!$C:$C=$B1049,'SUMMARY DATA'!$B:$B=""RWS"",'SUMMARY DATA'!$H:$H=$D1049)),
  IF(
    OR(
      ISNUMBER(SEARCH(""CDM CASH DEPOSIT"",$C1049)),
      ISNUMB"&amp;"ER(SEARCH(""CASH DEPOSIT"",$C1049))
    ),
    """",
    IFERROR(TEXTJOIN(CHAR(10),TRUE,FILTER('SUMMARY DATA'!H:H,'SUMMARY DATA'!$D:$D=$C1049,'SUMMARY DATA'!$B:$B=""RWS"",'SUMMARY DATA'!$H:$H=$D1049)),"""")
  )
)"),"")</f>
      </c>
      <c r="I1049" s="18" t="str">
        <f>IFERROR(__xludf.DUMMYFUNCTION("IF(H1049="""","""",
SUM(ARRAYFORMULA(VALUE(SPLIT(H1049,CHAR(10)))))
)"),"")</f>
      </c>
      <c r="J1049" s="17" t="str">
        <f>IFERROR(__xludf.DUMMYFUNCTION("IFERROR(
  TEXTJOIN(CHAR(10),TRUE,FILTER('SUMMARY DATA'!I:I,'SUMMARY DATA'!$A:$A=$A1049,'SUMMARY DATA'!$C:$C=$B1049,'SUMMARY DATA'!$B:$B=""RWS"")),
  IF(
    OR(
      ISNUMBER(SEARCH(""CDM CASH DEPOSIT"",$C1049)),
      ISNUMBER(SEARCH(""CASH DEPOSIT"",$"&amp;"C1049)),
      COUNTIFS('SUMMARY DATA'!$D:$D,$C1049,'SUMMARY DATA'!$B:$B,""RWS"")&lt;&gt;1
    ),
    """",
    IFERROR(TEXTJOIN(CHAR(10),TRUE,FILTER('SUMMARY DATA'!I:I,'SUMMARY DATA'!$D:$D=$C1049,'SUMMARY DATA'!$B:$B=""RWS"")),"""")
  )
)"),"")</f>
      </c>
      <c r="K1049" s="2"/>
      <c r="L1049" s="2"/>
      <c r="M1049" s="2"/>
      <c r="N1049" s="2"/>
      <c r="O1049" s="2"/>
      <c r="P1049" s="2"/>
      <c r="Q1049" s="2"/>
      <c r="R1049" s="2"/>
      <c r="S1049" s="2"/>
      <c r="T1049" s="2"/>
      <c r="U1049" s="2"/>
      <c r="V1049" s="2"/>
      <c r="W1049" s="2"/>
      <c r="X1049" s="2"/>
      <c r="Y1049" s="2"/>
      <c r="Z1049" s="2"/>
      <c r="AA1049" s="2"/>
      <c r="AB1049" s="2"/>
    </row>
    <row r="1050" spans="1:28" customHeight="true">
      <c r="A1050" s="2"/>
      <c r="B1050" s="15">
        <v>45788</v>
      </c>
      <c r="C1050" s="2" t="s">
        <v>1589</v>
      </c>
      <c r="D1050" s="6">
        <v>2083.83</v>
      </c>
      <c r="E1050" s="16" t="str">
        <f>IFERROR(__xludf.DUMMYFUNCTION("IFERROR(
  TEXTJOIN(CHAR(10),TRUE,FILTER('SUMMARY DATA'!E:E,'SUMMARY DATA'!$A:$A=$A151,'SUMMARY DATA'!$C:$C=$B151,'SUMMARY DATA'!$B:$B=""GRP"")),
  IF(
    OR(
      ISNUMBER(SEARCH(""CDM CASH DEPOSIT"",$C151)),
      ISNUMBER(SEARCH(""CASH DEPOSIT"",$C15"&amp;"1)),
      COUNTIFS('SUMMARY DATA'!$D:$D,$C151,'SUMMARY DATA'!$B:$B,""GRP"")&lt;&gt;1
    ),
    """",
    IFERROR(TEXTJOIN(CHAR(10),TRUE,FILTER('SUMMARY DATA'!E:E,'SUMMARY DATA'!$D:$D=$C151,'SUMMARY DATA'!$B:$B=""GRP"")),"""")
  )
)"),"")</f>
      </c>
      <c r="F1050" s="17" t="str">
        <f>IFERROR(__xludf.DUMMYFUNCTION("IFERROR(
  TEXTJOIN(CHAR(10),TRUE,FILTER('SUMMARY DATA'!F:F,'SUMMARY DATA'!$A:$A=$A151,'SUMMARY DATA'!$C:$C=$B151,'SUMMARY DATA'!$B:$B=""GRP"")),
  IF(
    OR(
      ISNUMBER(SEARCH(""CDM CASH DEPOSIT"",$C151)),
      ISNUMBER(SEARCH(""CASH DEPOSIT"",$C15"&amp;"1)),
      COUNTIFS('SUMMARY DATA'!$D:$D,$C151,'SUMMARY DATA'!$B:$B,""GRP"")&lt;&gt;1
    ),
    """",
    IFERROR(TEXTJOIN(CHAR(10),TRUE,FILTER('SUMMARY DATA'!F:F,'SUMMARY DATA'!$D:$D=$C151,'SUMMARY DATA'!$B:$B=""GRP"")),"""")
  )
)"),"")</f>
      </c>
      <c r="G1050" s="17" t="str">
        <f>IFERROR(__xludf.DUMMYFUNCTION("IFERROR(
  TEXTJOIN(CHAR(10),TRUE,FILTER('SUMMARY DATA'!G:G,'SUMMARY DATA'!$A:$A=$A1050,'SUMMARY DATA'!$C:$C=$B1050,'SUMMARY DATA'!$B:$B=""RWS"")),
  IF(
    OR(
      ISNUMBER(SEARCH(""CDM CASH DEPOSIT"",$C1050)),
      ISNUMBER(SEARCH(""CASH DEPOSIT"",$"&amp;"C1050)),
      COUNTIFS('SUMMARY DATA'!$D:$D,$C1050,'SUMMARY DATA'!$B:$B,""RWS"")&lt;&gt;1
    ),
    """",
    IFERROR(TEXTJOIN(CHAR(10),TRUE,FILTER('SUMMARY DATA'!G:G,'SUMMARY DATA'!$D:$D=$C1050,'SUMMARY DATA'!$B:$B=""RWS"")),"""")
  )
)"),"")</f>
      </c>
      <c r="H1050" s="18" t="str">
        <f>IFERROR(__xludf.DUMMYFUNCTION("IFERROR(
  TEXTJOIN(CHAR(10),TRUE,FILTER('SUMMARY DATA'!H:H,'SUMMARY DATA'!$A:$A=$A1050,'SUMMARY DATA'!$C:$C=$B1050,'SUMMARY DATA'!$B:$B=""RWS"",'SUMMARY DATA'!$H:$H=$D1050)),
  IF(
    OR(
      ISNUMBER(SEARCH(""CDM CASH DEPOSIT"",$C1050)),
      ISNUMB"&amp;"ER(SEARCH(""CASH DEPOSIT"",$C1050))
    ),
    """",
    IFERROR(TEXTJOIN(CHAR(10),TRUE,FILTER('SUMMARY DATA'!H:H,'SUMMARY DATA'!$D:$D=$C1050,'SUMMARY DATA'!$B:$B=""RWS"",'SUMMARY DATA'!$H:$H=$D1050)),"""")
  )
)"),"")</f>
      </c>
      <c r="I1050" s="18" t="str">
        <f>IFERROR(__xludf.DUMMYFUNCTION("IF(H1050="""","""",
SUM(ARRAYFORMULA(VALUE(SPLIT(H1050,CHAR(10)))))
)"),"")</f>
      </c>
      <c r="J1050" s="17" t="str">
        <f>IFERROR(__xludf.DUMMYFUNCTION("IFERROR(
  TEXTJOIN(CHAR(10),TRUE,FILTER('SUMMARY DATA'!I:I,'SUMMARY DATA'!$A:$A=$A1050,'SUMMARY DATA'!$C:$C=$B1050,'SUMMARY DATA'!$B:$B=""RWS"")),
  IF(
    OR(
      ISNUMBER(SEARCH(""CDM CASH DEPOSIT"",$C1050)),
      ISNUMBER(SEARCH(""CASH DEPOSIT"",$"&amp;"C1050)),
      COUNTIFS('SUMMARY DATA'!$D:$D,$C1050,'SUMMARY DATA'!$B:$B,""RWS"")&lt;&gt;1
    ),
    """",
    IFERROR(TEXTJOIN(CHAR(10),TRUE,FILTER('SUMMARY DATA'!I:I,'SUMMARY DATA'!$D:$D=$C1050,'SUMMARY DATA'!$B:$B=""RWS"")),"""")
  )
)"),"")</f>
      </c>
      <c r="K1050" s="2"/>
      <c r="L1050" s="2"/>
      <c r="M1050" s="2"/>
      <c r="N1050" s="2"/>
      <c r="O1050" s="2"/>
      <c r="P1050" s="2"/>
      <c r="Q1050" s="2"/>
      <c r="R1050" s="2"/>
      <c r="S1050" s="2"/>
      <c r="T1050" s="2"/>
      <c r="U1050" s="2"/>
      <c r="V1050" s="2"/>
      <c r="W1050" s="2"/>
      <c r="X1050" s="2"/>
      <c r="Y1050" s="2"/>
      <c r="Z1050" s="2"/>
      <c r="AA1050" s="2"/>
      <c r="AB1050" s="2"/>
    </row>
    <row r="1051" spans="1:28" customHeight="true">
      <c r="A1051" s="2"/>
      <c r="B1051" s="15">
        <v>45788</v>
      </c>
      <c r="C1051" s="2" t="s">
        <v>1583</v>
      </c>
      <c r="D1051" s="6">
        <v>194.08</v>
      </c>
      <c r="E1051" s="16" t="str">
        <f>IFERROR(__xludf.DUMMYFUNCTION("IFERROR(
  TEXTJOIN(CHAR(10),TRUE,FILTER('SUMMARY DATA'!E:E,'SUMMARY DATA'!$A:$A=$A152,'SUMMARY DATA'!$C:$C=$B152,'SUMMARY DATA'!$B:$B=""GRP"")),
  IF(
    OR(
      ISNUMBER(SEARCH(""CDM CASH DEPOSIT"",$C152)),
      ISNUMBER(SEARCH(""CASH DEPOSIT"",$C15"&amp;"2)),
      COUNTIFS('SUMMARY DATA'!$D:$D,$C152,'SUMMARY DATA'!$B:$B,""GRP"")&lt;&gt;1
    ),
    """",
    IFERROR(TEXTJOIN(CHAR(10),TRUE,FILTER('SUMMARY DATA'!E:E,'SUMMARY DATA'!$D:$D=$C152,'SUMMARY DATA'!$B:$B=""GRP"")),"""")
  )
)"),"")</f>
      </c>
      <c r="F1051" s="17" t="str">
        <f>IFERROR(__xludf.DUMMYFUNCTION("IFERROR(
  TEXTJOIN(CHAR(10),TRUE,FILTER('SUMMARY DATA'!F:F,'SUMMARY DATA'!$A:$A=$A152,'SUMMARY DATA'!$C:$C=$B152,'SUMMARY DATA'!$B:$B=""GRP"")),
  IF(
    OR(
      ISNUMBER(SEARCH(""CDM CASH DEPOSIT"",$C152)),
      ISNUMBER(SEARCH(""CASH DEPOSIT"",$C15"&amp;"2)),
      COUNTIFS('SUMMARY DATA'!$D:$D,$C152,'SUMMARY DATA'!$B:$B,""GRP"")&lt;&gt;1
    ),
    """",
    IFERROR(TEXTJOIN(CHAR(10),TRUE,FILTER('SUMMARY DATA'!F:F,'SUMMARY DATA'!$D:$D=$C152,'SUMMARY DATA'!$B:$B=""GRP"")),"""")
  )
)"),"")</f>
      </c>
      <c r="G1051" s="17" t="str">
        <f>IFERROR(__xludf.DUMMYFUNCTION("IFERROR(
  TEXTJOIN(CHAR(10),TRUE,FILTER('SUMMARY DATA'!G:G,'SUMMARY DATA'!$A:$A=$A1051,'SUMMARY DATA'!$C:$C=$B1051,'SUMMARY DATA'!$B:$B=""RWS"")),
  IF(
    OR(
      ISNUMBER(SEARCH(""CDM CASH DEPOSIT"",$C1051)),
      ISNUMBER(SEARCH(""CASH DEPOSIT"",$"&amp;"C1051)),
      COUNTIFS('SUMMARY DATA'!$D:$D,$C1051,'SUMMARY DATA'!$B:$B,""RWS"")&lt;&gt;1
    ),
    """",
    IFERROR(TEXTJOIN(CHAR(10),TRUE,FILTER('SUMMARY DATA'!G:G,'SUMMARY DATA'!$D:$D=$C1051,'SUMMARY DATA'!$B:$B=""RWS"")),"""")
  )
)"),"")</f>
      </c>
      <c r="H1051" s="18" t="str">
        <f>IFERROR(__xludf.DUMMYFUNCTION("IFERROR(
  TEXTJOIN(CHAR(10),TRUE,FILTER('SUMMARY DATA'!H:H,'SUMMARY DATA'!$A:$A=$A1051,'SUMMARY DATA'!$C:$C=$B1051,'SUMMARY DATA'!$B:$B=""RWS"",'SUMMARY DATA'!$H:$H=$D1051)),
  IF(
    OR(
      ISNUMBER(SEARCH(""CDM CASH DEPOSIT"",$C1051)),
      ISNUMB"&amp;"ER(SEARCH(""CASH DEPOSIT"",$C1051))
    ),
    """",
    IFERROR(TEXTJOIN(CHAR(10),TRUE,FILTER('SUMMARY DATA'!H:H,'SUMMARY DATA'!$D:$D=$C1051,'SUMMARY DATA'!$B:$B=""RWS"",'SUMMARY DATA'!$H:$H=$D1051)),"""")
  )
)"),"")</f>
      </c>
      <c r="I1051" s="18" t="str">
        <f>IFERROR(__xludf.DUMMYFUNCTION("IF(H1051="""","""",
SUM(ARRAYFORMULA(VALUE(SPLIT(H1051,CHAR(10)))))
)"),"")</f>
      </c>
      <c r="J1051" s="17" t="str">
        <f>IFERROR(__xludf.DUMMYFUNCTION("IFERROR(
  TEXTJOIN(CHAR(10),TRUE,FILTER('SUMMARY DATA'!I:I,'SUMMARY DATA'!$A:$A=$A1051,'SUMMARY DATA'!$C:$C=$B1051,'SUMMARY DATA'!$B:$B=""RWS"")),
  IF(
    OR(
      ISNUMBER(SEARCH(""CDM CASH DEPOSIT"",$C1051)),
      ISNUMBER(SEARCH(""CASH DEPOSIT"",$"&amp;"C1051)),
      COUNTIFS('SUMMARY DATA'!$D:$D,$C1051,'SUMMARY DATA'!$B:$B,""RWS"")&lt;&gt;1
    ),
    """",
    IFERROR(TEXTJOIN(CHAR(10),TRUE,FILTER('SUMMARY DATA'!I:I,'SUMMARY DATA'!$D:$D=$C1051,'SUMMARY DATA'!$B:$B=""RWS"")),"""")
  )
)"),"")</f>
      </c>
      <c r="K1051" s="2"/>
      <c r="L1051" s="2"/>
      <c r="M1051" s="2"/>
      <c r="N1051" s="2"/>
      <c r="O1051" s="2"/>
      <c r="P1051" s="2"/>
      <c r="Q1051" s="2"/>
      <c r="R1051" s="2"/>
      <c r="S1051" s="2"/>
      <c r="T1051" s="2"/>
      <c r="U1051" s="2"/>
      <c r="V1051" s="2"/>
      <c r="W1051" s="2"/>
      <c r="X1051" s="2"/>
      <c r="Y1051" s="2"/>
      <c r="Z1051" s="2"/>
      <c r="AA1051" s="2"/>
      <c r="AB1051" s="2"/>
    </row>
    <row r="1052" spans="1:28" customHeight="true">
      <c r="A1052" s="2"/>
      <c r="B1052" s="15">
        <v>45789</v>
      </c>
      <c r="C1052" s="2" t="s">
        <v>1590</v>
      </c>
      <c r="D1052" s="6">
        <v>292.5</v>
      </c>
      <c r="E1052" s="16" t="str">
        <f>IFERROR(__xludf.DUMMYFUNCTION("IFERROR(
  TEXTJOIN(CHAR(10),TRUE,FILTER('SUMMARY DATA'!E:E,'SUMMARY DATA'!$A:$A=$A153,'SUMMARY DATA'!$C:$C=$B153,'SUMMARY DATA'!$B:$B=""GRP"")),
  IF(
    OR(
      ISNUMBER(SEARCH(""CDM CASH DEPOSIT"",$C153)),
      ISNUMBER(SEARCH(""CASH DEPOSIT"",$C15"&amp;"3)),
      COUNTIFS('SUMMARY DATA'!$D:$D,$C153,'SUMMARY DATA'!$B:$B,""GRP"")&lt;&gt;1
    ),
    """",
    IFERROR(TEXTJOIN(CHAR(10),TRUE,FILTER('SUMMARY DATA'!E:E,'SUMMARY DATA'!$D:$D=$C153,'SUMMARY DATA'!$B:$B=""GRP"")),"""")
  )
)"),"")</f>
      </c>
      <c r="F1052" s="17" t="str">
        <f>IFERROR(__xludf.DUMMYFUNCTION("IFERROR(
  TEXTJOIN(CHAR(10),TRUE,FILTER('SUMMARY DATA'!F:F,'SUMMARY DATA'!$A:$A=$A153,'SUMMARY DATA'!$C:$C=$B153,'SUMMARY DATA'!$B:$B=""GRP"")),
  IF(
    OR(
      ISNUMBER(SEARCH(""CDM CASH DEPOSIT"",$C153)),
      ISNUMBER(SEARCH(""CASH DEPOSIT"",$C15"&amp;"3)),
      COUNTIFS('SUMMARY DATA'!$D:$D,$C153,'SUMMARY DATA'!$B:$B,""GRP"")&lt;&gt;1
    ),
    """",
    IFERROR(TEXTJOIN(CHAR(10),TRUE,FILTER('SUMMARY DATA'!F:F,'SUMMARY DATA'!$D:$D=$C153,'SUMMARY DATA'!$B:$B=""GRP"")),"""")
  )
)"),"")</f>
      </c>
      <c r="G1052" s="17" t="str">
        <f>IFERROR(__xludf.DUMMYFUNCTION("IFERROR(
  TEXTJOIN(CHAR(10),TRUE,FILTER('SUMMARY DATA'!G:G,'SUMMARY DATA'!$A:$A=$A1052,'SUMMARY DATA'!$C:$C=$B1052,'SUMMARY DATA'!$B:$B=""RWS"")),
  IF(
    OR(
      ISNUMBER(SEARCH(""CDM CASH DEPOSIT"",$C1052)),
      ISNUMBER(SEARCH(""CASH DEPOSIT"",$"&amp;"C1052)),
      COUNTIFS('SUMMARY DATA'!$D:$D,$C1052,'SUMMARY DATA'!$B:$B,""RWS"")&lt;&gt;1
    ),
    """",
    IFERROR(TEXTJOIN(CHAR(10),TRUE,FILTER('SUMMARY DATA'!G:G,'SUMMARY DATA'!$D:$D=$C1052,'SUMMARY DATA'!$B:$B=""RWS"")),"""")
  )
)"),"")</f>
      </c>
      <c r="H1052" s="18" t="str">
        <f>IFERROR(__xludf.DUMMYFUNCTION("IFERROR(
  TEXTJOIN(CHAR(10),TRUE,FILTER('SUMMARY DATA'!H:H,'SUMMARY DATA'!$A:$A=$A1052,'SUMMARY DATA'!$C:$C=$B1052,'SUMMARY DATA'!$B:$B=""RWS"",'SUMMARY DATA'!$H:$H=$D1052)),
  IF(
    OR(
      ISNUMBER(SEARCH(""CDM CASH DEPOSIT"",$C1052)),
      ISNUMB"&amp;"ER(SEARCH(""CASH DEPOSIT"",$C1052))
    ),
    """",
    IFERROR(TEXTJOIN(CHAR(10),TRUE,FILTER('SUMMARY DATA'!H:H,'SUMMARY DATA'!$D:$D=$C1052,'SUMMARY DATA'!$B:$B=""RWS"",'SUMMARY DATA'!$H:$H=$D1052)),"""")
  )
)"),"")</f>
      </c>
      <c r="I1052" s="18" t="str">
        <f>IFERROR(__xludf.DUMMYFUNCTION("IF(H1052="""","""",
SUM(ARRAYFORMULA(VALUE(SPLIT(H1052,CHAR(10)))))
)"),"")</f>
      </c>
      <c r="J1052" s="17" t="str">
        <f>IFERROR(__xludf.DUMMYFUNCTION("IFERROR(
  TEXTJOIN(CHAR(10),TRUE,FILTER('SUMMARY DATA'!I:I,'SUMMARY DATA'!$A:$A=$A1052,'SUMMARY DATA'!$C:$C=$B1052,'SUMMARY DATA'!$B:$B=""RWS"")),
  IF(
    OR(
      ISNUMBER(SEARCH(""CDM CASH DEPOSIT"",$C1052)),
      ISNUMBER(SEARCH(""CASH DEPOSIT"",$"&amp;"C1052)),
      COUNTIFS('SUMMARY DATA'!$D:$D,$C1052,'SUMMARY DATA'!$B:$B,""RWS"")&lt;&gt;1
    ),
    """",
    IFERROR(TEXTJOIN(CHAR(10),TRUE,FILTER('SUMMARY DATA'!I:I,'SUMMARY DATA'!$D:$D=$C1052,'SUMMARY DATA'!$B:$B=""RWS"")),"""")
  )
)"),"")</f>
      </c>
      <c r="K1052" s="2"/>
      <c r="L1052" s="2"/>
      <c r="M1052" s="2"/>
      <c r="N1052" s="2"/>
      <c r="O1052" s="2"/>
      <c r="P1052" s="2"/>
      <c r="Q1052" s="2"/>
      <c r="R1052" s="2"/>
      <c r="S1052" s="2"/>
      <c r="T1052" s="2"/>
      <c r="U1052" s="2"/>
      <c r="V1052" s="2"/>
      <c r="W1052" s="2"/>
      <c r="X1052" s="2"/>
      <c r="Y1052" s="2"/>
      <c r="Z1052" s="2"/>
      <c r="AA1052" s="2"/>
      <c r="AB1052" s="2"/>
    </row>
    <row r="1053" spans="1:28" customHeight="true">
      <c r="A1053" s="2" t="s">
        <v>1442</v>
      </c>
      <c r="B1053" s="15">
        <v>45789</v>
      </c>
      <c r="C1053" s="2" t="s">
        <v>1591</v>
      </c>
      <c r="D1053" s="6">
        <v>76</v>
      </c>
      <c r="E1053" s="16" t="str">
        <f>IFERROR(__xludf.DUMMYFUNCTION("IFERROR(
  TEXTJOIN(CHAR(10),TRUE,FILTER('SUMMARY DATA'!E:E,'SUMMARY DATA'!$A:$A=$A154,'SUMMARY DATA'!$C:$C=$B154,'SUMMARY DATA'!$B:$B=""GRP"")),
  IF(
    OR(
      ISNUMBER(SEARCH(""CDM CASH DEPOSIT"",$C154)),
      ISNUMBER(SEARCH(""CASH DEPOSIT"",$C15"&amp;"4)),
      COUNTIFS('SUMMARY DATA'!$D:$D,$C154,'SUMMARY DATA'!$B:$B,""GRP"")&lt;&gt;1
    ),
    """",
    IFERROR(TEXTJOIN(CHAR(10),TRUE,FILTER('SUMMARY DATA'!E:E,'SUMMARY DATA'!$D:$D=$C154,'SUMMARY DATA'!$B:$B=""GRP"")),"""")
  )
)"),"")</f>
      </c>
      <c r="F1053" s="17" t="str">
        <f>IFERROR(__xludf.DUMMYFUNCTION("IFERROR(
  TEXTJOIN(CHAR(10),TRUE,FILTER('SUMMARY DATA'!F:F,'SUMMARY DATA'!$A:$A=$A154,'SUMMARY DATA'!$C:$C=$B154,'SUMMARY DATA'!$B:$B=""GRP"")),
  IF(
    OR(
      ISNUMBER(SEARCH(""CDM CASH DEPOSIT"",$C154)),
      ISNUMBER(SEARCH(""CASH DEPOSIT"",$C15"&amp;"4)),
      COUNTIFS('SUMMARY DATA'!$D:$D,$C154,'SUMMARY DATA'!$B:$B,""GRP"")&lt;&gt;1
    ),
    """",
    IFERROR(TEXTJOIN(CHAR(10),TRUE,FILTER('SUMMARY DATA'!F:F,'SUMMARY DATA'!$D:$D=$C154,'SUMMARY DATA'!$B:$B=""GRP"")),"""")
  )
)"),"")</f>
      </c>
      <c r="G1053" s="17" t="str">
        <f>IFERROR(__xludf.DUMMYFUNCTION("IFERROR(
  TEXTJOIN(CHAR(10),TRUE,FILTER('SUMMARY DATA'!G:G,'SUMMARY DATA'!$A:$A=$A1053,'SUMMARY DATA'!$C:$C=$B1053,'SUMMARY DATA'!$B:$B=""RWS"")),
  IF(
    OR(
      ISNUMBER(SEARCH(""CDM CASH DEPOSIT"",$C1053)),
      ISNUMBER(SEARCH(""CASH DEPOSIT"",$"&amp;"C1053)),
      COUNTIFS('SUMMARY DATA'!$D:$D,$C1053,'SUMMARY DATA'!$B:$B,""RWS"")&lt;&gt;1
    ),
    """",
    IFERROR(TEXTJOIN(CHAR(10),TRUE,FILTER('SUMMARY DATA'!G:G,'SUMMARY DATA'!$D:$D=$C1053,'SUMMARY DATA'!$B:$B=""RWS"")),"""")
  )
)"),"")</f>
      </c>
      <c r="H1053" s="18" t="str">
        <f>IFERROR(__xludf.DUMMYFUNCTION("IFERROR(
  TEXTJOIN(CHAR(10),TRUE,FILTER('SUMMARY DATA'!H:H,'SUMMARY DATA'!$A:$A=$A1053,'SUMMARY DATA'!$C:$C=$B1053,'SUMMARY DATA'!$B:$B=""RWS"",'SUMMARY DATA'!$H:$H=$D1053)),
  IF(
    OR(
      ISNUMBER(SEARCH(""CDM CASH DEPOSIT"",$C1053)),
      ISNUMB"&amp;"ER(SEARCH(""CASH DEPOSIT"",$C1053))
    ),
    """",
    IFERROR(TEXTJOIN(CHAR(10),TRUE,FILTER('SUMMARY DATA'!H:H,'SUMMARY DATA'!$D:$D=$C1053,'SUMMARY DATA'!$B:$B=""RWS"",'SUMMARY DATA'!$H:$H=$D1053)),"""")
  )
)"),"")</f>
      </c>
      <c r="I1053" s="18" t="str">
        <f>IFERROR(__xludf.DUMMYFUNCTION("IF(H1053="""","""",
SUM(ARRAYFORMULA(VALUE(SPLIT(H1053,CHAR(10)))))
)"),"")</f>
      </c>
      <c r="J1053" s="17" t="str">
        <f>IFERROR(__xludf.DUMMYFUNCTION("IFERROR(
  TEXTJOIN(CHAR(10),TRUE,FILTER('SUMMARY DATA'!I:I,'SUMMARY DATA'!$A:$A=$A1053,'SUMMARY DATA'!$C:$C=$B1053,'SUMMARY DATA'!$B:$B=""RWS"")),
  IF(
    OR(
      ISNUMBER(SEARCH(""CDM CASH DEPOSIT"",$C1053)),
      ISNUMBER(SEARCH(""CASH DEPOSIT"",$"&amp;"C1053)),
      COUNTIFS('SUMMARY DATA'!$D:$D,$C1053,'SUMMARY DATA'!$B:$B,""RWS"")&lt;&gt;1
    ),
    """",
    IFERROR(TEXTJOIN(CHAR(10),TRUE,FILTER('SUMMARY DATA'!I:I,'SUMMARY DATA'!$D:$D=$C1053,'SUMMARY DATA'!$B:$B=""RWS"")),"""")
  )
)"),"")</f>
      </c>
      <c r="K1053" s="2"/>
      <c r="L1053" s="2"/>
      <c r="M1053" s="2"/>
      <c r="N1053" s="2"/>
      <c r="O1053" s="2"/>
      <c r="P1053" s="2"/>
      <c r="Q1053" s="2"/>
      <c r="R1053" s="2"/>
      <c r="S1053" s="2"/>
      <c r="T1053" s="2"/>
      <c r="U1053" s="2"/>
      <c r="V1053" s="2"/>
      <c r="W1053" s="2"/>
      <c r="X1053" s="2"/>
      <c r="Y1053" s="2"/>
      <c r="Z1053" s="2"/>
      <c r="AA1053" s="2"/>
      <c r="AB1053" s="2"/>
    </row>
    <row r="1054" spans="1:28" customHeight="true">
      <c r="A1054" s="2" t="s">
        <v>1592</v>
      </c>
      <c r="B1054" s="15">
        <v>45789</v>
      </c>
      <c r="C1054" s="2" t="s">
        <v>1593</v>
      </c>
      <c r="D1054" s="6">
        <v>20</v>
      </c>
      <c r="E1054" s="16" t="str">
        <f>IFERROR(__xludf.DUMMYFUNCTION("IFERROR(
  TEXTJOIN(CHAR(10),TRUE,FILTER('SUMMARY DATA'!E:E,'SUMMARY DATA'!$A:$A=$A155,'SUMMARY DATA'!$C:$C=$B155,'SUMMARY DATA'!$B:$B=""GRP"")),
  IF(
    OR(
      ISNUMBER(SEARCH(""CDM CASH DEPOSIT"",$C155)),
      ISNUMBER(SEARCH(""CASH DEPOSIT"",$C15"&amp;"5)),
      COUNTIFS('SUMMARY DATA'!$D:$D,$C155,'SUMMARY DATA'!$B:$B,""GRP"")&lt;&gt;1
    ),
    """",
    IFERROR(TEXTJOIN(CHAR(10),TRUE,FILTER('SUMMARY DATA'!E:E,'SUMMARY DATA'!$D:$D=$C155,'SUMMARY DATA'!$B:$B=""GRP"")),"""")
  )
)"),"")</f>
      </c>
      <c r="F1054" s="17" t="str">
        <f>IFERROR(__xludf.DUMMYFUNCTION("IFERROR(
  TEXTJOIN(CHAR(10),TRUE,FILTER('SUMMARY DATA'!F:F,'SUMMARY DATA'!$A:$A=$A155,'SUMMARY DATA'!$C:$C=$B155,'SUMMARY DATA'!$B:$B=""GRP"")),
  IF(
    OR(
      ISNUMBER(SEARCH(""CDM CASH DEPOSIT"",$C155)),
      ISNUMBER(SEARCH(""CASH DEPOSIT"",$C15"&amp;"5)),
      COUNTIFS('SUMMARY DATA'!$D:$D,$C155,'SUMMARY DATA'!$B:$B,""GRP"")&lt;&gt;1
    ),
    """",
    IFERROR(TEXTJOIN(CHAR(10),TRUE,FILTER('SUMMARY DATA'!F:F,'SUMMARY DATA'!$D:$D=$C155,'SUMMARY DATA'!$B:$B=""GRP"")),"""")
  )
)"),"")</f>
      </c>
      <c r="G1054" s="17" t="str">
        <f>IFERROR(__xludf.DUMMYFUNCTION("IFERROR(
  TEXTJOIN(CHAR(10),TRUE,FILTER('SUMMARY DATA'!G:G,'SUMMARY DATA'!$A:$A=$A1054,'SUMMARY DATA'!$C:$C=$B1054,'SUMMARY DATA'!$B:$B=""RWS"")),
  IF(
    OR(
      ISNUMBER(SEARCH(""CDM CASH DEPOSIT"",$C1054)),
      ISNUMBER(SEARCH(""CASH DEPOSIT"",$"&amp;"C1054)),
      COUNTIFS('SUMMARY DATA'!$D:$D,$C1054,'SUMMARY DATA'!$B:$B,""RWS"")&lt;&gt;1
    ),
    """",
    IFERROR(TEXTJOIN(CHAR(10),TRUE,FILTER('SUMMARY DATA'!G:G,'SUMMARY DATA'!$D:$D=$C1054,'SUMMARY DATA'!$B:$B=""RWS"")),"""")
  )
)"),"")</f>
      </c>
      <c r="H1054" s="18" t="str">
        <f>IFERROR(__xludf.DUMMYFUNCTION("IFERROR(
  TEXTJOIN(CHAR(10),TRUE,FILTER('SUMMARY DATA'!H:H,'SUMMARY DATA'!$A:$A=$A1054,'SUMMARY DATA'!$C:$C=$B1054,'SUMMARY DATA'!$B:$B=""RWS"",'SUMMARY DATA'!$H:$H=$D1054)),
  IF(
    OR(
      ISNUMBER(SEARCH(""CDM CASH DEPOSIT"",$C1054)),
      ISNUMB"&amp;"ER(SEARCH(""CASH DEPOSIT"",$C1054))
    ),
    """",
    IFERROR(TEXTJOIN(CHAR(10),TRUE,FILTER('SUMMARY DATA'!H:H,'SUMMARY DATA'!$D:$D=$C1054,'SUMMARY DATA'!$B:$B=""RWS"",'SUMMARY DATA'!$H:$H=$D1054)),"""")
  )
)"),"")</f>
      </c>
      <c r="I1054" s="18" t="str">
        <f>IFERROR(__xludf.DUMMYFUNCTION("IF(H1054="""","""",
SUM(ARRAYFORMULA(VALUE(SPLIT(H1054,CHAR(10)))))
)"),"")</f>
      </c>
      <c r="J1054" s="17" t="str">
        <f>IFERROR(__xludf.DUMMYFUNCTION("IFERROR(
  TEXTJOIN(CHAR(10),TRUE,FILTER('SUMMARY DATA'!I:I,'SUMMARY DATA'!$A:$A=$A1054,'SUMMARY DATA'!$C:$C=$B1054,'SUMMARY DATA'!$B:$B=""RWS"")),
  IF(
    OR(
      ISNUMBER(SEARCH(""CDM CASH DEPOSIT"",$C1054)),
      ISNUMBER(SEARCH(""CASH DEPOSIT"",$"&amp;"C1054)),
      COUNTIFS('SUMMARY DATA'!$D:$D,$C1054,'SUMMARY DATA'!$B:$B,""RWS"")&lt;&gt;1
    ),
    """",
    IFERROR(TEXTJOIN(CHAR(10),TRUE,FILTER('SUMMARY DATA'!I:I,'SUMMARY DATA'!$D:$D=$C1054,'SUMMARY DATA'!$B:$B=""RWS"")),"""")
  )
)"),"")</f>
      </c>
      <c r="K1054" s="2"/>
      <c r="L1054" s="2"/>
      <c r="M1054" s="2"/>
      <c r="N1054" s="2"/>
      <c r="O1054" s="2"/>
      <c r="P1054" s="2"/>
      <c r="Q1054" s="2"/>
      <c r="R1054" s="2"/>
      <c r="S1054" s="2"/>
      <c r="T1054" s="2"/>
      <c r="U1054" s="2"/>
      <c r="V1054" s="2"/>
      <c r="W1054" s="2"/>
      <c r="X1054" s="2"/>
      <c r="Y1054" s="2"/>
      <c r="Z1054" s="2"/>
      <c r="AA1054" s="2"/>
      <c r="AB1054" s="2"/>
    </row>
    <row r="1055" spans="1:28" customHeight="true">
      <c r="A1055" s="2"/>
      <c r="B1055" s="15">
        <v>45790</v>
      </c>
      <c r="C1055" s="2" t="s">
        <v>1594</v>
      </c>
      <c r="D1055" s="6">
        <v>248</v>
      </c>
      <c r="E1055" s="16" t="str">
        <f>IFERROR(__xludf.DUMMYFUNCTION("IFERROR(
  TEXTJOIN(CHAR(10),TRUE,FILTER('SUMMARY DATA'!E:E,'SUMMARY DATA'!$A:$A=$A156,'SUMMARY DATA'!$C:$C=$B156,'SUMMARY DATA'!$B:$B=""GRP"")),
  IF(
    OR(
      ISNUMBER(SEARCH(""CDM CASH DEPOSIT"",$C156)),
      ISNUMBER(SEARCH(""CASH DEPOSIT"",$C15"&amp;"6)),
      COUNTIFS('SUMMARY DATA'!$D:$D,$C156,'SUMMARY DATA'!$B:$B,""GRP"")&lt;&gt;1
    ),
    """",
    IFERROR(TEXTJOIN(CHAR(10),TRUE,FILTER('SUMMARY DATA'!E:E,'SUMMARY DATA'!$D:$D=$C156,'SUMMARY DATA'!$B:$B=""GRP"")),"""")
  )
)"),"")</f>
      </c>
      <c r="F1055" s="17" t="str">
        <f>IFERROR(__xludf.DUMMYFUNCTION("IFERROR(
  TEXTJOIN(CHAR(10),TRUE,FILTER('SUMMARY DATA'!F:F,'SUMMARY DATA'!$A:$A=$A156,'SUMMARY DATA'!$C:$C=$B156,'SUMMARY DATA'!$B:$B=""GRP"")),
  IF(
    OR(
      ISNUMBER(SEARCH(""CDM CASH DEPOSIT"",$C156)),
      ISNUMBER(SEARCH(""CASH DEPOSIT"",$C15"&amp;"6)),
      COUNTIFS('SUMMARY DATA'!$D:$D,$C156,'SUMMARY DATA'!$B:$B,""GRP"")&lt;&gt;1
    ),
    """",
    IFERROR(TEXTJOIN(CHAR(10),TRUE,FILTER('SUMMARY DATA'!F:F,'SUMMARY DATA'!$D:$D=$C156,'SUMMARY DATA'!$B:$B=""GRP"")),"""")
  )
)"),"")</f>
      </c>
      <c r="G1055" s="17" t="str">
        <f>IFERROR(__xludf.DUMMYFUNCTION("IFERROR(
  TEXTJOIN(CHAR(10),TRUE,FILTER('SUMMARY DATA'!G:G,'SUMMARY DATA'!$A:$A=$A1055,'SUMMARY DATA'!$C:$C=$B1055,'SUMMARY DATA'!$B:$B=""RWS"")),
  IF(
    OR(
      ISNUMBER(SEARCH(""CDM CASH DEPOSIT"",$C1055)),
      ISNUMBER(SEARCH(""CASH DEPOSIT"",$"&amp;"C1055)),
      COUNTIFS('SUMMARY DATA'!$D:$D,$C1055,'SUMMARY DATA'!$B:$B,""RWS"")&lt;&gt;1
    ),
    """",
    IFERROR(TEXTJOIN(CHAR(10),TRUE,FILTER('SUMMARY DATA'!G:G,'SUMMARY DATA'!$D:$D=$C1055,'SUMMARY DATA'!$B:$B=""RWS"")),"""")
  )
)"),"")</f>
      </c>
      <c r="H1055" s="18" t="str">
        <f>IFERROR(__xludf.DUMMYFUNCTION("IFERROR(
  TEXTJOIN(CHAR(10),TRUE,FILTER('SUMMARY DATA'!H:H,'SUMMARY DATA'!$A:$A=$A1055,'SUMMARY DATA'!$C:$C=$B1055,'SUMMARY DATA'!$B:$B=""RWS"",'SUMMARY DATA'!$H:$H=$D1055)),
  IF(
    OR(
      ISNUMBER(SEARCH(""CDM CASH DEPOSIT"",$C1055)),
      ISNUMB"&amp;"ER(SEARCH(""CASH DEPOSIT"",$C1055))
    ),
    """",
    IFERROR(TEXTJOIN(CHAR(10),TRUE,FILTER('SUMMARY DATA'!H:H,'SUMMARY DATA'!$D:$D=$C1055,'SUMMARY DATA'!$B:$B=""RWS"",'SUMMARY DATA'!$H:$H=$D1055)),"""")
  )
)"),"")</f>
      </c>
      <c r="I1055" s="18" t="str">
        <f>IFERROR(__xludf.DUMMYFUNCTION("IF(H1055="""","""",
SUM(ARRAYFORMULA(VALUE(SPLIT(H1055,CHAR(10)))))
)"),"")</f>
      </c>
      <c r="J1055" s="17" t="str">
        <f>IFERROR(__xludf.DUMMYFUNCTION("IFERROR(
  TEXTJOIN(CHAR(10),TRUE,FILTER('SUMMARY DATA'!I:I,'SUMMARY DATA'!$A:$A=$A1055,'SUMMARY DATA'!$C:$C=$B1055,'SUMMARY DATA'!$B:$B=""RWS"")),
  IF(
    OR(
      ISNUMBER(SEARCH(""CDM CASH DEPOSIT"",$C1055)),
      ISNUMBER(SEARCH(""CASH DEPOSIT"",$"&amp;"C1055)),
      COUNTIFS('SUMMARY DATA'!$D:$D,$C1055,'SUMMARY DATA'!$B:$B,""RWS"")&lt;&gt;1
    ),
    """",
    IFERROR(TEXTJOIN(CHAR(10),TRUE,FILTER('SUMMARY DATA'!I:I,'SUMMARY DATA'!$D:$D=$C1055,'SUMMARY DATA'!$B:$B=""RWS"")),"""")
  )
)"),"")</f>
      </c>
      <c r="K1055" s="2"/>
      <c r="L1055" s="2"/>
      <c r="M1055" s="2"/>
      <c r="N1055" s="2"/>
      <c r="O1055" s="2"/>
      <c r="P1055" s="2"/>
      <c r="Q1055" s="2"/>
      <c r="R1055" s="2"/>
      <c r="S1055" s="2"/>
      <c r="T1055" s="2"/>
      <c r="U1055" s="2"/>
      <c r="V1055" s="2"/>
      <c r="W1055" s="2"/>
      <c r="X1055" s="2"/>
      <c r="Y1055" s="2"/>
      <c r="Z1055" s="2"/>
      <c r="AA1055" s="2"/>
      <c r="AB1055" s="2"/>
    </row>
    <row r="1056" spans="1:28" customHeight="true">
      <c r="A1056" s="2"/>
      <c r="B1056" s="15">
        <v>45790</v>
      </c>
      <c r="C1056" s="2" t="s">
        <v>1595</v>
      </c>
      <c r="D1056" s="6">
        <v>75.43</v>
      </c>
      <c r="E1056" s="16" t="str">
        <f>IFERROR(__xludf.DUMMYFUNCTION("IFERROR(
  TEXTJOIN(CHAR(10),TRUE,FILTER('SUMMARY DATA'!E:E,'SUMMARY DATA'!$A:$A=$A157,'SUMMARY DATA'!$C:$C=$B157,'SUMMARY DATA'!$B:$B=""GRP"")),
  IF(
    OR(
      ISNUMBER(SEARCH(""CDM CASH DEPOSIT"",$C157)),
      ISNUMBER(SEARCH(""CASH DEPOSIT"",$C15"&amp;"7)),
      COUNTIFS('SUMMARY DATA'!$D:$D,$C157,'SUMMARY DATA'!$B:$B,""GRP"")&lt;&gt;1
    ),
    """",
    IFERROR(TEXTJOIN(CHAR(10),TRUE,FILTER('SUMMARY DATA'!E:E,'SUMMARY DATA'!$D:$D=$C157,'SUMMARY DATA'!$B:$B=""GRP"")),"""")
  )
)"),"")</f>
      </c>
      <c r="F1056" s="17" t="str">
        <f>IFERROR(__xludf.DUMMYFUNCTION("IFERROR(
  TEXTJOIN(CHAR(10),TRUE,FILTER('SUMMARY DATA'!F:F,'SUMMARY DATA'!$A:$A=$A157,'SUMMARY DATA'!$C:$C=$B157,'SUMMARY DATA'!$B:$B=""GRP"")),
  IF(
    OR(
      ISNUMBER(SEARCH(""CDM CASH DEPOSIT"",$C157)),
      ISNUMBER(SEARCH(""CASH DEPOSIT"",$C15"&amp;"7)),
      COUNTIFS('SUMMARY DATA'!$D:$D,$C157,'SUMMARY DATA'!$B:$B,""GRP"")&lt;&gt;1
    ),
    """",
    IFERROR(TEXTJOIN(CHAR(10),TRUE,FILTER('SUMMARY DATA'!F:F,'SUMMARY DATA'!$D:$D=$C157,'SUMMARY DATA'!$B:$B=""GRP"")),"""")
  )
)"),"")</f>
      </c>
      <c r="G1056" s="17" t="str">
        <f>IFERROR(__xludf.DUMMYFUNCTION("IFERROR(
  TEXTJOIN(CHAR(10),TRUE,FILTER('SUMMARY DATA'!G:G,'SUMMARY DATA'!$A:$A=$A1056,'SUMMARY DATA'!$C:$C=$B1056,'SUMMARY DATA'!$B:$B=""RWS"")),
  IF(
    OR(
      ISNUMBER(SEARCH(""CDM CASH DEPOSIT"",$C1056)),
      ISNUMBER(SEARCH(""CASH DEPOSIT"",$"&amp;"C1056)),
      COUNTIFS('SUMMARY DATA'!$D:$D,$C1056,'SUMMARY DATA'!$B:$B,""RWS"")&lt;&gt;1
    ),
    """",
    IFERROR(TEXTJOIN(CHAR(10),TRUE,FILTER('SUMMARY DATA'!G:G,'SUMMARY DATA'!$D:$D=$C1056,'SUMMARY DATA'!$B:$B=""RWS"")),"""")
  )
)"),"")</f>
      </c>
      <c r="H1056" s="18" t="str">
        <f>IFERROR(__xludf.DUMMYFUNCTION("IFERROR(
  TEXTJOIN(CHAR(10),TRUE,FILTER('SUMMARY DATA'!H:H,'SUMMARY DATA'!$A:$A=$A1056,'SUMMARY DATA'!$C:$C=$B1056,'SUMMARY DATA'!$B:$B=""RWS"",'SUMMARY DATA'!$H:$H=$D1056)),
  IF(
    OR(
      ISNUMBER(SEARCH(""CDM CASH DEPOSIT"",$C1056)),
      ISNUMB"&amp;"ER(SEARCH(""CASH DEPOSIT"",$C1056))
    ),
    """",
    IFERROR(TEXTJOIN(CHAR(10),TRUE,FILTER('SUMMARY DATA'!H:H,'SUMMARY DATA'!$D:$D=$C1056,'SUMMARY DATA'!$B:$B=""RWS"",'SUMMARY DATA'!$H:$H=$D1056)),"""")
  )
)"),"")</f>
      </c>
      <c r="I1056" s="18" t="str">
        <f>IFERROR(__xludf.DUMMYFUNCTION("IF(H1056="""","""",
SUM(ARRAYFORMULA(VALUE(SPLIT(H1056,CHAR(10)))))
)"),"")</f>
      </c>
      <c r="J1056" s="17" t="str">
        <f>IFERROR(__xludf.DUMMYFUNCTION("IFERROR(
  TEXTJOIN(CHAR(10),TRUE,FILTER('SUMMARY DATA'!I:I,'SUMMARY DATA'!$A:$A=$A1056,'SUMMARY DATA'!$C:$C=$B1056,'SUMMARY DATA'!$B:$B=""RWS"")),
  IF(
    OR(
      ISNUMBER(SEARCH(""CDM CASH DEPOSIT"",$C1056)),
      ISNUMBER(SEARCH(""CASH DEPOSIT"",$"&amp;"C1056)),
      COUNTIFS('SUMMARY DATA'!$D:$D,$C1056,'SUMMARY DATA'!$B:$B,""RWS"")&lt;&gt;1
    ),
    """",
    IFERROR(TEXTJOIN(CHAR(10),TRUE,FILTER('SUMMARY DATA'!I:I,'SUMMARY DATA'!$D:$D=$C1056,'SUMMARY DATA'!$B:$B=""RWS"")),"""")
  )
)"),"")</f>
      </c>
      <c r="K1056" s="2"/>
      <c r="L1056" s="2"/>
      <c r="M1056" s="2"/>
      <c r="N1056" s="2"/>
      <c r="O1056" s="2"/>
      <c r="P1056" s="2"/>
      <c r="Q1056" s="2"/>
      <c r="R1056" s="2"/>
      <c r="S1056" s="2"/>
      <c r="T1056" s="2"/>
      <c r="U1056" s="2"/>
      <c r="V1056" s="2"/>
      <c r="W1056" s="2"/>
      <c r="X1056" s="2"/>
      <c r="Y1056" s="2"/>
      <c r="Z1056" s="2"/>
      <c r="AA1056" s="2"/>
      <c r="AB1056" s="2"/>
    </row>
    <row r="1057" spans="1:28" customHeight="true">
      <c r="A1057" s="2" t="s">
        <v>1442</v>
      </c>
      <c r="B1057" s="15">
        <v>45790</v>
      </c>
      <c r="C1057" s="2" t="s">
        <v>1596</v>
      </c>
      <c r="D1057" s="6">
        <v>60</v>
      </c>
      <c r="E1057" s="16" t="str">
        <f>IFERROR(__xludf.DUMMYFUNCTION("IFERROR(
  TEXTJOIN(CHAR(10),TRUE,FILTER('SUMMARY DATA'!E:E,'SUMMARY DATA'!$A:$A=$A158,'SUMMARY DATA'!$C:$C=$B158,'SUMMARY DATA'!$B:$B=""GRP"")),
  IF(
    OR(
      ISNUMBER(SEARCH(""CDM CASH DEPOSIT"",$C158)),
      ISNUMBER(SEARCH(""CASH DEPOSIT"",$C15"&amp;"8)),
      COUNTIFS('SUMMARY DATA'!$D:$D,$C158,'SUMMARY DATA'!$B:$B,""GRP"")&lt;&gt;1
    ),
    """",
    IFERROR(TEXTJOIN(CHAR(10),TRUE,FILTER('SUMMARY DATA'!E:E,'SUMMARY DATA'!$D:$D=$C158,'SUMMARY DATA'!$B:$B=""GRP"")),"""")
  )
)"),"")</f>
      </c>
      <c r="F1057" s="17" t="str">
        <f>IFERROR(__xludf.DUMMYFUNCTION("IFERROR(
  TEXTJOIN(CHAR(10),TRUE,FILTER('SUMMARY DATA'!F:F,'SUMMARY DATA'!$A:$A=$A158,'SUMMARY DATA'!$C:$C=$B158,'SUMMARY DATA'!$B:$B=""GRP"")),
  IF(
    OR(
      ISNUMBER(SEARCH(""CDM CASH DEPOSIT"",$C158)),
      ISNUMBER(SEARCH(""CASH DEPOSIT"",$C15"&amp;"8)),
      COUNTIFS('SUMMARY DATA'!$D:$D,$C158,'SUMMARY DATA'!$B:$B,""GRP"")&lt;&gt;1
    ),
    """",
    IFERROR(TEXTJOIN(CHAR(10),TRUE,FILTER('SUMMARY DATA'!F:F,'SUMMARY DATA'!$D:$D=$C158,'SUMMARY DATA'!$B:$B=""GRP"")),"""")
  )
)"),"")</f>
      </c>
      <c r="G1057" s="17" t="str">
        <f>IFERROR(__xludf.DUMMYFUNCTION("IFERROR(
  TEXTJOIN(CHAR(10),TRUE,FILTER('SUMMARY DATA'!G:G,'SUMMARY DATA'!$A:$A=$A1057,'SUMMARY DATA'!$C:$C=$B1057,'SUMMARY DATA'!$B:$B=""RWS"")),
  IF(
    OR(
      ISNUMBER(SEARCH(""CDM CASH DEPOSIT"",$C1057)),
      ISNUMBER(SEARCH(""CASH DEPOSIT"",$"&amp;"C1057)),
      COUNTIFS('SUMMARY DATA'!$D:$D,$C1057,'SUMMARY DATA'!$B:$B,""RWS"")&lt;&gt;1
    ),
    """",
    IFERROR(TEXTJOIN(CHAR(10),TRUE,FILTER('SUMMARY DATA'!G:G,'SUMMARY DATA'!$D:$D=$C1057,'SUMMARY DATA'!$B:$B=""RWS"")),"""")
  )
)"),"")</f>
      </c>
      <c r="H1057" s="18" t="str">
        <f>IFERROR(__xludf.DUMMYFUNCTION("IFERROR(
  TEXTJOIN(CHAR(10),TRUE,FILTER('SUMMARY DATA'!H:H,'SUMMARY DATA'!$A:$A=$A1057,'SUMMARY DATA'!$C:$C=$B1057,'SUMMARY DATA'!$B:$B=""RWS"",'SUMMARY DATA'!$H:$H=$D1057)),
  IF(
    OR(
      ISNUMBER(SEARCH(""CDM CASH DEPOSIT"",$C1057)),
      ISNUMB"&amp;"ER(SEARCH(""CASH DEPOSIT"",$C1057))
    ),
    """",
    IFERROR(TEXTJOIN(CHAR(10),TRUE,FILTER('SUMMARY DATA'!H:H,'SUMMARY DATA'!$D:$D=$C1057,'SUMMARY DATA'!$B:$B=""RWS"",'SUMMARY DATA'!$H:$H=$D1057)),"""")
  )
)"),"")</f>
      </c>
      <c r="I1057" s="18" t="str">
        <f>IFERROR(__xludf.DUMMYFUNCTION("IF(H1057="""","""",
SUM(ARRAYFORMULA(VALUE(SPLIT(H1057,CHAR(10)))))
)"),"")</f>
      </c>
      <c r="J1057" s="17" t="str">
        <f>IFERROR(__xludf.DUMMYFUNCTION("IFERROR(
  TEXTJOIN(CHAR(10),TRUE,FILTER('SUMMARY DATA'!I:I,'SUMMARY DATA'!$A:$A=$A1057,'SUMMARY DATA'!$C:$C=$B1057,'SUMMARY DATA'!$B:$B=""RWS"")),
  IF(
    OR(
      ISNUMBER(SEARCH(""CDM CASH DEPOSIT"",$C1057)),
      ISNUMBER(SEARCH(""CASH DEPOSIT"",$"&amp;"C1057)),
      COUNTIFS('SUMMARY DATA'!$D:$D,$C1057,'SUMMARY DATA'!$B:$B,""RWS"")&lt;&gt;1
    ),
    """",
    IFERROR(TEXTJOIN(CHAR(10),TRUE,FILTER('SUMMARY DATA'!I:I,'SUMMARY DATA'!$D:$D=$C1057,'SUMMARY DATA'!$B:$B=""RWS"")),"""")
  )
)"),"")</f>
      </c>
      <c r="K1057" s="2"/>
      <c r="L1057" s="2"/>
      <c r="M1057" s="2"/>
      <c r="N1057" s="2"/>
      <c r="O1057" s="2"/>
      <c r="P1057" s="2"/>
      <c r="Q1057" s="2"/>
      <c r="R1057" s="2"/>
      <c r="S1057" s="2"/>
      <c r="T1057" s="2"/>
      <c r="U1057" s="2"/>
      <c r="V1057" s="2"/>
      <c r="W1057" s="2"/>
      <c r="X1057" s="2"/>
      <c r="Y1057" s="2"/>
      <c r="Z1057" s="2"/>
      <c r="AA1057" s="2"/>
      <c r="AB1057" s="2"/>
    </row>
    <row r="1058" spans="1:28" customHeight="true">
      <c r="A1058" s="2"/>
      <c r="B1058" s="15">
        <v>45790</v>
      </c>
      <c r="C1058" s="2" t="s">
        <v>1597</v>
      </c>
      <c r="D1058" s="6">
        <v>49.6</v>
      </c>
      <c r="E1058" s="16" t="str">
        <f>IFERROR(__xludf.DUMMYFUNCTION("IFERROR(
  TEXTJOIN(CHAR(10),TRUE,FILTER('SUMMARY DATA'!E:E,'SUMMARY DATA'!$A:$A=$A159,'SUMMARY DATA'!$C:$C=$B159,'SUMMARY DATA'!$B:$B=""GRP"")),
  IF(
    OR(
      ISNUMBER(SEARCH(""CDM CASH DEPOSIT"",$C159)),
      ISNUMBER(SEARCH(""CASH DEPOSIT"",$C15"&amp;"9)),
      COUNTIFS('SUMMARY DATA'!$D:$D,$C159,'SUMMARY DATA'!$B:$B,""GRP"")&lt;&gt;1
    ),
    """",
    IFERROR(TEXTJOIN(CHAR(10),TRUE,FILTER('SUMMARY DATA'!E:E,'SUMMARY DATA'!$D:$D=$C159,'SUMMARY DATA'!$B:$B=""GRP"")),"""")
  )
)"),"")</f>
      </c>
      <c r="F1058" s="17" t="str">
        <f>IFERROR(__xludf.DUMMYFUNCTION("IFERROR(
  TEXTJOIN(CHAR(10),TRUE,FILTER('SUMMARY DATA'!F:F,'SUMMARY DATA'!$A:$A=$A159,'SUMMARY DATA'!$C:$C=$B159,'SUMMARY DATA'!$B:$B=""GRP"")),
  IF(
    OR(
      ISNUMBER(SEARCH(""CDM CASH DEPOSIT"",$C159)),
      ISNUMBER(SEARCH(""CASH DEPOSIT"",$C15"&amp;"9)),
      COUNTIFS('SUMMARY DATA'!$D:$D,$C159,'SUMMARY DATA'!$B:$B,""GRP"")&lt;&gt;1
    ),
    """",
    IFERROR(TEXTJOIN(CHAR(10),TRUE,FILTER('SUMMARY DATA'!F:F,'SUMMARY DATA'!$D:$D=$C159,'SUMMARY DATA'!$B:$B=""GRP"")),"""")
  )
)"),"")</f>
      </c>
      <c r="G1058" s="17" t="str">
        <f>IFERROR(__xludf.DUMMYFUNCTION("IFERROR(
  TEXTJOIN(CHAR(10),TRUE,FILTER('SUMMARY DATA'!G:G,'SUMMARY DATA'!$A:$A=$A1058,'SUMMARY DATA'!$C:$C=$B1058,'SUMMARY DATA'!$B:$B=""RWS"")),
  IF(
    OR(
      ISNUMBER(SEARCH(""CDM CASH DEPOSIT"",$C1058)),
      ISNUMBER(SEARCH(""CASH DEPOSIT"",$"&amp;"C1058)),
      COUNTIFS('SUMMARY DATA'!$D:$D,$C1058,'SUMMARY DATA'!$B:$B,""RWS"")&lt;&gt;1
    ),
    """",
    IFERROR(TEXTJOIN(CHAR(10),TRUE,FILTER('SUMMARY DATA'!G:G,'SUMMARY DATA'!$D:$D=$C1058,'SUMMARY DATA'!$B:$B=""RWS"")),"""")
  )
)"),"")</f>
      </c>
      <c r="H1058" s="18" t="str">
        <f>IFERROR(__xludf.DUMMYFUNCTION("IFERROR(
  TEXTJOIN(CHAR(10),TRUE,FILTER('SUMMARY DATA'!H:H,'SUMMARY DATA'!$A:$A=$A1058,'SUMMARY DATA'!$C:$C=$B1058,'SUMMARY DATA'!$B:$B=""RWS"",'SUMMARY DATA'!$H:$H=$D1058)),
  IF(
    OR(
      ISNUMBER(SEARCH(""CDM CASH DEPOSIT"",$C1058)),
      ISNUMB"&amp;"ER(SEARCH(""CASH DEPOSIT"",$C1058))
    ),
    """",
    IFERROR(TEXTJOIN(CHAR(10),TRUE,FILTER('SUMMARY DATA'!H:H,'SUMMARY DATA'!$D:$D=$C1058,'SUMMARY DATA'!$B:$B=""RWS"",'SUMMARY DATA'!$H:$H=$D1058)),"""")
  )
)"),"")</f>
      </c>
      <c r="I1058" s="18" t="str">
        <f>IFERROR(__xludf.DUMMYFUNCTION("IF(H1058="""","""",
SUM(ARRAYFORMULA(VALUE(SPLIT(H1058,CHAR(10)))))
)"),"")</f>
      </c>
      <c r="J1058" s="17" t="str">
        <f>IFERROR(__xludf.DUMMYFUNCTION("IFERROR(
  TEXTJOIN(CHAR(10),TRUE,FILTER('SUMMARY DATA'!I:I,'SUMMARY DATA'!$A:$A=$A1058,'SUMMARY DATA'!$C:$C=$B1058,'SUMMARY DATA'!$B:$B=""RWS"")),
  IF(
    OR(
      ISNUMBER(SEARCH(""CDM CASH DEPOSIT"",$C1058)),
      ISNUMBER(SEARCH(""CASH DEPOSIT"",$"&amp;"C1058)),
      COUNTIFS('SUMMARY DATA'!$D:$D,$C1058,'SUMMARY DATA'!$B:$B,""RWS"")&lt;&gt;1
    ),
    """",
    IFERROR(TEXTJOIN(CHAR(10),TRUE,FILTER('SUMMARY DATA'!I:I,'SUMMARY DATA'!$D:$D=$C1058,'SUMMARY DATA'!$B:$B=""RWS"")),"""")
  )
)"),"")</f>
      </c>
      <c r="K1058" s="2"/>
      <c r="L1058" s="2"/>
      <c r="M1058" s="2"/>
      <c r="N1058" s="2"/>
      <c r="O1058" s="2"/>
      <c r="P1058" s="2"/>
      <c r="Q1058" s="2"/>
      <c r="R1058" s="2"/>
      <c r="S1058" s="2"/>
      <c r="T1058" s="2"/>
      <c r="U1058" s="2"/>
      <c r="V1058" s="2"/>
      <c r="W1058" s="2"/>
      <c r="X1058" s="2"/>
      <c r="Y1058" s="2"/>
      <c r="Z1058" s="2"/>
      <c r="AA1058" s="2"/>
      <c r="AB1058" s="2"/>
    </row>
    <row r="1059" spans="1:28" customHeight="true">
      <c r="A1059" s="2"/>
      <c r="B1059" s="15">
        <v>45791</v>
      </c>
      <c r="C1059" s="2" t="s">
        <v>1598</v>
      </c>
      <c r="D1059" s="6">
        <v>700.43</v>
      </c>
      <c r="E1059" s="16" t="str">
        <f>IFERROR(__xludf.DUMMYFUNCTION("IFERROR(
  TEXTJOIN(CHAR(10),TRUE,FILTER('SUMMARY DATA'!E:E,'SUMMARY DATA'!$A:$A=$A160,'SUMMARY DATA'!$C:$C=$B160,'SUMMARY DATA'!$B:$B=""GRP"")),
  IF(
    OR(
      ISNUMBER(SEARCH(""CDM CASH DEPOSIT"",$C160)),
      ISNUMBER(SEARCH(""CASH DEPOSIT"",$C16"&amp;"0)),
      COUNTIFS('SUMMARY DATA'!$D:$D,$C160,'SUMMARY DATA'!$B:$B,""GRP"")&lt;&gt;1
    ),
    """",
    IFERROR(TEXTJOIN(CHAR(10),TRUE,FILTER('SUMMARY DATA'!E:E,'SUMMARY DATA'!$D:$D=$C160,'SUMMARY DATA'!$B:$B=""GRP"")),"""")
  )
)"),"")</f>
      </c>
      <c r="F1059" s="17" t="str">
        <f>IFERROR(__xludf.DUMMYFUNCTION("IFERROR(
  TEXTJOIN(CHAR(10),TRUE,FILTER('SUMMARY DATA'!F:F,'SUMMARY DATA'!$A:$A=$A160,'SUMMARY DATA'!$C:$C=$B160,'SUMMARY DATA'!$B:$B=""GRP"")),
  IF(
    OR(
      ISNUMBER(SEARCH(""CDM CASH DEPOSIT"",$C160)),
      ISNUMBER(SEARCH(""CASH DEPOSIT"",$C16"&amp;"0)),
      COUNTIFS('SUMMARY DATA'!$D:$D,$C160,'SUMMARY DATA'!$B:$B,""GRP"")&lt;&gt;1
    ),
    """",
    IFERROR(TEXTJOIN(CHAR(10),TRUE,FILTER('SUMMARY DATA'!F:F,'SUMMARY DATA'!$D:$D=$C160,'SUMMARY DATA'!$B:$B=""GRP"")),"""")
  )
)"),"")</f>
      </c>
      <c r="G1059" s="17" t="str">
        <f>IFERROR(__xludf.DUMMYFUNCTION("IFERROR(
  TEXTJOIN(CHAR(10),TRUE,FILTER('SUMMARY DATA'!G:G,'SUMMARY DATA'!$A:$A=$A1059,'SUMMARY DATA'!$C:$C=$B1059,'SUMMARY DATA'!$B:$B=""RWS"")),
  IF(
    OR(
      ISNUMBER(SEARCH(""CDM CASH DEPOSIT"",$C1059)),
      ISNUMBER(SEARCH(""CASH DEPOSIT"",$"&amp;"C1059)),
      COUNTIFS('SUMMARY DATA'!$D:$D,$C1059,'SUMMARY DATA'!$B:$B,""RWS"")&lt;&gt;1
    ),
    """",
    IFERROR(TEXTJOIN(CHAR(10),TRUE,FILTER('SUMMARY DATA'!G:G,'SUMMARY DATA'!$D:$D=$C1059,'SUMMARY DATA'!$B:$B=""RWS"")),"""")
  )
)"),"")</f>
      </c>
      <c r="H1059" s="18" t="str">
        <f>IFERROR(__xludf.DUMMYFUNCTION("IFERROR(
  TEXTJOIN(CHAR(10),TRUE,FILTER('SUMMARY DATA'!H:H,'SUMMARY DATA'!$A:$A=$A1059,'SUMMARY DATA'!$C:$C=$B1059,'SUMMARY DATA'!$B:$B=""RWS"",'SUMMARY DATA'!$H:$H=$D1059)),
  IF(
    OR(
      ISNUMBER(SEARCH(""CDM CASH DEPOSIT"",$C1059)),
      ISNUMB"&amp;"ER(SEARCH(""CASH DEPOSIT"",$C1059))
    ),
    """",
    IFERROR(TEXTJOIN(CHAR(10),TRUE,FILTER('SUMMARY DATA'!H:H,'SUMMARY DATA'!$D:$D=$C1059,'SUMMARY DATA'!$B:$B=""RWS"",'SUMMARY DATA'!$H:$H=$D1059)),"""")
  )
)"),"")</f>
      </c>
      <c r="I1059" s="18" t="str">
        <f>IFERROR(__xludf.DUMMYFUNCTION("IF(H1059="""","""",
SUM(ARRAYFORMULA(VALUE(SPLIT(H1059,CHAR(10)))))
)"),"")</f>
      </c>
      <c r="J1059" s="17" t="str">
        <f>IFERROR(__xludf.DUMMYFUNCTION("IFERROR(
  TEXTJOIN(CHAR(10),TRUE,FILTER('SUMMARY DATA'!I:I,'SUMMARY DATA'!$A:$A=$A1059,'SUMMARY DATA'!$C:$C=$B1059,'SUMMARY DATA'!$B:$B=""RWS"")),
  IF(
    OR(
      ISNUMBER(SEARCH(""CDM CASH DEPOSIT"",$C1059)),
      ISNUMBER(SEARCH(""CASH DEPOSIT"",$"&amp;"C1059)),
      COUNTIFS('SUMMARY DATA'!$D:$D,$C1059,'SUMMARY DATA'!$B:$B,""RWS"")&lt;&gt;1
    ),
    """",
    IFERROR(TEXTJOIN(CHAR(10),TRUE,FILTER('SUMMARY DATA'!I:I,'SUMMARY DATA'!$D:$D=$C1059,'SUMMARY DATA'!$B:$B=""RWS"")),"""")
  )
)"),"")</f>
      </c>
      <c r="K1059" s="2"/>
      <c r="L1059" s="2"/>
      <c r="M1059" s="2"/>
      <c r="N1059" s="2"/>
      <c r="O1059" s="2"/>
      <c r="P1059" s="2"/>
      <c r="Q1059" s="2"/>
      <c r="R1059" s="2"/>
      <c r="S1059" s="2"/>
      <c r="T1059" s="2"/>
      <c r="U1059" s="2"/>
      <c r="V1059" s="2"/>
      <c r="W1059" s="2"/>
      <c r="X1059" s="2"/>
      <c r="Y1059" s="2"/>
      <c r="Z1059" s="2"/>
      <c r="AA1059" s="2"/>
      <c r="AB1059" s="2"/>
    </row>
    <row r="1060" spans="1:28" customHeight="true">
      <c r="A1060" s="2"/>
      <c r="B1060" s="15">
        <v>45791</v>
      </c>
      <c r="C1060" s="2" t="s">
        <v>1599</v>
      </c>
      <c r="D1060" s="6">
        <v>587.96</v>
      </c>
      <c r="E1060" s="16" t="str">
        <f>IFERROR(__xludf.DUMMYFUNCTION("IFERROR(
  TEXTJOIN(CHAR(10),TRUE,FILTER('SUMMARY DATA'!E:E,'SUMMARY DATA'!$A:$A=$A161,'SUMMARY DATA'!$C:$C=$B161,'SUMMARY DATA'!$B:$B=""GRP"")),
  IF(
    OR(
      ISNUMBER(SEARCH(""CDM CASH DEPOSIT"",$C161)),
      ISNUMBER(SEARCH(""CASH DEPOSIT"",$C16"&amp;"1)),
      COUNTIFS('SUMMARY DATA'!$D:$D,$C161,'SUMMARY DATA'!$B:$B,""GRP"")&lt;&gt;1
    ),
    """",
    IFERROR(TEXTJOIN(CHAR(10),TRUE,FILTER('SUMMARY DATA'!E:E,'SUMMARY DATA'!$D:$D=$C161,'SUMMARY DATA'!$B:$B=""GRP"")),"""")
  )
)"),"")</f>
      </c>
      <c r="F1060" s="17" t="str">
        <f>IFERROR(__xludf.DUMMYFUNCTION("IFERROR(
  TEXTJOIN(CHAR(10),TRUE,FILTER('SUMMARY DATA'!F:F,'SUMMARY DATA'!$A:$A=$A161,'SUMMARY DATA'!$C:$C=$B161,'SUMMARY DATA'!$B:$B=""GRP"")),
  IF(
    OR(
      ISNUMBER(SEARCH(""CDM CASH DEPOSIT"",$C161)),
      ISNUMBER(SEARCH(""CASH DEPOSIT"",$C16"&amp;"1)),
      COUNTIFS('SUMMARY DATA'!$D:$D,$C161,'SUMMARY DATA'!$B:$B,""GRP"")&lt;&gt;1
    ),
    """",
    IFERROR(TEXTJOIN(CHAR(10),TRUE,FILTER('SUMMARY DATA'!F:F,'SUMMARY DATA'!$D:$D=$C161,'SUMMARY DATA'!$B:$B=""GRP"")),"""")
  )
)"),"")</f>
      </c>
      <c r="G1060" s="17" t="str">
        <f>IFERROR(__xludf.DUMMYFUNCTION("IFERROR(
  TEXTJOIN(CHAR(10),TRUE,FILTER('SUMMARY DATA'!G:G,'SUMMARY DATA'!$A:$A=$A1060,'SUMMARY DATA'!$C:$C=$B1060,'SUMMARY DATA'!$B:$B=""RWS"")),
  IF(
    OR(
      ISNUMBER(SEARCH(""CDM CASH DEPOSIT"",$C1060)),
      ISNUMBER(SEARCH(""CASH DEPOSIT"",$"&amp;"C1060)),
      COUNTIFS('SUMMARY DATA'!$D:$D,$C1060,'SUMMARY DATA'!$B:$B,""RWS"")&lt;&gt;1
    ),
    """",
    IFERROR(TEXTJOIN(CHAR(10),TRUE,FILTER('SUMMARY DATA'!G:G,'SUMMARY DATA'!$D:$D=$C1060,'SUMMARY DATA'!$B:$B=""RWS"")),"""")
  )
)"),"")</f>
      </c>
      <c r="H1060" s="18" t="str">
        <f>IFERROR(__xludf.DUMMYFUNCTION("IFERROR(
  TEXTJOIN(CHAR(10),TRUE,FILTER('SUMMARY DATA'!H:H,'SUMMARY DATA'!$A:$A=$A1060,'SUMMARY DATA'!$C:$C=$B1060,'SUMMARY DATA'!$B:$B=""RWS"",'SUMMARY DATA'!$H:$H=$D1060)),
  IF(
    OR(
      ISNUMBER(SEARCH(""CDM CASH DEPOSIT"",$C1060)),
      ISNUMB"&amp;"ER(SEARCH(""CASH DEPOSIT"",$C1060))
    ),
    """",
    IFERROR(TEXTJOIN(CHAR(10),TRUE,FILTER('SUMMARY DATA'!H:H,'SUMMARY DATA'!$D:$D=$C1060,'SUMMARY DATA'!$B:$B=""RWS"",'SUMMARY DATA'!$H:$H=$D1060)),"""")
  )
)"),"")</f>
      </c>
      <c r="I1060" s="18" t="str">
        <f>IFERROR(__xludf.DUMMYFUNCTION("IF(H1060="""","""",
SUM(ARRAYFORMULA(VALUE(SPLIT(H1060,CHAR(10)))))
)"),"")</f>
      </c>
      <c r="J1060" s="17" t="str">
        <f>IFERROR(__xludf.DUMMYFUNCTION("IFERROR(
  TEXTJOIN(CHAR(10),TRUE,FILTER('SUMMARY DATA'!I:I,'SUMMARY DATA'!$A:$A=$A1060,'SUMMARY DATA'!$C:$C=$B1060,'SUMMARY DATA'!$B:$B=""RWS"")),
  IF(
    OR(
      ISNUMBER(SEARCH(""CDM CASH DEPOSIT"",$C1060)),
      ISNUMBER(SEARCH(""CASH DEPOSIT"",$"&amp;"C1060)),
      COUNTIFS('SUMMARY DATA'!$D:$D,$C1060,'SUMMARY DATA'!$B:$B,""RWS"")&lt;&gt;1
    ),
    """",
    IFERROR(TEXTJOIN(CHAR(10),TRUE,FILTER('SUMMARY DATA'!I:I,'SUMMARY DATA'!$D:$D=$C1060,'SUMMARY DATA'!$B:$B=""RWS"")),"""")
  )
)"),"")</f>
      </c>
      <c r="K1060" s="2"/>
      <c r="L1060" s="2"/>
      <c r="M1060" s="2"/>
      <c r="N1060" s="2"/>
      <c r="O1060" s="2"/>
      <c r="P1060" s="2"/>
      <c r="Q1060" s="2"/>
      <c r="R1060" s="2"/>
      <c r="S1060" s="2"/>
      <c r="T1060" s="2"/>
      <c r="U1060" s="2"/>
      <c r="V1060" s="2"/>
      <c r="W1060" s="2"/>
      <c r="X1060" s="2"/>
      <c r="Y1060" s="2"/>
      <c r="Z1060" s="2"/>
      <c r="AA1060" s="2"/>
      <c r="AB1060" s="2"/>
    </row>
    <row r="1061" spans="1:28" customHeight="true">
      <c r="A1061" s="2"/>
      <c r="B1061" s="15">
        <v>45791</v>
      </c>
      <c r="C1061" s="2" t="s">
        <v>1600</v>
      </c>
      <c r="D1061" s="6">
        <v>567.99</v>
      </c>
      <c r="E1061" s="16" t="str">
        <f>IFERROR(__xludf.DUMMYFUNCTION("IFERROR(
  TEXTJOIN(CHAR(10),TRUE,FILTER('SUMMARY DATA'!E:E,'SUMMARY DATA'!$A:$A=$A162,'SUMMARY DATA'!$C:$C=$B162,'SUMMARY DATA'!$B:$B=""GRP"")),
  IF(
    OR(
      ISNUMBER(SEARCH(""CDM CASH DEPOSIT"",$C162)),
      ISNUMBER(SEARCH(""CASH DEPOSIT"",$C16"&amp;"2)),
      COUNTIFS('SUMMARY DATA'!$D:$D,$C162,'SUMMARY DATA'!$B:$B,""GRP"")&lt;&gt;1
    ),
    """",
    IFERROR(TEXTJOIN(CHAR(10),TRUE,FILTER('SUMMARY DATA'!E:E,'SUMMARY DATA'!$D:$D=$C162,'SUMMARY DATA'!$B:$B=""GRP"")),"""")
  )
)"),"")</f>
      </c>
      <c r="F1061" s="17" t="str">
        <f>IFERROR(__xludf.DUMMYFUNCTION("IFERROR(
  TEXTJOIN(CHAR(10),TRUE,FILTER('SUMMARY DATA'!F:F,'SUMMARY DATA'!$A:$A=$A162,'SUMMARY DATA'!$C:$C=$B162,'SUMMARY DATA'!$B:$B=""GRP"")),
  IF(
    OR(
      ISNUMBER(SEARCH(""CDM CASH DEPOSIT"",$C162)),
      ISNUMBER(SEARCH(""CASH DEPOSIT"",$C16"&amp;"2)),
      COUNTIFS('SUMMARY DATA'!$D:$D,$C162,'SUMMARY DATA'!$B:$B,""GRP"")&lt;&gt;1
    ),
    """",
    IFERROR(TEXTJOIN(CHAR(10),TRUE,FILTER('SUMMARY DATA'!F:F,'SUMMARY DATA'!$D:$D=$C162,'SUMMARY DATA'!$B:$B=""GRP"")),"""")
  )
)"),"")</f>
      </c>
      <c r="G1061" s="17" t="str">
        <f>IFERROR(__xludf.DUMMYFUNCTION("IFERROR(
  TEXTJOIN(CHAR(10),TRUE,FILTER('SUMMARY DATA'!G:G,'SUMMARY DATA'!$A:$A=$A1061,'SUMMARY DATA'!$C:$C=$B1061,'SUMMARY DATA'!$B:$B=""RWS"")),
  IF(
    OR(
      ISNUMBER(SEARCH(""CDM CASH DEPOSIT"",$C1061)),
      ISNUMBER(SEARCH(""CASH DEPOSIT"",$"&amp;"C1061)),
      COUNTIFS('SUMMARY DATA'!$D:$D,$C1061,'SUMMARY DATA'!$B:$B,""RWS"")&lt;&gt;1
    ),
    """",
    IFERROR(TEXTJOIN(CHAR(10),TRUE,FILTER('SUMMARY DATA'!G:G,'SUMMARY DATA'!$D:$D=$C1061,'SUMMARY DATA'!$B:$B=""RWS"")),"""")
  )
)"),"")</f>
      </c>
      <c r="H1061" s="18" t="str">
        <f>IFERROR(__xludf.DUMMYFUNCTION("IFERROR(
  TEXTJOIN(CHAR(10),TRUE,FILTER('SUMMARY DATA'!H:H,'SUMMARY DATA'!$A:$A=$A1061,'SUMMARY DATA'!$C:$C=$B1061,'SUMMARY DATA'!$B:$B=""RWS"",'SUMMARY DATA'!$H:$H=$D1061)),
  IF(
    OR(
      ISNUMBER(SEARCH(""CDM CASH DEPOSIT"",$C1061)),
      ISNUMB"&amp;"ER(SEARCH(""CASH DEPOSIT"",$C1061))
    ),
    """",
    IFERROR(TEXTJOIN(CHAR(10),TRUE,FILTER('SUMMARY DATA'!H:H,'SUMMARY DATA'!$D:$D=$C1061,'SUMMARY DATA'!$B:$B=""RWS"",'SUMMARY DATA'!$H:$H=$D1061)),"""")
  )
)"),"")</f>
      </c>
      <c r="I1061" s="18" t="str">
        <f>IFERROR(__xludf.DUMMYFUNCTION("IF(H1061="""","""",
SUM(ARRAYFORMULA(VALUE(SPLIT(H1061,CHAR(10)))))
)"),"")</f>
      </c>
      <c r="J1061" s="17" t="str">
        <f>IFERROR(__xludf.DUMMYFUNCTION("IFERROR(
  TEXTJOIN(CHAR(10),TRUE,FILTER('SUMMARY DATA'!I:I,'SUMMARY DATA'!$A:$A=$A1061,'SUMMARY DATA'!$C:$C=$B1061,'SUMMARY DATA'!$B:$B=""RWS"")),
  IF(
    OR(
      ISNUMBER(SEARCH(""CDM CASH DEPOSIT"",$C1061)),
      ISNUMBER(SEARCH(""CASH DEPOSIT"",$"&amp;"C1061)),
      COUNTIFS('SUMMARY DATA'!$D:$D,$C1061,'SUMMARY DATA'!$B:$B,""RWS"")&lt;&gt;1
    ),
    """",
    IFERROR(TEXTJOIN(CHAR(10),TRUE,FILTER('SUMMARY DATA'!I:I,'SUMMARY DATA'!$D:$D=$C1061,'SUMMARY DATA'!$B:$B=""RWS"")),"""")
  )
)"),"")</f>
      </c>
      <c r="K1061" s="2"/>
      <c r="L1061" s="2"/>
      <c r="M1061" s="2"/>
      <c r="N1061" s="2"/>
      <c r="O1061" s="2"/>
      <c r="P1061" s="2"/>
      <c r="Q1061" s="2"/>
      <c r="R1061" s="2"/>
      <c r="S1061" s="2"/>
      <c r="T1061" s="2"/>
      <c r="U1061" s="2"/>
      <c r="V1061" s="2"/>
      <c r="W1061" s="2"/>
      <c r="X1061" s="2"/>
      <c r="Y1061" s="2"/>
      <c r="Z1061" s="2"/>
      <c r="AA1061" s="2"/>
      <c r="AB1061" s="2"/>
    </row>
    <row r="1062" spans="1:28" customHeight="true">
      <c r="A1062" s="2"/>
      <c r="B1062" s="15">
        <v>45791</v>
      </c>
      <c r="C1062" s="2" t="s">
        <v>1601</v>
      </c>
      <c r="D1062" s="6">
        <v>530.85</v>
      </c>
      <c r="E1062" s="16" t="str">
        <f>IFERROR(__xludf.DUMMYFUNCTION("IFERROR(
  TEXTJOIN(CHAR(10),TRUE,FILTER('SUMMARY DATA'!E:E,'SUMMARY DATA'!$A:$A=$A163,'SUMMARY DATA'!$C:$C=$B163,'SUMMARY DATA'!$B:$B=""GRP"")),
  IF(
    OR(
      ISNUMBER(SEARCH(""CDM CASH DEPOSIT"",$C163)),
      ISNUMBER(SEARCH(""CASH DEPOSIT"",$C16"&amp;"3)),
      COUNTIFS('SUMMARY DATA'!$D:$D,$C163,'SUMMARY DATA'!$B:$B,""GRP"")&lt;&gt;1
    ),
    """",
    IFERROR(TEXTJOIN(CHAR(10),TRUE,FILTER('SUMMARY DATA'!E:E,'SUMMARY DATA'!$D:$D=$C163,'SUMMARY DATA'!$B:$B=""GRP"")),"""")
  )
)"),"")</f>
      </c>
      <c r="F1062" s="17" t="str">
        <f>IFERROR(__xludf.DUMMYFUNCTION("IFERROR(
  TEXTJOIN(CHAR(10),TRUE,FILTER('SUMMARY DATA'!F:F,'SUMMARY DATA'!$A:$A=$A163,'SUMMARY DATA'!$C:$C=$B163,'SUMMARY DATA'!$B:$B=""GRP"")),
  IF(
    OR(
      ISNUMBER(SEARCH(""CDM CASH DEPOSIT"",$C163)),
      ISNUMBER(SEARCH(""CASH DEPOSIT"",$C16"&amp;"3)),
      COUNTIFS('SUMMARY DATA'!$D:$D,$C163,'SUMMARY DATA'!$B:$B,""GRP"")&lt;&gt;1
    ),
    """",
    IFERROR(TEXTJOIN(CHAR(10),TRUE,FILTER('SUMMARY DATA'!F:F,'SUMMARY DATA'!$D:$D=$C163,'SUMMARY DATA'!$B:$B=""GRP"")),"""")
  )
)"),"")</f>
      </c>
      <c r="G1062" s="17" t="str">
        <f>IFERROR(__xludf.DUMMYFUNCTION("IFERROR(
  TEXTJOIN(CHAR(10),TRUE,FILTER('SUMMARY DATA'!G:G,'SUMMARY DATA'!$A:$A=$A1062,'SUMMARY DATA'!$C:$C=$B1062,'SUMMARY DATA'!$B:$B=""RWS"")),
  IF(
    OR(
      ISNUMBER(SEARCH(""CDM CASH DEPOSIT"",$C1062)),
      ISNUMBER(SEARCH(""CASH DEPOSIT"",$"&amp;"C1062)),
      COUNTIFS('SUMMARY DATA'!$D:$D,$C1062,'SUMMARY DATA'!$B:$B,""RWS"")&lt;&gt;1
    ),
    """",
    IFERROR(TEXTJOIN(CHAR(10),TRUE,FILTER('SUMMARY DATA'!G:G,'SUMMARY DATA'!$D:$D=$C1062,'SUMMARY DATA'!$B:$B=""RWS"")),"""")
  )
)"),"")</f>
      </c>
      <c r="H1062" s="18" t="str">
        <f>IFERROR(__xludf.DUMMYFUNCTION("IFERROR(
  TEXTJOIN(CHAR(10),TRUE,FILTER('SUMMARY DATA'!H:H,'SUMMARY DATA'!$A:$A=$A1062,'SUMMARY DATA'!$C:$C=$B1062,'SUMMARY DATA'!$B:$B=""RWS"",'SUMMARY DATA'!$H:$H=$D1062)),
  IF(
    OR(
      ISNUMBER(SEARCH(""CDM CASH DEPOSIT"",$C1062)),
      ISNUMB"&amp;"ER(SEARCH(""CASH DEPOSIT"",$C1062))
    ),
    """",
    IFERROR(TEXTJOIN(CHAR(10),TRUE,FILTER('SUMMARY DATA'!H:H,'SUMMARY DATA'!$D:$D=$C1062,'SUMMARY DATA'!$B:$B=""RWS"",'SUMMARY DATA'!$H:$H=$D1062)),"""")
  )
)"),"")</f>
      </c>
      <c r="I1062" s="18" t="str">
        <f>IFERROR(__xludf.DUMMYFUNCTION("IF(H1062="""","""",
SUM(ARRAYFORMULA(VALUE(SPLIT(H1062,CHAR(10)))))
)"),"")</f>
      </c>
      <c r="J1062" s="17" t="str">
        <f>IFERROR(__xludf.DUMMYFUNCTION("IFERROR(
  TEXTJOIN(CHAR(10),TRUE,FILTER('SUMMARY DATA'!I:I,'SUMMARY DATA'!$A:$A=$A1062,'SUMMARY DATA'!$C:$C=$B1062,'SUMMARY DATA'!$B:$B=""RWS"")),
  IF(
    OR(
      ISNUMBER(SEARCH(""CDM CASH DEPOSIT"",$C1062)),
      ISNUMBER(SEARCH(""CASH DEPOSIT"",$"&amp;"C1062)),
      COUNTIFS('SUMMARY DATA'!$D:$D,$C1062,'SUMMARY DATA'!$B:$B,""RWS"")&lt;&gt;1
    ),
    """",
    IFERROR(TEXTJOIN(CHAR(10),TRUE,FILTER('SUMMARY DATA'!I:I,'SUMMARY DATA'!$D:$D=$C1062,'SUMMARY DATA'!$B:$B=""RWS"")),"""")
  )
)"),"")</f>
      </c>
      <c r="K1062" s="2"/>
      <c r="L1062" s="2"/>
      <c r="M1062" s="2"/>
      <c r="N1062" s="2"/>
      <c r="O1062" s="2"/>
      <c r="P1062" s="2"/>
      <c r="Q1062" s="2"/>
      <c r="R1062" s="2"/>
      <c r="S1062" s="2"/>
      <c r="T1062" s="2"/>
      <c r="U1062" s="2"/>
      <c r="V1062" s="2"/>
      <c r="W1062" s="2"/>
      <c r="X1062" s="2"/>
      <c r="Y1062" s="2"/>
      <c r="Z1062" s="2"/>
      <c r="AA1062" s="2"/>
      <c r="AB1062" s="2"/>
    </row>
    <row r="1063" spans="1:28" customHeight="true">
      <c r="A1063" s="2"/>
      <c r="B1063" s="15">
        <v>45791</v>
      </c>
      <c r="C1063" s="2" t="s">
        <v>1602</v>
      </c>
      <c r="D1063" s="6">
        <v>422</v>
      </c>
      <c r="E1063" s="16" t="str">
        <f>IFERROR(__xludf.DUMMYFUNCTION("IFERROR(
  TEXTJOIN(CHAR(10),TRUE,FILTER('SUMMARY DATA'!E:E,'SUMMARY DATA'!$A:$A=$A164,'SUMMARY DATA'!$C:$C=$B164,'SUMMARY DATA'!$B:$B=""GRP"")),
  IF(
    OR(
      ISNUMBER(SEARCH(""CDM CASH DEPOSIT"",$C164)),
      ISNUMBER(SEARCH(""CASH DEPOSIT"",$C16"&amp;"4)),
      COUNTIFS('SUMMARY DATA'!$D:$D,$C164,'SUMMARY DATA'!$B:$B,""GRP"")&lt;&gt;1
    ),
    """",
    IFERROR(TEXTJOIN(CHAR(10),TRUE,FILTER('SUMMARY DATA'!E:E,'SUMMARY DATA'!$D:$D=$C164,'SUMMARY DATA'!$B:$B=""GRP"")),"""")
  )
)"),"")</f>
      </c>
      <c r="F1063" s="17" t="str">
        <f>IFERROR(__xludf.DUMMYFUNCTION("IFERROR(
  TEXTJOIN(CHAR(10),TRUE,FILTER('SUMMARY DATA'!F:F,'SUMMARY DATA'!$A:$A=$A164,'SUMMARY DATA'!$C:$C=$B164,'SUMMARY DATA'!$B:$B=""GRP"")),
  IF(
    OR(
      ISNUMBER(SEARCH(""CDM CASH DEPOSIT"",$C164)),
      ISNUMBER(SEARCH(""CASH DEPOSIT"",$C16"&amp;"4)),
      COUNTIFS('SUMMARY DATA'!$D:$D,$C164,'SUMMARY DATA'!$B:$B,""GRP"")&lt;&gt;1
    ),
    """",
    IFERROR(TEXTJOIN(CHAR(10),TRUE,FILTER('SUMMARY DATA'!F:F,'SUMMARY DATA'!$D:$D=$C164,'SUMMARY DATA'!$B:$B=""GRP"")),"""")
  )
)"),"")</f>
      </c>
      <c r="G1063" s="17" t="str">
        <f>IFERROR(__xludf.DUMMYFUNCTION("IFERROR(
  TEXTJOIN(CHAR(10),TRUE,FILTER('SUMMARY DATA'!G:G,'SUMMARY DATA'!$A:$A=$A1063,'SUMMARY DATA'!$C:$C=$B1063,'SUMMARY DATA'!$B:$B=""RWS"")),
  IF(
    OR(
      ISNUMBER(SEARCH(""CDM CASH DEPOSIT"",$C1063)),
      ISNUMBER(SEARCH(""CASH DEPOSIT"",$"&amp;"C1063)),
      COUNTIFS('SUMMARY DATA'!$D:$D,$C1063,'SUMMARY DATA'!$B:$B,""RWS"")&lt;&gt;1
    ),
    """",
    IFERROR(TEXTJOIN(CHAR(10),TRUE,FILTER('SUMMARY DATA'!G:G,'SUMMARY DATA'!$D:$D=$C1063,'SUMMARY DATA'!$B:$B=""RWS"")),"""")
  )
)"),"")</f>
      </c>
      <c r="H1063" s="18" t="str">
        <f>IFERROR(__xludf.DUMMYFUNCTION("IFERROR(
  TEXTJOIN(CHAR(10),TRUE,FILTER('SUMMARY DATA'!H:H,'SUMMARY DATA'!$A:$A=$A1063,'SUMMARY DATA'!$C:$C=$B1063,'SUMMARY DATA'!$B:$B=""RWS"",'SUMMARY DATA'!$H:$H=$D1063)),
  IF(
    OR(
      ISNUMBER(SEARCH(""CDM CASH DEPOSIT"",$C1063)),
      ISNUMB"&amp;"ER(SEARCH(""CASH DEPOSIT"",$C1063))
    ),
    """",
    IFERROR(TEXTJOIN(CHAR(10),TRUE,FILTER('SUMMARY DATA'!H:H,'SUMMARY DATA'!$D:$D=$C1063,'SUMMARY DATA'!$B:$B=""RWS"",'SUMMARY DATA'!$H:$H=$D1063)),"""")
  )
)"),"")</f>
      </c>
      <c r="I1063" s="18" t="str">
        <f>IFERROR(__xludf.DUMMYFUNCTION("IF(H1063="""","""",
SUM(ARRAYFORMULA(VALUE(SPLIT(H1063,CHAR(10)))))
)"),"")</f>
      </c>
      <c r="J1063" s="17" t="str">
        <f>IFERROR(__xludf.DUMMYFUNCTION("IFERROR(
  TEXTJOIN(CHAR(10),TRUE,FILTER('SUMMARY DATA'!I:I,'SUMMARY DATA'!$A:$A=$A1063,'SUMMARY DATA'!$C:$C=$B1063,'SUMMARY DATA'!$B:$B=""RWS"")),
  IF(
    OR(
      ISNUMBER(SEARCH(""CDM CASH DEPOSIT"",$C1063)),
      ISNUMBER(SEARCH(""CASH DEPOSIT"",$"&amp;"C1063)),
      COUNTIFS('SUMMARY DATA'!$D:$D,$C1063,'SUMMARY DATA'!$B:$B,""RWS"")&lt;&gt;1
    ),
    """",
    IFERROR(TEXTJOIN(CHAR(10),TRUE,FILTER('SUMMARY DATA'!I:I,'SUMMARY DATA'!$D:$D=$C1063,'SUMMARY DATA'!$B:$B=""RWS"")),"""")
  )
)"),"")</f>
      </c>
      <c r="K1063" s="2"/>
      <c r="L1063" s="2"/>
      <c r="M1063" s="2"/>
      <c r="N1063" s="2"/>
      <c r="O1063" s="2"/>
      <c r="P1063" s="2"/>
      <c r="Q1063" s="2"/>
      <c r="R1063" s="2"/>
      <c r="S1063" s="2"/>
      <c r="T1063" s="2"/>
      <c r="U1063" s="2"/>
      <c r="V1063" s="2"/>
      <c r="W1063" s="2"/>
      <c r="X1063" s="2"/>
      <c r="Y1063" s="2"/>
      <c r="Z1063" s="2"/>
      <c r="AA1063" s="2"/>
      <c r="AB1063" s="2"/>
    </row>
    <row r="1064" spans="1:28" customHeight="true">
      <c r="A1064" s="2"/>
      <c r="B1064" s="15">
        <v>45791</v>
      </c>
      <c r="C1064" s="2" t="s">
        <v>1603</v>
      </c>
      <c r="D1064" s="6">
        <v>338.01</v>
      </c>
      <c r="E1064" s="16" t="str">
        <f>IFERROR(__xludf.DUMMYFUNCTION("IFERROR(
  TEXTJOIN(CHAR(10),TRUE,FILTER('SUMMARY DATA'!E:E,'SUMMARY DATA'!$A:$A=$A165,'SUMMARY DATA'!$C:$C=$B165,'SUMMARY DATA'!$B:$B=""GRP"")),
  IF(
    OR(
      ISNUMBER(SEARCH(""CDM CASH DEPOSIT"",$C165)),
      ISNUMBER(SEARCH(""CASH DEPOSIT"",$C16"&amp;"5)),
      COUNTIFS('SUMMARY DATA'!$D:$D,$C165,'SUMMARY DATA'!$B:$B,""GRP"")&lt;&gt;1
    ),
    """",
    IFERROR(TEXTJOIN(CHAR(10),TRUE,FILTER('SUMMARY DATA'!E:E,'SUMMARY DATA'!$D:$D=$C165,'SUMMARY DATA'!$B:$B=""GRP"")),"""")
  )
)"),"")</f>
      </c>
      <c r="F1064" s="17" t="str">
        <f>IFERROR(__xludf.DUMMYFUNCTION("IFERROR(
  TEXTJOIN(CHAR(10),TRUE,FILTER('SUMMARY DATA'!F:F,'SUMMARY DATA'!$A:$A=$A165,'SUMMARY DATA'!$C:$C=$B165,'SUMMARY DATA'!$B:$B=""GRP"")),
  IF(
    OR(
      ISNUMBER(SEARCH(""CDM CASH DEPOSIT"",$C165)),
      ISNUMBER(SEARCH(""CASH DEPOSIT"",$C16"&amp;"5)),
      COUNTIFS('SUMMARY DATA'!$D:$D,$C165,'SUMMARY DATA'!$B:$B,""GRP"")&lt;&gt;1
    ),
    """",
    IFERROR(TEXTJOIN(CHAR(10),TRUE,FILTER('SUMMARY DATA'!F:F,'SUMMARY DATA'!$D:$D=$C165,'SUMMARY DATA'!$B:$B=""GRP"")),"""")
  )
)"),"")</f>
      </c>
      <c r="G1064" s="17" t="str">
        <f>IFERROR(__xludf.DUMMYFUNCTION("IFERROR(
  TEXTJOIN(CHAR(10),TRUE,FILTER('SUMMARY DATA'!G:G,'SUMMARY DATA'!$A:$A=$A1064,'SUMMARY DATA'!$C:$C=$B1064,'SUMMARY DATA'!$B:$B=""RWS"")),
  IF(
    OR(
      ISNUMBER(SEARCH(""CDM CASH DEPOSIT"",$C1064)),
      ISNUMBER(SEARCH(""CASH DEPOSIT"",$"&amp;"C1064)),
      COUNTIFS('SUMMARY DATA'!$D:$D,$C1064,'SUMMARY DATA'!$B:$B,""RWS"")&lt;&gt;1
    ),
    """",
    IFERROR(TEXTJOIN(CHAR(10),TRUE,FILTER('SUMMARY DATA'!G:G,'SUMMARY DATA'!$D:$D=$C1064,'SUMMARY DATA'!$B:$B=""RWS"")),"""")
  )
)"),"")</f>
      </c>
      <c r="H1064" s="18" t="str">
        <f>IFERROR(__xludf.DUMMYFUNCTION("IFERROR(
  TEXTJOIN(CHAR(10),TRUE,FILTER('SUMMARY DATA'!H:H,'SUMMARY DATA'!$A:$A=$A1064,'SUMMARY DATA'!$C:$C=$B1064,'SUMMARY DATA'!$B:$B=""RWS"",'SUMMARY DATA'!$H:$H=$D1064)),
  IF(
    OR(
      ISNUMBER(SEARCH(""CDM CASH DEPOSIT"",$C1064)),
      ISNUMB"&amp;"ER(SEARCH(""CASH DEPOSIT"",$C1064))
    ),
    """",
    IFERROR(TEXTJOIN(CHAR(10),TRUE,FILTER('SUMMARY DATA'!H:H,'SUMMARY DATA'!$D:$D=$C1064,'SUMMARY DATA'!$B:$B=""RWS"",'SUMMARY DATA'!$H:$H=$D1064)),"""")
  )
)"),"")</f>
      </c>
      <c r="I1064" s="18" t="str">
        <f>IFERROR(__xludf.DUMMYFUNCTION("IF(H1064="""","""",
SUM(ARRAYFORMULA(VALUE(SPLIT(H1064,CHAR(10)))))
)"),"")</f>
      </c>
      <c r="J1064" s="17" t="str">
        <f>IFERROR(__xludf.DUMMYFUNCTION("IFERROR(
  TEXTJOIN(CHAR(10),TRUE,FILTER('SUMMARY DATA'!I:I,'SUMMARY DATA'!$A:$A=$A1064,'SUMMARY DATA'!$C:$C=$B1064,'SUMMARY DATA'!$B:$B=""RWS"")),
  IF(
    OR(
      ISNUMBER(SEARCH(""CDM CASH DEPOSIT"",$C1064)),
      ISNUMBER(SEARCH(""CASH DEPOSIT"",$"&amp;"C1064)),
      COUNTIFS('SUMMARY DATA'!$D:$D,$C1064,'SUMMARY DATA'!$B:$B,""RWS"")&lt;&gt;1
    ),
    """",
    IFERROR(TEXTJOIN(CHAR(10),TRUE,FILTER('SUMMARY DATA'!I:I,'SUMMARY DATA'!$D:$D=$C1064,'SUMMARY DATA'!$B:$B=""RWS"")),"""")
  )
)"),"")</f>
      </c>
      <c r="K1064" s="2"/>
      <c r="L1064" s="2"/>
      <c r="M1064" s="2"/>
      <c r="N1064" s="2"/>
      <c r="O1064" s="2"/>
      <c r="P1064" s="2"/>
      <c r="Q1064" s="2"/>
      <c r="R1064" s="2"/>
      <c r="S1064" s="2"/>
      <c r="T1064" s="2"/>
      <c r="U1064" s="2"/>
      <c r="V1064" s="2"/>
      <c r="W1064" s="2"/>
      <c r="X1064" s="2"/>
      <c r="Y1064" s="2"/>
      <c r="Z1064" s="2"/>
      <c r="AA1064" s="2"/>
      <c r="AB1064" s="2"/>
    </row>
    <row r="1065" spans="1:28" customHeight="true">
      <c r="A1065" s="2"/>
      <c r="B1065" s="31">
        <v>45791</v>
      </c>
      <c r="C1065" s="2" t="s">
        <v>1604</v>
      </c>
      <c r="D1065" s="6">
        <v>337.47</v>
      </c>
      <c r="E1065" s="16" t="str">
        <f>IFERROR(__xludf.DUMMYFUNCTION("IFERROR(
  TEXTJOIN(CHAR(10),TRUE,FILTER('SUMMARY DATA'!E:E,'SUMMARY DATA'!$A:$A=$A166,'SUMMARY DATA'!$C:$C=$B166,'SUMMARY DATA'!$B:$B=""GRP"")),
  IF(
    OR(
      ISNUMBER(SEARCH(""CDM CASH DEPOSIT"",$C166)),
      ISNUMBER(SEARCH(""CASH DEPOSIT"",$C16"&amp;"6)),
      COUNTIFS('SUMMARY DATA'!$D:$D,$C166,'SUMMARY DATA'!$B:$B,""GRP"")&lt;&gt;1
    ),
    """",
    IFERROR(TEXTJOIN(CHAR(10),TRUE,FILTER('SUMMARY DATA'!E:E,'SUMMARY DATA'!$D:$D=$C166,'SUMMARY DATA'!$B:$B=""GRP"")),"""")
  )
)"),"")</f>
      </c>
      <c r="F1065" s="17" t="str">
        <f>IFERROR(__xludf.DUMMYFUNCTION("IFERROR(
  TEXTJOIN(CHAR(10),TRUE,FILTER('SUMMARY DATA'!F:F,'SUMMARY DATA'!$A:$A=$A166,'SUMMARY DATA'!$C:$C=$B166,'SUMMARY DATA'!$B:$B=""GRP"")),
  IF(
    OR(
      ISNUMBER(SEARCH(""CDM CASH DEPOSIT"",$C166)),
      ISNUMBER(SEARCH(""CASH DEPOSIT"",$C16"&amp;"6)),
      COUNTIFS('SUMMARY DATA'!$D:$D,$C166,'SUMMARY DATA'!$B:$B,""GRP"")&lt;&gt;1
    ),
    """",
    IFERROR(TEXTJOIN(CHAR(10),TRUE,FILTER('SUMMARY DATA'!F:F,'SUMMARY DATA'!$D:$D=$C166,'SUMMARY DATA'!$B:$B=""GRP"")),"""")
  )
)"),"")</f>
      </c>
      <c r="G1065" s="17" t="str">
        <f>IFERROR(__xludf.DUMMYFUNCTION("IFERROR(
  TEXTJOIN(CHAR(10),TRUE,FILTER('SUMMARY DATA'!G:G,'SUMMARY DATA'!$A:$A=$A1065,'SUMMARY DATA'!$C:$C=$B1065,'SUMMARY DATA'!$B:$B=""RWS"")),
  IF(
    OR(
      ISNUMBER(SEARCH(""CDM CASH DEPOSIT"",$C1065)),
      ISNUMBER(SEARCH(""CASH DEPOSIT"",$"&amp;"C1065)),
      COUNTIFS('SUMMARY DATA'!$D:$D,$C1065,'SUMMARY DATA'!$B:$B,""RWS"")&lt;&gt;1
    ),
    """",
    IFERROR(TEXTJOIN(CHAR(10),TRUE,FILTER('SUMMARY DATA'!G:G,'SUMMARY DATA'!$D:$D=$C1065,'SUMMARY DATA'!$B:$B=""RWS"")),"""")
  )
)"),"")</f>
      </c>
      <c r="H1065" s="18" t="str">
        <f>IFERROR(__xludf.DUMMYFUNCTION("IFERROR(
  TEXTJOIN(CHAR(10),TRUE,FILTER('SUMMARY DATA'!H:H,'SUMMARY DATA'!$A:$A=$A1065,'SUMMARY DATA'!$C:$C=$B1065,'SUMMARY DATA'!$B:$B=""RWS"",'SUMMARY DATA'!$H:$H=$D1065)),
  IF(
    OR(
      ISNUMBER(SEARCH(""CDM CASH DEPOSIT"",$C1065)),
      ISNUMB"&amp;"ER(SEARCH(""CASH DEPOSIT"",$C1065))
    ),
    """",
    IFERROR(TEXTJOIN(CHAR(10),TRUE,FILTER('SUMMARY DATA'!H:H,'SUMMARY DATA'!$D:$D=$C1065,'SUMMARY DATA'!$B:$B=""RWS"",'SUMMARY DATA'!$H:$H=$D1065)),"""")
  )
)"),"")</f>
      </c>
      <c r="I1065" s="18" t="str">
        <f>IFERROR(__xludf.DUMMYFUNCTION("IF(H1065="""","""",
SUM(ARRAYFORMULA(VALUE(SPLIT(H1065,CHAR(10)))))
)"),"")</f>
      </c>
      <c r="J1065" s="17" t="str">
        <f>IFERROR(__xludf.DUMMYFUNCTION("IFERROR(
  TEXTJOIN(CHAR(10),TRUE,FILTER('SUMMARY DATA'!I:I,'SUMMARY DATA'!$A:$A=$A1065,'SUMMARY DATA'!$C:$C=$B1065,'SUMMARY DATA'!$B:$B=""RWS"")),
  IF(
    OR(
      ISNUMBER(SEARCH(""CDM CASH DEPOSIT"",$C1065)),
      ISNUMBER(SEARCH(""CASH DEPOSIT"",$"&amp;"C1065)),
      COUNTIFS('SUMMARY DATA'!$D:$D,$C1065,'SUMMARY DATA'!$B:$B,""RWS"")&lt;&gt;1
    ),
    """",
    IFERROR(TEXTJOIN(CHAR(10),TRUE,FILTER('SUMMARY DATA'!I:I,'SUMMARY DATA'!$D:$D=$C1065,'SUMMARY DATA'!$B:$B=""RWS"")),"""")
  )
)"),"")</f>
      </c>
      <c r="K1065" s="2"/>
      <c r="L1065" s="2"/>
      <c r="M1065" s="2"/>
      <c r="N1065" s="2"/>
      <c r="O1065" s="2"/>
      <c r="P1065" s="2"/>
      <c r="Q1065" s="2"/>
      <c r="R1065" s="2"/>
      <c r="S1065" s="2"/>
      <c r="T1065" s="2"/>
      <c r="U1065" s="2"/>
      <c r="V1065" s="2"/>
      <c r="W1065" s="2"/>
      <c r="X1065" s="2"/>
      <c r="Y1065" s="2"/>
      <c r="Z1065" s="2"/>
      <c r="AA1065" s="2"/>
      <c r="AB1065" s="2"/>
    </row>
    <row r="1066" spans="1:28" customHeight="true">
      <c r="A1066" s="2"/>
      <c r="B1066" s="31">
        <v>45791</v>
      </c>
      <c r="C1066" s="2" t="s">
        <v>1605</v>
      </c>
      <c r="D1066" s="6">
        <v>286.5</v>
      </c>
      <c r="E1066" s="16" t="str">
        <f>IFERROR(__xludf.DUMMYFUNCTION("IFERROR(
  TEXTJOIN(CHAR(10),TRUE,FILTER('SUMMARY DATA'!E:E,'SUMMARY DATA'!$A:$A=$A167,'SUMMARY DATA'!$C:$C=$B167,'SUMMARY DATA'!$B:$B=""GRP"")),
  IF(
    OR(
      ISNUMBER(SEARCH(""CDM CASH DEPOSIT"",$C167)),
      ISNUMBER(SEARCH(""CASH DEPOSIT"",$C16"&amp;"7)),
      COUNTIFS('SUMMARY DATA'!$D:$D,$C167,'SUMMARY DATA'!$B:$B,""GRP"")&lt;&gt;1
    ),
    """",
    IFERROR(TEXTJOIN(CHAR(10),TRUE,FILTER('SUMMARY DATA'!E:E,'SUMMARY DATA'!$D:$D=$C167,'SUMMARY DATA'!$B:$B=""GRP"")),"""")
  )
)"),"")</f>
      </c>
      <c r="F1066" s="17" t="str">
        <f>IFERROR(__xludf.DUMMYFUNCTION("IFERROR(
  TEXTJOIN(CHAR(10),TRUE,FILTER('SUMMARY DATA'!F:F,'SUMMARY DATA'!$A:$A=$A167,'SUMMARY DATA'!$C:$C=$B167,'SUMMARY DATA'!$B:$B=""GRP"")),
  IF(
    OR(
      ISNUMBER(SEARCH(""CDM CASH DEPOSIT"",$C167)),
      ISNUMBER(SEARCH(""CASH DEPOSIT"",$C16"&amp;"7)),
      COUNTIFS('SUMMARY DATA'!$D:$D,$C167,'SUMMARY DATA'!$B:$B,""GRP"")&lt;&gt;1
    ),
    """",
    IFERROR(TEXTJOIN(CHAR(10),TRUE,FILTER('SUMMARY DATA'!F:F,'SUMMARY DATA'!$D:$D=$C167,'SUMMARY DATA'!$B:$B=""GRP"")),"""")
  )
)"),"")</f>
      </c>
      <c r="G1066" s="17" t="str">
        <f>IFERROR(__xludf.DUMMYFUNCTION("IFERROR(
  TEXTJOIN(CHAR(10),TRUE,FILTER('SUMMARY DATA'!G:G,'SUMMARY DATA'!$A:$A=$A1066,'SUMMARY DATA'!$C:$C=$B1066,'SUMMARY DATA'!$B:$B=""RWS"")),
  IF(
    OR(
      ISNUMBER(SEARCH(""CDM CASH DEPOSIT"",$C1066)),
      ISNUMBER(SEARCH(""CASH DEPOSIT"",$"&amp;"C1066)),
      COUNTIFS('SUMMARY DATA'!$D:$D,$C1066,'SUMMARY DATA'!$B:$B,""RWS"")&lt;&gt;1
    ),
    """",
    IFERROR(TEXTJOIN(CHAR(10),TRUE,FILTER('SUMMARY DATA'!G:G,'SUMMARY DATA'!$D:$D=$C1066,'SUMMARY DATA'!$B:$B=""RWS"")),"""")
  )
)"),"")</f>
      </c>
      <c r="H1066" s="18" t="str">
        <f>IFERROR(__xludf.DUMMYFUNCTION("IFERROR(
  TEXTJOIN(CHAR(10),TRUE,FILTER('SUMMARY DATA'!H:H,'SUMMARY DATA'!$A:$A=$A1066,'SUMMARY DATA'!$C:$C=$B1066,'SUMMARY DATA'!$B:$B=""RWS"",'SUMMARY DATA'!$H:$H=$D1066)),
  IF(
    OR(
      ISNUMBER(SEARCH(""CDM CASH DEPOSIT"",$C1066)),
      ISNUMB"&amp;"ER(SEARCH(""CASH DEPOSIT"",$C1066))
    ),
    """",
    IFERROR(TEXTJOIN(CHAR(10),TRUE,FILTER('SUMMARY DATA'!H:H,'SUMMARY DATA'!$D:$D=$C1066,'SUMMARY DATA'!$B:$B=""RWS"",'SUMMARY DATA'!$H:$H=$D1066)),"""")
  )
)"),"")</f>
      </c>
      <c r="I1066" s="18" t="str">
        <f>IFERROR(__xludf.DUMMYFUNCTION("IF(H1066="""","""",
SUM(ARRAYFORMULA(VALUE(SPLIT(H1066,CHAR(10)))))
)"),"")</f>
      </c>
      <c r="J1066" s="17" t="str">
        <f>IFERROR(__xludf.DUMMYFUNCTION("IFERROR(
  TEXTJOIN(CHAR(10),TRUE,FILTER('SUMMARY DATA'!I:I,'SUMMARY DATA'!$A:$A=$A1066,'SUMMARY DATA'!$C:$C=$B1066,'SUMMARY DATA'!$B:$B=""RWS"")),
  IF(
    OR(
      ISNUMBER(SEARCH(""CDM CASH DEPOSIT"",$C1066)),
      ISNUMBER(SEARCH(""CASH DEPOSIT"",$"&amp;"C1066)),
      COUNTIFS('SUMMARY DATA'!$D:$D,$C1066,'SUMMARY DATA'!$B:$B,""RWS"")&lt;&gt;1
    ),
    """",
    IFERROR(TEXTJOIN(CHAR(10),TRUE,FILTER('SUMMARY DATA'!I:I,'SUMMARY DATA'!$D:$D=$C1066,'SUMMARY DATA'!$B:$B=""RWS"")),"""")
  )
)"),"")</f>
      </c>
      <c r="K1066" s="2"/>
      <c r="L1066" s="2"/>
      <c r="M1066" s="2"/>
      <c r="N1066" s="2"/>
      <c r="O1066" s="2"/>
      <c r="P1066" s="2"/>
      <c r="Q1066" s="2"/>
      <c r="R1066" s="2"/>
      <c r="S1066" s="2"/>
      <c r="T1066" s="2"/>
      <c r="U1066" s="2"/>
      <c r="V1066" s="2"/>
      <c r="W1066" s="2"/>
      <c r="X1066" s="2"/>
      <c r="Y1066" s="2"/>
      <c r="Z1066" s="2"/>
      <c r="AA1066" s="2"/>
      <c r="AB1066" s="2"/>
    </row>
    <row r="1067" spans="1:28" customHeight="true">
      <c r="A1067" s="2"/>
      <c r="B1067" s="31">
        <v>45791</v>
      </c>
      <c r="C1067" s="2" t="s">
        <v>1606</v>
      </c>
      <c r="D1067" s="6">
        <v>261.77</v>
      </c>
      <c r="E1067" s="16" t="str">
        <f>IFERROR(__xludf.DUMMYFUNCTION("IFERROR(
  TEXTJOIN(CHAR(10),TRUE,FILTER('SUMMARY DATA'!E:E,'SUMMARY DATA'!$A:$A=$A168,'SUMMARY DATA'!$C:$C=$B168,'SUMMARY DATA'!$B:$B=""GRP"")),
  IF(
    OR(
      ISNUMBER(SEARCH(""CDM CASH DEPOSIT"",$C168)),
      ISNUMBER(SEARCH(""CASH DEPOSIT"",$C16"&amp;"8)),
      COUNTIFS('SUMMARY DATA'!$D:$D,$C168,'SUMMARY DATA'!$B:$B,""GRP"")&lt;&gt;1
    ),
    """",
    IFERROR(TEXTJOIN(CHAR(10),TRUE,FILTER('SUMMARY DATA'!E:E,'SUMMARY DATA'!$D:$D=$C168,'SUMMARY DATA'!$B:$B=""GRP"")),"""")
  )
)"),"")</f>
      </c>
      <c r="F1067" s="17" t="str">
        <f>IFERROR(__xludf.DUMMYFUNCTION("IFERROR(
  TEXTJOIN(CHAR(10),TRUE,FILTER('SUMMARY DATA'!F:F,'SUMMARY DATA'!$A:$A=$A168,'SUMMARY DATA'!$C:$C=$B168,'SUMMARY DATA'!$B:$B=""GRP"")),
  IF(
    OR(
      ISNUMBER(SEARCH(""CDM CASH DEPOSIT"",$C168)),
      ISNUMBER(SEARCH(""CASH DEPOSIT"",$C16"&amp;"8)),
      COUNTIFS('SUMMARY DATA'!$D:$D,$C168,'SUMMARY DATA'!$B:$B,""GRP"")&lt;&gt;1
    ),
    """",
    IFERROR(TEXTJOIN(CHAR(10),TRUE,FILTER('SUMMARY DATA'!F:F,'SUMMARY DATA'!$D:$D=$C168,'SUMMARY DATA'!$B:$B=""GRP"")),"""")
  )
)"),"")</f>
      </c>
      <c r="G1067" s="17" t="str">
        <f>IFERROR(__xludf.DUMMYFUNCTION("IFERROR(
  TEXTJOIN(CHAR(10),TRUE,FILTER('SUMMARY DATA'!G:G,'SUMMARY DATA'!$A:$A=$A1067,'SUMMARY DATA'!$C:$C=$B1067,'SUMMARY DATA'!$B:$B=""RWS"")),
  IF(
    OR(
      ISNUMBER(SEARCH(""CDM CASH DEPOSIT"",$C1067)),
      ISNUMBER(SEARCH(""CASH DEPOSIT"",$"&amp;"C1067)),
      COUNTIFS('SUMMARY DATA'!$D:$D,$C1067,'SUMMARY DATA'!$B:$B,""RWS"")&lt;&gt;1
    ),
    """",
    IFERROR(TEXTJOIN(CHAR(10),TRUE,FILTER('SUMMARY DATA'!G:G,'SUMMARY DATA'!$D:$D=$C1067,'SUMMARY DATA'!$B:$B=""RWS"")),"""")
  )
)"),"")</f>
      </c>
      <c r="H1067" s="18" t="str">
        <f>IFERROR(__xludf.DUMMYFUNCTION("IFERROR(
  TEXTJOIN(CHAR(10),TRUE,FILTER('SUMMARY DATA'!H:H,'SUMMARY DATA'!$A:$A=$A1067,'SUMMARY DATA'!$C:$C=$B1067,'SUMMARY DATA'!$B:$B=""RWS"",'SUMMARY DATA'!$H:$H=$D1067)),
  IF(
    OR(
      ISNUMBER(SEARCH(""CDM CASH DEPOSIT"",$C1067)),
      ISNUMB"&amp;"ER(SEARCH(""CASH DEPOSIT"",$C1067))
    ),
    """",
    IFERROR(TEXTJOIN(CHAR(10),TRUE,FILTER('SUMMARY DATA'!H:H,'SUMMARY DATA'!$D:$D=$C1067,'SUMMARY DATA'!$B:$B=""RWS"",'SUMMARY DATA'!$H:$H=$D1067)),"""")
  )
)"),"")</f>
      </c>
      <c r="I1067" s="18" t="str">
        <f>IFERROR(__xludf.DUMMYFUNCTION("IF(H1067="""","""",
SUM(ARRAYFORMULA(VALUE(SPLIT(H1067,CHAR(10)))))
)"),"")</f>
      </c>
      <c r="J1067" s="17" t="str">
        <f>IFERROR(__xludf.DUMMYFUNCTION("IFERROR(
  TEXTJOIN(CHAR(10),TRUE,FILTER('SUMMARY DATA'!I:I,'SUMMARY DATA'!$A:$A=$A1067,'SUMMARY DATA'!$C:$C=$B1067,'SUMMARY DATA'!$B:$B=""RWS"")),
  IF(
    OR(
      ISNUMBER(SEARCH(""CDM CASH DEPOSIT"",$C1067)),
      ISNUMBER(SEARCH(""CASH DEPOSIT"",$"&amp;"C1067)),
      COUNTIFS('SUMMARY DATA'!$D:$D,$C1067,'SUMMARY DATA'!$B:$B,""RWS"")&lt;&gt;1
    ),
    """",
    IFERROR(TEXTJOIN(CHAR(10),TRUE,FILTER('SUMMARY DATA'!I:I,'SUMMARY DATA'!$D:$D=$C1067,'SUMMARY DATA'!$B:$B=""RWS"")),"""")
  )
)"),"")</f>
      </c>
      <c r="K1067" s="2"/>
      <c r="L1067" s="2"/>
      <c r="M1067" s="2"/>
      <c r="N1067" s="2"/>
      <c r="O1067" s="2"/>
      <c r="P1067" s="2"/>
      <c r="Q1067" s="2"/>
      <c r="R1067" s="2"/>
      <c r="S1067" s="2"/>
      <c r="T1067" s="2"/>
      <c r="U1067" s="2"/>
      <c r="V1067" s="2"/>
      <c r="W1067" s="2"/>
      <c r="X1067" s="2"/>
      <c r="Y1067" s="2"/>
      <c r="Z1067" s="2"/>
      <c r="AA1067" s="2"/>
      <c r="AB1067" s="2"/>
    </row>
    <row r="1068" spans="1:28" customHeight="true">
      <c r="A1068" s="2"/>
      <c r="B1068" s="31">
        <v>45791</v>
      </c>
      <c r="C1068" s="2" t="s">
        <v>1607</v>
      </c>
      <c r="D1068" s="6">
        <v>260.73</v>
      </c>
      <c r="E1068" s="16" t="str">
        <f>IFERROR(__xludf.DUMMYFUNCTION("IFERROR(
  TEXTJOIN(CHAR(10),TRUE,FILTER('SUMMARY DATA'!E:E,'SUMMARY DATA'!$A:$A=$A169,'SUMMARY DATA'!$C:$C=$B169,'SUMMARY DATA'!$B:$B=""GRP"")),
  IF(
    OR(
      ISNUMBER(SEARCH(""CDM CASH DEPOSIT"",$C169)),
      ISNUMBER(SEARCH(""CASH DEPOSIT"",$C16"&amp;"9)),
      COUNTIFS('SUMMARY DATA'!$D:$D,$C169,'SUMMARY DATA'!$B:$B,""GRP"")&lt;&gt;1
    ),
    """",
    IFERROR(TEXTJOIN(CHAR(10),TRUE,FILTER('SUMMARY DATA'!E:E,'SUMMARY DATA'!$D:$D=$C169,'SUMMARY DATA'!$B:$B=""GRP"")),"""")
  )
)"),"")</f>
      </c>
      <c r="F1068" s="17" t="str">
        <f>IFERROR(__xludf.DUMMYFUNCTION("IFERROR(
  TEXTJOIN(CHAR(10),TRUE,FILTER('SUMMARY DATA'!F:F,'SUMMARY DATA'!$A:$A=$A169,'SUMMARY DATA'!$C:$C=$B169,'SUMMARY DATA'!$B:$B=""GRP"")),
  IF(
    OR(
      ISNUMBER(SEARCH(""CDM CASH DEPOSIT"",$C169)),
      ISNUMBER(SEARCH(""CASH DEPOSIT"",$C16"&amp;"9)),
      COUNTIFS('SUMMARY DATA'!$D:$D,$C169,'SUMMARY DATA'!$B:$B,""GRP"")&lt;&gt;1
    ),
    """",
    IFERROR(TEXTJOIN(CHAR(10),TRUE,FILTER('SUMMARY DATA'!F:F,'SUMMARY DATA'!$D:$D=$C169,'SUMMARY DATA'!$B:$B=""GRP"")),"""")
  )
)"),"")</f>
      </c>
      <c r="G1068" s="17" t="str">
        <f>IFERROR(__xludf.DUMMYFUNCTION("IFERROR(
  TEXTJOIN(CHAR(10),TRUE,FILTER('SUMMARY DATA'!G:G,'SUMMARY DATA'!$A:$A=$A1068,'SUMMARY DATA'!$C:$C=$B1068,'SUMMARY DATA'!$B:$B=""RWS"")),
  IF(
    OR(
      ISNUMBER(SEARCH(""CDM CASH DEPOSIT"",$C1068)),
      ISNUMBER(SEARCH(""CASH DEPOSIT"",$"&amp;"C1068)),
      COUNTIFS('SUMMARY DATA'!$D:$D,$C1068,'SUMMARY DATA'!$B:$B,""RWS"")&lt;&gt;1
    ),
    """",
    IFERROR(TEXTJOIN(CHAR(10),TRUE,FILTER('SUMMARY DATA'!G:G,'SUMMARY DATA'!$D:$D=$C1068,'SUMMARY DATA'!$B:$B=""RWS"")),"""")
  )
)"),"")</f>
      </c>
      <c r="H1068" s="18" t="str">
        <f>IFERROR(__xludf.DUMMYFUNCTION("IFERROR(
  TEXTJOIN(CHAR(10),TRUE,FILTER('SUMMARY DATA'!H:H,'SUMMARY DATA'!$A:$A=$A1068,'SUMMARY DATA'!$C:$C=$B1068,'SUMMARY DATA'!$B:$B=""RWS"",'SUMMARY DATA'!$H:$H=$D1068)),
  IF(
    OR(
      ISNUMBER(SEARCH(""CDM CASH DEPOSIT"",$C1068)),
      ISNUMB"&amp;"ER(SEARCH(""CASH DEPOSIT"",$C1068))
    ),
    """",
    IFERROR(TEXTJOIN(CHAR(10),TRUE,FILTER('SUMMARY DATA'!H:H,'SUMMARY DATA'!$D:$D=$C1068,'SUMMARY DATA'!$B:$B=""RWS"",'SUMMARY DATA'!$H:$H=$D1068)),"""")
  )
)"),"")</f>
      </c>
      <c r="I1068" s="18" t="str">
        <f>IFERROR(__xludf.DUMMYFUNCTION("IF(H1068="""","""",
SUM(ARRAYFORMULA(VALUE(SPLIT(H1068,CHAR(10)))))
)"),"")</f>
      </c>
      <c r="J1068" s="17" t="str">
        <f>IFERROR(__xludf.DUMMYFUNCTION("IFERROR(
  TEXTJOIN(CHAR(10),TRUE,FILTER('SUMMARY DATA'!I:I,'SUMMARY DATA'!$A:$A=$A1068,'SUMMARY DATA'!$C:$C=$B1068,'SUMMARY DATA'!$B:$B=""RWS"")),
  IF(
    OR(
      ISNUMBER(SEARCH(""CDM CASH DEPOSIT"",$C1068)),
      ISNUMBER(SEARCH(""CASH DEPOSIT"",$"&amp;"C1068)),
      COUNTIFS('SUMMARY DATA'!$D:$D,$C1068,'SUMMARY DATA'!$B:$B,""RWS"")&lt;&gt;1
    ),
    """",
    IFERROR(TEXTJOIN(CHAR(10),TRUE,FILTER('SUMMARY DATA'!I:I,'SUMMARY DATA'!$D:$D=$C1068,'SUMMARY DATA'!$B:$B=""RWS"")),"""")
  )
)"),"")</f>
      </c>
      <c r="K1068" s="2"/>
      <c r="L1068" s="2"/>
      <c r="M1068" s="2"/>
      <c r="N1068" s="2"/>
      <c r="O1068" s="2"/>
      <c r="P1068" s="2"/>
      <c r="Q1068" s="2"/>
      <c r="R1068" s="2"/>
      <c r="S1068" s="2"/>
      <c r="T1068" s="2"/>
      <c r="U1068" s="2"/>
      <c r="V1068" s="2"/>
      <c r="W1068" s="2"/>
      <c r="X1068" s="2"/>
      <c r="Y1068" s="2"/>
      <c r="Z1068" s="2"/>
      <c r="AA1068" s="2"/>
      <c r="AB1068" s="2"/>
    </row>
    <row r="1069" spans="1:28" customHeight="true">
      <c r="A1069" s="2"/>
      <c r="B1069" s="31">
        <v>45791</v>
      </c>
      <c r="C1069" s="2" t="s">
        <v>1608</v>
      </c>
      <c r="D1069" s="6">
        <v>226.6</v>
      </c>
      <c r="E1069" s="16" t="str">
        <f>IFERROR(__xludf.DUMMYFUNCTION("IFERROR(
  TEXTJOIN(CHAR(10),TRUE,FILTER('SUMMARY DATA'!E:E,'SUMMARY DATA'!$A:$A=$A170,'SUMMARY DATA'!$C:$C=$B170,'SUMMARY DATA'!$B:$B=""GRP"")),
  IF(
    OR(
      ISNUMBER(SEARCH(""CDM CASH DEPOSIT"",$C170)),
      ISNUMBER(SEARCH(""CASH DEPOSIT"",$C17"&amp;"0)),
      COUNTIFS('SUMMARY DATA'!$D:$D,$C170,'SUMMARY DATA'!$B:$B,""GRP"")&lt;&gt;1
    ),
    """",
    IFERROR(TEXTJOIN(CHAR(10),TRUE,FILTER('SUMMARY DATA'!E:E,'SUMMARY DATA'!$D:$D=$C170,'SUMMARY DATA'!$B:$B=""GRP"")),"""")
  )
)"),"")</f>
      </c>
      <c r="F1069" s="17" t="str">
        <f>IFERROR(__xludf.DUMMYFUNCTION("IFERROR(
  TEXTJOIN(CHAR(10),TRUE,FILTER('SUMMARY DATA'!F:F,'SUMMARY DATA'!$A:$A=$A170,'SUMMARY DATA'!$C:$C=$B170,'SUMMARY DATA'!$B:$B=""GRP"")),
  IF(
    OR(
      ISNUMBER(SEARCH(""CDM CASH DEPOSIT"",$C170)),
      ISNUMBER(SEARCH(""CASH DEPOSIT"",$C17"&amp;"0)),
      COUNTIFS('SUMMARY DATA'!$D:$D,$C170,'SUMMARY DATA'!$B:$B,""GRP"")&lt;&gt;1
    ),
    """",
    IFERROR(TEXTJOIN(CHAR(10),TRUE,FILTER('SUMMARY DATA'!F:F,'SUMMARY DATA'!$D:$D=$C170,'SUMMARY DATA'!$B:$B=""GRP"")),"""")
  )
)"),"")</f>
      </c>
      <c r="G1069" s="17" t="str">
        <f>IFERROR(__xludf.DUMMYFUNCTION("IFERROR(
  TEXTJOIN(CHAR(10),TRUE,FILTER('SUMMARY DATA'!G:G,'SUMMARY DATA'!$A:$A=$A1069,'SUMMARY DATA'!$C:$C=$B1069,'SUMMARY DATA'!$B:$B=""RWS"")),
  IF(
    OR(
      ISNUMBER(SEARCH(""CDM CASH DEPOSIT"",$C1069)),
      ISNUMBER(SEARCH(""CASH DEPOSIT"",$"&amp;"C1069)),
      COUNTIFS('SUMMARY DATA'!$D:$D,$C1069,'SUMMARY DATA'!$B:$B,""RWS"")&lt;&gt;1
    ),
    """",
    IFERROR(TEXTJOIN(CHAR(10),TRUE,FILTER('SUMMARY DATA'!G:G,'SUMMARY DATA'!$D:$D=$C1069,'SUMMARY DATA'!$B:$B=""RWS"")),"""")
  )
)"),"")</f>
      </c>
      <c r="H1069" s="18" t="str">
        <f>IFERROR(__xludf.DUMMYFUNCTION("IFERROR(
  TEXTJOIN(CHAR(10),TRUE,FILTER('SUMMARY DATA'!H:H,'SUMMARY DATA'!$A:$A=$A1069,'SUMMARY DATA'!$C:$C=$B1069,'SUMMARY DATA'!$B:$B=""RWS"",'SUMMARY DATA'!$H:$H=$D1069)),
  IF(
    OR(
      ISNUMBER(SEARCH(""CDM CASH DEPOSIT"",$C1069)),
      ISNUMB"&amp;"ER(SEARCH(""CASH DEPOSIT"",$C1069))
    ),
    """",
    IFERROR(TEXTJOIN(CHAR(10),TRUE,FILTER('SUMMARY DATA'!H:H,'SUMMARY DATA'!$D:$D=$C1069,'SUMMARY DATA'!$B:$B=""RWS"",'SUMMARY DATA'!$H:$H=$D1069)),"""")
  )
)"),"")</f>
      </c>
      <c r="I1069" s="18" t="str">
        <f>IFERROR(__xludf.DUMMYFUNCTION("IF(H1069="""","""",
SUM(ARRAYFORMULA(VALUE(SPLIT(H1069,CHAR(10)))))
)"),"")</f>
      </c>
      <c r="J1069" s="17" t="str">
        <f>IFERROR(__xludf.DUMMYFUNCTION("IFERROR(
  TEXTJOIN(CHAR(10),TRUE,FILTER('SUMMARY DATA'!I:I,'SUMMARY DATA'!$A:$A=$A1069,'SUMMARY DATA'!$C:$C=$B1069,'SUMMARY DATA'!$B:$B=""RWS"")),
  IF(
    OR(
      ISNUMBER(SEARCH(""CDM CASH DEPOSIT"",$C1069)),
      ISNUMBER(SEARCH(""CASH DEPOSIT"",$"&amp;"C1069)),
      COUNTIFS('SUMMARY DATA'!$D:$D,$C1069,'SUMMARY DATA'!$B:$B,""RWS"")&lt;&gt;1
    ),
    """",
    IFERROR(TEXTJOIN(CHAR(10),TRUE,FILTER('SUMMARY DATA'!I:I,'SUMMARY DATA'!$D:$D=$C1069,'SUMMARY DATA'!$B:$B=""RWS"")),"""")
  )
)"),"")</f>
      </c>
      <c r="K1069" s="2"/>
      <c r="L1069" s="2"/>
      <c r="M1069" s="2"/>
      <c r="N1069" s="2"/>
      <c r="O1069" s="2"/>
      <c r="P1069" s="2"/>
      <c r="Q1069" s="2"/>
      <c r="R1069" s="2"/>
      <c r="S1069" s="2"/>
      <c r="T1069" s="2"/>
      <c r="U1069" s="2"/>
      <c r="V1069" s="2"/>
      <c r="W1069" s="2"/>
      <c r="X1069" s="2"/>
      <c r="Y1069" s="2"/>
      <c r="Z1069" s="2"/>
      <c r="AA1069" s="2"/>
      <c r="AB1069" s="2"/>
    </row>
    <row r="1070" spans="1:28" customHeight="true">
      <c r="A1070" s="2"/>
      <c r="B1070" s="31">
        <v>45791</v>
      </c>
      <c r="C1070" s="2" t="s">
        <v>1609</v>
      </c>
      <c r="D1070" s="6">
        <v>208.99</v>
      </c>
      <c r="E1070" s="16" t="str">
        <f>IFERROR(__xludf.DUMMYFUNCTION("IFERROR(
  TEXTJOIN(CHAR(10),TRUE,FILTER('SUMMARY DATA'!E:E,'SUMMARY DATA'!$A:$A=$A171,'SUMMARY DATA'!$C:$C=$B171,'SUMMARY DATA'!$B:$B=""GRP"")),
  IF(
    OR(
      ISNUMBER(SEARCH(""CDM CASH DEPOSIT"",$C171)),
      ISNUMBER(SEARCH(""CASH DEPOSIT"",$C17"&amp;"1)),
      COUNTIFS('SUMMARY DATA'!$D:$D,$C171,'SUMMARY DATA'!$B:$B,""GRP"")&lt;&gt;1
    ),
    """",
    IFERROR(TEXTJOIN(CHAR(10),TRUE,FILTER('SUMMARY DATA'!E:E,'SUMMARY DATA'!$D:$D=$C171,'SUMMARY DATA'!$B:$B=""GRP"")),"""")
  )
)"),"")</f>
      </c>
      <c r="F1070" s="17" t="str">
        <f>IFERROR(__xludf.DUMMYFUNCTION("IFERROR(
  TEXTJOIN(CHAR(10),TRUE,FILTER('SUMMARY DATA'!F:F,'SUMMARY DATA'!$A:$A=$A171,'SUMMARY DATA'!$C:$C=$B171,'SUMMARY DATA'!$B:$B=""GRP"")),
  IF(
    OR(
      ISNUMBER(SEARCH(""CDM CASH DEPOSIT"",$C171)),
      ISNUMBER(SEARCH(""CASH DEPOSIT"",$C17"&amp;"1)),
      COUNTIFS('SUMMARY DATA'!$D:$D,$C171,'SUMMARY DATA'!$B:$B,""GRP"")&lt;&gt;1
    ),
    """",
    IFERROR(TEXTJOIN(CHAR(10),TRUE,FILTER('SUMMARY DATA'!F:F,'SUMMARY DATA'!$D:$D=$C171,'SUMMARY DATA'!$B:$B=""GRP"")),"""")
  )
)"),"")</f>
      </c>
      <c r="G1070" s="17" t="str">
        <f>IFERROR(__xludf.DUMMYFUNCTION("IFERROR(
  TEXTJOIN(CHAR(10),TRUE,FILTER('SUMMARY DATA'!G:G,'SUMMARY DATA'!$A:$A=$A1070,'SUMMARY DATA'!$C:$C=$B1070,'SUMMARY DATA'!$B:$B=""RWS"")),
  IF(
    OR(
      ISNUMBER(SEARCH(""CDM CASH DEPOSIT"",$C1070)),
      ISNUMBER(SEARCH(""CASH DEPOSIT"",$"&amp;"C1070)),
      COUNTIFS('SUMMARY DATA'!$D:$D,$C1070,'SUMMARY DATA'!$B:$B,""RWS"")&lt;&gt;1
    ),
    """",
    IFERROR(TEXTJOIN(CHAR(10),TRUE,FILTER('SUMMARY DATA'!G:G,'SUMMARY DATA'!$D:$D=$C1070,'SUMMARY DATA'!$B:$B=""RWS"")),"""")
  )
)"),"")</f>
      </c>
      <c r="H1070" s="18" t="str">
        <f>IFERROR(__xludf.DUMMYFUNCTION("IFERROR(
  TEXTJOIN(CHAR(10),TRUE,FILTER('SUMMARY DATA'!H:H,'SUMMARY DATA'!$A:$A=$A1070,'SUMMARY DATA'!$C:$C=$B1070,'SUMMARY DATA'!$B:$B=""RWS"",'SUMMARY DATA'!$H:$H=$D1070)),
  IF(
    OR(
      ISNUMBER(SEARCH(""CDM CASH DEPOSIT"",$C1070)),
      ISNUMB"&amp;"ER(SEARCH(""CASH DEPOSIT"",$C1070))
    ),
    """",
    IFERROR(TEXTJOIN(CHAR(10),TRUE,FILTER('SUMMARY DATA'!H:H,'SUMMARY DATA'!$D:$D=$C1070,'SUMMARY DATA'!$B:$B=""RWS"",'SUMMARY DATA'!$H:$H=$D1070)),"""")
  )
)"),"")</f>
      </c>
      <c r="I1070" s="18" t="str">
        <f>IFERROR(__xludf.DUMMYFUNCTION("IF(H1070="""","""",
SUM(ARRAYFORMULA(VALUE(SPLIT(H1070,CHAR(10)))))
)"),"")</f>
      </c>
      <c r="J1070" s="17" t="str">
        <f>IFERROR(__xludf.DUMMYFUNCTION("IFERROR(
  TEXTJOIN(CHAR(10),TRUE,FILTER('SUMMARY DATA'!I:I,'SUMMARY DATA'!$A:$A=$A1070,'SUMMARY DATA'!$C:$C=$B1070,'SUMMARY DATA'!$B:$B=""RWS"")),
  IF(
    OR(
      ISNUMBER(SEARCH(""CDM CASH DEPOSIT"",$C1070)),
      ISNUMBER(SEARCH(""CASH DEPOSIT"",$"&amp;"C1070)),
      COUNTIFS('SUMMARY DATA'!$D:$D,$C1070,'SUMMARY DATA'!$B:$B,""RWS"")&lt;&gt;1
    ),
    """",
    IFERROR(TEXTJOIN(CHAR(10),TRUE,FILTER('SUMMARY DATA'!I:I,'SUMMARY DATA'!$D:$D=$C1070,'SUMMARY DATA'!$B:$B=""RWS"")),"""")
  )
)"),"")</f>
      </c>
      <c r="K1070" s="2"/>
      <c r="L1070" s="2"/>
      <c r="M1070" s="2"/>
      <c r="N1070" s="2"/>
      <c r="O1070" s="2"/>
      <c r="P1070" s="2"/>
      <c r="Q1070" s="2"/>
      <c r="R1070" s="2"/>
      <c r="S1070" s="2"/>
      <c r="T1070" s="2"/>
      <c r="U1070" s="2"/>
      <c r="V1070" s="2"/>
      <c r="W1070" s="2"/>
      <c r="X1070" s="2"/>
      <c r="Y1070" s="2"/>
      <c r="Z1070" s="2"/>
      <c r="AA1070" s="2"/>
      <c r="AB1070" s="2"/>
    </row>
    <row r="1071" spans="1:28" customHeight="true">
      <c r="A1071" s="2"/>
      <c r="B1071" s="31">
        <v>45791</v>
      </c>
      <c r="C1071" s="2" t="s">
        <v>1610</v>
      </c>
      <c r="D1071" s="6">
        <v>153.1</v>
      </c>
      <c r="E1071" s="16" t="str">
        <f>IFERROR(__xludf.DUMMYFUNCTION("IFERROR(
  TEXTJOIN(CHAR(10),TRUE,FILTER('SUMMARY DATA'!E:E,'SUMMARY DATA'!$A:$A=$A172,'SUMMARY DATA'!$C:$C=$B172,'SUMMARY DATA'!$B:$B=""GRP"")),
  IF(
    OR(
      ISNUMBER(SEARCH(""CDM CASH DEPOSIT"",$C172)),
      ISNUMBER(SEARCH(""CASH DEPOSIT"",$C17"&amp;"2)),
      COUNTIFS('SUMMARY DATA'!$D:$D,$C172,'SUMMARY DATA'!$B:$B,""GRP"")&lt;&gt;1
    ),
    """",
    IFERROR(TEXTJOIN(CHAR(10),TRUE,FILTER('SUMMARY DATA'!E:E,'SUMMARY DATA'!$D:$D=$C172,'SUMMARY DATA'!$B:$B=""GRP"")),"""")
  )
)"),"")</f>
      </c>
      <c r="F1071" s="17" t="str">
        <f>IFERROR(__xludf.DUMMYFUNCTION("IFERROR(
  TEXTJOIN(CHAR(10),TRUE,FILTER('SUMMARY DATA'!F:F,'SUMMARY DATA'!$A:$A=$A172,'SUMMARY DATA'!$C:$C=$B172,'SUMMARY DATA'!$B:$B=""GRP"")),
  IF(
    OR(
      ISNUMBER(SEARCH(""CDM CASH DEPOSIT"",$C172)),
      ISNUMBER(SEARCH(""CASH DEPOSIT"",$C17"&amp;"2)),
      COUNTIFS('SUMMARY DATA'!$D:$D,$C172,'SUMMARY DATA'!$B:$B,""GRP"")&lt;&gt;1
    ),
    """",
    IFERROR(TEXTJOIN(CHAR(10),TRUE,FILTER('SUMMARY DATA'!F:F,'SUMMARY DATA'!$D:$D=$C172,'SUMMARY DATA'!$B:$B=""GRP"")),"""")
  )
)"),"")</f>
      </c>
      <c r="G1071" s="17" t="str">
        <f>IFERROR(__xludf.DUMMYFUNCTION("IFERROR(
  TEXTJOIN(CHAR(10),TRUE,FILTER('SUMMARY DATA'!G:G,'SUMMARY DATA'!$A:$A=$A1071,'SUMMARY DATA'!$C:$C=$B1071,'SUMMARY DATA'!$B:$B=""RWS"")),
  IF(
    OR(
      ISNUMBER(SEARCH(""CDM CASH DEPOSIT"",$C1071)),
      ISNUMBER(SEARCH(""CASH DEPOSIT"",$"&amp;"C1071)),
      COUNTIFS('SUMMARY DATA'!$D:$D,$C1071,'SUMMARY DATA'!$B:$B,""RWS"")&lt;&gt;1
    ),
    """",
    IFERROR(TEXTJOIN(CHAR(10),TRUE,FILTER('SUMMARY DATA'!G:G,'SUMMARY DATA'!$D:$D=$C1071,'SUMMARY DATA'!$B:$B=""RWS"")),"""")
  )
)"),"")</f>
      </c>
      <c r="H1071" s="18" t="str">
        <f>IFERROR(__xludf.DUMMYFUNCTION("IFERROR(
  TEXTJOIN(CHAR(10),TRUE,FILTER('SUMMARY DATA'!H:H,'SUMMARY DATA'!$A:$A=$A1071,'SUMMARY DATA'!$C:$C=$B1071,'SUMMARY DATA'!$B:$B=""RWS"",'SUMMARY DATA'!$H:$H=$D1071)),
  IF(
    OR(
      ISNUMBER(SEARCH(""CDM CASH DEPOSIT"",$C1071)),
      ISNUMB"&amp;"ER(SEARCH(""CASH DEPOSIT"",$C1071))
    ),
    """",
    IFERROR(TEXTJOIN(CHAR(10),TRUE,FILTER('SUMMARY DATA'!H:H,'SUMMARY DATA'!$D:$D=$C1071,'SUMMARY DATA'!$B:$B=""RWS"",'SUMMARY DATA'!$H:$H=$D1071)),"""")
  )
)"),"")</f>
      </c>
      <c r="I1071" s="18" t="str">
        <f>IFERROR(__xludf.DUMMYFUNCTION("IF(H1071="""","""",
SUM(ARRAYFORMULA(VALUE(SPLIT(H1071,CHAR(10)))))
)"),"")</f>
      </c>
      <c r="J1071" s="17" t="str">
        <f>IFERROR(__xludf.DUMMYFUNCTION("IFERROR(
  TEXTJOIN(CHAR(10),TRUE,FILTER('SUMMARY DATA'!I:I,'SUMMARY DATA'!$A:$A=$A1071,'SUMMARY DATA'!$C:$C=$B1071,'SUMMARY DATA'!$B:$B=""RWS"")),
  IF(
    OR(
      ISNUMBER(SEARCH(""CDM CASH DEPOSIT"",$C1071)),
      ISNUMBER(SEARCH(""CASH DEPOSIT"",$"&amp;"C1071)),
      COUNTIFS('SUMMARY DATA'!$D:$D,$C1071,'SUMMARY DATA'!$B:$B,""RWS"")&lt;&gt;1
    ),
    """",
    IFERROR(TEXTJOIN(CHAR(10),TRUE,FILTER('SUMMARY DATA'!I:I,'SUMMARY DATA'!$D:$D=$C1071,'SUMMARY DATA'!$B:$B=""RWS"")),"""")
  )
)"),"")</f>
      </c>
      <c r="K1071" s="2"/>
      <c r="L1071" s="2"/>
      <c r="M1071" s="2"/>
      <c r="N1071" s="2"/>
      <c r="O1071" s="2"/>
      <c r="P1071" s="2"/>
      <c r="Q1071" s="2"/>
      <c r="R1071" s="2"/>
      <c r="S1071" s="2"/>
      <c r="T1071" s="2"/>
      <c r="U1071" s="2"/>
      <c r="V1071" s="2"/>
      <c r="W1071" s="2"/>
      <c r="X1071" s="2"/>
      <c r="Y1071" s="2"/>
      <c r="Z1071" s="2"/>
      <c r="AA1071" s="2"/>
      <c r="AB1071" s="2"/>
    </row>
    <row r="1072" spans="1:28" customHeight="true">
      <c r="A1072" s="2"/>
      <c r="B1072" s="31">
        <v>45791</v>
      </c>
      <c r="C1072" s="2" t="s">
        <v>1611</v>
      </c>
      <c r="D1072" s="6">
        <v>126.98</v>
      </c>
      <c r="E1072" s="16" t="str">
        <f>IFERROR(__xludf.DUMMYFUNCTION("IFERROR(
  TEXTJOIN(CHAR(10),TRUE,FILTER('SUMMARY DATA'!E:E,'SUMMARY DATA'!$A:$A=$A173,'SUMMARY DATA'!$C:$C=$B173,'SUMMARY DATA'!$B:$B=""GRP"")),
  IF(
    OR(
      ISNUMBER(SEARCH(""CDM CASH DEPOSIT"",$C173)),
      ISNUMBER(SEARCH(""CASH DEPOSIT"",$C17"&amp;"3)),
      COUNTIFS('SUMMARY DATA'!$D:$D,$C173,'SUMMARY DATA'!$B:$B,""GRP"")&lt;&gt;1
    ),
    """",
    IFERROR(TEXTJOIN(CHAR(10),TRUE,FILTER('SUMMARY DATA'!E:E,'SUMMARY DATA'!$D:$D=$C173,'SUMMARY DATA'!$B:$B=""GRP"")),"""")
  )
)"),"")</f>
      </c>
      <c r="F1072" s="17" t="str">
        <f>IFERROR(__xludf.DUMMYFUNCTION("IFERROR(
  TEXTJOIN(CHAR(10),TRUE,FILTER('SUMMARY DATA'!F:F,'SUMMARY DATA'!$A:$A=$A173,'SUMMARY DATA'!$C:$C=$B173,'SUMMARY DATA'!$B:$B=""GRP"")),
  IF(
    OR(
      ISNUMBER(SEARCH(""CDM CASH DEPOSIT"",$C173)),
      ISNUMBER(SEARCH(""CASH DEPOSIT"",$C17"&amp;"3)),
      COUNTIFS('SUMMARY DATA'!$D:$D,$C173,'SUMMARY DATA'!$B:$B,""GRP"")&lt;&gt;1
    ),
    """",
    IFERROR(TEXTJOIN(CHAR(10),TRUE,FILTER('SUMMARY DATA'!F:F,'SUMMARY DATA'!$D:$D=$C173,'SUMMARY DATA'!$B:$B=""GRP"")),"""")
  )
)"),"")</f>
      </c>
      <c r="G1072" s="17" t="str">
        <f>IFERROR(__xludf.DUMMYFUNCTION("IFERROR(
  TEXTJOIN(CHAR(10),TRUE,FILTER('SUMMARY DATA'!G:G,'SUMMARY DATA'!$A:$A=$A1072,'SUMMARY DATA'!$C:$C=$B1072,'SUMMARY DATA'!$B:$B=""RWS"")),
  IF(
    OR(
      ISNUMBER(SEARCH(""CDM CASH DEPOSIT"",$C1072)),
      ISNUMBER(SEARCH(""CASH DEPOSIT"",$"&amp;"C1072)),
      COUNTIFS('SUMMARY DATA'!$D:$D,$C1072,'SUMMARY DATA'!$B:$B,""RWS"")&lt;&gt;1
    ),
    """",
    IFERROR(TEXTJOIN(CHAR(10),TRUE,FILTER('SUMMARY DATA'!G:G,'SUMMARY DATA'!$D:$D=$C1072,'SUMMARY DATA'!$B:$B=""RWS"")),"""")
  )
)"),"")</f>
      </c>
      <c r="H1072" s="18" t="str">
        <f>IFERROR(__xludf.DUMMYFUNCTION("IFERROR(
  TEXTJOIN(CHAR(10),TRUE,FILTER('SUMMARY DATA'!H:H,'SUMMARY DATA'!$A:$A=$A1072,'SUMMARY DATA'!$C:$C=$B1072,'SUMMARY DATA'!$B:$B=""RWS"",'SUMMARY DATA'!$H:$H=$D1072)),
  IF(
    OR(
      ISNUMBER(SEARCH(""CDM CASH DEPOSIT"",$C1072)),
      ISNUMB"&amp;"ER(SEARCH(""CASH DEPOSIT"",$C1072))
    ),
    """",
    IFERROR(TEXTJOIN(CHAR(10),TRUE,FILTER('SUMMARY DATA'!H:H,'SUMMARY DATA'!$D:$D=$C1072,'SUMMARY DATA'!$B:$B=""RWS"",'SUMMARY DATA'!$H:$H=$D1072)),"""")
  )
)"),"")</f>
      </c>
      <c r="I1072" s="18" t="str">
        <f>IFERROR(__xludf.DUMMYFUNCTION("IF(H1072="""","""",
SUM(ARRAYFORMULA(VALUE(SPLIT(H1072,CHAR(10)))))
)"),"")</f>
      </c>
      <c r="J1072" s="17" t="str">
        <f>IFERROR(__xludf.DUMMYFUNCTION("IFERROR(
  TEXTJOIN(CHAR(10),TRUE,FILTER('SUMMARY DATA'!I:I,'SUMMARY DATA'!$A:$A=$A1072,'SUMMARY DATA'!$C:$C=$B1072,'SUMMARY DATA'!$B:$B=""RWS"")),
  IF(
    OR(
      ISNUMBER(SEARCH(""CDM CASH DEPOSIT"",$C1072)),
      ISNUMBER(SEARCH(""CASH DEPOSIT"",$"&amp;"C1072)),
      COUNTIFS('SUMMARY DATA'!$D:$D,$C1072,'SUMMARY DATA'!$B:$B,""RWS"")&lt;&gt;1
    ),
    """",
    IFERROR(TEXTJOIN(CHAR(10),TRUE,FILTER('SUMMARY DATA'!I:I,'SUMMARY DATA'!$D:$D=$C1072,'SUMMARY DATA'!$B:$B=""RWS"")),"""")
  )
)"),"")</f>
      </c>
      <c r="K1072" s="2"/>
      <c r="L1072" s="2"/>
      <c r="M1072" s="2"/>
      <c r="N1072" s="2"/>
      <c r="O1072" s="2"/>
      <c r="P1072" s="2"/>
      <c r="Q1072" s="2"/>
      <c r="R1072" s="2"/>
      <c r="S1072" s="2"/>
      <c r="T1072" s="2"/>
      <c r="U1072" s="2"/>
      <c r="V1072" s="2"/>
      <c r="W1072" s="2"/>
      <c r="X1072" s="2"/>
      <c r="Y1072" s="2"/>
      <c r="Z1072" s="2"/>
      <c r="AA1072" s="2"/>
      <c r="AB1072" s="2"/>
    </row>
    <row r="1073" spans="1:28" customHeight="true">
      <c r="A1073" s="2"/>
      <c r="B1073" s="31">
        <v>45791</v>
      </c>
      <c r="C1073" s="2" t="s">
        <v>1612</v>
      </c>
      <c r="D1073" s="6">
        <v>109.99</v>
      </c>
      <c r="E1073" s="16" t="str">
        <f>IFERROR(__xludf.DUMMYFUNCTION("IFERROR(
  TEXTJOIN(CHAR(10),TRUE,FILTER('SUMMARY DATA'!E:E,'SUMMARY DATA'!$A:$A=$A174,'SUMMARY DATA'!$C:$C=$B174,'SUMMARY DATA'!$B:$B=""GRP"")),
  IF(
    OR(
      ISNUMBER(SEARCH(""CDM CASH DEPOSIT"",$C174)),
      ISNUMBER(SEARCH(""CASH DEPOSIT"",$C17"&amp;"4)),
      COUNTIFS('SUMMARY DATA'!$D:$D,$C174,'SUMMARY DATA'!$B:$B,""GRP"")&lt;&gt;1
    ),
    """",
    IFERROR(TEXTJOIN(CHAR(10),TRUE,FILTER('SUMMARY DATA'!E:E,'SUMMARY DATA'!$D:$D=$C174,'SUMMARY DATA'!$B:$B=""GRP"")),"""")
  )
)"),"")</f>
      </c>
      <c r="F1073" s="17" t="str">
        <f>IFERROR(__xludf.DUMMYFUNCTION("IFERROR(
  TEXTJOIN(CHAR(10),TRUE,FILTER('SUMMARY DATA'!F:F,'SUMMARY DATA'!$A:$A=$A174,'SUMMARY DATA'!$C:$C=$B174,'SUMMARY DATA'!$B:$B=""GRP"")),
  IF(
    OR(
      ISNUMBER(SEARCH(""CDM CASH DEPOSIT"",$C174)),
      ISNUMBER(SEARCH(""CASH DEPOSIT"",$C17"&amp;"4)),
      COUNTIFS('SUMMARY DATA'!$D:$D,$C174,'SUMMARY DATA'!$B:$B,""GRP"")&lt;&gt;1
    ),
    """",
    IFERROR(TEXTJOIN(CHAR(10),TRUE,FILTER('SUMMARY DATA'!F:F,'SUMMARY DATA'!$D:$D=$C174,'SUMMARY DATA'!$B:$B=""GRP"")),"""")
  )
)"),"")</f>
      </c>
      <c r="G1073" s="17" t="str">
        <f>IFERROR(__xludf.DUMMYFUNCTION("IFERROR(
  TEXTJOIN(CHAR(10),TRUE,FILTER('SUMMARY DATA'!G:G,'SUMMARY DATA'!$A:$A=$A1073,'SUMMARY DATA'!$C:$C=$B1073,'SUMMARY DATA'!$B:$B=""RWS"")),
  IF(
    OR(
      ISNUMBER(SEARCH(""CDM CASH DEPOSIT"",$C1073)),
      ISNUMBER(SEARCH(""CASH DEPOSIT"",$"&amp;"C1073)),
      COUNTIFS('SUMMARY DATA'!$D:$D,$C1073,'SUMMARY DATA'!$B:$B,""RWS"")&lt;&gt;1
    ),
    """",
    IFERROR(TEXTJOIN(CHAR(10),TRUE,FILTER('SUMMARY DATA'!G:G,'SUMMARY DATA'!$D:$D=$C1073,'SUMMARY DATA'!$B:$B=""RWS"")),"""")
  )
)"),"")</f>
      </c>
      <c r="H1073" s="18" t="str">
        <f>IFERROR(__xludf.DUMMYFUNCTION("IFERROR(
  TEXTJOIN(CHAR(10),TRUE,FILTER('SUMMARY DATA'!H:H,'SUMMARY DATA'!$A:$A=$A1073,'SUMMARY DATA'!$C:$C=$B1073,'SUMMARY DATA'!$B:$B=""RWS"",'SUMMARY DATA'!$H:$H=$D1073)),
  IF(
    OR(
      ISNUMBER(SEARCH(""CDM CASH DEPOSIT"",$C1073)),
      ISNUMB"&amp;"ER(SEARCH(""CASH DEPOSIT"",$C1073))
    ),
    """",
    IFERROR(TEXTJOIN(CHAR(10),TRUE,FILTER('SUMMARY DATA'!H:H,'SUMMARY DATA'!$D:$D=$C1073,'SUMMARY DATA'!$B:$B=""RWS"",'SUMMARY DATA'!$H:$H=$D1073)),"""")
  )
)"),"")</f>
      </c>
      <c r="I1073" s="18" t="str">
        <f>IFERROR(__xludf.DUMMYFUNCTION("IF(H1073="""","""",
SUM(ARRAYFORMULA(VALUE(SPLIT(H1073,CHAR(10)))))
)"),"")</f>
      </c>
      <c r="J1073" s="17" t="str">
        <f>IFERROR(__xludf.DUMMYFUNCTION("IFERROR(
  TEXTJOIN(CHAR(10),TRUE,FILTER('SUMMARY DATA'!I:I,'SUMMARY DATA'!$A:$A=$A1073,'SUMMARY DATA'!$C:$C=$B1073,'SUMMARY DATA'!$B:$B=""RWS"")),
  IF(
    OR(
      ISNUMBER(SEARCH(""CDM CASH DEPOSIT"",$C1073)),
      ISNUMBER(SEARCH(""CASH DEPOSIT"",$"&amp;"C1073)),
      COUNTIFS('SUMMARY DATA'!$D:$D,$C1073,'SUMMARY DATA'!$B:$B,""RWS"")&lt;&gt;1
    ),
    """",
    IFERROR(TEXTJOIN(CHAR(10),TRUE,FILTER('SUMMARY DATA'!I:I,'SUMMARY DATA'!$D:$D=$C1073,'SUMMARY DATA'!$B:$B=""RWS"")),"""")
  )
)"),"")</f>
      </c>
      <c r="K1073" s="2"/>
      <c r="L1073" s="2"/>
      <c r="M1073" s="2"/>
      <c r="N1073" s="2"/>
      <c r="O1073" s="2"/>
      <c r="P1073" s="2"/>
      <c r="Q1073" s="2"/>
      <c r="R1073" s="2"/>
      <c r="S1073" s="2"/>
      <c r="T1073" s="2"/>
      <c r="U1073" s="2"/>
      <c r="V1073" s="2"/>
      <c r="W1073" s="2"/>
      <c r="X1073" s="2"/>
      <c r="Y1073" s="2"/>
      <c r="Z1073" s="2"/>
      <c r="AA1073" s="2"/>
      <c r="AB1073" s="2"/>
    </row>
    <row r="1074" spans="1:28" customHeight="true">
      <c r="A1074" s="2"/>
      <c r="B1074" s="31">
        <v>45791</v>
      </c>
      <c r="C1074" s="2" t="s">
        <v>1613</v>
      </c>
      <c r="D1074" s="6">
        <v>109.98</v>
      </c>
      <c r="E1074" s="16" t="str">
        <f>IFERROR(__xludf.DUMMYFUNCTION("IFERROR(
  TEXTJOIN(CHAR(10),TRUE,FILTER('SUMMARY DATA'!E:E,'SUMMARY DATA'!$A:$A=$A175,'SUMMARY DATA'!$C:$C=$B175,'SUMMARY DATA'!$B:$B=""GRP"")),
  IF(
    OR(
      ISNUMBER(SEARCH(""CDM CASH DEPOSIT"",$C175)),
      ISNUMBER(SEARCH(""CASH DEPOSIT"",$C17"&amp;"5)),
      COUNTIFS('SUMMARY DATA'!$D:$D,$C175,'SUMMARY DATA'!$B:$B,""GRP"")&lt;&gt;1
    ),
    """",
    IFERROR(TEXTJOIN(CHAR(10),TRUE,FILTER('SUMMARY DATA'!E:E,'SUMMARY DATA'!$D:$D=$C175,'SUMMARY DATA'!$B:$B=""GRP"")),"""")
  )
)"),"")</f>
      </c>
      <c r="F1074" s="17" t="str">
        <f>IFERROR(__xludf.DUMMYFUNCTION("IFERROR(
  TEXTJOIN(CHAR(10),TRUE,FILTER('SUMMARY DATA'!F:F,'SUMMARY DATA'!$A:$A=$A175,'SUMMARY DATA'!$C:$C=$B175,'SUMMARY DATA'!$B:$B=""GRP"")),
  IF(
    OR(
      ISNUMBER(SEARCH(""CDM CASH DEPOSIT"",$C175)),
      ISNUMBER(SEARCH(""CASH DEPOSIT"",$C17"&amp;"5)),
      COUNTIFS('SUMMARY DATA'!$D:$D,$C175,'SUMMARY DATA'!$B:$B,""GRP"")&lt;&gt;1
    ),
    """",
    IFERROR(TEXTJOIN(CHAR(10),TRUE,FILTER('SUMMARY DATA'!F:F,'SUMMARY DATA'!$D:$D=$C175,'SUMMARY DATA'!$B:$B=""GRP"")),"""")
  )
)"),"")</f>
      </c>
      <c r="G1074" s="17" t="str">
        <f>IFERROR(__xludf.DUMMYFUNCTION("IFERROR(
  TEXTJOIN(CHAR(10),TRUE,FILTER('SUMMARY DATA'!G:G,'SUMMARY DATA'!$A:$A=$A1074,'SUMMARY DATA'!$C:$C=$B1074,'SUMMARY DATA'!$B:$B=""RWS"")),
  IF(
    OR(
      ISNUMBER(SEARCH(""CDM CASH DEPOSIT"",$C1074)),
      ISNUMBER(SEARCH(""CASH DEPOSIT"",$"&amp;"C1074)),
      COUNTIFS('SUMMARY DATA'!$D:$D,$C1074,'SUMMARY DATA'!$B:$B,""RWS"")&lt;&gt;1
    ),
    """",
    IFERROR(TEXTJOIN(CHAR(10),TRUE,FILTER('SUMMARY DATA'!G:G,'SUMMARY DATA'!$D:$D=$C1074,'SUMMARY DATA'!$B:$B=""RWS"")),"""")
  )
)"),"")</f>
      </c>
      <c r="H1074" s="18" t="str">
        <f>IFERROR(__xludf.DUMMYFUNCTION("IFERROR(
  TEXTJOIN(CHAR(10),TRUE,FILTER('SUMMARY DATA'!H:H,'SUMMARY DATA'!$A:$A=$A1074,'SUMMARY DATA'!$C:$C=$B1074,'SUMMARY DATA'!$B:$B=""RWS"",'SUMMARY DATA'!$H:$H=$D1074)),
  IF(
    OR(
      ISNUMBER(SEARCH(""CDM CASH DEPOSIT"",$C1074)),
      ISNUMB"&amp;"ER(SEARCH(""CASH DEPOSIT"",$C1074))
    ),
    """",
    IFERROR(TEXTJOIN(CHAR(10),TRUE,FILTER('SUMMARY DATA'!H:H,'SUMMARY DATA'!$D:$D=$C1074,'SUMMARY DATA'!$B:$B=""RWS"",'SUMMARY DATA'!$H:$H=$D1074)),"""")
  )
)"),"")</f>
      </c>
      <c r="I1074" s="18" t="str">
        <f>IFERROR(__xludf.DUMMYFUNCTION("IF(H1074="""","""",
SUM(ARRAYFORMULA(VALUE(SPLIT(H1074,CHAR(10)))))
)"),"")</f>
      </c>
      <c r="J1074" s="17" t="str">
        <f>IFERROR(__xludf.DUMMYFUNCTION("IFERROR(
  TEXTJOIN(CHAR(10),TRUE,FILTER('SUMMARY DATA'!I:I,'SUMMARY DATA'!$A:$A=$A1074,'SUMMARY DATA'!$C:$C=$B1074,'SUMMARY DATA'!$B:$B=""RWS"")),
  IF(
    OR(
      ISNUMBER(SEARCH(""CDM CASH DEPOSIT"",$C1074)),
      ISNUMBER(SEARCH(""CASH DEPOSIT"",$"&amp;"C1074)),
      COUNTIFS('SUMMARY DATA'!$D:$D,$C1074,'SUMMARY DATA'!$B:$B,""RWS"")&lt;&gt;1
    ),
    """",
    IFERROR(TEXTJOIN(CHAR(10),TRUE,FILTER('SUMMARY DATA'!I:I,'SUMMARY DATA'!$D:$D=$C1074,'SUMMARY DATA'!$B:$B=""RWS"")),"""")
  )
)"),"")</f>
      </c>
      <c r="K1074" s="2"/>
      <c r="L1074" s="2"/>
      <c r="M1074" s="2"/>
      <c r="N1074" s="2"/>
      <c r="O1074" s="2"/>
      <c r="P1074" s="2"/>
      <c r="Q1074" s="2"/>
      <c r="R1074" s="2"/>
      <c r="S1074" s="2"/>
      <c r="T1074" s="2"/>
      <c r="U1074" s="2"/>
      <c r="V1074" s="2"/>
      <c r="W1074" s="2"/>
      <c r="X1074" s="2"/>
      <c r="Y1074" s="2"/>
      <c r="Z1074" s="2"/>
      <c r="AA1074" s="2"/>
      <c r="AB1074" s="2"/>
    </row>
    <row r="1075" spans="1:28" customHeight="true">
      <c r="A1075" s="2"/>
      <c r="B1075" s="31">
        <v>45791</v>
      </c>
      <c r="C1075" s="2" t="s">
        <v>1614</v>
      </c>
      <c r="D1075" s="6">
        <v>103</v>
      </c>
      <c r="E1075" s="16" t="str">
        <f>IFERROR(__xludf.DUMMYFUNCTION("IFERROR(
  TEXTJOIN(CHAR(10),TRUE,FILTER('SUMMARY DATA'!E:E,'SUMMARY DATA'!$A:$A=$A176,'SUMMARY DATA'!$C:$C=$B176,'SUMMARY DATA'!$B:$B=""GRP"")),
  IF(
    OR(
      ISNUMBER(SEARCH(""CDM CASH DEPOSIT"",$C176)),
      ISNUMBER(SEARCH(""CASH DEPOSIT"",$C17"&amp;"6)),
      COUNTIFS('SUMMARY DATA'!$D:$D,$C176,'SUMMARY DATA'!$B:$B,""GRP"")&lt;&gt;1
    ),
    """",
    IFERROR(TEXTJOIN(CHAR(10),TRUE,FILTER('SUMMARY DATA'!E:E,'SUMMARY DATA'!$D:$D=$C176,'SUMMARY DATA'!$B:$B=""GRP"")),"""")
  )
)"),"")</f>
      </c>
      <c r="F1075" s="17" t="str">
        <f>IFERROR(__xludf.DUMMYFUNCTION("IFERROR(
  TEXTJOIN(CHAR(10),TRUE,FILTER('SUMMARY DATA'!F:F,'SUMMARY DATA'!$A:$A=$A176,'SUMMARY DATA'!$C:$C=$B176,'SUMMARY DATA'!$B:$B=""GRP"")),
  IF(
    OR(
      ISNUMBER(SEARCH(""CDM CASH DEPOSIT"",$C176)),
      ISNUMBER(SEARCH(""CASH DEPOSIT"",$C17"&amp;"6)),
      COUNTIFS('SUMMARY DATA'!$D:$D,$C176,'SUMMARY DATA'!$B:$B,""GRP"")&lt;&gt;1
    ),
    """",
    IFERROR(TEXTJOIN(CHAR(10),TRUE,FILTER('SUMMARY DATA'!F:F,'SUMMARY DATA'!$D:$D=$C176,'SUMMARY DATA'!$B:$B=""GRP"")),"""")
  )
)"),"")</f>
      </c>
      <c r="G1075" s="17" t="str">
        <f>IFERROR(__xludf.DUMMYFUNCTION("IFERROR(
  TEXTJOIN(CHAR(10),TRUE,FILTER('SUMMARY DATA'!G:G,'SUMMARY DATA'!$A:$A=$A1075,'SUMMARY DATA'!$C:$C=$B1075,'SUMMARY DATA'!$B:$B=""RWS"")),
  IF(
    OR(
      ISNUMBER(SEARCH(""CDM CASH DEPOSIT"",$C1075)),
      ISNUMBER(SEARCH(""CASH DEPOSIT"",$"&amp;"C1075)),
      COUNTIFS('SUMMARY DATA'!$D:$D,$C1075,'SUMMARY DATA'!$B:$B,""RWS"")&lt;&gt;1
    ),
    """",
    IFERROR(TEXTJOIN(CHAR(10),TRUE,FILTER('SUMMARY DATA'!G:G,'SUMMARY DATA'!$D:$D=$C1075,'SUMMARY DATA'!$B:$B=""RWS"")),"""")
  )
)"),"")</f>
      </c>
      <c r="H1075" s="18" t="str">
        <f>IFERROR(__xludf.DUMMYFUNCTION("IFERROR(
  TEXTJOIN(CHAR(10),TRUE,FILTER('SUMMARY DATA'!H:H,'SUMMARY DATA'!$A:$A=$A1075,'SUMMARY DATA'!$C:$C=$B1075,'SUMMARY DATA'!$B:$B=""RWS"",'SUMMARY DATA'!$H:$H=$D1075)),
  IF(
    OR(
      ISNUMBER(SEARCH(""CDM CASH DEPOSIT"",$C1075)),
      ISNUMB"&amp;"ER(SEARCH(""CASH DEPOSIT"",$C1075))
    ),
    """",
    IFERROR(TEXTJOIN(CHAR(10),TRUE,FILTER('SUMMARY DATA'!H:H,'SUMMARY DATA'!$D:$D=$C1075,'SUMMARY DATA'!$B:$B=""RWS"",'SUMMARY DATA'!$H:$H=$D1075)),"""")
  )
)"),"")</f>
      </c>
      <c r="I1075" s="18" t="str">
        <f>IFERROR(__xludf.DUMMYFUNCTION("IF(H1075="""","""",
SUM(ARRAYFORMULA(VALUE(SPLIT(H1075,CHAR(10)))))
)"),"")</f>
      </c>
      <c r="J1075" s="17" t="str">
        <f>IFERROR(__xludf.DUMMYFUNCTION("IFERROR(
  TEXTJOIN(CHAR(10),TRUE,FILTER('SUMMARY DATA'!I:I,'SUMMARY DATA'!$A:$A=$A1075,'SUMMARY DATA'!$C:$C=$B1075,'SUMMARY DATA'!$B:$B=""RWS"")),
  IF(
    OR(
      ISNUMBER(SEARCH(""CDM CASH DEPOSIT"",$C1075)),
      ISNUMBER(SEARCH(""CASH DEPOSIT"",$"&amp;"C1075)),
      COUNTIFS('SUMMARY DATA'!$D:$D,$C1075,'SUMMARY DATA'!$B:$B,""RWS"")&lt;&gt;1
    ),
    """",
    IFERROR(TEXTJOIN(CHAR(10),TRUE,FILTER('SUMMARY DATA'!I:I,'SUMMARY DATA'!$D:$D=$C1075,'SUMMARY DATA'!$B:$B=""RWS"")),"""")
  )
)"),"")</f>
      </c>
      <c r="K1075" s="2"/>
      <c r="L1075" s="2"/>
      <c r="M1075" s="2"/>
      <c r="N1075" s="2"/>
      <c r="O1075" s="2"/>
      <c r="P1075" s="2"/>
      <c r="Q1075" s="2"/>
      <c r="R1075" s="2"/>
      <c r="S1075" s="2"/>
      <c r="T1075" s="2"/>
      <c r="U1075" s="2"/>
      <c r="V1075" s="2"/>
      <c r="W1075" s="2"/>
      <c r="X1075" s="2"/>
      <c r="Y1075" s="2"/>
      <c r="Z1075" s="2"/>
      <c r="AA1075" s="2"/>
      <c r="AB1075" s="2"/>
    </row>
    <row r="1076" spans="1:28" customHeight="true">
      <c r="A1076" s="2"/>
      <c r="B1076" s="31">
        <v>45791</v>
      </c>
      <c r="C1076" s="2" t="s">
        <v>1615</v>
      </c>
      <c r="D1076" s="6">
        <v>102.79</v>
      </c>
      <c r="E1076" s="16" t="str">
        <f>IFERROR(__xludf.DUMMYFUNCTION("IFERROR(
  TEXTJOIN(CHAR(10),TRUE,FILTER('SUMMARY DATA'!E:E,'SUMMARY DATA'!$A:$A=$A177,'SUMMARY DATA'!$C:$C=$B177,'SUMMARY DATA'!$B:$B=""GRP"")),
  IF(
    OR(
      ISNUMBER(SEARCH(""CDM CASH DEPOSIT"",$C177)),
      ISNUMBER(SEARCH(""CASH DEPOSIT"",$C17"&amp;"7)),
      COUNTIFS('SUMMARY DATA'!$D:$D,$C177,'SUMMARY DATA'!$B:$B,""GRP"")&lt;&gt;1
    ),
    """",
    IFERROR(TEXTJOIN(CHAR(10),TRUE,FILTER('SUMMARY DATA'!E:E,'SUMMARY DATA'!$D:$D=$C177,'SUMMARY DATA'!$B:$B=""GRP"")),"""")
  )
)"),"")</f>
      </c>
      <c r="F1076" s="17" t="str">
        <f>IFERROR(__xludf.DUMMYFUNCTION("IFERROR(
  TEXTJOIN(CHAR(10),TRUE,FILTER('SUMMARY DATA'!F:F,'SUMMARY DATA'!$A:$A=$A177,'SUMMARY DATA'!$C:$C=$B177,'SUMMARY DATA'!$B:$B=""GRP"")),
  IF(
    OR(
      ISNUMBER(SEARCH(""CDM CASH DEPOSIT"",$C177)),
      ISNUMBER(SEARCH(""CASH DEPOSIT"",$C17"&amp;"7)),
      COUNTIFS('SUMMARY DATA'!$D:$D,$C177,'SUMMARY DATA'!$B:$B,""GRP"")&lt;&gt;1
    ),
    """",
    IFERROR(TEXTJOIN(CHAR(10),TRUE,FILTER('SUMMARY DATA'!F:F,'SUMMARY DATA'!$D:$D=$C177,'SUMMARY DATA'!$B:$B=""GRP"")),"""")
  )
)"),"")</f>
      </c>
      <c r="G1076" s="17" t="str">
        <f>IFERROR(__xludf.DUMMYFUNCTION("IFERROR(
  TEXTJOIN(CHAR(10),TRUE,FILTER('SUMMARY DATA'!G:G,'SUMMARY DATA'!$A:$A=$A1076,'SUMMARY DATA'!$C:$C=$B1076,'SUMMARY DATA'!$B:$B=""RWS"")),
  IF(
    OR(
      ISNUMBER(SEARCH(""CDM CASH DEPOSIT"",$C1076)),
      ISNUMBER(SEARCH(""CASH DEPOSIT"",$"&amp;"C1076)),
      COUNTIFS('SUMMARY DATA'!$D:$D,$C1076,'SUMMARY DATA'!$B:$B,""RWS"")&lt;&gt;1
    ),
    """",
    IFERROR(TEXTJOIN(CHAR(10),TRUE,FILTER('SUMMARY DATA'!G:G,'SUMMARY DATA'!$D:$D=$C1076,'SUMMARY DATA'!$B:$B=""RWS"")),"""")
  )
)"),"")</f>
      </c>
      <c r="H1076" s="18" t="str">
        <f>IFERROR(__xludf.DUMMYFUNCTION("IFERROR(
  TEXTJOIN(CHAR(10),TRUE,FILTER('SUMMARY DATA'!H:H,'SUMMARY DATA'!$A:$A=$A1076,'SUMMARY DATA'!$C:$C=$B1076,'SUMMARY DATA'!$B:$B=""RWS"",'SUMMARY DATA'!$H:$H=$D1076)),
  IF(
    OR(
      ISNUMBER(SEARCH(""CDM CASH DEPOSIT"",$C1076)),
      ISNUMB"&amp;"ER(SEARCH(""CASH DEPOSIT"",$C1076))
    ),
    """",
    IFERROR(TEXTJOIN(CHAR(10),TRUE,FILTER('SUMMARY DATA'!H:H,'SUMMARY DATA'!$D:$D=$C1076,'SUMMARY DATA'!$B:$B=""RWS"",'SUMMARY DATA'!$H:$H=$D1076)),"""")
  )
)"),"")</f>
      </c>
      <c r="I1076" s="18" t="str">
        <f>IFERROR(__xludf.DUMMYFUNCTION("IF(H1076="""","""",
SUM(ARRAYFORMULA(VALUE(SPLIT(H1076,CHAR(10)))))
)"),"")</f>
      </c>
      <c r="J1076" s="17" t="str">
        <f>IFERROR(__xludf.DUMMYFUNCTION("IFERROR(
  TEXTJOIN(CHAR(10),TRUE,FILTER('SUMMARY DATA'!I:I,'SUMMARY DATA'!$A:$A=$A1076,'SUMMARY DATA'!$C:$C=$B1076,'SUMMARY DATA'!$B:$B=""RWS"")),
  IF(
    OR(
      ISNUMBER(SEARCH(""CDM CASH DEPOSIT"",$C1076)),
      ISNUMBER(SEARCH(""CASH DEPOSIT"",$"&amp;"C1076)),
      COUNTIFS('SUMMARY DATA'!$D:$D,$C1076,'SUMMARY DATA'!$B:$B,""RWS"")&lt;&gt;1
    ),
    """",
    IFERROR(TEXTJOIN(CHAR(10),TRUE,FILTER('SUMMARY DATA'!I:I,'SUMMARY DATA'!$D:$D=$C1076,'SUMMARY DATA'!$B:$B=""RWS"")),"""")
  )
)"),"")</f>
      </c>
      <c r="K1076" s="2"/>
      <c r="L1076" s="2"/>
      <c r="M1076" s="2"/>
      <c r="N1076" s="2"/>
      <c r="O1076" s="2"/>
      <c r="P1076" s="2"/>
      <c r="Q1076" s="2"/>
      <c r="R1076" s="2"/>
      <c r="S1076" s="2"/>
      <c r="T1076" s="2"/>
      <c r="U1076" s="2"/>
      <c r="V1076" s="2"/>
      <c r="W1076" s="2"/>
      <c r="X1076" s="2"/>
      <c r="Y1076" s="2"/>
      <c r="Z1076" s="2"/>
      <c r="AA1076" s="2"/>
      <c r="AB1076" s="2"/>
    </row>
    <row r="1077" spans="1:28" customHeight="true">
      <c r="A1077" s="2"/>
      <c r="B1077" s="31">
        <v>45791</v>
      </c>
      <c r="C1077" s="2" t="s">
        <v>1616</v>
      </c>
      <c r="D1077" s="6">
        <v>101.51</v>
      </c>
      <c r="E1077" s="16" t="str">
        <f>IFERROR(__xludf.DUMMYFUNCTION("IFERROR(
  TEXTJOIN(CHAR(10),TRUE,FILTER('SUMMARY DATA'!E:E,'SUMMARY DATA'!$A:$A=$A178,'SUMMARY DATA'!$C:$C=$B178,'SUMMARY DATA'!$B:$B=""GRP"")),
  IF(
    OR(
      ISNUMBER(SEARCH(""CDM CASH DEPOSIT"",$C178)),
      ISNUMBER(SEARCH(""CASH DEPOSIT"",$C17"&amp;"8)),
      COUNTIFS('SUMMARY DATA'!$D:$D,$C178,'SUMMARY DATA'!$B:$B,""GRP"")&lt;&gt;1
    ),
    """",
    IFERROR(TEXTJOIN(CHAR(10),TRUE,FILTER('SUMMARY DATA'!E:E,'SUMMARY DATA'!$D:$D=$C178,'SUMMARY DATA'!$B:$B=""GRP"")),"""")
  )
)"),"")</f>
      </c>
      <c r="F1077" s="17" t="str">
        <f>IFERROR(__xludf.DUMMYFUNCTION("IFERROR(
  TEXTJOIN(CHAR(10),TRUE,FILTER('SUMMARY DATA'!F:F,'SUMMARY DATA'!$A:$A=$A178,'SUMMARY DATA'!$C:$C=$B178,'SUMMARY DATA'!$B:$B=""GRP"")),
  IF(
    OR(
      ISNUMBER(SEARCH(""CDM CASH DEPOSIT"",$C178)),
      ISNUMBER(SEARCH(""CASH DEPOSIT"",$C17"&amp;"8)),
      COUNTIFS('SUMMARY DATA'!$D:$D,$C178,'SUMMARY DATA'!$B:$B,""GRP"")&lt;&gt;1
    ),
    """",
    IFERROR(TEXTJOIN(CHAR(10),TRUE,FILTER('SUMMARY DATA'!F:F,'SUMMARY DATA'!$D:$D=$C178,'SUMMARY DATA'!$B:$B=""GRP"")),"""")
  )
)"),"")</f>
      </c>
      <c r="G1077" s="17" t="str">
        <f>IFERROR(__xludf.DUMMYFUNCTION("IFERROR(
  TEXTJOIN(CHAR(10),TRUE,FILTER('SUMMARY DATA'!G:G,'SUMMARY DATA'!$A:$A=$A1077,'SUMMARY DATA'!$C:$C=$B1077,'SUMMARY DATA'!$B:$B=""RWS"")),
  IF(
    OR(
      ISNUMBER(SEARCH(""CDM CASH DEPOSIT"",$C1077)),
      ISNUMBER(SEARCH(""CASH DEPOSIT"",$"&amp;"C1077)),
      COUNTIFS('SUMMARY DATA'!$D:$D,$C1077,'SUMMARY DATA'!$B:$B,""RWS"")&lt;&gt;1
    ),
    """",
    IFERROR(TEXTJOIN(CHAR(10),TRUE,FILTER('SUMMARY DATA'!G:G,'SUMMARY DATA'!$D:$D=$C1077,'SUMMARY DATA'!$B:$B=""RWS"")),"""")
  )
)"),"")</f>
      </c>
      <c r="H1077" s="18" t="str">
        <f>IFERROR(__xludf.DUMMYFUNCTION("IFERROR(
  TEXTJOIN(CHAR(10),TRUE,FILTER('SUMMARY DATA'!H:H,'SUMMARY DATA'!$A:$A=$A1077,'SUMMARY DATA'!$C:$C=$B1077,'SUMMARY DATA'!$B:$B=""RWS"",'SUMMARY DATA'!$H:$H=$D1077)),
  IF(
    OR(
      ISNUMBER(SEARCH(""CDM CASH DEPOSIT"",$C1077)),
      ISNUMB"&amp;"ER(SEARCH(""CASH DEPOSIT"",$C1077))
    ),
    """",
    IFERROR(TEXTJOIN(CHAR(10),TRUE,FILTER('SUMMARY DATA'!H:H,'SUMMARY DATA'!$D:$D=$C1077,'SUMMARY DATA'!$B:$B=""RWS"",'SUMMARY DATA'!$H:$H=$D1077)),"""")
  )
)"),"")</f>
      </c>
      <c r="I1077" s="18" t="str">
        <f>IFERROR(__xludf.DUMMYFUNCTION("IF(H1077="""","""",
SUM(ARRAYFORMULA(VALUE(SPLIT(H1077,CHAR(10)))))
)"),"")</f>
      </c>
      <c r="J1077" s="17" t="str">
        <f>IFERROR(__xludf.DUMMYFUNCTION("IFERROR(
  TEXTJOIN(CHAR(10),TRUE,FILTER('SUMMARY DATA'!I:I,'SUMMARY DATA'!$A:$A=$A1077,'SUMMARY DATA'!$C:$C=$B1077,'SUMMARY DATA'!$B:$B=""RWS"")),
  IF(
    OR(
      ISNUMBER(SEARCH(""CDM CASH DEPOSIT"",$C1077)),
      ISNUMBER(SEARCH(""CASH DEPOSIT"",$"&amp;"C1077)),
      COUNTIFS('SUMMARY DATA'!$D:$D,$C1077,'SUMMARY DATA'!$B:$B,""RWS"")&lt;&gt;1
    ),
    """",
    IFERROR(TEXTJOIN(CHAR(10),TRUE,FILTER('SUMMARY DATA'!I:I,'SUMMARY DATA'!$D:$D=$C1077,'SUMMARY DATA'!$B:$B=""RWS"")),"""")
  )
)"),"")</f>
      </c>
      <c r="K1077" s="2"/>
      <c r="L1077" s="2"/>
      <c r="M1077" s="2"/>
      <c r="N1077" s="2"/>
      <c r="O1077" s="2"/>
      <c r="P1077" s="2"/>
      <c r="Q1077" s="2"/>
      <c r="R1077" s="2"/>
      <c r="S1077" s="2"/>
      <c r="T1077" s="2"/>
      <c r="U1077" s="2"/>
      <c r="V1077" s="2"/>
      <c r="W1077" s="2"/>
      <c r="X1077" s="2"/>
      <c r="Y1077" s="2"/>
      <c r="Z1077" s="2"/>
      <c r="AA1077" s="2"/>
      <c r="AB1077" s="2"/>
    </row>
    <row r="1078" spans="1:28" customHeight="true">
      <c r="A1078" s="2"/>
      <c r="B1078" s="31">
        <v>45791</v>
      </c>
      <c r="C1078" s="2" t="s">
        <v>1617</v>
      </c>
      <c r="D1078" s="6">
        <v>89.98</v>
      </c>
      <c r="E1078" s="16" t="str">
        <f>IFERROR(__xludf.DUMMYFUNCTION("IFERROR(
  TEXTJOIN(CHAR(10),TRUE,FILTER('SUMMARY DATA'!E:E,'SUMMARY DATA'!$A:$A=$A179,'SUMMARY DATA'!$C:$C=$B179,'SUMMARY DATA'!$B:$B=""GRP"")),
  IF(
    OR(
      ISNUMBER(SEARCH(""CDM CASH DEPOSIT"",$C179)),
      ISNUMBER(SEARCH(""CASH DEPOSIT"",$C17"&amp;"9)),
      COUNTIFS('SUMMARY DATA'!$D:$D,$C179,'SUMMARY DATA'!$B:$B,""GRP"")&lt;&gt;1
    ),
    """",
    IFERROR(TEXTJOIN(CHAR(10),TRUE,FILTER('SUMMARY DATA'!E:E,'SUMMARY DATA'!$D:$D=$C179,'SUMMARY DATA'!$B:$B=""GRP"")),"""")
  )
)"),"")</f>
      </c>
      <c r="F1078" s="17" t="str">
        <f>IFERROR(__xludf.DUMMYFUNCTION("IFERROR(
  TEXTJOIN(CHAR(10),TRUE,FILTER('SUMMARY DATA'!F:F,'SUMMARY DATA'!$A:$A=$A179,'SUMMARY DATA'!$C:$C=$B179,'SUMMARY DATA'!$B:$B=""GRP"")),
  IF(
    OR(
      ISNUMBER(SEARCH(""CDM CASH DEPOSIT"",$C179)),
      ISNUMBER(SEARCH(""CASH DEPOSIT"",$C17"&amp;"9)),
      COUNTIFS('SUMMARY DATA'!$D:$D,$C179,'SUMMARY DATA'!$B:$B,""GRP"")&lt;&gt;1
    ),
    """",
    IFERROR(TEXTJOIN(CHAR(10),TRUE,FILTER('SUMMARY DATA'!F:F,'SUMMARY DATA'!$D:$D=$C179,'SUMMARY DATA'!$B:$B=""GRP"")),"""")
  )
)"),"")</f>
      </c>
      <c r="G1078" s="17" t="str">
        <f>IFERROR(__xludf.DUMMYFUNCTION("IFERROR(
  TEXTJOIN(CHAR(10),TRUE,FILTER('SUMMARY DATA'!G:G,'SUMMARY DATA'!$A:$A=$A1078,'SUMMARY DATA'!$C:$C=$B1078,'SUMMARY DATA'!$B:$B=""RWS"")),
  IF(
    OR(
      ISNUMBER(SEARCH(""CDM CASH DEPOSIT"",$C1078)),
      ISNUMBER(SEARCH(""CASH DEPOSIT"",$"&amp;"C1078)),
      COUNTIFS('SUMMARY DATA'!$D:$D,$C1078,'SUMMARY DATA'!$B:$B,""RWS"")&lt;&gt;1
    ),
    """",
    IFERROR(TEXTJOIN(CHAR(10),TRUE,FILTER('SUMMARY DATA'!G:G,'SUMMARY DATA'!$D:$D=$C1078,'SUMMARY DATA'!$B:$B=""RWS"")),"""")
  )
)"),"")</f>
      </c>
      <c r="H1078" s="18" t="str">
        <f>IFERROR(__xludf.DUMMYFUNCTION("IFERROR(
  TEXTJOIN(CHAR(10),TRUE,FILTER('SUMMARY DATA'!H:H,'SUMMARY DATA'!$A:$A=$A1078,'SUMMARY DATA'!$C:$C=$B1078,'SUMMARY DATA'!$B:$B=""RWS"",'SUMMARY DATA'!$H:$H=$D1078)),
  IF(
    OR(
      ISNUMBER(SEARCH(""CDM CASH DEPOSIT"",$C1078)),
      ISNUMB"&amp;"ER(SEARCH(""CASH DEPOSIT"",$C1078))
    ),
    """",
    IFERROR(TEXTJOIN(CHAR(10),TRUE,FILTER('SUMMARY DATA'!H:H,'SUMMARY DATA'!$D:$D=$C1078,'SUMMARY DATA'!$B:$B=""RWS"",'SUMMARY DATA'!$H:$H=$D1078)),"""")
  )
)"),"")</f>
      </c>
      <c r="I1078" s="18" t="str">
        <f>IFERROR(__xludf.DUMMYFUNCTION("IF(H1078="""","""",
SUM(ARRAYFORMULA(VALUE(SPLIT(H1078,CHAR(10)))))
)"),"")</f>
      </c>
      <c r="J1078" s="17" t="str">
        <f>IFERROR(__xludf.DUMMYFUNCTION("IFERROR(
  TEXTJOIN(CHAR(10),TRUE,FILTER('SUMMARY DATA'!I:I,'SUMMARY DATA'!$A:$A=$A1078,'SUMMARY DATA'!$C:$C=$B1078,'SUMMARY DATA'!$B:$B=""RWS"")),
  IF(
    OR(
      ISNUMBER(SEARCH(""CDM CASH DEPOSIT"",$C1078)),
      ISNUMBER(SEARCH(""CASH DEPOSIT"",$"&amp;"C1078)),
      COUNTIFS('SUMMARY DATA'!$D:$D,$C1078,'SUMMARY DATA'!$B:$B,""RWS"")&lt;&gt;1
    ),
    """",
    IFERROR(TEXTJOIN(CHAR(10),TRUE,FILTER('SUMMARY DATA'!I:I,'SUMMARY DATA'!$D:$D=$C1078,'SUMMARY DATA'!$B:$B=""RWS"")),"""")
  )
)"),"")</f>
      </c>
      <c r="K1078" s="2"/>
      <c r="L1078" s="2"/>
      <c r="M1078" s="2"/>
      <c r="N1078" s="2"/>
      <c r="O1078" s="2"/>
      <c r="P1078" s="2"/>
      <c r="Q1078" s="2"/>
      <c r="R1078" s="2"/>
      <c r="S1078" s="2"/>
      <c r="T1078" s="2"/>
      <c r="U1078" s="2"/>
      <c r="V1078" s="2"/>
      <c r="W1078" s="2"/>
      <c r="X1078" s="2"/>
      <c r="Y1078" s="2"/>
      <c r="Z1078" s="2"/>
      <c r="AA1078" s="2"/>
      <c r="AB1078" s="2"/>
    </row>
    <row r="1079" spans="1:28" customHeight="true">
      <c r="A1079" s="2"/>
      <c r="B1079" s="31">
        <v>45791</v>
      </c>
      <c r="C1079" s="2" t="s">
        <v>1589</v>
      </c>
      <c r="D1079" s="6">
        <v>88.88</v>
      </c>
      <c r="E1079" s="16" t="str">
        <f>IFERROR(__xludf.DUMMYFUNCTION("IFERROR(
  TEXTJOIN(CHAR(10),TRUE,FILTER('SUMMARY DATA'!E:E,'SUMMARY DATA'!$A:$A=$A180,'SUMMARY DATA'!$C:$C=$B180,'SUMMARY DATA'!$B:$B=""GRP"")),
  IF(
    OR(
      ISNUMBER(SEARCH(""CDM CASH DEPOSIT"",$C180)),
      ISNUMBER(SEARCH(""CASH DEPOSIT"",$C18"&amp;"0)),
      COUNTIFS('SUMMARY DATA'!$D:$D,$C180,'SUMMARY DATA'!$B:$B,""GRP"")&lt;&gt;1
    ),
    """",
    IFERROR(TEXTJOIN(CHAR(10),TRUE,FILTER('SUMMARY DATA'!E:E,'SUMMARY DATA'!$D:$D=$C180,'SUMMARY DATA'!$B:$B=""GRP"")),"""")
  )
)"),"")</f>
      </c>
      <c r="F1079" s="17" t="str">
        <f>IFERROR(__xludf.DUMMYFUNCTION("IFERROR(
  TEXTJOIN(CHAR(10),TRUE,FILTER('SUMMARY DATA'!F:F,'SUMMARY DATA'!$A:$A=$A180,'SUMMARY DATA'!$C:$C=$B180,'SUMMARY DATA'!$B:$B=""GRP"")),
  IF(
    OR(
      ISNUMBER(SEARCH(""CDM CASH DEPOSIT"",$C180)),
      ISNUMBER(SEARCH(""CASH DEPOSIT"",$C18"&amp;"0)),
      COUNTIFS('SUMMARY DATA'!$D:$D,$C180,'SUMMARY DATA'!$B:$B,""GRP"")&lt;&gt;1
    ),
    """",
    IFERROR(TEXTJOIN(CHAR(10),TRUE,FILTER('SUMMARY DATA'!F:F,'SUMMARY DATA'!$D:$D=$C180,'SUMMARY DATA'!$B:$B=""GRP"")),"""")
  )
)"),"")</f>
      </c>
      <c r="G1079" s="17" t="str">
        <f>IFERROR(__xludf.DUMMYFUNCTION("IFERROR(
  TEXTJOIN(CHAR(10),TRUE,FILTER('SUMMARY DATA'!G:G,'SUMMARY DATA'!$A:$A=$A1079,'SUMMARY DATA'!$C:$C=$B1079,'SUMMARY DATA'!$B:$B=""RWS"")),
  IF(
    OR(
      ISNUMBER(SEARCH(""CDM CASH DEPOSIT"",$C1079)),
      ISNUMBER(SEARCH(""CASH DEPOSIT"",$"&amp;"C1079)),
      COUNTIFS('SUMMARY DATA'!$D:$D,$C1079,'SUMMARY DATA'!$B:$B,""RWS"")&lt;&gt;1
    ),
    """",
    IFERROR(TEXTJOIN(CHAR(10),TRUE,FILTER('SUMMARY DATA'!G:G,'SUMMARY DATA'!$D:$D=$C1079,'SUMMARY DATA'!$B:$B=""RWS"")),"""")
  )
)"),"")</f>
      </c>
      <c r="H1079" s="18" t="str">
        <f>IFERROR(__xludf.DUMMYFUNCTION("IFERROR(
  TEXTJOIN(CHAR(10),TRUE,FILTER('SUMMARY DATA'!H:H,'SUMMARY DATA'!$A:$A=$A1079,'SUMMARY DATA'!$C:$C=$B1079,'SUMMARY DATA'!$B:$B=""RWS"",'SUMMARY DATA'!$H:$H=$D1079)),
  IF(
    OR(
      ISNUMBER(SEARCH(""CDM CASH DEPOSIT"",$C1079)),
      ISNUMB"&amp;"ER(SEARCH(""CASH DEPOSIT"",$C1079))
    ),
    """",
    IFERROR(TEXTJOIN(CHAR(10),TRUE,FILTER('SUMMARY DATA'!H:H,'SUMMARY DATA'!$D:$D=$C1079,'SUMMARY DATA'!$B:$B=""RWS"",'SUMMARY DATA'!$H:$H=$D1079)),"""")
  )
)"),"")</f>
      </c>
      <c r="I1079" s="18" t="str">
        <f>IFERROR(__xludf.DUMMYFUNCTION("IF(H1079="""","""",
SUM(ARRAYFORMULA(VALUE(SPLIT(H1079,CHAR(10)))))
)"),"")</f>
      </c>
      <c r="J1079" s="17" t="str">
        <f>IFERROR(__xludf.DUMMYFUNCTION("IFERROR(
  TEXTJOIN(CHAR(10),TRUE,FILTER('SUMMARY DATA'!I:I,'SUMMARY DATA'!$A:$A=$A1079,'SUMMARY DATA'!$C:$C=$B1079,'SUMMARY DATA'!$B:$B=""RWS"")),
  IF(
    OR(
      ISNUMBER(SEARCH(""CDM CASH DEPOSIT"",$C1079)),
      ISNUMBER(SEARCH(""CASH DEPOSIT"",$"&amp;"C1079)),
      COUNTIFS('SUMMARY DATA'!$D:$D,$C1079,'SUMMARY DATA'!$B:$B,""RWS"")&lt;&gt;1
    ),
    """",
    IFERROR(TEXTJOIN(CHAR(10),TRUE,FILTER('SUMMARY DATA'!I:I,'SUMMARY DATA'!$D:$D=$C1079,'SUMMARY DATA'!$B:$B=""RWS"")),"""")
  )
)"),"")</f>
      </c>
      <c r="K1079" s="2"/>
      <c r="L1079" s="2"/>
      <c r="M1079" s="2"/>
      <c r="N1079" s="2"/>
      <c r="O1079" s="2"/>
      <c r="P1079" s="2"/>
      <c r="Q1079" s="2"/>
      <c r="R1079" s="2"/>
      <c r="S1079" s="2"/>
      <c r="T1079" s="2"/>
      <c r="U1079" s="2"/>
      <c r="V1079" s="2"/>
      <c r="W1079" s="2"/>
      <c r="X1079" s="2"/>
      <c r="Y1079" s="2"/>
      <c r="Z1079" s="2"/>
      <c r="AA1079" s="2"/>
      <c r="AB1079" s="2"/>
    </row>
    <row r="1080" spans="1:28" customHeight="true">
      <c r="A1080" s="2"/>
      <c r="B1080" s="31">
        <v>45791</v>
      </c>
      <c r="C1080" s="2" t="s">
        <v>1618</v>
      </c>
      <c r="D1080" s="6">
        <v>79.98</v>
      </c>
      <c r="E1080" s="16" t="str">
        <f>IFERROR(__xludf.DUMMYFUNCTION("IFERROR(
  TEXTJOIN(CHAR(10),TRUE,FILTER('SUMMARY DATA'!E:E,'SUMMARY DATA'!$A:$A=$A181,'SUMMARY DATA'!$C:$C=$B181,'SUMMARY DATA'!$B:$B=""GRP"")),
  IF(
    OR(
      ISNUMBER(SEARCH(""CDM CASH DEPOSIT"",$C181)),
      ISNUMBER(SEARCH(""CASH DEPOSIT"",$C18"&amp;"1)),
      COUNTIFS('SUMMARY DATA'!$D:$D,$C181,'SUMMARY DATA'!$B:$B,""GRP"")&lt;&gt;1
    ),
    """",
    IFERROR(TEXTJOIN(CHAR(10),TRUE,FILTER('SUMMARY DATA'!E:E,'SUMMARY DATA'!$D:$D=$C181,'SUMMARY DATA'!$B:$B=""GRP"")),"""")
  )
)"),"")</f>
      </c>
      <c r="F1080" s="17" t="str">
        <f>IFERROR(__xludf.DUMMYFUNCTION("IFERROR(
  TEXTJOIN(CHAR(10),TRUE,FILTER('SUMMARY DATA'!F:F,'SUMMARY DATA'!$A:$A=$A181,'SUMMARY DATA'!$C:$C=$B181,'SUMMARY DATA'!$B:$B=""GRP"")),
  IF(
    OR(
      ISNUMBER(SEARCH(""CDM CASH DEPOSIT"",$C181)),
      ISNUMBER(SEARCH(""CASH DEPOSIT"",$C18"&amp;"1)),
      COUNTIFS('SUMMARY DATA'!$D:$D,$C181,'SUMMARY DATA'!$B:$B,""GRP"")&lt;&gt;1
    ),
    """",
    IFERROR(TEXTJOIN(CHAR(10),TRUE,FILTER('SUMMARY DATA'!F:F,'SUMMARY DATA'!$D:$D=$C181,'SUMMARY DATA'!$B:$B=""GRP"")),"""")
  )
)"),"")</f>
      </c>
      <c r="G1080" s="17" t="str">
        <f>IFERROR(__xludf.DUMMYFUNCTION("IFERROR(
  TEXTJOIN(CHAR(10),TRUE,FILTER('SUMMARY DATA'!G:G,'SUMMARY DATA'!$A:$A=$A1080,'SUMMARY DATA'!$C:$C=$B1080,'SUMMARY DATA'!$B:$B=""RWS"")),
  IF(
    OR(
      ISNUMBER(SEARCH(""CDM CASH DEPOSIT"",$C1080)),
      ISNUMBER(SEARCH(""CASH DEPOSIT"",$"&amp;"C1080)),
      COUNTIFS('SUMMARY DATA'!$D:$D,$C1080,'SUMMARY DATA'!$B:$B,""RWS"")&lt;&gt;1
    ),
    """",
    IFERROR(TEXTJOIN(CHAR(10),TRUE,FILTER('SUMMARY DATA'!G:G,'SUMMARY DATA'!$D:$D=$C1080,'SUMMARY DATA'!$B:$B=""RWS"")),"""")
  )
)"),"")</f>
      </c>
      <c r="H1080" s="18" t="str">
        <f>IFERROR(__xludf.DUMMYFUNCTION("IFERROR(
  TEXTJOIN(CHAR(10),TRUE,FILTER('SUMMARY DATA'!H:H,'SUMMARY DATA'!$A:$A=$A1080,'SUMMARY DATA'!$C:$C=$B1080,'SUMMARY DATA'!$B:$B=""RWS"",'SUMMARY DATA'!$H:$H=$D1080)),
  IF(
    OR(
      ISNUMBER(SEARCH(""CDM CASH DEPOSIT"",$C1080)),
      ISNUMB"&amp;"ER(SEARCH(""CASH DEPOSIT"",$C1080))
    ),
    """",
    IFERROR(TEXTJOIN(CHAR(10),TRUE,FILTER('SUMMARY DATA'!H:H,'SUMMARY DATA'!$D:$D=$C1080,'SUMMARY DATA'!$B:$B=""RWS"",'SUMMARY DATA'!$H:$H=$D1080)),"""")
  )
)"),"")</f>
      </c>
      <c r="I1080" s="18" t="str">
        <f>IFERROR(__xludf.DUMMYFUNCTION("IF(H1080="""","""",
SUM(ARRAYFORMULA(VALUE(SPLIT(H1080,CHAR(10)))))
)"),"")</f>
      </c>
      <c r="J1080" s="17" t="str">
        <f>IFERROR(__xludf.DUMMYFUNCTION("IFERROR(
  TEXTJOIN(CHAR(10),TRUE,FILTER('SUMMARY DATA'!I:I,'SUMMARY DATA'!$A:$A=$A1080,'SUMMARY DATA'!$C:$C=$B1080,'SUMMARY DATA'!$B:$B=""RWS"")),
  IF(
    OR(
      ISNUMBER(SEARCH(""CDM CASH DEPOSIT"",$C1080)),
      ISNUMBER(SEARCH(""CASH DEPOSIT"",$"&amp;"C1080)),
      COUNTIFS('SUMMARY DATA'!$D:$D,$C1080,'SUMMARY DATA'!$B:$B,""RWS"")&lt;&gt;1
    ),
    """",
    IFERROR(TEXTJOIN(CHAR(10),TRUE,FILTER('SUMMARY DATA'!I:I,'SUMMARY DATA'!$D:$D=$C1080,'SUMMARY DATA'!$B:$B=""RWS"")),"""")
  )
)"),"")</f>
      </c>
      <c r="K1080" s="2"/>
      <c r="L1080" s="2"/>
      <c r="M1080" s="2"/>
      <c r="N1080" s="2"/>
      <c r="O1080" s="2"/>
      <c r="P1080" s="2"/>
      <c r="Q1080" s="2"/>
      <c r="R1080" s="2"/>
      <c r="S1080" s="2"/>
      <c r="T1080" s="2"/>
      <c r="U1080" s="2"/>
      <c r="V1080" s="2"/>
      <c r="W1080" s="2"/>
      <c r="X1080" s="2"/>
      <c r="Y1080" s="2"/>
      <c r="Z1080" s="2"/>
      <c r="AA1080" s="2"/>
      <c r="AB1080" s="2"/>
    </row>
    <row r="1081" spans="1:28" customHeight="true">
      <c r="A1081" s="2"/>
      <c r="B1081" s="31">
        <v>45791</v>
      </c>
      <c r="C1081" s="2" t="s">
        <v>1619</v>
      </c>
      <c r="D1081" s="6">
        <v>10</v>
      </c>
      <c r="E1081" s="16" t="str">
        <f>IFERROR(__xludf.DUMMYFUNCTION("IFERROR(
  TEXTJOIN(CHAR(10),TRUE,FILTER('SUMMARY DATA'!E:E,'SUMMARY DATA'!$A:$A=$A182,'SUMMARY DATA'!$C:$C=$B182,'SUMMARY DATA'!$B:$B=""GRP"")),
  IF(
    OR(
      ISNUMBER(SEARCH(""CDM CASH DEPOSIT"",$C182)),
      ISNUMBER(SEARCH(""CASH DEPOSIT"",$C18"&amp;"2)),
      COUNTIFS('SUMMARY DATA'!$D:$D,$C182,'SUMMARY DATA'!$B:$B,""GRP"")&lt;&gt;1
    ),
    """",
    IFERROR(TEXTJOIN(CHAR(10),TRUE,FILTER('SUMMARY DATA'!E:E,'SUMMARY DATA'!$D:$D=$C182,'SUMMARY DATA'!$B:$B=""GRP"")),"""")
  )
)"),"")</f>
      </c>
      <c r="F1081" s="17" t="str">
        <f>IFERROR(__xludf.DUMMYFUNCTION("IFERROR(
  TEXTJOIN(CHAR(10),TRUE,FILTER('SUMMARY DATA'!F:F,'SUMMARY DATA'!$A:$A=$A182,'SUMMARY DATA'!$C:$C=$B182,'SUMMARY DATA'!$B:$B=""GRP"")),
  IF(
    OR(
      ISNUMBER(SEARCH(""CDM CASH DEPOSIT"",$C182)),
      ISNUMBER(SEARCH(""CASH DEPOSIT"",$C18"&amp;"2)),
      COUNTIFS('SUMMARY DATA'!$D:$D,$C182,'SUMMARY DATA'!$B:$B,""GRP"")&lt;&gt;1
    ),
    """",
    IFERROR(TEXTJOIN(CHAR(10),TRUE,FILTER('SUMMARY DATA'!F:F,'SUMMARY DATA'!$D:$D=$C182,'SUMMARY DATA'!$B:$B=""GRP"")),"""")
  )
)"),"")</f>
      </c>
      <c r="G1081" s="17" t="str">
        <f>IFERROR(__xludf.DUMMYFUNCTION("IFERROR(
  TEXTJOIN(CHAR(10),TRUE,FILTER('SUMMARY DATA'!G:G,'SUMMARY DATA'!$A:$A=$A1081,'SUMMARY DATA'!$C:$C=$B1081,'SUMMARY DATA'!$B:$B=""RWS"")),
  IF(
    OR(
      ISNUMBER(SEARCH(""CDM CASH DEPOSIT"",$C1081)),
      ISNUMBER(SEARCH(""CASH DEPOSIT"",$"&amp;"C1081)),
      COUNTIFS('SUMMARY DATA'!$D:$D,$C1081,'SUMMARY DATA'!$B:$B,""RWS"")&lt;&gt;1
    ),
    """",
    IFERROR(TEXTJOIN(CHAR(10),TRUE,FILTER('SUMMARY DATA'!G:G,'SUMMARY DATA'!$D:$D=$C1081,'SUMMARY DATA'!$B:$B=""RWS"")),"""")
  )
)"),"")</f>
      </c>
      <c r="H1081" s="18" t="str">
        <f>IFERROR(__xludf.DUMMYFUNCTION("IFERROR(
  TEXTJOIN(CHAR(10),TRUE,FILTER('SUMMARY DATA'!H:H,'SUMMARY DATA'!$A:$A=$A1081,'SUMMARY DATA'!$C:$C=$B1081,'SUMMARY DATA'!$B:$B=""RWS"",'SUMMARY DATA'!$H:$H=$D1081)),
  IF(
    OR(
      ISNUMBER(SEARCH(""CDM CASH DEPOSIT"",$C1081)),
      ISNUMB"&amp;"ER(SEARCH(""CASH DEPOSIT"",$C1081))
    ),
    """",
    IFERROR(TEXTJOIN(CHAR(10),TRUE,FILTER('SUMMARY DATA'!H:H,'SUMMARY DATA'!$D:$D=$C1081,'SUMMARY DATA'!$B:$B=""RWS"",'SUMMARY DATA'!$H:$H=$D1081)),"""")
  )
)"),"")</f>
      </c>
      <c r="I1081" s="18" t="str">
        <f>IFERROR(__xludf.DUMMYFUNCTION("IF(H1081="""","""",
SUM(ARRAYFORMULA(VALUE(SPLIT(H1081,CHAR(10)))))
)"),"")</f>
      </c>
      <c r="J1081" s="17" t="str">
        <f>IFERROR(__xludf.DUMMYFUNCTION("IFERROR(
  TEXTJOIN(CHAR(10),TRUE,FILTER('SUMMARY DATA'!I:I,'SUMMARY DATA'!$A:$A=$A1081,'SUMMARY DATA'!$C:$C=$B1081,'SUMMARY DATA'!$B:$B=""RWS"")),
  IF(
    OR(
      ISNUMBER(SEARCH(""CDM CASH DEPOSIT"",$C1081)),
      ISNUMBER(SEARCH(""CASH DEPOSIT"",$"&amp;"C1081)),
      COUNTIFS('SUMMARY DATA'!$D:$D,$C1081,'SUMMARY DATA'!$B:$B,""RWS"")&lt;&gt;1
    ),
    """",
    IFERROR(TEXTJOIN(CHAR(10),TRUE,FILTER('SUMMARY DATA'!I:I,'SUMMARY DATA'!$D:$D=$C1081,'SUMMARY DATA'!$B:$B=""RWS"")),"""")
  )
)"),"")</f>
      </c>
      <c r="K1081" s="2"/>
      <c r="L1081" s="2"/>
      <c r="M1081" s="2"/>
      <c r="N1081" s="2"/>
      <c r="O1081" s="2"/>
      <c r="P1081" s="2"/>
      <c r="Q1081" s="2"/>
      <c r="R1081" s="2"/>
      <c r="S1081" s="2"/>
      <c r="T1081" s="2"/>
      <c r="U1081" s="2"/>
      <c r="V1081" s="2"/>
      <c r="W1081" s="2"/>
      <c r="X1081" s="2"/>
      <c r="Y1081" s="2"/>
      <c r="Z1081" s="2"/>
      <c r="AA1081" s="2"/>
      <c r="AB1081" s="2"/>
    </row>
    <row r="1082" spans="1:28" customHeight="true">
      <c r="A1082" s="2"/>
      <c r="B1082" s="31">
        <v>45791</v>
      </c>
      <c r="C1082" s="2" t="s">
        <v>1620</v>
      </c>
      <c r="D1082" s="6">
        <v>10</v>
      </c>
      <c r="E1082" s="16" t="str">
        <f>IFERROR(__xludf.DUMMYFUNCTION("IFERROR(
  TEXTJOIN(CHAR(10),TRUE,FILTER('SUMMARY DATA'!E:E,'SUMMARY DATA'!$A:$A=$A183,'SUMMARY DATA'!$C:$C=$B183,'SUMMARY DATA'!$B:$B=""GRP"")),
  IF(
    OR(
      ISNUMBER(SEARCH(""CDM CASH DEPOSIT"",$C183)),
      ISNUMBER(SEARCH(""CASH DEPOSIT"",$C18"&amp;"3)),
      COUNTIFS('SUMMARY DATA'!$D:$D,$C183,'SUMMARY DATA'!$B:$B,""GRP"")&lt;&gt;1
    ),
    """",
    IFERROR(TEXTJOIN(CHAR(10),TRUE,FILTER('SUMMARY DATA'!E:E,'SUMMARY DATA'!$D:$D=$C183,'SUMMARY DATA'!$B:$B=""GRP"")),"""")
  )
)"),"")</f>
      </c>
      <c r="F1082" s="17" t="str">
        <f>IFERROR(__xludf.DUMMYFUNCTION("IFERROR(
  TEXTJOIN(CHAR(10),TRUE,FILTER('SUMMARY DATA'!F:F,'SUMMARY DATA'!$A:$A=$A183,'SUMMARY DATA'!$C:$C=$B183,'SUMMARY DATA'!$B:$B=""GRP"")),
  IF(
    OR(
      ISNUMBER(SEARCH(""CDM CASH DEPOSIT"",$C183)),
      ISNUMBER(SEARCH(""CASH DEPOSIT"",$C18"&amp;"3)),
      COUNTIFS('SUMMARY DATA'!$D:$D,$C183,'SUMMARY DATA'!$B:$B,""GRP"")&lt;&gt;1
    ),
    """",
    IFERROR(TEXTJOIN(CHAR(10),TRUE,FILTER('SUMMARY DATA'!F:F,'SUMMARY DATA'!$D:$D=$C183,'SUMMARY DATA'!$B:$B=""GRP"")),"""")
  )
)"),"")</f>
      </c>
      <c r="G1082" s="17" t="str">
        <f>IFERROR(__xludf.DUMMYFUNCTION("IFERROR(
  TEXTJOIN(CHAR(10),TRUE,FILTER('SUMMARY DATA'!G:G,'SUMMARY DATA'!$A:$A=$A1082,'SUMMARY DATA'!$C:$C=$B1082,'SUMMARY DATA'!$B:$B=""RWS"")),
  IF(
    OR(
      ISNUMBER(SEARCH(""CDM CASH DEPOSIT"",$C1082)),
      ISNUMBER(SEARCH(""CASH DEPOSIT"",$"&amp;"C1082)),
      COUNTIFS('SUMMARY DATA'!$D:$D,$C1082,'SUMMARY DATA'!$B:$B,""RWS"")&lt;&gt;1
    ),
    """",
    IFERROR(TEXTJOIN(CHAR(10),TRUE,FILTER('SUMMARY DATA'!G:G,'SUMMARY DATA'!$D:$D=$C1082,'SUMMARY DATA'!$B:$B=""RWS"")),"""")
  )
)"),"")</f>
      </c>
      <c r="H1082" s="18" t="str">
        <f>IFERROR(__xludf.DUMMYFUNCTION("IFERROR(
  TEXTJOIN(CHAR(10),TRUE,FILTER('SUMMARY DATA'!H:H,'SUMMARY DATA'!$A:$A=$A1082,'SUMMARY DATA'!$C:$C=$B1082,'SUMMARY DATA'!$B:$B=""RWS"",'SUMMARY DATA'!$H:$H=$D1082)),
  IF(
    OR(
      ISNUMBER(SEARCH(""CDM CASH DEPOSIT"",$C1082)),
      ISNUMB"&amp;"ER(SEARCH(""CASH DEPOSIT"",$C1082))
    ),
    """",
    IFERROR(TEXTJOIN(CHAR(10),TRUE,FILTER('SUMMARY DATA'!H:H,'SUMMARY DATA'!$D:$D=$C1082,'SUMMARY DATA'!$B:$B=""RWS"",'SUMMARY DATA'!$H:$H=$D1082)),"""")
  )
)"),"")</f>
      </c>
      <c r="I1082" s="18" t="str">
        <f>IFERROR(__xludf.DUMMYFUNCTION("IF(H1082="""","""",
SUM(ARRAYFORMULA(VALUE(SPLIT(H1082,CHAR(10)))))
)"),"")</f>
      </c>
      <c r="J1082" s="17" t="str">
        <f>IFERROR(__xludf.DUMMYFUNCTION("IFERROR(
  TEXTJOIN(CHAR(10),TRUE,FILTER('SUMMARY DATA'!I:I,'SUMMARY DATA'!$A:$A=$A1082,'SUMMARY DATA'!$C:$C=$B1082,'SUMMARY DATA'!$B:$B=""RWS"")),
  IF(
    OR(
      ISNUMBER(SEARCH(""CDM CASH DEPOSIT"",$C1082)),
      ISNUMBER(SEARCH(""CASH DEPOSIT"",$"&amp;"C1082)),
      COUNTIFS('SUMMARY DATA'!$D:$D,$C1082,'SUMMARY DATA'!$B:$B,""RWS"")&lt;&gt;1
    ),
    """",
    IFERROR(TEXTJOIN(CHAR(10),TRUE,FILTER('SUMMARY DATA'!I:I,'SUMMARY DATA'!$D:$D=$C1082,'SUMMARY DATA'!$B:$B=""RWS"")),"""")
  )
)"),"")</f>
      </c>
      <c r="K1082" s="2"/>
      <c r="L1082" s="2"/>
      <c r="M1082" s="2"/>
      <c r="N1082" s="2"/>
      <c r="O1082" s="2"/>
      <c r="P1082" s="2"/>
      <c r="Q1082" s="2"/>
      <c r="R1082" s="2"/>
      <c r="S1082" s="2"/>
      <c r="T1082" s="2"/>
      <c r="U1082" s="2"/>
      <c r="V1082" s="2"/>
      <c r="W1082" s="2"/>
      <c r="X1082" s="2"/>
      <c r="Y1082" s="2"/>
      <c r="Z1082" s="2"/>
      <c r="AA1082" s="2"/>
      <c r="AB1082" s="2"/>
    </row>
    <row r="1083" spans="1:28" customHeight="true">
      <c r="A1083" s="2"/>
      <c r="B1083" s="31">
        <v>45791</v>
      </c>
      <c r="C1083" s="2" t="s">
        <v>1621</v>
      </c>
      <c r="D1083" s="6">
        <v>10</v>
      </c>
      <c r="E1083" s="16" t="str">
        <f>IFERROR(__xludf.DUMMYFUNCTION("IFERROR(
  TEXTJOIN(CHAR(10),TRUE,FILTER('SUMMARY DATA'!E:E,'SUMMARY DATA'!$A:$A=$A184,'SUMMARY DATA'!$C:$C=$B184,'SUMMARY DATA'!$B:$B=""GRP"")),
  IF(
    OR(
      ISNUMBER(SEARCH(""CDM CASH DEPOSIT"",$C184)),
      ISNUMBER(SEARCH(""CASH DEPOSIT"",$C18"&amp;"4)),
      COUNTIFS('SUMMARY DATA'!$D:$D,$C184,'SUMMARY DATA'!$B:$B,""GRP"")&lt;&gt;1
    ),
    """",
    IFERROR(TEXTJOIN(CHAR(10),TRUE,FILTER('SUMMARY DATA'!E:E,'SUMMARY DATA'!$D:$D=$C184,'SUMMARY DATA'!$B:$B=""GRP"")),"""")
  )
)"),"")</f>
      </c>
      <c r="F1083" s="17" t="str">
        <f>IFERROR(__xludf.DUMMYFUNCTION("IFERROR(
  TEXTJOIN(CHAR(10),TRUE,FILTER('SUMMARY DATA'!F:F,'SUMMARY DATA'!$A:$A=$A184,'SUMMARY DATA'!$C:$C=$B184,'SUMMARY DATA'!$B:$B=""GRP"")),
  IF(
    OR(
      ISNUMBER(SEARCH(""CDM CASH DEPOSIT"",$C184)),
      ISNUMBER(SEARCH(""CASH DEPOSIT"",$C18"&amp;"4)),
      COUNTIFS('SUMMARY DATA'!$D:$D,$C184,'SUMMARY DATA'!$B:$B,""GRP"")&lt;&gt;1
    ),
    """",
    IFERROR(TEXTJOIN(CHAR(10),TRUE,FILTER('SUMMARY DATA'!F:F,'SUMMARY DATA'!$D:$D=$C184,'SUMMARY DATA'!$B:$B=""GRP"")),"""")
  )
)"),"")</f>
      </c>
      <c r="G1083" s="17" t="str">
        <f>IFERROR(__xludf.DUMMYFUNCTION("IFERROR(
  TEXTJOIN(CHAR(10),TRUE,FILTER('SUMMARY DATA'!G:G,'SUMMARY DATA'!$A:$A=$A1083,'SUMMARY DATA'!$C:$C=$B1083,'SUMMARY DATA'!$B:$B=""RWS"")),
  IF(
    OR(
      ISNUMBER(SEARCH(""CDM CASH DEPOSIT"",$C1083)),
      ISNUMBER(SEARCH(""CASH DEPOSIT"",$"&amp;"C1083)),
      COUNTIFS('SUMMARY DATA'!$D:$D,$C1083,'SUMMARY DATA'!$B:$B,""RWS"")&lt;&gt;1
    ),
    """",
    IFERROR(TEXTJOIN(CHAR(10),TRUE,FILTER('SUMMARY DATA'!G:G,'SUMMARY DATA'!$D:$D=$C1083,'SUMMARY DATA'!$B:$B=""RWS"")),"""")
  )
)"),"")</f>
      </c>
      <c r="H1083" s="18" t="str">
        <f>IFERROR(__xludf.DUMMYFUNCTION("IFERROR(
  TEXTJOIN(CHAR(10),TRUE,FILTER('SUMMARY DATA'!H:H,'SUMMARY DATA'!$A:$A=$A1083,'SUMMARY DATA'!$C:$C=$B1083,'SUMMARY DATA'!$B:$B=""RWS"",'SUMMARY DATA'!$H:$H=$D1083)),
  IF(
    OR(
      ISNUMBER(SEARCH(""CDM CASH DEPOSIT"",$C1083)),
      ISNUMB"&amp;"ER(SEARCH(""CASH DEPOSIT"",$C1083))
    ),
    """",
    IFERROR(TEXTJOIN(CHAR(10),TRUE,FILTER('SUMMARY DATA'!H:H,'SUMMARY DATA'!$D:$D=$C1083,'SUMMARY DATA'!$B:$B=""RWS"",'SUMMARY DATA'!$H:$H=$D1083)),"""")
  )
)"),"")</f>
      </c>
      <c r="I1083" s="18" t="str">
        <f>IFERROR(__xludf.DUMMYFUNCTION("IF(H1083="""","""",
SUM(ARRAYFORMULA(VALUE(SPLIT(H1083,CHAR(10)))))
)"),"")</f>
      </c>
      <c r="J1083" s="17" t="str">
        <f>IFERROR(__xludf.DUMMYFUNCTION("IFERROR(
  TEXTJOIN(CHAR(10),TRUE,FILTER('SUMMARY DATA'!I:I,'SUMMARY DATA'!$A:$A=$A1083,'SUMMARY DATA'!$C:$C=$B1083,'SUMMARY DATA'!$B:$B=""RWS"")),
  IF(
    OR(
      ISNUMBER(SEARCH(""CDM CASH DEPOSIT"",$C1083)),
      ISNUMBER(SEARCH(""CASH DEPOSIT"",$"&amp;"C1083)),
      COUNTIFS('SUMMARY DATA'!$D:$D,$C1083,'SUMMARY DATA'!$B:$B,""RWS"")&lt;&gt;1
    ),
    """",
    IFERROR(TEXTJOIN(CHAR(10),TRUE,FILTER('SUMMARY DATA'!I:I,'SUMMARY DATA'!$D:$D=$C1083,'SUMMARY DATA'!$B:$B=""RWS"")),"""")
  )
)"),"")</f>
      </c>
      <c r="K1083" s="2"/>
      <c r="L1083" s="2"/>
      <c r="M1083" s="2"/>
      <c r="N1083" s="2"/>
      <c r="O1083" s="2"/>
      <c r="P1083" s="2"/>
      <c r="Q1083" s="2"/>
      <c r="R1083" s="2"/>
      <c r="S1083" s="2"/>
      <c r="T1083" s="2"/>
      <c r="U1083" s="2"/>
      <c r="V1083" s="2"/>
      <c r="W1083" s="2"/>
      <c r="X1083" s="2"/>
      <c r="Y1083" s="2"/>
      <c r="Z1083" s="2"/>
      <c r="AA1083" s="2"/>
      <c r="AB1083" s="2"/>
    </row>
    <row r="1084" spans="1:28" customHeight="true">
      <c r="A1084" s="2" t="s">
        <v>1622</v>
      </c>
      <c r="B1084" s="31">
        <v>45791</v>
      </c>
      <c r="C1084" s="2" t="s">
        <v>1623</v>
      </c>
      <c r="D1084" s="6">
        <v>10</v>
      </c>
      <c r="E1084" s="16" t="str">
        <f>IFERROR(__xludf.DUMMYFUNCTION("IFERROR(
  TEXTJOIN(CHAR(10),TRUE,FILTER('SUMMARY DATA'!E:E,'SUMMARY DATA'!$A:$A=$A185,'SUMMARY DATA'!$C:$C=$B185,'SUMMARY DATA'!$B:$B=""GRP"")),
  IF(
    OR(
      ISNUMBER(SEARCH(""CDM CASH DEPOSIT"",$C185)),
      ISNUMBER(SEARCH(""CASH DEPOSIT"",$C18"&amp;"5)),
      COUNTIFS('SUMMARY DATA'!$D:$D,$C185,'SUMMARY DATA'!$B:$B,""GRP"")&lt;&gt;1
    ),
    """",
    IFERROR(TEXTJOIN(CHAR(10),TRUE,FILTER('SUMMARY DATA'!E:E,'SUMMARY DATA'!$D:$D=$C185,'SUMMARY DATA'!$B:$B=""GRP"")),"""")
  )
)"),"")</f>
      </c>
      <c r="F1084" s="17" t="str">
        <f>IFERROR(__xludf.DUMMYFUNCTION("IFERROR(
  TEXTJOIN(CHAR(10),TRUE,FILTER('SUMMARY DATA'!F:F,'SUMMARY DATA'!$A:$A=$A185,'SUMMARY DATA'!$C:$C=$B185,'SUMMARY DATA'!$B:$B=""GRP"")),
  IF(
    OR(
      ISNUMBER(SEARCH(""CDM CASH DEPOSIT"",$C185)),
      ISNUMBER(SEARCH(""CASH DEPOSIT"",$C18"&amp;"5)),
      COUNTIFS('SUMMARY DATA'!$D:$D,$C185,'SUMMARY DATA'!$B:$B,""GRP"")&lt;&gt;1
    ),
    """",
    IFERROR(TEXTJOIN(CHAR(10),TRUE,FILTER('SUMMARY DATA'!F:F,'SUMMARY DATA'!$D:$D=$C185,'SUMMARY DATA'!$B:$B=""GRP"")),"""")
  )
)"),"")</f>
      </c>
      <c r="G1084" s="17" t="str">
        <f>IFERROR(__xludf.DUMMYFUNCTION("IFERROR(
  TEXTJOIN(CHAR(10),TRUE,FILTER('SUMMARY DATA'!G:G,'SUMMARY DATA'!$A:$A=$A1084,'SUMMARY DATA'!$C:$C=$B1084,'SUMMARY DATA'!$B:$B=""RWS"")),
  IF(
    OR(
      ISNUMBER(SEARCH(""CDM CASH DEPOSIT"",$C1084)),
      ISNUMBER(SEARCH(""CASH DEPOSIT"",$"&amp;"C1084)),
      COUNTIFS('SUMMARY DATA'!$D:$D,$C1084,'SUMMARY DATA'!$B:$B,""RWS"")&lt;&gt;1
    ),
    """",
    IFERROR(TEXTJOIN(CHAR(10),TRUE,FILTER('SUMMARY DATA'!G:G,'SUMMARY DATA'!$D:$D=$C1084,'SUMMARY DATA'!$B:$B=""RWS"")),"""")
  )
)"),"")</f>
      </c>
      <c r="H1084" s="18" t="str">
        <f>IFERROR(__xludf.DUMMYFUNCTION("IFERROR(
  TEXTJOIN(CHAR(10),TRUE,FILTER('SUMMARY DATA'!H:H,'SUMMARY DATA'!$A:$A=$A1084,'SUMMARY DATA'!$C:$C=$B1084,'SUMMARY DATA'!$B:$B=""RWS"",'SUMMARY DATA'!$H:$H=$D1084)),
  IF(
    OR(
      ISNUMBER(SEARCH(""CDM CASH DEPOSIT"",$C1084)),
      ISNUMB"&amp;"ER(SEARCH(""CASH DEPOSIT"",$C1084))
    ),
    """",
    IFERROR(TEXTJOIN(CHAR(10),TRUE,FILTER('SUMMARY DATA'!H:H,'SUMMARY DATA'!$D:$D=$C1084,'SUMMARY DATA'!$B:$B=""RWS"",'SUMMARY DATA'!$H:$H=$D1084)),"""")
  )
)"),"")</f>
      </c>
      <c r="I1084" s="18" t="str">
        <f>IFERROR(__xludf.DUMMYFUNCTION("IF(H1084="""","""",
SUM(ARRAYFORMULA(VALUE(SPLIT(H1084,CHAR(10)))))
)"),"")</f>
      </c>
      <c r="J1084" s="17" t="str">
        <f>IFERROR(__xludf.DUMMYFUNCTION("IFERROR(
  TEXTJOIN(CHAR(10),TRUE,FILTER('SUMMARY DATA'!I:I,'SUMMARY DATA'!$A:$A=$A1084,'SUMMARY DATA'!$C:$C=$B1084,'SUMMARY DATA'!$B:$B=""RWS"")),
  IF(
    OR(
      ISNUMBER(SEARCH(""CDM CASH DEPOSIT"",$C1084)),
      ISNUMBER(SEARCH(""CASH DEPOSIT"",$"&amp;"C1084)),
      COUNTIFS('SUMMARY DATA'!$D:$D,$C1084,'SUMMARY DATA'!$B:$B,""RWS"")&lt;&gt;1
    ),
    """",
    IFERROR(TEXTJOIN(CHAR(10),TRUE,FILTER('SUMMARY DATA'!I:I,'SUMMARY DATA'!$D:$D=$C1084,'SUMMARY DATA'!$B:$B=""RWS"")),"""")
  )
)"),"")</f>
      </c>
      <c r="K1084" s="2"/>
      <c r="L1084" s="2"/>
      <c r="M1084" s="2"/>
      <c r="N1084" s="2"/>
      <c r="O1084" s="2"/>
      <c r="P1084" s="2"/>
      <c r="Q1084" s="2"/>
      <c r="R1084" s="2"/>
      <c r="S1084" s="2"/>
      <c r="T1084" s="2"/>
      <c r="U1084" s="2"/>
      <c r="V1084" s="2"/>
      <c r="W1084" s="2"/>
      <c r="X1084" s="2"/>
      <c r="Y1084" s="2"/>
      <c r="Z1084" s="2"/>
      <c r="AA1084" s="2"/>
      <c r="AB1084" s="2"/>
    </row>
    <row r="1085" spans="1:28" customHeight="true">
      <c r="A1085" s="2"/>
      <c r="B1085" s="31">
        <v>45792</v>
      </c>
      <c r="C1085" s="2" t="s">
        <v>510</v>
      </c>
      <c r="D1085" s="6">
        <v>2204.09</v>
      </c>
      <c r="E1085" s="16" t="str">
        <f>IFERROR(__xludf.DUMMYFUNCTION("IFERROR(
  TEXTJOIN(CHAR(10),TRUE,FILTER('SUMMARY DATA'!E:E,'SUMMARY DATA'!$A:$A=$A186,'SUMMARY DATA'!$C:$C=$B186,'SUMMARY DATA'!$B:$B=""GRP"")),
  IF(
    OR(
      ISNUMBER(SEARCH(""CDM CASH DEPOSIT"",$C186)),
      ISNUMBER(SEARCH(""CASH DEPOSIT"",$C18"&amp;"6)),
      COUNTIFS('SUMMARY DATA'!$D:$D,$C186,'SUMMARY DATA'!$B:$B,""GRP"")&lt;&gt;1
    ),
    """",
    IFERROR(TEXTJOIN(CHAR(10),TRUE,FILTER('SUMMARY DATA'!E:E,'SUMMARY DATA'!$D:$D=$C186,'SUMMARY DATA'!$B:$B=""GRP"")),"""")
  )
)"),"")</f>
      </c>
      <c r="F1085" s="17" t="str">
        <f>IFERROR(__xludf.DUMMYFUNCTION("IFERROR(
  TEXTJOIN(CHAR(10),TRUE,FILTER('SUMMARY DATA'!F:F,'SUMMARY DATA'!$A:$A=$A186,'SUMMARY DATA'!$C:$C=$B186,'SUMMARY DATA'!$B:$B=""GRP"")),
  IF(
    OR(
      ISNUMBER(SEARCH(""CDM CASH DEPOSIT"",$C186)),
      ISNUMBER(SEARCH(""CASH DEPOSIT"",$C18"&amp;"6)),
      COUNTIFS('SUMMARY DATA'!$D:$D,$C186,'SUMMARY DATA'!$B:$B,""GRP"")&lt;&gt;1
    ),
    """",
    IFERROR(TEXTJOIN(CHAR(10),TRUE,FILTER('SUMMARY DATA'!F:F,'SUMMARY DATA'!$D:$D=$C186,'SUMMARY DATA'!$B:$B=""GRP"")),"""")
  )
)"),"")</f>
      </c>
      <c r="G1085" s="17" t="str">
        <f>IFERROR(__xludf.DUMMYFUNCTION("IFERROR(
  TEXTJOIN(CHAR(10),TRUE,FILTER('SUMMARY DATA'!G:G,'SUMMARY DATA'!$A:$A=$A1085,'SUMMARY DATA'!$C:$C=$B1085,'SUMMARY DATA'!$B:$B=""RWS"")),
  IF(
    OR(
      ISNUMBER(SEARCH(""CDM CASH DEPOSIT"",$C1085)),
      ISNUMBER(SEARCH(""CASH DEPOSIT"",$"&amp;"C1085)),
      COUNTIFS('SUMMARY DATA'!$D:$D,$C1085,'SUMMARY DATA'!$B:$B,""RWS"")&lt;&gt;1
    ),
    """",
    IFERROR(TEXTJOIN(CHAR(10),TRUE,FILTER('SUMMARY DATA'!G:G,'SUMMARY DATA'!$D:$D=$C1085,'SUMMARY DATA'!$B:$B=""RWS"")),"""")
  )
)"),"")</f>
      </c>
      <c r="H1085" s="18" t="str">
        <f>IFERROR(__xludf.DUMMYFUNCTION("IFERROR(
  TEXTJOIN(CHAR(10),TRUE,FILTER('SUMMARY DATA'!H:H,'SUMMARY DATA'!$A:$A=$A1085,'SUMMARY DATA'!$C:$C=$B1085,'SUMMARY DATA'!$B:$B=""RWS"",'SUMMARY DATA'!$H:$H=$D1085)),
  IF(
    OR(
      ISNUMBER(SEARCH(""CDM CASH DEPOSIT"",$C1085)),
      ISNUMB"&amp;"ER(SEARCH(""CASH DEPOSIT"",$C1085))
    ),
    """",
    IFERROR(TEXTJOIN(CHAR(10),TRUE,FILTER('SUMMARY DATA'!H:H,'SUMMARY DATA'!$D:$D=$C1085,'SUMMARY DATA'!$B:$B=""RWS"",'SUMMARY DATA'!$H:$H=$D1085)),"""")
  )
)"),"")</f>
      </c>
      <c r="I1085" s="18" t="str">
        <f>IFERROR(__xludf.DUMMYFUNCTION("IF(H1085="""","""",
SUM(ARRAYFORMULA(VALUE(SPLIT(H1085,CHAR(10)))))
)"),"")</f>
      </c>
      <c r="J1085" s="17" t="str">
        <f>IFERROR(__xludf.DUMMYFUNCTION("IFERROR(
  TEXTJOIN(CHAR(10),TRUE,FILTER('SUMMARY DATA'!I:I,'SUMMARY DATA'!$A:$A=$A1085,'SUMMARY DATA'!$C:$C=$B1085,'SUMMARY DATA'!$B:$B=""RWS"")),
  IF(
    OR(
      ISNUMBER(SEARCH(""CDM CASH DEPOSIT"",$C1085)),
      ISNUMBER(SEARCH(""CASH DEPOSIT"",$"&amp;"C1085)),
      COUNTIFS('SUMMARY DATA'!$D:$D,$C1085,'SUMMARY DATA'!$B:$B,""RWS"")&lt;&gt;1
    ),
    """",
    IFERROR(TEXTJOIN(CHAR(10),TRUE,FILTER('SUMMARY DATA'!I:I,'SUMMARY DATA'!$D:$D=$C1085,'SUMMARY DATA'!$B:$B=""RWS"")),"""")
  )
)"),"")</f>
      </c>
      <c r="K1085" s="2"/>
      <c r="L1085" s="2"/>
      <c r="M1085" s="2"/>
      <c r="N1085" s="2"/>
      <c r="O1085" s="2"/>
      <c r="P1085" s="2"/>
      <c r="Q1085" s="2"/>
      <c r="R1085" s="2"/>
      <c r="S1085" s="2"/>
      <c r="T1085" s="2"/>
      <c r="U1085" s="2"/>
      <c r="V1085" s="2"/>
      <c r="W1085" s="2"/>
      <c r="X1085" s="2"/>
      <c r="Y1085" s="2"/>
      <c r="Z1085" s="2"/>
      <c r="AA1085" s="2"/>
      <c r="AB1085" s="2"/>
    </row>
    <row r="1086" spans="1:28" customHeight="true">
      <c r="A1086" s="2"/>
      <c r="B1086" s="31">
        <v>45792</v>
      </c>
      <c r="C1086" s="2" t="s">
        <v>1624</v>
      </c>
      <c r="D1086" s="6">
        <v>1148.03</v>
      </c>
      <c r="E1086" s="16" t="str">
        <f>IFERROR(__xludf.DUMMYFUNCTION("IFERROR(
  TEXTJOIN(CHAR(10),TRUE,FILTER('SUMMARY DATA'!E:E,'SUMMARY DATA'!$A:$A=$A187,'SUMMARY DATA'!$C:$C=$B187,'SUMMARY DATA'!$B:$B=""GRP"")),
  IF(
    OR(
      ISNUMBER(SEARCH(""CDM CASH DEPOSIT"",$C187)),
      ISNUMBER(SEARCH(""CASH DEPOSIT"",$C18"&amp;"7)),
      COUNTIFS('SUMMARY DATA'!$D:$D,$C187,'SUMMARY DATA'!$B:$B,""GRP"")&lt;&gt;1
    ),
    """",
    IFERROR(TEXTJOIN(CHAR(10),TRUE,FILTER('SUMMARY DATA'!E:E,'SUMMARY DATA'!$D:$D=$C187,'SUMMARY DATA'!$B:$B=""GRP"")),"""")
  )
)"),"")</f>
      </c>
      <c r="F1086" s="17" t="str">
        <f>IFERROR(__xludf.DUMMYFUNCTION("IFERROR(
  TEXTJOIN(CHAR(10),TRUE,FILTER('SUMMARY DATA'!F:F,'SUMMARY DATA'!$A:$A=$A187,'SUMMARY DATA'!$C:$C=$B187,'SUMMARY DATA'!$B:$B=""GRP"")),
  IF(
    OR(
      ISNUMBER(SEARCH(""CDM CASH DEPOSIT"",$C187)),
      ISNUMBER(SEARCH(""CASH DEPOSIT"",$C18"&amp;"7)),
      COUNTIFS('SUMMARY DATA'!$D:$D,$C187,'SUMMARY DATA'!$B:$B,""GRP"")&lt;&gt;1
    ),
    """",
    IFERROR(TEXTJOIN(CHAR(10),TRUE,FILTER('SUMMARY DATA'!F:F,'SUMMARY DATA'!$D:$D=$C187,'SUMMARY DATA'!$B:$B=""GRP"")),"""")
  )
)"),"")</f>
      </c>
      <c r="G1086" s="17" t="str">
        <f>IFERROR(__xludf.DUMMYFUNCTION("IFERROR(
  TEXTJOIN(CHAR(10),TRUE,FILTER('SUMMARY DATA'!G:G,'SUMMARY DATA'!$A:$A=$A1086,'SUMMARY DATA'!$C:$C=$B1086,'SUMMARY DATA'!$B:$B=""RWS"")),
  IF(
    OR(
      ISNUMBER(SEARCH(""CDM CASH DEPOSIT"",$C1086)),
      ISNUMBER(SEARCH(""CASH DEPOSIT"",$"&amp;"C1086)),
      COUNTIFS('SUMMARY DATA'!$D:$D,$C1086,'SUMMARY DATA'!$B:$B,""RWS"")&lt;&gt;1
    ),
    """",
    IFERROR(TEXTJOIN(CHAR(10),TRUE,FILTER('SUMMARY DATA'!G:G,'SUMMARY DATA'!$D:$D=$C1086,'SUMMARY DATA'!$B:$B=""RWS"")),"""")
  )
)"),"")</f>
      </c>
      <c r="H1086" s="18" t="str">
        <f>IFERROR(__xludf.DUMMYFUNCTION("IFERROR(
  TEXTJOIN(CHAR(10),TRUE,FILTER('SUMMARY DATA'!H:H,'SUMMARY DATA'!$A:$A=$A1086,'SUMMARY DATA'!$C:$C=$B1086,'SUMMARY DATA'!$B:$B=""RWS"",'SUMMARY DATA'!$H:$H=$D1086)),
  IF(
    OR(
      ISNUMBER(SEARCH(""CDM CASH DEPOSIT"",$C1086)),
      ISNUMB"&amp;"ER(SEARCH(""CASH DEPOSIT"",$C1086))
    ),
    """",
    IFERROR(TEXTJOIN(CHAR(10),TRUE,FILTER('SUMMARY DATA'!H:H,'SUMMARY DATA'!$D:$D=$C1086,'SUMMARY DATA'!$B:$B=""RWS"",'SUMMARY DATA'!$H:$H=$D1086)),"""")
  )
)"),"")</f>
      </c>
      <c r="I1086" s="18" t="str">
        <f>IFERROR(__xludf.DUMMYFUNCTION("IF(H1086="""","""",
SUM(ARRAYFORMULA(VALUE(SPLIT(H1086,CHAR(10)))))
)"),"")</f>
      </c>
      <c r="J1086" s="17" t="str">
        <f>IFERROR(__xludf.DUMMYFUNCTION("IFERROR(
  TEXTJOIN(CHAR(10),TRUE,FILTER('SUMMARY DATA'!I:I,'SUMMARY DATA'!$A:$A=$A1086,'SUMMARY DATA'!$C:$C=$B1086,'SUMMARY DATA'!$B:$B=""RWS"")),
  IF(
    OR(
      ISNUMBER(SEARCH(""CDM CASH DEPOSIT"",$C1086)),
      ISNUMBER(SEARCH(""CASH DEPOSIT"",$"&amp;"C1086)),
      COUNTIFS('SUMMARY DATA'!$D:$D,$C1086,'SUMMARY DATA'!$B:$B,""RWS"")&lt;&gt;1
    ),
    """",
    IFERROR(TEXTJOIN(CHAR(10),TRUE,FILTER('SUMMARY DATA'!I:I,'SUMMARY DATA'!$D:$D=$C1086,'SUMMARY DATA'!$B:$B=""RWS"")),"""")
  )
)"),"")</f>
      </c>
      <c r="K1086" s="2"/>
      <c r="L1086" s="2"/>
      <c r="M1086" s="2"/>
      <c r="N1086" s="2"/>
      <c r="O1086" s="2"/>
      <c r="P1086" s="2"/>
      <c r="Q1086" s="2"/>
      <c r="R1086" s="2"/>
      <c r="S1086" s="2"/>
      <c r="T1086" s="2"/>
      <c r="U1086" s="2"/>
      <c r="V1086" s="2"/>
      <c r="W1086" s="2"/>
      <c r="X1086" s="2"/>
      <c r="Y1086" s="2"/>
      <c r="Z1086" s="2"/>
      <c r="AA1086" s="2"/>
      <c r="AB1086" s="2"/>
    </row>
    <row r="1087" spans="1:28" customHeight="true">
      <c r="A1087" s="2"/>
      <c r="B1087" s="31">
        <v>45792</v>
      </c>
      <c r="C1087" s="2" t="s">
        <v>1625</v>
      </c>
      <c r="D1087" s="6">
        <v>930.21</v>
      </c>
      <c r="E1087" s="16" t="str">
        <f>IFERROR(__xludf.DUMMYFUNCTION("IFERROR(
  TEXTJOIN(CHAR(10),TRUE,FILTER('SUMMARY DATA'!E:E,'SUMMARY DATA'!$A:$A=$A188,'SUMMARY DATA'!$C:$C=$B188,'SUMMARY DATA'!$B:$B=""GRP"")),
  IF(
    OR(
      ISNUMBER(SEARCH(""CDM CASH DEPOSIT"",$C188)),
      ISNUMBER(SEARCH(""CASH DEPOSIT"",$C18"&amp;"8)),
      COUNTIFS('SUMMARY DATA'!$D:$D,$C188,'SUMMARY DATA'!$B:$B,""GRP"")&lt;&gt;1
    ),
    """",
    IFERROR(TEXTJOIN(CHAR(10),TRUE,FILTER('SUMMARY DATA'!E:E,'SUMMARY DATA'!$D:$D=$C188,'SUMMARY DATA'!$B:$B=""GRP"")),"""")
  )
)"),"")</f>
      </c>
      <c r="F1087" s="17" t="str">
        <f>IFERROR(__xludf.DUMMYFUNCTION("IFERROR(
  TEXTJOIN(CHAR(10),TRUE,FILTER('SUMMARY DATA'!F:F,'SUMMARY DATA'!$A:$A=$A188,'SUMMARY DATA'!$C:$C=$B188,'SUMMARY DATA'!$B:$B=""GRP"")),
  IF(
    OR(
      ISNUMBER(SEARCH(""CDM CASH DEPOSIT"",$C188)),
      ISNUMBER(SEARCH(""CASH DEPOSIT"",$C18"&amp;"8)),
      COUNTIFS('SUMMARY DATA'!$D:$D,$C188,'SUMMARY DATA'!$B:$B,""GRP"")&lt;&gt;1
    ),
    """",
    IFERROR(TEXTJOIN(CHAR(10),TRUE,FILTER('SUMMARY DATA'!F:F,'SUMMARY DATA'!$D:$D=$C188,'SUMMARY DATA'!$B:$B=""GRP"")),"""")
  )
)"),"")</f>
      </c>
      <c r="G1087" s="17" t="str">
        <f>IFERROR(__xludf.DUMMYFUNCTION("IFERROR(
  TEXTJOIN(CHAR(10),TRUE,FILTER('SUMMARY DATA'!G:G,'SUMMARY DATA'!$A:$A=$A1087,'SUMMARY DATA'!$C:$C=$B1087,'SUMMARY DATA'!$B:$B=""RWS"")),
  IF(
    OR(
      ISNUMBER(SEARCH(""CDM CASH DEPOSIT"",$C1087)),
      ISNUMBER(SEARCH(""CASH DEPOSIT"",$"&amp;"C1087)),
      COUNTIFS('SUMMARY DATA'!$D:$D,$C1087,'SUMMARY DATA'!$B:$B,""RWS"")&lt;&gt;1
    ),
    """",
    IFERROR(TEXTJOIN(CHAR(10),TRUE,FILTER('SUMMARY DATA'!G:G,'SUMMARY DATA'!$D:$D=$C1087,'SUMMARY DATA'!$B:$B=""RWS"")),"""")
  )
)"),"")</f>
      </c>
      <c r="H1087" s="18" t="str">
        <f>IFERROR(__xludf.DUMMYFUNCTION("IFERROR(
  TEXTJOIN(CHAR(10),TRUE,FILTER('SUMMARY DATA'!H:H,'SUMMARY DATA'!$A:$A=$A1087,'SUMMARY DATA'!$C:$C=$B1087,'SUMMARY DATA'!$B:$B=""RWS"",'SUMMARY DATA'!$H:$H=$D1087)),
  IF(
    OR(
      ISNUMBER(SEARCH(""CDM CASH DEPOSIT"",$C1087)),
      ISNUMB"&amp;"ER(SEARCH(""CASH DEPOSIT"",$C1087))
    ),
    """",
    IFERROR(TEXTJOIN(CHAR(10),TRUE,FILTER('SUMMARY DATA'!H:H,'SUMMARY DATA'!$D:$D=$C1087,'SUMMARY DATA'!$B:$B=""RWS"",'SUMMARY DATA'!$H:$H=$D1087)),"""")
  )
)"),"")</f>
      </c>
      <c r="I1087" s="18" t="str">
        <f>IFERROR(__xludf.DUMMYFUNCTION("IF(H1087="""","""",
SUM(ARRAYFORMULA(VALUE(SPLIT(H1087,CHAR(10)))))
)"),"")</f>
      </c>
      <c r="J1087" s="17" t="str">
        <f>IFERROR(__xludf.DUMMYFUNCTION("IFERROR(
  TEXTJOIN(CHAR(10),TRUE,FILTER('SUMMARY DATA'!I:I,'SUMMARY DATA'!$A:$A=$A1087,'SUMMARY DATA'!$C:$C=$B1087,'SUMMARY DATA'!$B:$B=""RWS"")),
  IF(
    OR(
      ISNUMBER(SEARCH(""CDM CASH DEPOSIT"",$C1087)),
      ISNUMBER(SEARCH(""CASH DEPOSIT"",$"&amp;"C1087)),
      COUNTIFS('SUMMARY DATA'!$D:$D,$C1087,'SUMMARY DATA'!$B:$B,""RWS"")&lt;&gt;1
    ),
    """",
    IFERROR(TEXTJOIN(CHAR(10),TRUE,FILTER('SUMMARY DATA'!I:I,'SUMMARY DATA'!$D:$D=$C1087,'SUMMARY DATA'!$B:$B=""RWS"")),"""")
  )
)"),"")</f>
      </c>
      <c r="K1087" s="2"/>
      <c r="L1087" s="2"/>
      <c r="M1087" s="2"/>
      <c r="N1087" s="2"/>
      <c r="O1087" s="2"/>
      <c r="P1087" s="2"/>
      <c r="Q1087" s="2"/>
      <c r="R1087" s="2"/>
      <c r="S1087" s="2"/>
      <c r="T1087" s="2"/>
      <c r="U1087" s="2"/>
      <c r="V1087" s="2"/>
      <c r="W1087" s="2"/>
      <c r="X1087" s="2"/>
      <c r="Y1087" s="2"/>
      <c r="Z1087" s="2"/>
      <c r="AA1087" s="2"/>
      <c r="AB1087" s="2"/>
    </row>
    <row r="1088" spans="1:28" customHeight="true">
      <c r="A1088" s="2"/>
      <c r="B1088" s="31">
        <v>45792</v>
      </c>
      <c r="C1088" s="2" t="s">
        <v>1626</v>
      </c>
      <c r="D1088" s="6">
        <v>373.22</v>
      </c>
      <c r="E1088" s="16" t="str">
        <f>IFERROR(__xludf.DUMMYFUNCTION("IFERROR(
  TEXTJOIN(CHAR(10),TRUE,FILTER('SUMMARY DATA'!E:E,'SUMMARY DATA'!$A:$A=$A189,'SUMMARY DATA'!$C:$C=$B189,'SUMMARY DATA'!$B:$B=""GRP"")),
  IF(
    OR(
      ISNUMBER(SEARCH(""CDM CASH DEPOSIT"",$C189)),
      ISNUMBER(SEARCH(""CASH DEPOSIT"",$C18"&amp;"9)),
      COUNTIFS('SUMMARY DATA'!$D:$D,$C189,'SUMMARY DATA'!$B:$B,""GRP"")&lt;&gt;1
    ),
    """",
    IFERROR(TEXTJOIN(CHAR(10),TRUE,FILTER('SUMMARY DATA'!E:E,'SUMMARY DATA'!$D:$D=$C189,'SUMMARY DATA'!$B:$B=""GRP"")),"""")
  )
)"),"")</f>
      </c>
      <c r="F1088" s="17" t="str">
        <f>IFERROR(__xludf.DUMMYFUNCTION("IFERROR(
  TEXTJOIN(CHAR(10),TRUE,FILTER('SUMMARY DATA'!F:F,'SUMMARY DATA'!$A:$A=$A189,'SUMMARY DATA'!$C:$C=$B189,'SUMMARY DATA'!$B:$B=""GRP"")),
  IF(
    OR(
      ISNUMBER(SEARCH(""CDM CASH DEPOSIT"",$C189)),
      ISNUMBER(SEARCH(""CASH DEPOSIT"",$C18"&amp;"9)),
      COUNTIFS('SUMMARY DATA'!$D:$D,$C189,'SUMMARY DATA'!$B:$B,""GRP"")&lt;&gt;1
    ),
    """",
    IFERROR(TEXTJOIN(CHAR(10),TRUE,FILTER('SUMMARY DATA'!F:F,'SUMMARY DATA'!$D:$D=$C189,'SUMMARY DATA'!$B:$B=""GRP"")),"""")
  )
)"),"")</f>
      </c>
      <c r="G1088" s="17" t="str">
        <f>IFERROR(__xludf.DUMMYFUNCTION("IFERROR(
  TEXTJOIN(CHAR(10),TRUE,FILTER('SUMMARY DATA'!G:G,'SUMMARY DATA'!$A:$A=$A1088,'SUMMARY DATA'!$C:$C=$B1088,'SUMMARY DATA'!$B:$B=""RWS"")),
  IF(
    OR(
      ISNUMBER(SEARCH(""CDM CASH DEPOSIT"",$C1088)),
      ISNUMBER(SEARCH(""CASH DEPOSIT"",$"&amp;"C1088)),
      COUNTIFS('SUMMARY DATA'!$D:$D,$C1088,'SUMMARY DATA'!$B:$B,""RWS"")&lt;&gt;1
    ),
    """",
    IFERROR(TEXTJOIN(CHAR(10),TRUE,FILTER('SUMMARY DATA'!G:G,'SUMMARY DATA'!$D:$D=$C1088,'SUMMARY DATA'!$B:$B=""RWS"")),"""")
  )
)"),"")</f>
      </c>
      <c r="H1088" s="18" t="str">
        <f>IFERROR(__xludf.DUMMYFUNCTION("IFERROR(
  TEXTJOIN(CHAR(10),TRUE,FILTER('SUMMARY DATA'!H:H,'SUMMARY DATA'!$A:$A=$A1088,'SUMMARY DATA'!$C:$C=$B1088,'SUMMARY DATA'!$B:$B=""RWS"",'SUMMARY DATA'!$H:$H=$D1088)),
  IF(
    OR(
      ISNUMBER(SEARCH(""CDM CASH DEPOSIT"",$C1088)),
      ISNUMB"&amp;"ER(SEARCH(""CASH DEPOSIT"",$C1088))
    ),
    """",
    IFERROR(TEXTJOIN(CHAR(10),TRUE,FILTER('SUMMARY DATA'!H:H,'SUMMARY DATA'!$D:$D=$C1088,'SUMMARY DATA'!$B:$B=""RWS"",'SUMMARY DATA'!$H:$H=$D1088)),"""")
  )
)"),"")</f>
      </c>
      <c r="I1088" s="18" t="str">
        <f>IFERROR(__xludf.DUMMYFUNCTION("IF(H1088="""","""",
SUM(ARRAYFORMULA(VALUE(SPLIT(H1088,CHAR(10)))))
)"),"")</f>
      </c>
      <c r="J1088" s="17" t="str">
        <f>IFERROR(__xludf.DUMMYFUNCTION("IFERROR(
  TEXTJOIN(CHAR(10),TRUE,FILTER('SUMMARY DATA'!I:I,'SUMMARY DATA'!$A:$A=$A1088,'SUMMARY DATA'!$C:$C=$B1088,'SUMMARY DATA'!$B:$B=""RWS"")),
  IF(
    OR(
      ISNUMBER(SEARCH(""CDM CASH DEPOSIT"",$C1088)),
      ISNUMBER(SEARCH(""CASH DEPOSIT"",$"&amp;"C1088)),
      COUNTIFS('SUMMARY DATA'!$D:$D,$C1088,'SUMMARY DATA'!$B:$B,""RWS"")&lt;&gt;1
    ),
    """",
    IFERROR(TEXTJOIN(CHAR(10),TRUE,FILTER('SUMMARY DATA'!I:I,'SUMMARY DATA'!$D:$D=$C1088,'SUMMARY DATA'!$B:$B=""RWS"")),"""")
  )
)"),"")</f>
      </c>
      <c r="K1088" s="2"/>
      <c r="L1088" s="2"/>
      <c r="M1088" s="2"/>
      <c r="N1088" s="2"/>
      <c r="O1088" s="2"/>
      <c r="P1088" s="2"/>
      <c r="Q1088" s="2"/>
      <c r="R1088" s="2"/>
      <c r="S1088" s="2"/>
      <c r="T1088" s="2"/>
      <c r="U1088" s="2"/>
      <c r="V1088" s="2"/>
      <c r="W1088" s="2"/>
      <c r="X1088" s="2"/>
      <c r="Y1088" s="2"/>
      <c r="Z1088" s="2"/>
      <c r="AA1088" s="2"/>
      <c r="AB1088" s="2"/>
    </row>
    <row r="1089" spans="1:28" customHeight="true">
      <c r="A1089" s="2"/>
      <c r="B1089" s="31">
        <v>45792</v>
      </c>
      <c r="C1089" s="2" t="s">
        <v>1627</v>
      </c>
      <c r="D1089" s="6">
        <v>260.86</v>
      </c>
      <c r="E1089" s="16" t="str">
        <f>IFERROR(__xludf.DUMMYFUNCTION("IFERROR(
  TEXTJOIN(CHAR(10),TRUE,FILTER('SUMMARY DATA'!E:E,'SUMMARY DATA'!$A:$A=$A190,'SUMMARY DATA'!$C:$C=$B190,'SUMMARY DATA'!$B:$B=""GRP"")),
  IF(
    OR(
      ISNUMBER(SEARCH(""CDM CASH DEPOSIT"",$C190)),
      ISNUMBER(SEARCH(""CASH DEPOSIT"",$C19"&amp;"0)),
      COUNTIFS('SUMMARY DATA'!$D:$D,$C190,'SUMMARY DATA'!$B:$B,""GRP"")&lt;&gt;1
    ),
    """",
    IFERROR(TEXTJOIN(CHAR(10),TRUE,FILTER('SUMMARY DATA'!E:E,'SUMMARY DATA'!$D:$D=$C190,'SUMMARY DATA'!$B:$B=""GRP"")),"""")
  )
)"),"")</f>
      </c>
      <c r="F1089" s="17" t="str">
        <f>IFERROR(__xludf.DUMMYFUNCTION("IFERROR(
  TEXTJOIN(CHAR(10),TRUE,FILTER('SUMMARY DATA'!F:F,'SUMMARY DATA'!$A:$A=$A190,'SUMMARY DATA'!$C:$C=$B190,'SUMMARY DATA'!$B:$B=""GRP"")),
  IF(
    OR(
      ISNUMBER(SEARCH(""CDM CASH DEPOSIT"",$C190)),
      ISNUMBER(SEARCH(""CASH DEPOSIT"",$C19"&amp;"0)),
      COUNTIFS('SUMMARY DATA'!$D:$D,$C190,'SUMMARY DATA'!$B:$B,""GRP"")&lt;&gt;1
    ),
    """",
    IFERROR(TEXTJOIN(CHAR(10),TRUE,FILTER('SUMMARY DATA'!F:F,'SUMMARY DATA'!$D:$D=$C190,'SUMMARY DATA'!$B:$B=""GRP"")),"""")
  )
)"),"")</f>
      </c>
      <c r="G1089" s="17" t="str">
        <f>IFERROR(__xludf.DUMMYFUNCTION("IFERROR(
  TEXTJOIN(CHAR(10),TRUE,FILTER('SUMMARY DATA'!G:G,'SUMMARY DATA'!$A:$A=$A1089,'SUMMARY DATA'!$C:$C=$B1089,'SUMMARY DATA'!$B:$B=""RWS"")),
  IF(
    OR(
      ISNUMBER(SEARCH(""CDM CASH DEPOSIT"",$C1089)),
      ISNUMBER(SEARCH(""CASH DEPOSIT"",$"&amp;"C1089)),
      COUNTIFS('SUMMARY DATA'!$D:$D,$C1089,'SUMMARY DATA'!$B:$B,""RWS"")&lt;&gt;1
    ),
    """",
    IFERROR(TEXTJOIN(CHAR(10),TRUE,FILTER('SUMMARY DATA'!G:G,'SUMMARY DATA'!$D:$D=$C1089,'SUMMARY DATA'!$B:$B=""RWS"")),"""")
  )
)"),"")</f>
      </c>
      <c r="H1089" s="18" t="str">
        <f>IFERROR(__xludf.DUMMYFUNCTION("IFERROR(
  TEXTJOIN(CHAR(10),TRUE,FILTER('SUMMARY DATA'!H:H,'SUMMARY DATA'!$A:$A=$A1089,'SUMMARY DATA'!$C:$C=$B1089,'SUMMARY DATA'!$B:$B=""RWS"",'SUMMARY DATA'!$H:$H=$D1089)),
  IF(
    OR(
      ISNUMBER(SEARCH(""CDM CASH DEPOSIT"",$C1089)),
      ISNUMB"&amp;"ER(SEARCH(""CASH DEPOSIT"",$C1089))
    ),
    """",
    IFERROR(TEXTJOIN(CHAR(10),TRUE,FILTER('SUMMARY DATA'!H:H,'SUMMARY DATA'!$D:$D=$C1089,'SUMMARY DATA'!$B:$B=""RWS"",'SUMMARY DATA'!$H:$H=$D1089)),"""")
  )
)"),"")</f>
      </c>
      <c r="I1089" s="18" t="str">
        <f>IFERROR(__xludf.DUMMYFUNCTION("IF(H1089="""","""",
SUM(ARRAYFORMULA(VALUE(SPLIT(H1089,CHAR(10)))))
)"),"")</f>
      </c>
      <c r="J1089" s="17" t="str">
        <f>IFERROR(__xludf.DUMMYFUNCTION("IFERROR(
  TEXTJOIN(CHAR(10),TRUE,FILTER('SUMMARY DATA'!I:I,'SUMMARY DATA'!$A:$A=$A1089,'SUMMARY DATA'!$C:$C=$B1089,'SUMMARY DATA'!$B:$B=""RWS"")),
  IF(
    OR(
      ISNUMBER(SEARCH(""CDM CASH DEPOSIT"",$C1089)),
      ISNUMBER(SEARCH(""CASH DEPOSIT"",$"&amp;"C1089)),
      COUNTIFS('SUMMARY DATA'!$D:$D,$C1089,'SUMMARY DATA'!$B:$B,""RWS"")&lt;&gt;1
    ),
    """",
    IFERROR(TEXTJOIN(CHAR(10),TRUE,FILTER('SUMMARY DATA'!I:I,'SUMMARY DATA'!$D:$D=$C1089,'SUMMARY DATA'!$B:$B=""RWS"")),"""")
  )
)"),"")</f>
      </c>
      <c r="K1089" s="2"/>
      <c r="L1089" s="2"/>
      <c r="M1089" s="2"/>
      <c r="N1089" s="2"/>
      <c r="O1089" s="2"/>
      <c r="P1089" s="2"/>
      <c r="Q1089" s="2"/>
      <c r="R1089" s="2"/>
      <c r="S1089" s="2"/>
      <c r="T1089" s="2"/>
      <c r="U1089" s="2"/>
      <c r="V1089" s="2"/>
      <c r="W1089" s="2"/>
      <c r="X1089" s="2"/>
      <c r="Y1089" s="2"/>
      <c r="Z1089" s="2"/>
      <c r="AA1089" s="2"/>
      <c r="AB1089" s="2"/>
    </row>
    <row r="1090" spans="1:28" customHeight="true">
      <c r="A1090" s="2"/>
      <c r="B1090" s="31">
        <v>45792</v>
      </c>
      <c r="C1090" s="2" t="s">
        <v>1628</v>
      </c>
      <c r="D1090" s="6">
        <v>232.4</v>
      </c>
      <c r="E1090" s="16" t="str">
        <f>IFERROR(__xludf.DUMMYFUNCTION("IFERROR(
  TEXTJOIN(CHAR(10),TRUE,FILTER('SUMMARY DATA'!E:E,'SUMMARY DATA'!$A:$A=$A191,'SUMMARY DATA'!$C:$C=$B191,'SUMMARY DATA'!$B:$B=""GRP"")),
  IF(
    OR(
      ISNUMBER(SEARCH(""CDM CASH DEPOSIT"",$C191)),
      ISNUMBER(SEARCH(""CASH DEPOSIT"",$C19"&amp;"1)),
      COUNTIFS('SUMMARY DATA'!$D:$D,$C191,'SUMMARY DATA'!$B:$B,""GRP"")&lt;&gt;1
    ),
    """",
    IFERROR(TEXTJOIN(CHAR(10),TRUE,FILTER('SUMMARY DATA'!E:E,'SUMMARY DATA'!$D:$D=$C191,'SUMMARY DATA'!$B:$B=""GRP"")),"""")
  )
)"),"")</f>
      </c>
      <c r="F1090" s="17" t="str">
        <f>IFERROR(__xludf.DUMMYFUNCTION("IFERROR(
  TEXTJOIN(CHAR(10),TRUE,FILTER('SUMMARY DATA'!F:F,'SUMMARY DATA'!$A:$A=$A191,'SUMMARY DATA'!$C:$C=$B191,'SUMMARY DATA'!$B:$B=""GRP"")),
  IF(
    OR(
      ISNUMBER(SEARCH(""CDM CASH DEPOSIT"",$C191)),
      ISNUMBER(SEARCH(""CASH DEPOSIT"",$C19"&amp;"1)),
      COUNTIFS('SUMMARY DATA'!$D:$D,$C191,'SUMMARY DATA'!$B:$B,""GRP"")&lt;&gt;1
    ),
    """",
    IFERROR(TEXTJOIN(CHAR(10),TRUE,FILTER('SUMMARY DATA'!F:F,'SUMMARY DATA'!$D:$D=$C191,'SUMMARY DATA'!$B:$B=""GRP"")),"""")
  )
)"),"")</f>
      </c>
      <c r="G1090" s="17" t="str">
        <f>IFERROR(__xludf.DUMMYFUNCTION("IFERROR(
  TEXTJOIN(CHAR(10),TRUE,FILTER('SUMMARY DATA'!G:G,'SUMMARY DATA'!$A:$A=$A1090,'SUMMARY DATA'!$C:$C=$B1090,'SUMMARY DATA'!$B:$B=""RWS"")),
  IF(
    OR(
      ISNUMBER(SEARCH(""CDM CASH DEPOSIT"",$C1090)),
      ISNUMBER(SEARCH(""CASH DEPOSIT"",$"&amp;"C1090)),
      COUNTIFS('SUMMARY DATA'!$D:$D,$C1090,'SUMMARY DATA'!$B:$B,""RWS"")&lt;&gt;1
    ),
    """",
    IFERROR(TEXTJOIN(CHAR(10),TRUE,FILTER('SUMMARY DATA'!G:G,'SUMMARY DATA'!$D:$D=$C1090,'SUMMARY DATA'!$B:$B=""RWS"")),"""")
  )
)"),"")</f>
      </c>
      <c r="H1090" s="18" t="str">
        <f>IFERROR(__xludf.DUMMYFUNCTION("IFERROR(
  TEXTJOIN(CHAR(10),TRUE,FILTER('SUMMARY DATA'!H:H,'SUMMARY DATA'!$A:$A=$A1090,'SUMMARY DATA'!$C:$C=$B1090,'SUMMARY DATA'!$B:$B=""RWS"",'SUMMARY DATA'!$H:$H=$D1090)),
  IF(
    OR(
      ISNUMBER(SEARCH(""CDM CASH DEPOSIT"",$C1090)),
      ISNUMB"&amp;"ER(SEARCH(""CASH DEPOSIT"",$C1090))
    ),
    """",
    IFERROR(TEXTJOIN(CHAR(10),TRUE,FILTER('SUMMARY DATA'!H:H,'SUMMARY DATA'!$D:$D=$C1090,'SUMMARY DATA'!$B:$B=""RWS"",'SUMMARY DATA'!$H:$H=$D1090)),"""")
  )
)"),"")</f>
      </c>
      <c r="I1090" s="18" t="str">
        <f>IFERROR(__xludf.DUMMYFUNCTION("IF(H1090="""","""",
SUM(ARRAYFORMULA(VALUE(SPLIT(H1090,CHAR(10)))))
)"),"")</f>
      </c>
      <c r="J1090" s="17" t="str">
        <f>IFERROR(__xludf.DUMMYFUNCTION("IFERROR(
  TEXTJOIN(CHAR(10),TRUE,FILTER('SUMMARY DATA'!I:I,'SUMMARY DATA'!$A:$A=$A1090,'SUMMARY DATA'!$C:$C=$B1090,'SUMMARY DATA'!$B:$B=""RWS"")),
  IF(
    OR(
      ISNUMBER(SEARCH(""CDM CASH DEPOSIT"",$C1090)),
      ISNUMBER(SEARCH(""CASH DEPOSIT"",$"&amp;"C1090)),
      COUNTIFS('SUMMARY DATA'!$D:$D,$C1090,'SUMMARY DATA'!$B:$B,""RWS"")&lt;&gt;1
    ),
    """",
    IFERROR(TEXTJOIN(CHAR(10),TRUE,FILTER('SUMMARY DATA'!I:I,'SUMMARY DATA'!$D:$D=$C1090,'SUMMARY DATA'!$B:$B=""RWS"")),"""")
  )
)"),"")</f>
      </c>
      <c r="K1090" s="2"/>
      <c r="L1090" s="2"/>
      <c r="M1090" s="2"/>
      <c r="N1090" s="2"/>
      <c r="O1090" s="2"/>
      <c r="P1090" s="2"/>
      <c r="Q1090" s="2"/>
      <c r="R1090" s="2"/>
      <c r="S1090" s="2"/>
      <c r="T1090" s="2"/>
      <c r="U1090" s="2"/>
      <c r="V1090" s="2"/>
      <c r="W1090" s="2"/>
      <c r="X1090" s="2"/>
      <c r="Y1090" s="2"/>
      <c r="Z1090" s="2"/>
      <c r="AA1090" s="2"/>
      <c r="AB1090" s="2"/>
    </row>
    <row r="1091" spans="1:28" customHeight="true">
      <c r="A1091" s="2"/>
      <c r="B1091" s="31">
        <v>45792</v>
      </c>
      <c r="C1091" s="2" t="s">
        <v>1629</v>
      </c>
      <c r="D1091" s="6">
        <v>223.97</v>
      </c>
      <c r="E1091" s="16" t="str">
        <f>IFERROR(__xludf.DUMMYFUNCTION("IFERROR(
  TEXTJOIN(CHAR(10),TRUE,FILTER('SUMMARY DATA'!E:E,'SUMMARY DATA'!$A:$A=$A192,'SUMMARY DATA'!$C:$C=$B192,'SUMMARY DATA'!$B:$B=""GRP"")),
  IF(
    OR(
      ISNUMBER(SEARCH(""CDM CASH DEPOSIT"",$C192)),
      ISNUMBER(SEARCH(""CASH DEPOSIT"",$C19"&amp;"2)),
      COUNTIFS('SUMMARY DATA'!$D:$D,$C192,'SUMMARY DATA'!$B:$B,""GRP"")&lt;&gt;1
    ),
    """",
    IFERROR(TEXTJOIN(CHAR(10),TRUE,FILTER('SUMMARY DATA'!E:E,'SUMMARY DATA'!$D:$D=$C192,'SUMMARY DATA'!$B:$B=""GRP"")),"""")
  )
)"),"")</f>
      </c>
      <c r="F1091" s="17" t="str">
        <f>IFERROR(__xludf.DUMMYFUNCTION("IFERROR(
  TEXTJOIN(CHAR(10),TRUE,FILTER('SUMMARY DATA'!F:F,'SUMMARY DATA'!$A:$A=$A192,'SUMMARY DATA'!$C:$C=$B192,'SUMMARY DATA'!$B:$B=""GRP"")),
  IF(
    OR(
      ISNUMBER(SEARCH(""CDM CASH DEPOSIT"",$C192)),
      ISNUMBER(SEARCH(""CASH DEPOSIT"",$C19"&amp;"2)),
      COUNTIFS('SUMMARY DATA'!$D:$D,$C192,'SUMMARY DATA'!$B:$B,""GRP"")&lt;&gt;1
    ),
    """",
    IFERROR(TEXTJOIN(CHAR(10),TRUE,FILTER('SUMMARY DATA'!F:F,'SUMMARY DATA'!$D:$D=$C192,'SUMMARY DATA'!$B:$B=""GRP"")),"""")
  )
)"),"")</f>
      </c>
      <c r="G1091" s="17" t="str">
        <f>IFERROR(__xludf.DUMMYFUNCTION("IFERROR(
  TEXTJOIN(CHAR(10),TRUE,FILTER('SUMMARY DATA'!G:G,'SUMMARY DATA'!$A:$A=$A1091,'SUMMARY DATA'!$C:$C=$B1091,'SUMMARY DATA'!$B:$B=""RWS"")),
  IF(
    OR(
      ISNUMBER(SEARCH(""CDM CASH DEPOSIT"",$C1091)),
      ISNUMBER(SEARCH(""CASH DEPOSIT"",$"&amp;"C1091)),
      COUNTIFS('SUMMARY DATA'!$D:$D,$C1091,'SUMMARY DATA'!$B:$B,""RWS"")&lt;&gt;1
    ),
    """",
    IFERROR(TEXTJOIN(CHAR(10),TRUE,FILTER('SUMMARY DATA'!G:G,'SUMMARY DATA'!$D:$D=$C1091,'SUMMARY DATA'!$B:$B=""RWS"")),"""")
  )
)"),"")</f>
      </c>
      <c r="H1091" s="18" t="str">
        <f>IFERROR(__xludf.DUMMYFUNCTION("IFERROR(
  TEXTJOIN(CHAR(10),TRUE,FILTER('SUMMARY DATA'!H:H,'SUMMARY DATA'!$A:$A=$A1091,'SUMMARY DATA'!$C:$C=$B1091,'SUMMARY DATA'!$B:$B=""RWS"",'SUMMARY DATA'!$H:$H=$D1091)),
  IF(
    OR(
      ISNUMBER(SEARCH(""CDM CASH DEPOSIT"",$C1091)),
      ISNUMB"&amp;"ER(SEARCH(""CASH DEPOSIT"",$C1091))
    ),
    """",
    IFERROR(TEXTJOIN(CHAR(10),TRUE,FILTER('SUMMARY DATA'!H:H,'SUMMARY DATA'!$D:$D=$C1091,'SUMMARY DATA'!$B:$B=""RWS"",'SUMMARY DATA'!$H:$H=$D1091)),"""")
  )
)"),"")</f>
      </c>
      <c r="I1091" s="18" t="str">
        <f>IFERROR(__xludf.DUMMYFUNCTION("IF(H1091="""","""",
SUM(ARRAYFORMULA(VALUE(SPLIT(H1091,CHAR(10)))))
)"),"")</f>
      </c>
      <c r="J1091" s="17" t="str">
        <f>IFERROR(__xludf.DUMMYFUNCTION("IFERROR(
  TEXTJOIN(CHAR(10),TRUE,FILTER('SUMMARY DATA'!I:I,'SUMMARY DATA'!$A:$A=$A1091,'SUMMARY DATA'!$C:$C=$B1091,'SUMMARY DATA'!$B:$B=""RWS"")),
  IF(
    OR(
      ISNUMBER(SEARCH(""CDM CASH DEPOSIT"",$C1091)),
      ISNUMBER(SEARCH(""CASH DEPOSIT"",$"&amp;"C1091)),
      COUNTIFS('SUMMARY DATA'!$D:$D,$C1091,'SUMMARY DATA'!$B:$B,""RWS"")&lt;&gt;1
    ),
    """",
    IFERROR(TEXTJOIN(CHAR(10),TRUE,FILTER('SUMMARY DATA'!I:I,'SUMMARY DATA'!$D:$D=$C1091,'SUMMARY DATA'!$B:$B=""RWS"")),"""")
  )
)"),"")</f>
      </c>
      <c r="K1091" s="2"/>
      <c r="L1091" s="2"/>
      <c r="M1091" s="2"/>
      <c r="N1091" s="2"/>
      <c r="O1091" s="2"/>
      <c r="P1091" s="2"/>
      <c r="Q1091" s="2"/>
      <c r="R1091" s="2"/>
      <c r="S1091" s="2"/>
      <c r="T1091" s="2"/>
      <c r="U1091" s="2"/>
      <c r="V1091" s="2"/>
      <c r="W1091" s="2"/>
      <c r="X1091" s="2"/>
      <c r="Y1091" s="2"/>
      <c r="Z1091" s="2"/>
      <c r="AA1091" s="2"/>
      <c r="AB1091" s="2"/>
    </row>
    <row r="1092" spans="1:28" customHeight="true">
      <c r="A1092" s="2"/>
      <c r="B1092" s="31">
        <v>45792</v>
      </c>
      <c r="C1092" s="2" t="s">
        <v>1630</v>
      </c>
      <c r="D1092" s="6">
        <v>169.98</v>
      </c>
      <c r="E1092" s="16" t="str">
        <f>IFERROR(__xludf.DUMMYFUNCTION("IFERROR(
  TEXTJOIN(CHAR(10),TRUE,FILTER('SUMMARY DATA'!E:E,'SUMMARY DATA'!$A:$A=$A193,'SUMMARY DATA'!$C:$C=$B193,'SUMMARY DATA'!$B:$B=""GRP"")),
  IF(
    OR(
      ISNUMBER(SEARCH(""CDM CASH DEPOSIT"",$C193)),
      ISNUMBER(SEARCH(""CASH DEPOSIT"",$C19"&amp;"3)),
      COUNTIFS('SUMMARY DATA'!$D:$D,$C193,'SUMMARY DATA'!$B:$B,""GRP"")&lt;&gt;1
    ),
    """",
    IFERROR(TEXTJOIN(CHAR(10),TRUE,FILTER('SUMMARY DATA'!E:E,'SUMMARY DATA'!$D:$D=$C193,'SUMMARY DATA'!$B:$B=""GRP"")),"""")
  )
)"),"")</f>
      </c>
      <c r="F1092" s="17" t="str">
        <f>IFERROR(__xludf.DUMMYFUNCTION("IFERROR(
  TEXTJOIN(CHAR(10),TRUE,FILTER('SUMMARY DATA'!F:F,'SUMMARY DATA'!$A:$A=$A193,'SUMMARY DATA'!$C:$C=$B193,'SUMMARY DATA'!$B:$B=""GRP"")),
  IF(
    OR(
      ISNUMBER(SEARCH(""CDM CASH DEPOSIT"",$C193)),
      ISNUMBER(SEARCH(""CASH DEPOSIT"",$C19"&amp;"3)),
      COUNTIFS('SUMMARY DATA'!$D:$D,$C193,'SUMMARY DATA'!$B:$B,""GRP"")&lt;&gt;1
    ),
    """",
    IFERROR(TEXTJOIN(CHAR(10),TRUE,FILTER('SUMMARY DATA'!F:F,'SUMMARY DATA'!$D:$D=$C193,'SUMMARY DATA'!$B:$B=""GRP"")),"""")
  )
)"),"")</f>
      </c>
      <c r="G1092" s="17" t="str">
        <f>IFERROR(__xludf.DUMMYFUNCTION("IFERROR(
  TEXTJOIN(CHAR(10),TRUE,FILTER('SUMMARY DATA'!G:G,'SUMMARY DATA'!$A:$A=$A1092,'SUMMARY DATA'!$C:$C=$B1092,'SUMMARY DATA'!$B:$B=""RWS"")),
  IF(
    OR(
      ISNUMBER(SEARCH(""CDM CASH DEPOSIT"",$C1092)),
      ISNUMBER(SEARCH(""CASH DEPOSIT"",$"&amp;"C1092)),
      COUNTIFS('SUMMARY DATA'!$D:$D,$C1092,'SUMMARY DATA'!$B:$B,""RWS"")&lt;&gt;1
    ),
    """",
    IFERROR(TEXTJOIN(CHAR(10),TRUE,FILTER('SUMMARY DATA'!G:G,'SUMMARY DATA'!$D:$D=$C1092,'SUMMARY DATA'!$B:$B=""RWS"")),"""")
  )
)"),"")</f>
      </c>
      <c r="H1092" s="18" t="str">
        <f>IFERROR(__xludf.DUMMYFUNCTION("IFERROR(
  TEXTJOIN(CHAR(10),TRUE,FILTER('SUMMARY DATA'!H:H,'SUMMARY DATA'!$A:$A=$A1092,'SUMMARY DATA'!$C:$C=$B1092,'SUMMARY DATA'!$B:$B=""RWS"",'SUMMARY DATA'!$H:$H=$D1092)),
  IF(
    OR(
      ISNUMBER(SEARCH(""CDM CASH DEPOSIT"",$C1092)),
      ISNUMB"&amp;"ER(SEARCH(""CASH DEPOSIT"",$C1092))
    ),
    """",
    IFERROR(TEXTJOIN(CHAR(10),TRUE,FILTER('SUMMARY DATA'!H:H,'SUMMARY DATA'!$D:$D=$C1092,'SUMMARY DATA'!$B:$B=""RWS"",'SUMMARY DATA'!$H:$H=$D1092)),"""")
  )
)"),"")</f>
      </c>
      <c r="I1092" s="18" t="str">
        <f>IFERROR(__xludf.DUMMYFUNCTION("IF(H1092="""","""",
SUM(ARRAYFORMULA(VALUE(SPLIT(H1092,CHAR(10)))))
)"),"")</f>
      </c>
      <c r="J1092" s="17" t="str">
        <f>IFERROR(__xludf.DUMMYFUNCTION("IFERROR(
  TEXTJOIN(CHAR(10),TRUE,FILTER('SUMMARY DATA'!I:I,'SUMMARY DATA'!$A:$A=$A1092,'SUMMARY DATA'!$C:$C=$B1092,'SUMMARY DATA'!$B:$B=""RWS"")),
  IF(
    OR(
      ISNUMBER(SEARCH(""CDM CASH DEPOSIT"",$C1092)),
      ISNUMBER(SEARCH(""CASH DEPOSIT"",$"&amp;"C1092)),
      COUNTIFS('SUMMARY DATA'!$D:$D,$C1092,'SUMMARY DATA'!$B:$B,""RWS"")&lt;&gt;1
    ),
    """",
    IFERROR(TEXTJOIN(CHAR(10),TRUE,FILTER('SUMMARY DATA'!I:I,'SUMMARY DATA'!$D:$D=$C1092,'SUMMARY DATA'!$B:$B=""RWS"")),"""")
  )
)"),"")</f>
      </c>
      <c r="K1092" s="2"/>
      <c r="L1092" s="2"/>
      <c r="M1092" s="2"/>
      <c r="N1092" s="2"/>
      <c r="O1092" s="2"/>
      <c r="P1092" s="2"/>
      <c r="Q1092" s="2"/>
      <c r="R1092" s="2"/>
      <c r="S1092" s="2"/>
      <c r="T1092" s="2"/>
      <c r="U1092" s="2"/>
      <c r="V1092" s="2"/>
      <c r="W1092" s="2"/>
      <c r="X1092" s="2"/>
      <c r="Y1092" s="2"/>
      <c r="Z1092" s="2"/>
      <c r="AA1092" s="2"/>
      <c r="AB1092" s="2"/>
    </row>
    <row r="1093" spans="1:28" customHeight="true">
      <c r="A1093" s="2" t="s">
        <v>1631</v>
      </c>
      <c r="B1093" s="31">
        <v>45792</v>
      </c>
      <c r="C1093" s="2" t="s">
        <v>1632</v>
      </c>
      <c r="D1093" s="6">
        <v>167.97</v>
      </c>
      <c r="E1093" s="16" t="str">
        <f>IFERROR(__xludf.DUMMYFUNCTION("IFERROR(
  TEXTJOIN(CHAR(10),TRUE,FILTER('SUMMARY DATA'!E:E,'SUMMARY DATA'!$A:$A=$A194,'SUMMARY DATA'!$C:$C=$B194,'SUMMARY DATA'!$B:$B=""GRP"")),
  IF(
    OR(
      ISNUMBER(SEARCH(""CDM CASH DEPOSIT"",$C194)),
      ISNUMBER(SEARCH(""CASH DEPOSIT"",$C19"&amp;"4)),
      COUNTIFS('SUMMARY DATA'!$D:$D,$C194,'SUMMARY DATA'!$B:$B,""GRP"")&lt;&gt;1
    ),
    """",
    IFERROR(TEXTJOIN(CHAR(10),TRUE,FILTER('SUMMARY DATA'!E:E,'SUMMARY DATA'!$D:$D=$C194,'SUMMARY DATA'!$B:$B=""GRP"")),"""")
  )
)"),"")</f>
      </c>
      <c r="F1093" s="17" t="str">
        <f>IFERROR(__xludf.DUMMYFUNCTION("IFERROR(
  TEXTJOIN(CHAR(10),TRUE,FILTER('SUMMARY DATA'!F:F,'SUMMARY DATA'!$A:$A=$A194,'SUMMARY DATA'!$C:$C=$B194,'SUMMARY DATA'!$B:$B=""GRP"")),
  IF(
    OR(
      ISNUMBER(SEARCH(""CDM CASH DEPOSIT"",$C194)),
      ISNUMBER(SEARCH(""CASH DEPOSIT"",$C19"&amp;"4)),
      COUNTIFS('SUMMARY DATA'!$D:$D,$C194,'SUMMARY DATA'!$B:$B,""GRP"")&lt;&gt;1
    ),
    """",
    IFERROR(TEXTJOIN(CHAR(10),TRUE,FILTER('SUMMARY DATA'!F:F,'SUMMARY DATA'!$D:$D=$C194,'SUMMARY DATA'!$B:$B=""GRP"")),"""")
  )
)"),"")</f>
      </c>
      <c r="G1093" s="17" t="str">
        <f>IFERROR(__xludf.DUMMYFUNCTION("IFERROR(
  TEXTJOIN(CHAR(10),TRUE,FILTER('SUMMARY DATA'!G:G,'SUMMARY DATA'!$A:$A=$A1093,'SUMMARY DATA'!$C:$C=$B1093,'SUMMARY DATA'!$B:$B=""RWS"")),
  IF(
    OR(
      ISNUMBER(SEARCH(""CDM CASH DEPOSIT"",$C1093)),
      ISNUMBER(SEARCH(""CASH DEPOSIT"",$"&amp;"C1093)),
      COUNTIFS('SUMMARY DATA'!$D:$D,$C1093,'SUMMARY DATA'!$B:$B,""RWS"")&lt;&gt;1
    ),
    """",
    IFERROR(TEXTJOIN(CHAR(10),TRUE,FILTER('SUMMARY DATA'!G:G,'SUMMARY DATA'!$D:$D=$C1093,'SUMMARY DATA'!$B:$B=""RWS"")),"""")
  )
)"),"")</f>
      </c>
      <c r="H1093" s="18" t="str">
        <f>IFERROR(__xludf.DUMMYFUNCTION("IFERROR(
  TEXTJOIN(CHAR(10),TRUE,FILTER('SUMMARY DATA'!H:H,'SUMMARY DATA'!$A:$A=$A1093,'SUMMARY DATA'!$C:$C=$B1093,'SUMMARY DATA'!$B:$B=""RWS"",'SUMMARY DATA'!$H:$H=$D1093)),
  IF(
    OR(
      ISNUMBER(SEARCH(""CDM CASH DEPOSIT"",$C1093)),
      ISNUMB"&amp;"ER(SEARCH(""CASH DEPOSIT"",$C1093))
    ),
    """",
    IFERROR(TEXTJOIN(CHAR(10),TRUE,FILTER('SUMMARY DATA'!H:H,'SUMMARY DATA'!$D:$D=$C1093,'SUMMARY DATA'!$B:$B=""RWS"",'SUMMARY DATA'!$H:$H=$D1093)),"""")
  )
)"),"")</f>
      </c>
      <c r="I1093" s="18" t="str">
        <f>IFERROR(__xludf.DUMMYFUNCTION("IF(H1093="""","""",
SUM(ARRAYFORMULA(VALUE(SPLIT(H1093,CHAR(10)))))
)"),"")</f>
      </c>
      <c r="J1093" s="17" t="str">
        <f>IFERROR(__xludf.DUMMYFUNCTION("IFERROR(
  TEXTJOIN(CHAR(10),TRUE,FILTER('SUMMARY DATA'!I:I,'SUMMARY DATA'!$A:$A=$A1093,'SUMMARY DATA'!$C:$C=$B1093,'SUMMARY DATA'!$B:$B=""RWS"")),
  IF(
    OR(
      ISNUMBER(SEARCH(""CDM CASH DEPOSIT"",$C1093)),
      ISNUMBER(SEARCH(""CASH DEPOSIT"",$"&amp;"C1093)),
      COUNTIFS('SUMMARY DATA'!$D:$D,$C1093,'SUMMARY DATA'!$B:$B,""RWS"")&lt;&gt;1
    ),
    """",
    IFERROR(TEXTJOIN(CHAR(10),TRUE,FILTER('SUMMARY DATA'!I:I,'SUMMARY DATA'!$D:$D=$C1093,'SUMMARY DATA'!$B:$B=""RWS"")),"""")
  )
)"),"")</f>
      </c>
      <c r="K1093" s="2"/>
      <c r="L1093" s="2"/>
      <c r="M1093" s="2"/>
      <c r="N1093" s="2"/>
      <c r="O1093" s="2"/>
      <c r="P1093" s="2"/>
      <c r="Q1093" s="2"/>
      <c r="R1093" s="2"/>
      <c r="S1093" s="2"/>
      <c r="T1093" s="2"/>
      <c r="U1093" s="2"/>
      <c r="V1093" s="2"/>
      <c r="W1093" s="2"/>
      <c r="X1093" s="2"/>
      <c r="Y1093" s="2"/>
      <c r="Z1093" s="2"/>
      <c r="AA1093" s="2"/>
      <c r="AB1093" s="2"/>
    </row>
    <row r="1094" spans="1:28" customHeight="true">
      <c r="A1094" s="2"/>
      <c r="B1094" s="31">
        <v>45792</v>
      </c>
      <c r="C1094" s="2" t="s">
        <v>1633</v>
      </c>
      <c r="D1094" s="6">
        <v>150</v>
      </c>
      <c r="E1094" s="16" t="str">
        <f>IFERROR(__xludf.DUMMYFUNCTION("IFERROR(
  TEXTJOIN(CHAR(10),TRUE,FILTER('SUMMARY DATA'!E:E,'SUMMARY DATA'!$A:$A=$A195,'SUMMARY DATA'!$C:$C=$B195,'SUMMARY DATA'!$B:$B=""GRP"")),
  IF(
    OR(
      ISNUMBER(SEARCH(""CDM CASH DEPOSIT"",$C195)),
      ISNUMBER(SEARCH(""CASH DEPOSIT"",$C19"&amp;"5)),
      COUNTIFS('SUMMARY DATA'!$D:$D,$C195,'SUMMARY DATA'!$B:$B,""GRP"")&lt;&gt;1
    ),
    """",
    IFERROR(TEXTJOIN(CHAR(10),TRUE,FILTER('SUMMARY DATA'!E:E,'SUMMARY DATA'!$D:$D=$C195,'SUMMARY DATA'!$B:$B=""GRP"")),"""")
  )
)"),"")</f>
      </c>
      <c r="F1094" s="17" t="str">
        <f>IFERROR(__xludf.DUMMYFUNCTION("IFERROR(
  TEXTJOIN(CHAR(10),TRUE,FILTER('SUMMARY DATA'!F:F,'SUMMARY DATA'!$A:$A=$A195,'SUMMARY DATA'!$C:$C=$B195,'SUMMARY DATA'!$B:$B=""GRP"")),
  IF(
    OR(
      ISNUMBER(SEARCH(""CDM CASH DEPOSIT"",$C195)),
      ISNUMBER(SEARCH(""CASH DEPOSIT"",$C19"&amp;"5)),
      COUNTIFS('SUMMARY DATA'!$D:$D,$C195,'SUMMARY DATA'!$B:$B,""GRP"")&lt;&gt;1
    ),
    """",
    IFERROR(TEXTJOIN(CHAR(10),TRUE,FILTER('SUMMARY DATA'!F:F,'SUMMARY DATA'!$D:$D=$C195,'SUMMARY DATA'!$B:$B=""GRP"")),"""")
  )
)"),"")</f>
      </c>
      <c r="G1094" s="17" t="str">
        <f>IFERROR(__xludf.DUMMYFUNCTION("IFERROR(
  TEXTJOIN(CHAR(10),TRUE,FILTER('SUMMARY DATA'!G:G,'SUMMARY DATA'!$A:$A=$A1094,'SUMMARY DATA'!$C:$C=$B1094,'SUMMARY DATA'!$B:$B=""RWS"")),
  IF(
    OR(
      ISNUMBER(SEARCH(""CDM CASH DEPOSIT"",$C1094)),
      ISNUMBER(SEARCH(""CASH DEPOSIT"",$"&amp;"C1094)),
      COUNTIFS('SUMMARY DATA'!$D:$D,$C1094,'SUMMARY DATA'!$B:$B,""RWS"")&lt;&gt;1
    ),
    """",
    IFERROR(TEXTJOIN(CHAR(10),TRUE,FILTER('SUMMARY DATA'!G:G,'SUMMARY DATA'!$D:$D=$C1094,'SUMMARY DATA'!$B:$B=""RWS"")),"""")
  )
)"),"")</f>
      </c>
      <c r="H1094" s="18" t="str">
        <f>IFERROR(__xludf.DUMMYFUNCTION("IFERROR(
  TEXTJOIN(CHAR(10),TRUE,FILTER('SUMMARY DATA'!H:H,'SUMMARY DATA'!$A:$A=$A1094,'SUMMARY DATA'!$C:$C=$B1094,'SUMMARY DATA'!$B:$B=""RWS"",'SUMMARY DATA'!$H:$H=$D1094)),
  IF(
    OR(
      ISNUMBER(SEARCH(""CDM CASH DEPOSIT"",$C1094)),
      ISNUMB"&amp;"ER(SEARCH(""CASH DEPOSIT"",$C1094))
    ),
    """",
    IFERROR(TEXTJOIN(CHAR(10),TRUE,FILTER('SUMMARY DATA'!H:H,'SUMMARY DATA'!$D:$D=$C1094,'SUMMARY DATA'!$B:$B=""RWS"",'SUMMARY DATA'!$H:$H=$D1094)),"""")
  )
)"),"")</f>
      </c>
      <c r="I1094" s="18" t="str">
        <f>IFERROR(__xludf.DUMMYFUNCTION("IF(H1094="""","""",
SUM(ARRAYFORMULA(VALUE(SPLIT(H1094,CHAR(10)))))
)"),"")</f>
      </c>
      <c r="J1094" s="17" t="str">
        <f>IFERROR(__xludf.DUMMYFUNCTION("IFERROR(
  TEXTJOIN(CHAR(10),TRUE,FILTER('SUMMARY DATA'!I:I,'SUMMARY DATA'!$A:$A=$A1094,'SUMMARY DATA'!$C:$C=$B1094,'SUMMARY DATA'!$B:$B=""RWS"")),
  IF(
    OR(
      ISNUMBER(SEARCH(""CDM CASH DEPOSIT"",$C1094)),
      ISNUMBER(SEARCH(""CASH DEPOSIT"",$"&amp;"C1094)),
      COUNTIFS('SUMMARY DATA'!$D:$D,$C1094,'SUMMARY DATA'!$B:$B,""RWS"")&lt;&gt;1
    ),
    """",
    IFERROR(TEXTJOIN(CHAR(10),TRUE,FILTER('SUMMARY DATA'!I:I,'SUMMARY DATA'!$D:$D=$C1094,'SUMMARY DATA'!$B:$B=""RWS"")),"""")
  )
)"),"")</f>
      </c>
      <c r="K1094" s="2"/>
      <c r="L1094" s="2"/>
      <c r="M1094" s="2"/>
      <c r="N1094" s="2"/>
      <c r="O1094" s="2"/>
      <c r="P1094" s="2"/>
      <c r="Q1094" s="2"/>
      <c r="R1094" s="2"/>
      <c r="S1094" s="2"/>
      <c r="T1094" s="2"/>
      <c r="U1094" s="2"/>
      <c r="V1094" s="2"/>
      <c r="W1094" s="2"/>
      <c r="X1094" s="2"/>
      <c r="Y1094" s="2"/>
      <c r="Z1094" s="2"/>
      <c r="AA1094" s="2"/>
      <c r="AB1094" s="2"/>
    </row>
    <row r="1095" spans="1:28" customHeight="true">
      <c r="A1095" s="2"/>
      <c r="B1095" s="31">
        <v>45792</v>
      </c>
      <c r="C1095" s="2" t="s">
        <v>480</v>
      </c>
      <c r="D1095" s="6">
        <v>133.99</v>
      </c>
      <c r="E1095" s="16" t="str">
        <f>IFERROR(__xludf.DUMMYFUNCTION("IFERROR(
  TEXTJOIN(CHAR(10),TRUE,FILTER('SUMMARY DATA'!E:E,'SUMMARY DATA'!$A:$A=$A196,'SUMMARY DATA'!$C:$C=$B196,'SUMMARY DATA'!$B:$B=""GRP"")),
  IF(
    OR(
      ISNUMBER(SEARCH(""CDM CASH DEPOSIT"",$C196)),
      ISNUMBER(SEARCH(""CASH DEPOSIT"",$C19"&amp;"6)),
      COUNTIFS('SUMMARY DATA'!$D:$D,$C196,'SUMMARY DATA'!$B:$B,""GRP"")&lt;&gt;1
    ),
    """",
    IFERROR(TEXTJOIN(CHAR(10),TRUE,FILTER('SUMMARY DATA'!E:E,'SUMMARY DATA'!$D:$D=$C196,'SUMMARY DATA'!$B:$B=""GRP"")),"""")
  )
)"),"")</f>
      </c>
      <c r="F1095" s="17" t="str">
        <f>IFERROR(__xludf.DUMMYFUNCTION("IFERROR(
  TEXTJOIN(CHAR(10),TRUE,FILTER('SUMMARY DATA'!F:F,'SUMMARY DATA'!$A:$A=$A196,'SUMMARY DATA'!$C:$C=$B196,'SUMMARY DATA'!$B:$B=""GRP"")),
  IF(
    OR(
      ISNUMBER(SEARCH(""CDM CASH DEPOSIT"",$C196)),
      ISNUMBER(SEARCH(""CASH DEPOSIT"",$C19"&amp;"6)),
      COUNTIFS('SUMMARY DATA'!$D:$D,$C196,'SUMMARY DATA'!$B:$B,""GRP"")&lt;&gt;1
    ),
    """",
    IFERROR(TEXTJOIN(CHAR(10),TRUE,FILTER('SUMMARY DATA'!F:F,'SUMMARY DATA'!$D:$D=$C196,'SUMMARY DATA'!$B:$B=""GRP"")),"""")
  )
)"),"")</f>
      </c>
      <c r="G1095" s="17" t="str">
        <f>IFERROR(__xludf.DUMMYFUNCTION("IFERROR(
  TEXTJOIN(CHAR(10),TRUE,FILTER('SUMMARY DATA'!G:G,'SUMMARY DATA'!$A:$A=$A1095,'SUMMARY DATA'!$C:$C=$B1095,'SUMMARY DATA'!$B:$B=""RWS"")),
  IF(
    OR(
      ISNUMBER(SEARCH(""CDM CASH DEPOSIT"",$C1095)),
      ISNUMBER(SEARCH(""CASH DEPOSIT"",$"&amp;"C1095)),
      COUNTIFS('SUMMARY DATA'!$D:$D,$C1095,'SUMMARY DATA'!$B:$B,""RWS"")&lt;&gt;1
    ),
    """",
    IFERROR(TEXTJOIN(CHAR(10),TRUE,FILTER('SUMMARY DATA'!G:G,'SUMMARY DATA'!$D:$D=$C1095,'SUMMARY DATA'!$B:$B=""RWS"")),"""")
  )
)"),"")</f>
      </c>
      <c r="H1095" s="18" t="str">
        <f>IFERROR(__xludf.DUMMYFUNCTION("IFERROR(
  TEXTJOIN(CHAR(10),TRUE,FILTER('SUMMARY DATA'!H:H,'SUMMARY DATA'!$A:$A=$A1095,'SUMMARY DATA'!$C:$C=$B1095,'SUMMARY DATA'!$B:$B=""RWS"",'SUMMARY DATA'!$H:$H=$D1095)),
  IF(
    OR(
      ISNUMBER(SEARCH(""CDM CASH DEPOSIT"",$C1095)),
      ISNUMB"&amp;"ER(SEARCH(""CASH DEPOSIT"",$C1095))
    ),
    """",
    IFERROR(TEXTJOIN(CHAR(10),TRUE,FILTER('SUMMARY DATA'!H:H,'SUMMARY DATA'!$D:$D=$C1095,'SUMMARY DATA'!$B:$B=""RWS"",'SUMMARY DATA'!$H:$H=$D1095)),"""")
  )
)"),"")</f>
      </c>
      <c r="I1095" s="18" t="str">
        <f>IFERROR(__xludf.DUMMYFUNCTION("IF(H1095="""","""",
SUM(ARRAYFORMULA(VALUE(SPLIT(H1095,CHAR(10)))))
)"),"")</f>
      </c>
      <c r="J1095" s="17" t="str">
        <f>IFERROR(__xludf.DUMMYFUNCTION("IFERROR(
  TEXTJOIN(CHAR(10),TRUE,FILTER('SUMMARY DATA'!I:I,'SUMMARY DATA'!$A:$A=$A1095,'SUMMARY DATA'!$C:$C=$B1095,'SUMMARY DATA'!$B:$B=""RWS"")),
  IF(
    OR(
      ISNUMBER(SEARCH(""CDM CASH DEPOSIT"",$C1095)),
      ISNUMBER(SEARCH(""CASH DEPOSIT"",$"&amp;"C1095)),
      COUNTIFS('SUMMARY DATA'!$D:$D,$C1095,'SUMMARY DATA'!$B:$B,""RWS"")&lt;&gt;1
    ),
    """",
    IFERROR(TEXTJOIN(CHAR(10),TRUE,FILTER('SUMMARY DATA'!I:I,'SUMMARY DATA'!$D:$D=$C1095,'SUMMARY DATA'!$B:$B=""RWS"")),"""")
  )
)"),"")</f>
      </c>
      <c r="K1095" s="2"/>
      <c r="L1095" s="2"/>
      <c r="M1095" s="2"/>
      <c r="N1095" s="2"/>
      <c r="O1095" s="2"/>
      <c r="P1095" s="2"/>
      <c r="Q1095" s="2"/>
      <c r="R1095" s="2"/>
      <c r="S1095" s="2"/>
      <c r="T1095" s="2"/>
      <c r="U1095" s="2"/>
      <c r="V1095" s="2"/>
      <c r="W1095" s="2"/>
      <c r="X1095" s="2"/>
      <c r="Y1095" s="2"/>
      <c r="Z1095" s="2"/>
      <c r="AA1095" s="2"/>
      <c r="AB1095" s="2"/>
    </row>
    <row r="1096" spans="1:28" customHeight="true">
      <c r="A1096" s="2"/>
      <c r="B1096" s="31">
        <v>45792</v>
      </c>
      <c r="C1096" s="2" t="s">
        <v>1634</v>
      </c>
      <c r="D1096" s="6">
        <v>118</v>
      </c>
      <c r="E1096" s="16" t="str">
        <f>IFERROR(__xludf.DUMMYFUNCTION("IFERROR(
  TEXTJOIN(CHAR(10),TRUE,FILTER('SUMMARY DATA'!E:E,'SUMMARY DATA'!$A:$A=$A197,'SUMMARY DATA'!$C:$C=$B197,'SUMMARY DATA'!$B:$B=""GRP"")),
  IF(
    OR(
      ISNUMBER(SEARCH(""CDM CASH DEPOSIT"",$C197)),
      ISNUMBER(SEARCH(""CASH DEPOSIT"",$C19"&amp;"7)),
      COUNTIFS('SUMMARY DATA'!$D:$D,$C197,'SUMMARY DATA'!$B:$B,""GRP"")&lt;&gt;1
    ),
    """",
    IFERROR(TEXTJOIN(CHAR(10),TRUE,FILTER('SUMMARY DATA'!E:E,'SUMMARY DATA'!$D:$D=$C197,'SUMMARY DATA'!$B:$B=""GRP"")),"""")
  )
)"),"")</f>
      </c>
      <c r="F1096" s="17" t="str">
        <f>IFERROR(__xludf.DUMMYFUNCTION("IFERROR(
  TEXTJOIN(CHAR(10),TRUE,FILTER('SUMMARY DATA'!F:F,'SUMMARY DATA'!$A:$A=$A197,'SUMMARY DATA'!$C:$C=$B197,'SUMMARY DATA'!$B:$B=""GRP"")),
  IF(
    OR(
      ISNUMBER(SEARCH(""CDM CASH DEPOSIT"",$C197)),
      ISNUMBER(SEARCH(""CASH DEPOSIT"",$C19"&amp;"7)),
      COUNTIFS('SUMMARY DATA'!$D:$D,$C197,'SUMMARY DATA'!$B:$B,""GRP"")&lt;&gt;1
    ),
    """",
    IFERROR(TEXTJOIN(CHAR(10),TRUE,FILTER('SUMMARY DATA'!F:F,'SUMMARY DATA'!$D:$D=$C197,'SUMMARY DATA'!$B:$B=""GRP"")),"""")
  )
)"),"")</f>
      </c>
      <c r="G1096" s="17" t="str">
        <f>IFERROR(__xludf.DUMMYFUNCTION("IFERROR(
  TEXTJOIN(CHAR(10),TRUE,FILTER('SUMMARY DATA'!G:G,'SUMMARY DATA'!$A:$A=$A1096,'SUMMARY DATA'!$C:$C=$B1096,'SUMMARY DATA'!$B:$B=""RWS"")),
  IF(
    OR(
      ISNUMBER(SEARCH(""CDM CASH DEPOSIT"",$C1096)),
      ISNUMBER(SEARCH(""CASH DEPOSIT"",$"&amp;"C1096)),
      COUNTIFS('SUMMARY DATA'!$D:$D,$C1096,'SUMMARY DATA'!$B:$B,""RWS"")&lt;&gt;1
    ),
    """",
    IFERROR(TEXTJOIN(CHAR(10),TRUE,FILTER('SUMMARY DATA'!G:G,'SUMMARY DATA'!$D:$D=$C1096,'SUMMARY DATA'!$B:$B=""RWS"")),"""")
  )
)"),"")</f>
      </c>
      <c r="H1096" s="18" t="str">
        <f>IFERROR(__xludf.DUMMYFUNCTION("IFERROR(
  TEXTJOIN(CHAR(10),TRUE,FILTER('SUMMARY DATA'!H:H,'SUMMARY DATA'!$A:$A=$A1096,'SUMMARY DATA'!$C:$C=$B1096,'SUMMARY DATA'!$B:$B=""RWS"",'SUMMARY DATA'!$H:$H=$D1096)),
  IF(
    OR(
      ISNUMBER(SEARCH(""CDM CASH DEPOSIT"",$C1096)),
      ISNUMB"&amp;"ER(SEARCH(""CASH DEPOSIT"",$C1096))
    ),
    """",
    IFERROR(TEXTJOIN(CHAR(10),TRUE,FILTER('SUMMARY DATA'!H:H,'SUMMARY DATA'!$D:$D=$C1096,'SUMMARY DATA'!$B:$B=""RWS"",'SUMMARY DATA'!$H:$H=$D1096)),"""")
  )
)"),"")</f>
      </c>
      <c r="I1096" s="18" t="str">
        <f>IFERROR(__xludf.DUMMYFUNCTION("IF(H1096="""","""",
SUM(ARRAYFORMULA(VALUE(SPLIT(H1096,CHAR(10)))))
)"),"")</f>
      </c>
      <c r="J1096" s="17" t="str">
        <f>IFERROR(__xludf.DUMMYFUNCTION("IFERROR(
  TEXTJOIN(CHAR(10),TRUE,FILTER('SUMMARY DATA'!I:I,'SUMMARY DATA'!$A:$A=$A1096,'SUMMARY DATA'!$C:$C=$B1096,'SUMMARY DATA'!$B:$B=""RWS"")),
  IF(
    OR(
      ISNUMBER(SEARCH(""CDM CASH DEPOSIT"",$C1096)),
      ISNUMBER(SEARCH(""CASH DEPOSIT"",$"&amp;"C1096)),
      COUNTIFS('SUMMARY DATA'!$D:$D,$C1096,'SUMMARY DATA'!$B:$B,""RWS"")&lt;&gt;1
    ),
    """",
    IFERROR(TEXTJOIN(CHAR(10),TRUE,FILTER('SUMMARY DATA'!I:I,'SUMMARY DATA'!$D:$D=$C1096,'SUMMARY DATA'!$B:$B=""RWS"")),"""")
  )
)"),"")</f>
      </c>
      <c r="K1096" s="2"/>
      <c r="L1096" s="2"/>
      <c r="M1096" s="2"/>
      <c r="N1096" s="2"/>
      <c r="O1096" s="2"/>
      <c r="P1096" s="2"/>
      <c r="Q1096" s="2"/>
      <c r="R1096" s="2"/>
      <c r="S1096" s="2"/>
      <c r="T1096" s="2"/>
      <c r="U1096" s="2"/>
      <c r="V1096" s="2"/>
      <c r="W1096" s="2"/>
      <c r="X1096" s="2"/>
      <c r="Y1096" s="2"/>
      <c r="Z1096" s="2"/>
      <c r="AA1096" s="2"/>
      <c r="AB1096" s="2"/>
    </row>
    <row r="1097" spans="1:28" customHeight="true">
      <c r="A1097" s="2"/>
      <c r="B1097" s="31">
        <v>45792</v>
      </c>
      <c r="C1097" s="2" t="s">
        <v>1635</v>
      </c>
      <c r="D1097" s="6">
        <v>79.05</v>
      </c>
      <c r="E1097" s="16" t="str">
        <f>IFERROR(__xludf.DUMMYFUNCTION("IFERROR(
  TEXTJOIN(CHAR(10),TRUE,FILTER('SUMMARY DATA'!E:E,'SUMMARY DATA'!$A:$A=$A198,'SUMMARY DATA'!$C:$C=$B198,'SUMMARY DATA'!$B:$B=""GRP"")),
  IF(
    OR(
      ISNUMBER(SEARCH(""CDM CASH DEPOSIT"",$C198)),
      ISNUMBER(SEARCH(""CASH DEPOSIT"",$C19"&amp;"8)),
      COUNTIFS('SUMMARY DATA'!$D:$D,$C198,'SUMMARY DATA'!$B:$B,""GRP"")&lt;&gt;1
    ),
    """",
    IFERROR(TEXTJOIN(CHAR(10),TRUE,FILTER('SUMMARY DATA'!E:E,'SUMMARY DATA'!$D:$D=$C198,'SUMMARY DATA'!$B:$B=""GRP"")),"""")
  )
)"),"")</f>
      </c>
      <c r="F1097" s="17" t="str">
        <f>IFERROR(__xludf.DUMMYFUNCTION("IFERROR(
  TEXTJOIN(CHAR(10),TRUE,FILTER('SUMMARY DATA'!F:F,'SUMMARY DATA'!$A:$A=$A198,'SUMMARY DATA'!$C:$C=$B198,'SUMMARY DATA'!$B:$B=""GRP"")),
  IF(
    OR(
      ISNUMBER(SEARCH(""CDM CASH DEPOSIT"",$C198)),
      ISNUMBER(SEARCH(""CASH DEPOSIT"",$C19"&amp;"8)),
      COUNTIFS('SUMMARY DATA'!$D:$D,$C198,'SUMMARY DATA'!$B:$B,""GRP"")&lt;&gt;1
    ),
    """",
    IFERROR(TEXTJOIN(CHAR(10),TRUE,FILTER('SUMMARY DATA'!F:F,'SUMMARY DATA'!$D:$D=$C198,'SUMMARY DATA'!$B:$B=""GRP"")),"""")
  )
)"),"")</f>
      </c>
      <c r="G1097" s="17" t="str">
        <f>IFERROR(__xludf.DUMMYFUNCTION("IFERROR(
  TEXTJOIN(CHAR(10),TRUE,FILTER('SUMMARY DATA'!G:G,'SUMMARY DATA'!$A:$A=$A1097,'SUMMARY DATA'!$C:$C=$B1097,'SUMMARY DATA'!$B:$B=""RWS"")),
  IF(
    OR(
      ISNUMBER(SEARCH(""CDM CASH DEPOSIT"",$C1097)),
      ISNUMBER(SEARCH(""CASH DEPOSIT"",$"&amp;"C1097)),
      COUNTIFS('SUMMARY DATA'!$D:$D,$C1097,'SUMMARY DATA'!$B:$B,""RWS"")&lt;&gt;1
    ),
    """",
    IFERROR(TEXTJOIN(CHAR(10),TRUE,FILTER('SUMMARY DATA'!G:G,'SUMMARY DATA'!$D:$D=$C1097,'SUMMARY DATA'!$B:$B=""RWS"")),"""")
  )
)"),"")</f>
      </c>
      <c r="H1097" s="18" t="str">
        <f>IFERROR(__xludf.DUMMYFUNCTION("IFERROR(
  TEXTJOIN(CHAR(10),TRUE,FILTER('SUMMARY DATA'!H:H,'SUMMARY DATA'!$A:$A=$A1097,'SUMMARY DATA'!$C:$C=$B1097,'SUMMARY DATA'!$B:$B=""RWS"",'SUMMARY DATA'!$H:$H=$D1097)),
  IF(
    OR(
      ISNUMBER(SEARCH(""CDM CASH DEPOSIT"",$C1097)),
      ISNUMB"&amp;"ER(SEARCH(""CASH DEPOSIT"",$C1097))
    ),
    """",
    IFERROR(TEXTJOIN(CHAR(10),TRUE,FILTER('SUMMARY DATA'!H:H,'SUMMARY DATA'!$D:$D=$C1097,'SUMMARY DATA'!$B:$B=""RWS"",'SUMMARY DATA'!$H:$H=$D1097)),"""")
  )
)"),"")</f>
      </c>
      <c r="I1097" s="18" t="str">
        <f>IFERROR(__xludf.DUMMYFUNCTION("IF(H1097="""","""",
SUM(ARRAYFORMULA(VALUE(SPLIT(H1097,CHAR(10)))))
)"),"")</f>
      </c>
      <c r="J1097" s="17" t="str">
        <f>IFERROR(__xludf.DUMMYFUNCTION("IFERROR(
  TEXTJOIN(CHAR(10),TRUE,FILTER('SUMMARY DATA'!I:I,'SUMMARY DATA'!$A:$A=$A1097,'SUMMARY DATA'!$C:$C=$B1097,'SUMMARY DATA'!$B:$B=""RWS"")),
  IF(
    OR(
      ISNUMBER(SEARCH(""CDM CASH DEPOSIT"",$C1097)),
      ISNUMBER(SEARCH(""CASH DEPOSIT"",$"&amp;"C1097)),
      COUNTIFS('SUMMARY DATA'!$D:$D,$C1097,'SUMMARY DATA'!$B:$B,""RWS"")&lt;&gt;1
    ),
    """",
    IFERROR(TEXTJOIN(CHAR(10),TRUE,FILTER('SUMMARY DATA'!I:I,'SUMMARY DATA'!$D:$D=$C1097,'SUMMARY DATA'!$B:$B=""RWS"")),"""")
  )
)"),"")</f>
      </c>
      <c r="K1097" s="2"/>
      <c r="L1097" s="2"/>
      <c r="M1097" s="2"/>
      <c r="N1097" s="2"/>
      <c r="O1097" s="2"/>
      <c r="P1097" s="2"/>
      <c r="Q1097" s="2"/>
      <c r="R1097" s="2"/>
      <c r="S1097" s="2"/>
      <c r="T1097" s="2"/>
      <c r="U1097" s="2"/>
      <c r="V1097" s="2"/>
      <c r="W1097" s="2"/>
      <c r="X1097" s="2"/>
      <c r="Y1097" s="2"/>
      <c r="Z1097" s="2"/>
      <c r="AA1097" s="2"/>
      <c r="AB1097" s="2"/>
    </row>
    <row r="1098" spans="1:28" customHeight="true">
      <c r="A1098" s="2"/>
      <c r="B1098" s="31">
        <v>45792</v>
      </c>
      <c r="C1098" s="2" t="s">
        <v>1636</v>
      </c>
      <c r="D1098" s="6">
        <v>40</v>
      </c>
      <c r="E1098" s="16" t="str">
        <f>IFERROR(__xludf.DUMMYFUNCTION("IFERROR(
  TEXTJOIN(CHAR(10),TRUE,FILTER('SUMMARY DATA'!E:E,'SUMMARY DATA'!$A:$A=$A199,'SUMMARY DATA'!$C:$C=$B199,'SUMMARY DATA'!$B:$B=""GRP"")),
  IF(
    OR(
      ISNUMBER(SEARCH(""CDM CASH DEPOSIT"",$C199)),
      ISNUMBER(SEARCH(""CASH DEPOSIT"",$C19"&amp;"9)),
      COUNTIFS('SUMMARY DATA'!$D:$D,$C199,'SUMMARY DATA'!$B:$B,""GRP"")&lt;&gt;1
    ),
    """",
    IFERROR(TEXTJOIN(CHAR(10),TRUE,FILTER('SUMMARY DATA'!E:E,'SUMMARY DATA'!$D:$D=$C199,'SUMMARY DATA'!$B:$B=""GRP"")),"""")
  )
)"),"")</f>
      </c>
      <c r="F1098" s="17" t="str">
        <f>IFERROR(__xludf.DUMMYFUNCTION("IFERROR(
  TEXTJOIN(CHAR(10),TRUE,FILTER('SUMMARY DATA'!F:F,'SUMMARY DATA'!$A:$A=$A199,'SUMMARY DATA'!$C:$C=$B199,'SUMMARY DATA'!$B:$B=""GRP"")),
  IF(
    OR(
      ISNUMBER(SEARCH(""CDM CASH DEPOSIT"",$C199)),
      ISNUMBER(SEARCH(""CASH DEPOSIT"",$C19"&amp;"9)),
      COUNTIFS('SUMMARY DATA'!$D:$D,$C199,'SUMMARY DATA'!$B:$B,""GRP"")&lt;&gt;1
    ),
    """",
    IFERROR(TEXTJOIN(CHAR(10),TRUE,FILTER('SUMMARY DATA'!F:F,'SUMMARY DATA'!$D:$D=$C199,'SUMMARY DATA'!$B:$B=""GRP"")),"""")
  )
)"),"")</f>
      </c>
      <c r="G1098" s="17" t="str">
        <f>IFERROR(__xludf.DUMMYFUNCTION("IFERROR(
  TEXTJOIN(CHAR(10),TRUE,FILTER('SUMMARY DATA'!G:G,'SUMMARY DATA'!$A:$A=$A1098,'SUMMARY DATA'!$C:$C=$B1098,'SUMMARY DATA'!$B:$B=""RWS"")),
  IF(
    OR(
      ISNUMBER(SEARCH(""CDM CASH DEPOSIT"",$C1098)),
      ISNUMBER(SEARCH(""CASH DEPOSIT"",$"&amp;"C1098)),
      COUNTIFS('SUMMARY DATA'!$D:$D,$C1098,'SUMMARY DATA'!$B:$B,""RWS"")&lt;&gt;1
    ),
    """",
    IFERROR(TEXTJOIN(CHAR(10),TRUE,FILTER('SUMMARY DATA'!G:G,'SUMMARY DATA'!$D:$D=$C1098,'SUMMARY DATA'!$B:$B=""RWS"")),"""")
  )
)"),"")</f>
      </c>
      <c r="H1098" s="18" t="str">
        <f>IFERROR(__xludf.DUMMYFUNCTION("IFERROR(
  TEXTJOIN(CHAR(10),TRUE,FILTER('SUMMARY DATA'!H:H,'SUMMARY DATA'!$A:$A=$A1098,'SUMMARY DATA'!$C:$C=$B1098,'SUMMARY DATA'!$B:$B=""RWS"",'SUMMARY DATA'!$H:$H=$D1098)),
  IF(
    OR(
      ISNUMBER(SEARCH(""CDM CASH DEPOSIT"",$C1098)),
      ISNUMB"&amp;"ER(SEARCH(""CASH DEPOSIT"",$C1098))
    ),
    """",
    IFERROR(TEXTJOIN(CHAR(10),TRUE,FILTER('SUMMARY DATA'!H:H,'SUMMARY DATA'!$D:$D=$C1098,'SUMMARY DATA'!$B:$B=""RWS"",'SUMMARY DATA'!$H:$H=$D1098)),"""")
  )
)"),"")</f>
      </c>
      <c r="I1098" s="18" t="str">
        <f>IFERROR(__xludf.DUMMYFUNCTION("IF(H1098="""","""",
SUM(ARRAYFORMULA(VALUE(SPLIT(H1098,CHAR(10)))))
)"),"")</f>
      </c>
      <c r="J1098" s="17" t="str">
        <f>IFERROR(__xludf.DUMMYFUNCTION("IFERROR(
  TEXTJOIN(CHAR(10),TRUE,FILTER('SUMMARY DATA'!I:I,'SUMMARY DATA'!$A:$A=$A1098,'SUMMARY DATA'!$C:$C=$B1098,'SUMMARY DATA'!$B:$B=""RWS"")),
  IF(
    OR(
      ISNUMBER(SEARCH(""CDM CASH DEPOSIT"",$C1098)),
      ISNUMBER(SEARCH(""CASH DEPOSIT"",$"&amp;"C1098)),
      COUNTIFS('SUMMARY DATA'!$D:$D,$C1098,'SUMMARY DATA'!$B:$B,""RWS"")&lt;&gt;1
    ),
    """",
    IFERROR(TEXTJOIN(CHAR(10),TRUE,FILTER('SUMMARY DATA'!I:I,'SUMMARY DATA'!$D:$D=$C1098,'SUMMARY DATA'!$B:$B=""RWS"")),"""")
  )
)"),"")</f>
      </c>
      <c r="K1098" s="2"/>
      <c r="L1098" s="2"/>
      <c r="M1098" s="2"/>
      <c r="N1098" s="2"/>
      <c r="O1098" s="2"/>
      <c r="P1098" s="2"/>
      <c r="Q1098" s="2"/>
      <c r="R1098" s="2"/>
      <c r="S1098" s="2"/>
      <c r="T1098" s="2"/>
      <c r="U1098" s="2"/>
      <c r="V1098" s="2"/>
      <c r="W1098" s="2"/>
      <c r="X1098" s="2"/>
      <c r="Y1098" s="2"/>
      <c r="Z1098" s="2"/>
      <c r="AA1098" s="2"/>
      <c r="AB1098" s="2"/>
    </row>
    <row r="1099" spans="1:28" customHeight="true">
      <c r="A1099" s="2"/>
      <c r="B1099" s="31">
        <v>45792</v>
      </c>
      <c r="C1099" s="2" t="s">
        <v>1637</v>
      </c>
      <c r="D1099" s="6">
        <v>0.5</v>
      </c>
      <c r="E1099" s="16" t="str">
        <f>IFERROR(__xludf.DUMMYFUNCTION("IFERROR(
  TEXTJOIN(CHAR(10),TRUE,FILTER('SUMMARY DATA'!E:E,'SUMMARY DATA'!$A:$A=$A200,'SUMMARY DATA'!$C:$C=$B200,'SUMMARY DATA'!$B:$B=""GRP"")),
  IF(
    OR(
      ISNUMBER(SEARCH(""CDM CASH DEPOSIT"",$C200)),
      ISNUMBER(SEARCH(""CASH DEPOSIT"",$C20"&amp;"0)),
      COUNTIFS('SUMMARY DATA'!$D:$D,$C200,'SUMMARY DATA'!$B:$B,""GRP"")&lt;&gt;1
    ),
    """",
    IFERROR(TEXTJOIN(CHAR(10),TRUE,FILTER('SUMMARY DATA'!E:E,'SUMMARY DATA'!$D:$D=$C200,'SUMMARY DATA'!$B:$B=""GRP"")),"""")
  )
)"),"")</f>
      </c>
      <c r="F1099" s="17" t="str">
        <f>IFERROR(__xludf.DUMMYFUNCTION("IFERROR(
  TEXTJOIN(CHAR(10),TRUE,FILTER('SUMMARY DATA'!F:F,'SUMMARY DATA'!$A:$A=$A200,'SUMMARY DATA'!$C:$C=$B200,'SUMMARY DATA'!$B:$B=""GRP"")),
  IF(
    OR(
      ISNUMBER(SEARCH(""CDM CASH DEPOSIT"",$C200)),
      ISNUMBER(SEARCH(""CASH DEPOSIT"",$C20"&amp;"0)),
      COUNTIFS('SUMMARY DATA'!$D:$D,$C200,'SUMMARY DATA'!$B:$B,""GRP"")&lt;&gt;1
    ),
    """",
    IFERROR(TEXTJOIN(CHAR(10),TRUE,FILTER('SUMMARY DATA'!F:F,'SUMMARY DATA'!$D:$D=$C200,'SUMMARY DATA'!$B:$B=""GRP"")),"""")
  )
)"),"")</f>
      </c>
      <c r="G1099" s="17" t="str">
        <f>IFERROR(__xludf.DUMMYFUNCTION("IFERROR(
  TEXTJOIN(CHAR(10),TRUE,FILTER('SUMMARY DATA'!G:G,'SUMMARY DATA'!$A:$A=$A1099,'SUMMARY DATA'!$C:$C=$B1099,'SUMMARY DATA'!$B:$B=""RWS"")),
  IF(
    OR(
      ISNUMBER(SEARCH(""CDM CASH DEPOSIT"",$C1099)),
      ISNUMBER(SEARCH(""CASH DEPOSIT"",$"&amp;"C1099)),
      COUNTIFS('SUMMARY DATA'!$D:$D,$C1099,'SUMMARY DATA'!$B:$B,""RWS"")&lt;&gt;1
    ),
    """",
    IFERROR(TEXTJOIN(CHAR(10),TRUE,FILTER('SUMMARY DATA'!G:G,'SUMMARY DATA'!$D:$D=$C1099,'SUMMARY DATA'!$B:$B=""RWS"")),"""")
  )
)"),"")</f>
      </c>
      <c r="H1099" s="18" t="str">
        <f>IFERROR(__xludf.DUMMYFUNCTION("IFERROR(
  TEXTJOIN(CHAR(10),TRUE,FILTER('SUMMARY DATA'!H:H,'SUMMARY DATA'!$A:$A=$A1099,'SUMMARY DATA'!$C:$C=$B1099,'SUMMARY DATA'!$B:$B=""RWS"",'SUMMARY DATA'!$H:$H=$D1099)),
  IF(
    OR(
      ISNUMBER(SEARCH(""CDM CASH DEPOSIT"",$C1099)),
      ISNUMB"&amp;"ER(SEARCH(""CASH DEPOSIT"",$C1099))
    ),
    """",
    IFERROR(TEXTJOIN(CHAR(10),TRUE,FILTER('SUMMARY DATA'!H:H,'SUMMARY DATA'!$D:$D=$C1099,'SUMMARY DATA'!$B:$B=""RWS"",'SUMMARY DATA'!$H:$H=$D1099)),"""")
  )
)"),"")</f>
      </c>
      <c r="I1099" s="18" t="str">
        <f>IFERROR(__xludf.DUMMYFUNCTION("IF(H1099="""","""",
SUM(ARRAYFORMULA(VALUE(SPLIT(H1099,CHAR(10)))))
)"),"")</f>
      </c>
      <c r="J1099" s="17" t="str">
        <f>IFERROR(__xludf.DUMMYFUNCTION("IFERROR(
  TEXTJOIN(CHAR(10),TRUE,FILTER('SUMMARY DATA'!I:I,'SUMMARY DATA'!$A:$A=$A1099,'SUMMARY DATA'!$C:$C=$B1099,'SUMMARY DATA'!$B:$B=""RWS"")),
  IF(
    OR(
      ISNUMBER(SEARCH(""CDM CASH DEPOSIT"",$C1099)),
      ISNUMBER(SEARCH(""CASH DEPOSIT"",$"&amp;"C1099)),
      COUNTIFS('SUMMARY DATA'!$D:$D,$C1099,'SUMMARY DATA'!$B:$B,""RWS"")&lt;&gt;1
    ),
    """",
    IFERROR(TEXTJOIN(CHAR(10),TRUE,FILTER('SUMMARY DATA'!I:I,'SUMMARY DATA'!$D:$D=$C1099,'SUMMARY DATA'!$B:$B=""RWS"")),"""")
  )
)"),"")</f>
      </c>
      <c r="K1099" s="2"/>
      <c r="L1099" s="2"/>
      <c r="M1099" s="2"/>
      <c r="N1099" s="2"/>
      <c r="O1099" s="2"/>
      <c r="P1099" s="2"/>
      <c r="Q1099" s="2"/>
      <c r="R1099" s="2"/>
      <c r="S1099" s="2"/>
      <c r="T1099" s="2"/>
      <c r="U1099" s="2"/>
      <c r="V1099" s="2"/>
      <c r="W1099" s="2"/>
      <c r="X1099" s="2"/>
      <c r="Y1099" s="2"/>
      <c r="Z1099" s="2"/>
      <c r="AA1099" s="2"/>
      <c r="AB1099" s="2"/>
    </row>
    <row r="1100" spans="1:28" customHeight="true">
      <c r="A1100" s="2"/>
      <c r="B1100" s="31">
        <v>45792</v>
      </c>
      <c r="C1100" s="2" t="s">
        <v>1637</v>
      </c>
      <c r="D1100" s="6">
        <v>0.5</v>
      </c>
      <c r="E1100" s="16" t="str">
        <f>IFERROR(__xludf.DUMMYFUNCTION("IFERROR(
  TEXTJOIN(CHAR(10),TRUE,FILTER('SUMMARY DATA'!E:E,'SUMMARY DATA'!$A:$A=$A201,'SUMMARY DATA'!$C:$C=$B201,'SUMMARY DATA'!$B:$B=""GRP"")),
  IF(
    OR(
      ISNUMBER(SEARCH(""CDM CASH DEPOSIT"",$C201)),
      ISNUMBER(SEARCH(""CASH DEPOSIT"",$C20"&amp;"1)),
      COUNTIFS('SUMMARY DATA'!$D:$D,$C201,'SUMMARY DATA'!$B:$B,""GRP"")&lt;&gt;1
    ),
    """",
    IFERROR(TEXTJOIN(CHAR(10),TRUE,FILTER('SUMMARY DATA'!E:E,'SUMMARY DATA'!$D:$D=$C201,'SUMMARY DATA'!$B:$B=""GRP"")),"""")
  )
)"),"")</f>
      </c>
      <c r="F1100" s="17" t="str">
        <f>IFERROR(__xludf.DUMMYFUNCTION("IFERROR(
  TEXTJOIN(CHAR(10),TRUE,FILTER('SUMMARY DATA'!F:F,'SUMMARY DATA'!$A:$A=$A201,'SUMMARY DATA'!$C:$C=$B201,'SUMMARY DATA'!$B:$B=""GRP"")),
  IF(
    OR(
      ISNUMBER(SEARCH(""CDM CASH DEPOSIT"",$C201)),
      ISNUMBER(SEARCH(""CASH DEPOSIT"",$C20"&amp;"1)),
      COUNTIFS('SUMMARY DATA'!$D:$D,$C201,'SUMMARY DATA'!$B:$B,""GRP"")&lt;&gt;1
    ),
    """",
    IFERROR(TEXTJOIN(CHAR(10),TRUE,FILTER('SUMMARY DATA'!F:F,'SUMMARY DATA'!$D:$D=$C201,'SUMMARY DATA'!$B:$B=""GRP"")),"""")
  )
)"),"")</f>
      </c>
      <c r="G1100" s="17" t="str">
        <f>IFERROR(__xludf.DUMMYFUNCTION("IFERROR(
  TEXTJOIN(CHAR(10),TRUE,FILTER('SUMMARY DATA'!G:G,'SUMMARY DATA'!$A:$A=$A1100,'SUMMARY DATA'!$C:$C=$B1100,'SUMMARY DATA'!$B:$B=""RWS"")),
  IF(
    OR(
      ISNUMBER(SEARCH(""CDM CASH DEPOSIT"",$C1100)),
      ISNUMBER(SEARCH(""CASH DEPOSIT"",$"&amp;"C1100)),
      COUNTIFS('SUMMARY DATA'!$D:$D,$C1100,'SUMMARY DATA'!$B:$B,""RWS"")&lt;&gt;1
    ),
    """",
    IFERROR(TEXTJOIN(CHAR(10),TRUE,FILTER('SUMMARY DATA'!G:G,'SUMMARY DATA'!$D:$D=$C1100,'SUMMARY DATA'!$B:$B=""RWS"")),"""")
  )
)"),"")</f>
      </c>
      <c r="H1100" s="18" t="str">
        <f>IFERROR(__xludf.DUMMYFUNCTION("IFERROR(
  TEXTJOIN(CHAR(10),TRUE,FILTER('SUMMARY DATA'!H:H,'SUMMARY DATA'!$A:$A=$A1100,'SUMMARY DATA'!$C:$C=$B1100,'SUMMARY DATA'!$B:$B=""RWS"",'SUMMARY DATA'!$H:$H=$D1100)),
  IF(
    OR(
      ISNUMBER(SEARCH(""CDM CASH DEPOSIT"",$C1100)),
      ISNUMB"&amp;"ER(SEARCH(""CASH DEPOSIT"",$C1100))
    ),
    """",
    IFERROR(TEXTJOIN(CHAR(10),TRUE,FILTER('SUMMARY DATA'!H:H,'SUMMARY DATA'!$D:$D=$C1100,'SUMMARY DATA'!$B:$B=""RWS"",'SUMMARY DATA'!$H:$H=$D1100)),"""")
  )
)"),"")</f>
      </c>
      <c r="I1100" s="18" t="str">
        <f>IFERROR(__xludf.DUMMYFUNCTION("IF(H1100="""","""",
SUM(ARRAYFORMULA(VALUE(SPLIT(H1100,CHAR(10)))))
)"),"")</f>
      </c>
      <c r="J1100" s="17" t="str">
        <f>IFERROR(__xludf.DUMMYFUNCTION("IFERROR(
  TEXTJOIN(CHAR(10),TRUE,FILTER('SUMMARY DATA'!I:I,'SUMMARY DATA'!$A:$A=$A1100,'SUMMARY DATA'!$C:$C=$B1100,'SUMMARY DATA'!$B:$B=""RWS"")),
  IF(
    OR(
      ISNUMBER(SEARCH(""CDM CASH DEPOSIT"",$C1100)),
      ISNUMBER(SEARCH(""CASH DEPOSIT"",$"&amp;"C1100)),
      COUNTIFS('SUMMARY DATA'!$D:$D,$C1100,'SUMMARY DATA'!$B:$B,""RWS"")&lt;&gt;1
    ),
    """",
    IFERROR(TEXTJOIN(CHAR(10),TRUE,FILTER('SUMMARY DATA'!I:I,'SUMMARY DATA'!$D:$D=$C1100,'SUMMARY DATA'!$B:$B=""RWS"")),"""")
  )
)"),"")</f>
      </c>
      <c r="K1100" s="2"/>
      <c r="L1100" s="2"/>
      <c r="M1100" s="2"/>
      <c r="N1100" s="2"/>
      <c r="O1100" s="2"/>
      <c r="P1100" s="2"/>
      <c r="Q1100" s="2"/>
      <c r="R1100" s="2"/>
      <c r="S1100" s="2"/>
      <c r="T1100" s="2"/>
      <c r="U1100" s="2"/>
      <c r="V1100" s="2"/>
      <c r="W1100" s="2"/>
      <c r="X1100" s="2"/>
      <c r="Y1100" s="2"/>
      <c r="Z1100" s="2"/>
      <c r="AA1100" s="2"/>
      <c r="AB1100" s="2"/>
    </row>
    <row r="1101" spans="1:28" customHeight="true">
      <c r="A1101" s="2"/>
      <c r="B1101" s="31">
        <v>45793</v>
      </c>
      <c r="C1101" s="2" t="s">
        <v>1638</v>
      </c>
      <c r="D1101" s="6">
        <v>551.29</v>
      </c>
      <c r="E1101" s="16" t="str">
        <f>IFERROR(__xludf.DUMMYFUNCTION("IFERROR(
  TEXTJOIN(CHAR(10),TRUE,FILTER('SUMMARY DATA'!E:E,'SUMMARY DATA'!$A:$A=$A202,'SUMMARY DATA'!$C:$C=$B202,'SUMMARY DATA'!$B:$B=""GRP"")),
  IF(
    OR(
      ISNUMBER(SEARCH(""CDM CASH DEPOSIT"",$C202)),
      ISNUMBER(SEARCH(""CASH DEPOSIT"",$C20"&amp;"2)),
      COUNTIFS('SUMMARY DATA'!$D:$D,$C202,'SUMMARY DATA'!$B:$B,""GRP"")&lt;&gt;1
    ),
    """",
    IFERROR(TEXTJOIN(CHAR(10),TRUE,FILTER('SUMMARY DATA'!E:E,'SUMMARY DATA'!$D:$D=$C202,'SUMMARY DATA'!$B:$B=""GRP"")),"""")
  )
)"),"")</f>
      </c>
      <c r="F1101" s="17" t="str">
        <f>IFERROR(__xludf.DUMMYFUNCTION("IFERROR(
  TEXTJOIN(CHAR(10),TRUE,FILTER('SUMMARY DATA'!F:F,'SUMMARY DATA'!$A:$A=$A202,'SUMMARY DATA'!$C:$C=$B202,'SUMMARY DATA'!$B:$B=""GRP"")),
  IF(
    OR(
      ISNUMBER(SEARCH(""CDM CASH DEPOSIT"",$C202)),
      ISNUMBER(SEARCH(""CASH DEPOSIT"",$C20"&amp;"2)),
      COUNTIFS('SUMMARY DATA'!$D:$D,$C202,'SUMMARY DATA'!$B:$B,""GRP"")&lt;&gt;1
    ),
    """",
    IFERROR(TEXTJOIN(CHAR(10),TRUE,FILTER('SUMMARY DATA'!F:F,'SUMMARY DATA'!$D:$D=$C202,'SUMMARY DATA'!$B:$B=""GRP"")),"""")
  )
)"),"")</f>
      </c>
      <c r="G1101" s="17" t="str">
        <f>IFERROR(__xludf.DUMMYFUNCTION("IFERROR(
  TEXTJOIN(CHAR(10),TRUE,FILTER('SUMMARY DATA'!G:G,'SUMMARY DATA'!$A:$A=$A1101,'SUMMARY DATA'!$C:$C=$B1101,'SUMMARY DATA'!$B:$B=""RWS"")),
  IF(
    OR(
      ISNUMBER(SEARCH(""CDM CASH DEPOSIT"",$C1101)),
      ISNUMBER(SEARCH(""CASH DEPOSIT"",$"&amp;"C1101)),
      COUNTIFS('SUMMARY DATA'!$D:$D,$C1101,'SUMMARY DATA'!$B:$B,""RWS"")&lt;&gt;1
    ),
    """",
    IFERROR(TEXTJOIN(CHAR(10),TRUE,FILTER('SUMMARY DATA'!G:G,'SUMMARY DATA'!$D:$D=$C1101,'SUMMARY DATA'!$B:$B=""RWS"")),"""")
  )
)"),"")</f>
      </c>
      <c r="H1101" s="18" t="str">
        <f>IFERROR(__xludf.DUMMYFUNCTION("IFERROR(
  TEXTJOIN(CHAR(10),TRUE,FILTER('SUMMARY DATA'!H:H,'SUMMARY DATA'!$A:$A=$A1101,'SUMMARY DATA'!$C:$C=$B1101,'SUMMARY DATA'!$B:$B=""RWS"",'SUMMARY DATA'!$H:$H=$D1101)),
  IF(
    OR(
      ISNUMBER(SEARCH(""CDM CASH DEPOSIT"",$C1101)),
      ISNUMB"&amp;"ER(SEARCH(""CASH DEPOSIT"",$C1101))
    ),
    """",
    IFERROR(TEXTJOIN(CHAR(10),TRUE,FILTER('SUMMARY DATA'!H:H,'SUMMARY DATA'!$D:$D=$C1101,'SUMMARY DATA'!$B:$B=""RWS"",'SUMMARY DATA'!$H:$H=$D1101)),"""")
  )
)"),"")</f>
      </c>
      <c r="I1101" s="18" t="str">
        <f>IFERROR(__xludf.DUMMYFUNCTION("IF(H1101="""","""",
SUM(ARRAYFORMULA(VALUE(SPLIT(H1101,CHAR(10)))))
)"),"")</f>
      </c>
      <c r="J1101" s="17" t="str">
        <f>IFERROR(__xludf.DUMMYFUNCTION("IFERROR(
  TEXTJOIN(CHAR(10),TRUE,FILTER('SUMMARY DATA'!I:I,'SUMMARY DATA'!$A:$A=$A1101,'SUMMARY DATA'!$C:$C=$B1101,'SUMMARY DATA'!$B:$B=""RWS"")),
  IF(
    OR(
      ISNUMBER(SEARCH(""CDM CASH DEPOSIT"",$C1101)),
      ISNUMBER(SEARCH(""CASH DEPOSIT"",$"&amp;"C1101)),
      COUNTIFS('SUMMARY DATA'!$D:$D,$C1101,'SUMMARY DATA'!$B:$B,""RWS"")&lt;&gt;1
    ),
    """",
    IFERROR(TEXTJOIN(CHAR(10),TRUE,FILTER('SUMMARY DATA'!I:I,'SUMMARY DATA'!$D:$D=$C1101,'SUMMARY DATA'!$B:$B=""RWS"")),"""")
  )
)"),"")</f>
      </c>
      <c r="K1101" s="2"/>
      <c r="L1101" s="2"/>
      <c r="M1101" s="2"/>
      <c r="N1101" s="2"/>
      <c r="O1101" s="2"/>
      <c r="P1101" s="2"/>
      <c r="Q1101" s="2"/>
      <c r="R1101" s="2"/>
      <c r="S1101" s="2"/>
      <c r="T1101" s="2"/>
      <c r="U1101" s="2"/>
      <c r="V1101" s="2"/>
      <c r="W1101" s="2"/>
      <c r="X1101" s="2"/>
      <c r="Y1101" s="2"/>
      <c r="Z1101" s="2"/>
      <c r="AA1101" s="2"/>
      <c r="AB1101" s="2"/>
    </row>
    <row r="1102" spans="1:28" customHeight="true">
      <c r="A1102" s="2"/>
      <c r="B1102" s="31">
        <v>45793</v>
      </c>
      <c r="C1102" s="2" t="s">
        <v>1639</v>
      </c>
      <c r="D1102" s="6">
        <v>25</v>
      </c>
      <c r="E1102" s="16" t="str">
        <f>IFERROR(__xludf.DUMMYFUNCTION("IFERROR(
  TEXTJOIN(CHAR(10),TRUE,FILTER('SUMMARY DATA'!E:E,'SUMMARY DATA'!$A:$A=$A203,'SUMMARY DATA'!$C:$C=$B203,'SUMMARY DATA'!$B:$B=""GRP"")),
  IF(
    OR(
      ISNUMBER(SEARCH(""CDM CASH DEPOSIT"",$C203)),
      ISNUMBER(SEARCH(""CASH DEPOSIT"",$C20"&amp;"3)),
      COUNTIFS('SUMMARY DATA'!$D:$D,$C203,'SUMMARY DATA'!$B:$B,""GRP"")&lt;&gt;1
    ),
    """",
    IFERROR(TEXTJOIN(CHAR(10),TRUE,FILTER('SUMMARY DATA'!E:E,'SUMMARY DATA'!$D:$D=$C203,'SUMMARY DATA'!$B:$B=""GRP"")),"""")
  )
)"),"")</f>
      </c>
      <c r="F1102" s="17" t="str">
        <f>IFERROR(__xludf.DUMMYFUNCTION("IFERROR(
  TEXTJOIN(CHAR(10),TRUE,FILTER('SUMMARY DATA'!F:F,'SUMMARY DATA'!$A:$A=$A203,'SUMMARY DATA'!$C:$C=$B203,'SUMMARY DATA'!$B:$B=""GRP"")),
  IF(
    OR(
      ISNUMBER(SEARCH(""CDM CASH DEPOSIT"",$C203)),
      ISNUMBER(SEARCH(""CASH DEPOSIT"",$C20"&amp;"3)),
      COUNTIFS('SUMMARY DATA'!$D:$D,$C203,'SUMMARY DATA'!$B:$B,""GRP"")&lt;&gt;1
    ),
    """",
    IFERROR(TEXTJOIN(CHAR(10),TRUE,FILTER('SUMMARY DATA'!F:F,'SUMMARY DATA'!$D:$D=$C203,'SUMMARY DATA'!$B:$B=""GRP"")),"""")
  )
)"),"")</f>
      </c>
      <c r="G1102" s="17" t="str">
        <f>IFERROR(__xludf.DUMMYFUNCTION("IFERROR(
  TEXTJOIN(CHAR(10),TRUE,FILTER('SUMMARY DATA'!G:G,'SUMMARY DATA'!$A:$A=$A1102,'SUMMARY DATA'!$C:$C=$B1102,'SUMMARY DATA'!$B:$B=""RWS"")),
  IF(
    OR(
      ISNUMBER(SEARCH(""CDM CASH DEPOSIT"",$C1102)),
      ISNUMBER(SEARCH(""CASH DEPOSIT"",$"&amp;"C1102)),
      COUNTIFS('SUMMARY DATA'!$D:$D,$C1102,'SUMMARY DATA'!$B:$B,""RWS"")&lt;&gt;1
    ),
    """",
    IFERROR(TEXTJOIN(CHAR(10),TRUE,FILTER('SUMMARY DATA'!G:G,'SUMMARY DATA'!$D:$D=$C1102,'SUMMARY DATA'!$B:$B=""RWS"")),"""")
  )
)"),"")</f>
      </c>
      <c r="H1102" s="18" t="str">
        <f>IFERROR(__xludf.DUMMYFUNCTION("IFERROR(
  TEXTJOIN(CHAR(10),TRUE,FILTER('SUMMARY DATA'!H:H,'SUMMARY DATA'!$A:$A=$A1102,'SUMMARY DATA'!$C:$C=$B1102,'SUMMARY DATA'!$B:$B=""RWS"",'SUMMARY DATA'!$H:$H=$D1102)),
  IF(
    OR(
      ISNUMBER(SEARCH(""CDM CASH DEPOSIT"",$C1102)),
      ISNUMB"&amp;"ER(SEARCH(""CASH DEPOSIT"",$C1102))
    ),
    """",
    IFERROR(TEXTJOIN(CHAR(10),TRUE,FILTER('SUMMARY DATA'!H:H,'SUMMARY DATA'!$D:$D=$C1102,'SUMMARY DATA'!$B:$B=""RWS"",'SUMMARY DATA'!$H:$H=$D1102)),"""")
  )
)"),"")</f>
      </c>
      <c r="I1102" s="18" t="str">
        <f>IFERROR(__xludf.DUMMYFUNCTION("IF(H1102="""","""",
SUM(ARRAYFORMULA(VALUE(SPLIT(H1102,CHAR(10)))))
)"),"")</f>
      </c>
      <c r="J1102" s="17" t="str">
        <f>IFERROR(__xludf.DUMMYFUNCTION("IFERROR(
  TEXTJOIN(CHAR(10),TRUE,FILTER('SUMMARY DATA'!I:I,'SUMMARY DATA'!$A:$A=$A1102,'SUMMARY DATA'!$C:$C=$B1102,'SUMMARY DATA'!$B:$B=""RWS"")),
  IF(
    OR(
      ISNUMBER(SEARCH(""CDM CASH DEPOSIT"",$C1102)),
      ISNUMBER(SEARCH(""CASH DEPOSIT"",$"&amp;"C1102)),
      COUNTIFS('SUMMARY DATA'!$D:$D,$C1102,'SUMMARY DATA'!$B:$B,""RWS"")&lt;&gt;1
    ),
    """",
    IFERROR(TEXTJOIN(CHAR(10),TRUE,FILTER('SUMMARY DATA'!I:I,'SUMMARY DATA'!$D:$D=$C1102,'SUMMARY DATA'!$B:$B=""RWS"")),"""")
  )
)"),"")</f>
      </c>
      <c r="K1102" s="2"/>
      <c r="L1102" s="2"/>
      <c r="M1102" s="2"/>
      <c r="N1102" s="2"/>
      <c r="O1102" s="2"/>
      <c r="P1102" s="2"/>
      <c r="Q1102" s="2"/>
      <c r="R1102" s="2"/>
      <c r="S1102" s="2"/>
      <c r="T1102" s="2"/>
      <c r="U1102" s="2"/>
      <c r="V1102" s="2"/>
      <c r="W1102" s="2"/>
      <c r="X1102" s="2"/>
      <c r="Y1102" s="2"/>
      <c r="Z1102" s="2"/>
      <c r="AA1102" s="2"/>
      <c r="AB1102" s="2"/>
    </row>
    <row r="1103" spans="1:28" customHeight="true">
      <c r="A1103" s="2" t="s">
        <v>1446</v>
      </c>
      <c r="B1103" s="31">
        <v>45793</v>
      </c>
      <c r="C1103" s="2" t="s">
        <v>74</v>
      </c>
      <c r="D1103" s="6">
        <v>4.11</v>
      </c>
      <c r="E1103" s="16" t="str">
        <f>IFERROR(__xludf.DUMMYFUNCTION("IFERROR(
  TEXTJOIN(CHAR(10),TRUE,FILTER('SUMMARY DATA'!E:E,'SUMMARY DATA'!$A:$A=$A204,'SUMMARY DATA'!$C:$C=$B204,'SUMMARY DATA'!$B:$B=""GRP"")),
  IF(
    OR(
      ISNUMBER(SEARCH(""CDM CASH DEPOSIT"",$C204)),
      ISNUMBER(SEARCH(""CASH DEPOSIT"",$C20"&amp;"4)),
      COUNTIFS('SUMMARY DATA'!$D:$D,$C204,'SUMMARY DATA'!$B:$B,""GRP"")&lt;&gt;1
    ),
    """",
    IFERROR(TEXTJOIN(CHAR(10),TRUE,FILTER('SUMMARY DATA'!E:E,'SUMMARY DATA'!$D:$D=$C204,'SUMMARY DATA'!$B:$B=""GRP"")),"""")
  )
)"),"")</f>
      </c>
      <c r="F1103" s="17" t="str">
        <f>IFERROR(__xludf.DUMMYFUNCTION("IFERROR(
  TEXTJOIN(CHAR(10),TRUE,FILTER('SUMMARY DATA'!F:F,'SUMMARY DATA'!$A:$A=$A204,'SUMMARY DATA'!$C:$C=$B204,'SUMMARY DATA'!$B:$B=""GRP"")),
  IF(
    OR(
      ISNUMBER(SEARCH(""CDM CASH DEPOSIT"",$C204)),
      ISNUMBER(SEARCH(""CASH DEPOSIT"",$C20"&amp;"4)),
      COUNTIFS('SUMMARY DATA'!$D:$D,$C204,'SUMMARY DATA'!$B:$B,""GRP"")&lt;&gt;1
    ),
    """",
    IFERROR(TEXTJOIN(CHAR(10),TRUE,FILTER('SUMMARY DATA'!F:F,'SUMMARY DATA'!$D:$D=$C204,'SUMMARY DATA'!$B:$B=""GRP"")),"""")
  )
)"),"")</f>
      </c>
      <c r="G1103" s="17" t="str">
        <f>IFERROR(__xludf.DUMMYFUNCTION("IFERROR(
  TEXTJOIN(CHAR(10),TRUE,FILTER('SUMMARY DATA'!G:G,'SUMMARY DATA'!$A:$A=$A1103,'SUMMARY DATA'!$C:$C=$B1103,'SUMMARY DATA'!$B:$B=""RWS"")),
  IF(
    OR(
      ISNUMBER(SEARCH(""CDM CASH DEPOSIT"",$C1103)),
      ISNUMBER(SEARCH(""CASH DEPOSIT"",$"&amp;"C1103)),
      COUNTIFS('SUMMARY DATA'!$D:$D,$C1103,'SUMMARY DATA'!$B:$B,""RWS"")&lt;&gt;1
    ),
    """",
    IFERROR(TEXTJOIN(CHAR(10),TRUE,FILTER('SUMMARY DATA'!G:G,'SUMMARY DATA'!$D:$D=$C1103,'SUMMARY DATA'!$B:$B=""RWS"")),"""")
  )
)"),"")</f>
      </c>
      <c r="H1103" s="18" t="str">
        <f>IFERROR(__xludf.DUMMYFUNCTION("IFERROR(
  TEXTJOIN(CHAR(10),TRUE,FILTER('SUMMARY DATA'!H:H,'SUMMARY DATA'!$A:$A=$A1103,'SUMMARY DATA'!$C:$C=$B1103,'SUMMARY DATA'!$B:$B=""RWS"",'SUMMARY DATA'!$H:$H=$D1103)),
  IF(
    OR(
      ISNUMBER(SEARCH(""CDM CASH DEPOSIT"",$C1103)),
      ISNUMB"&amp;"ER(SEARCH(""CASH DEPOSIT"",$C1103))
    ),
    """",
    IFERROR(TEXTJOIN(CHAR(10),TRUE,FILTER('SUMMARY DATA'!H:H,'SUMMARY DATA'!$D:$D=$C1103,'SUMMARY DATA'!$B:$B=""RWS"",'SUMMARY DATA'!$H:$H=$D1103)),"""")
  )
)"),"")</f>
      </c>
      <c r="I1103" s="18" t="str">
        <f>IFERROR(__xludf.DUMMYFUNCTION("IF(H1103="""","""",
SUM(ARRAYFORMULA(VALUE(SPLIT(H1103,CHAR(10)))))
)"),"")</f>
      </c>
      <c r="J1103" s="17" t="str">
        <f>IFERROR(__xludf.DUMMYFUNCTION("IFERROR(
  TEXTJOIN(CHAR(10),TRUE,FILTER('SUMMARY DATA'!I:I,'SUMMARY DATA'!$A:$A=$A1103,'SUMMARY DATA'!$C:$C=$B1103,'SUMMARY DATA'!$B:$B=""RWS"")),
  IF(
    OR(
      ISNUMBER(SEARCH(""CDM CASH DEPOSIT"",$C1103)),
      ISNUMBER(SEARCH(""CASH DEPOSIT"",$"&amp;"C1103)),
      COUNTIFS('SUMMARY DATA'!$D:$D,$C1103,'SUMMARY DATA'!$B:$B,""RWS"")&lt;&gt;1
    ),
    """",
    IFERROR(TEXTJOIN(CHAR(10),TRUE,FILTER('SUMMARY DATA'!I:I,'SUMMARY DATA'!$D:$D=$C1103,'SUMMARY DATA'!$B:$B=""RWS"")),"""")
  )
)"),"")</f>
      </c>
      <c r="K1103" s="2"/>
      <c r="L1103" s="2"/>
      <c r="M1103" s="2"/>
      <c r="N1103" s="2"/>
      <c r="O1103" s="2"/>
      <c r="P1103" s="2"/>
      <c r="Q1103" s="2"/>
      <c r="R1103" s="2"/>
      <c r="S1103" s="2"/>
      <c r="T1103" s="2"/>
      <c r="U1103" s="2"/>
      <c r="V1103" s="2"/>
      <c r="W1103" s="2"/>
      <c r="X1103" s="2"/>
      <c r="Y1103" s="2"/>
      <c r="Z1103" s="2"/>
      <c r="AA1103" s="2"/>
      <c r="AB1103" s="2"/>
    </row>
    <row r="1104" spans="1:28" customHeight="true">
      <c r="A1104" s="2" t="s">
        <v>1640</v>
      </c>
      <c r="B1104" s="31">
        <v>45794</v>
      </c>
      <c r="C1104" s="2" t="s">
        <v>1641</v>
      </c>
      <c r="D1104" s="6">
        <v>138.35</v>
      </c>
      <c r="E1104" s="16" t="str">
        <f>IFERROR(__xludf.DUMMYFUNCTION("IFERROR(
  TEXTJOIN(CHAR(10),TRUE,FILTER('SUMMARY DATA'!E:E,'SUMMARY DATA'!$A:$A=$A205,'SUMMARY DATA'!$C:$C=$B205,'SUMMARY DATA'!$B:$B=""GRP"")),
  IF(
    OR(
      ISNUMBER(SEARCH(""CDM CASH DEPOSIT"",$C205)),
      ISNUMBER(SEARCH(""CASH DEPOSIT"",$C20"&amp;"5)),
      COUNTIFS('SUMMARY DATA'!$D:$D,$C205,'SUMMARY DATA'!$B:$B,""GRP"")&lt;&gt;1
    ),
    """",
    IFERROR(TEXTJOIN(CHAR(10),TRUE,FILTER('SUMMARY DATA'!E:E,'SUMMARY DATA'!$D:$D=$C205,'SUMMARY DATA'!$B:$B=""GRP"")),"""")
  )
)"),"")</f>
      </c>
      <c r="F1104" s="17" t="str">
        <f>IFERROR(__xludf.DUMMYFUNCTION("IFERROR(
  TEXTJOIN(CHAR(10),TRUE,FILTER('SUMMARY DATA'!F:F,'SUMMARY DATA'!$A:$A=$A205,'SUMMARY DATA'!$C:$C=$B205,'SUMMARY DATA'!$B:$B=""GRP"")),
  IF(
    OR(
      ISNUMBER(SEARCH(""CDM CASH DEPOSIT"",$C205)),
      ISNUMBER(SEARCH(""CASH DEPOSIT"",$C20"&amp;"5)),
      COUNTIFS('SUMMARY DATA'!$D:$D,$C205,'SUMMARY DATA'!$B:$B,""GRP"")&lt;&gt;1
    ),
    """",
    IFERROR(TEXTJOIN(CHAR(10),TRUE,FILTER('SUMMARY DATA'!F:F,'SUMMARY DATA'!$D:$D=$C205,'SUMMARY DATA'!$B:$B=""GRP"")),"""")
  )
)"),"")</f>
      </c>
      <c r="G1104" s="17" t="str">
        <f>IFERROR(__xludf.DUMMYFUNCTION("IFERROR(
  TEXTJOIN(CHAR(10),TRUE,FILTER('SUMMARY DATA'!G:G,'SUMMARY DATA'!$A:$A=$A1104,'SUMMARY DATA'!$C:$C=$B1104,'SUMMARY DATA'!$B:$B=""RWS"")),
  IF(
    OR(
      ISNUMBER(SEARCH(""CDM CASH DEPOSIT"",$C1104)),
      ISNUMBER(SEARCH(""CASH DEPOSIT"",$"&amp;"C1104)),
      COUNTIFS('SUMMARY DATA'!$D:$D,$C1104,'SUMMARY DATA'!$B:$B,""RWS"")&lt;&gt;1
    ),
    """",
    IFERROR(TEXTJOIN(CHAR(10),TRUE,FILTER('SUMMARY DATA'!G:G,'SUMMARY DATA'!$D:$D=$C1104,'SUMMARY DATA'!$B:$B=""RWS"")),"""")
  )
)"),"")</f>
      </c>
      <c r="H1104" s="18" t="str">
        <f>IFERROR(__xludf.DUMMYFUNCTION("IFERROR(
  TEXTJOIN(CHAR(10),TRUE,FILTER('SUMMARY DATA'!H:H,'SUMMARY DATA'!$A:$A=$A1104,'SUMMARY DATA'!$C:$C=$B1104,'SUMMARY DATA'!$B:$B=""RWS"",'SUMMARY DATA'!$H:$H=$D1104)),
  IF(
    OR(
      ISNUMBER(SEARCH(""CDM CASH DEPOSIT"",$C1104)),
      ISNUMB"&amp;"ER(SEARCH(""CASH DEPOSIT"",$C1104))
    ),
    """",
    IFERROR(TEXTJOIN(CHAR(10),TRUE,FILTER('SUMMARY DATA'!H:H,'SUMMARY DATA'!$D:$D=$C1104,'SUMMARY DATA'!$B:$B=""RWS"",'SUMMARY DATA'!$H:$H=$D1104)),"""")
  )
)"),"")</f>
      </c>
      <c r="I1104" s="18" t="str">
        <f>IFERROR(__xludf.DUMMYFUNCTION("IF(H1104="""","""",
SUM(ARRAYFORMULA(VALUE(SPLIT(H1104,CHAR(10)))))
)"),"")</f>
      </c>
      <c r="J1104" s="17" t="str">
        <f>IFERROR(__xludf.DUMMYFUNCTION("IFERROR(
  TEXTJOIN(CHAR(10),TRUE,FILTER('SUMMARY DATA'!I:I,'SUMMARY DATA'!$A:$A=$A1104,'SUMMARY DATA'!$C:$C=$B1104,'SUMMARY DATA'!$B:$B=""RWS"")),
  IF(
    OR(
      ISNUMBER(SEARCH(""CDM CASH DEPOSIT"",$C1104)),
      ISNUMBER(SEARCH(""CASH DEPOSIT"",$"&amp;"C1104)),
      COUNTIFS('SUMMARY DATA'!$D:$D,$C1104,'SUMMARY DATA'!$B:$B,""RWS"")&lt;&gt;1
    ),
    """",
    IFERROR(TEXTJOIN(CHAR(10),TRUE,FILTER('SUMMARY DATA'!I:I,'SUMMARY DATA'!$D:$D=$C1104,'SUMMARY DATA'!$B:$B=""RWS"")),"""")
  )
)"),"")</f>
      </c>
      <c r="K1104" s="2"/>
      <c r="L1104" s="2"/>
      <c r="M1104" s="2"/>
      <c r="N1104" s="2"/>
      <c r="O1104" s="2"/>
      <c r="P1104" s="2"/>
      <c r="Q1104" s="2"/>
      <c r="R1104" s="2"/>
      <c r="S1104" s="2"/>
      <c r="T1104" s="2"/>
      <c r="U1104" s="2"/>
      <c r="V1104" s="2"/>
      <c r="W1104" s="2"/>
      <c r="X1104" s="2"/>
      <c r="Y1104" s="2"/>
      <c r="Z1104" s="2"/>
      <c r="AA1104" s="2"/>
      <c r="AB1104" s="2"/>
    </row>
    <row r="1105" spans="1:28" customHeight="true">
      <c r="A1105" s="2"/>
      <c r="B1105" s="31">
        <v>45794</v>
      </c>
      <c r="C1105" s="2" t="s">
        <v>1525</v>
      </c>
      <c r="D1105" s="6">
        <v>119</v>
      </c>
      <c r="E1105" s="16" t="str">
        <f>IFERROR(__xludf.DUMMYFUNCTION("IFERROR(
  TEXTJOIN(CHAR(10),TRUE,FILTER('SUMMARY DATA'!E:E,'SUMMARY DATA'!$A:$A=$A206,'SUMMARY DATA'!$C:$C=$B206,'SUMMARY DATA'!$B:$B=""GRP"")),
  IF(
    OR(
      ISNUMBER(SEARCH(""CDM CASH DEPOSIT"",$C206)),
      ISNUMBER(SEARCH(""CASH DEPOSIT"",$C20"&amp;"6)),
      COUNTIFS('SUMMARY DATA'!$D:$D,$C206,'SUMMARY DATA'!$B:$B,""GRP"")&lt;&gt;1
    ),
    """",
    IFERROR(TEXTJOIN(CHAR(10),TRUE,FILTER('SUMMARY DATA'!E:E,'SUMMARY DATA'!$D:$D=$C206,'SUMMARY DATA'!$B:$B=""GRP"")),"""")
  )
)"),"")</f>
      </c>
      <c r="F1105" s="17" t="str">
        <f>IFERROR(__xludf.DUMMYFUNCTION("IFERROR(
  TEXTJOIN(CHAR(10),TRUE,FILTER('SUMMARY DATA'!F:F,'SUMMARY DATA'!$A:$A=$A206,'SUMMARY DATA'!$C:$C=$B206,'SUMMARY DATA'!$B:$B=""GRP"")),
  IF(
    OR(
      ISNUMBER(SEARCH(""CDM CASH DEPOSIT"",$C206)),
      ISNUMBER(SEARCH(""CASH DEPOSIT"",$C20"&amp;"6)),
      COUNTIFS('SUMMARY DATA'!$D:$D,$C206,'SUMMARY DATA'!$B:$B,""GRP"")&lt;&gt;1
    ),
    """",
    IFERROR(TEXTJOIN(CHAR(10),TRUE,FILTER('SUMMARY DATA'!F:F,'SUMMARY DATA'!$D:$D=$C206,'SUMMARY DATA'!$B:$B=""GRP"")),"""")
  )
)"),"")</f>
      </c>
      <c r="G1105" s="17" t="str">
        <f>IFERROR(__xludf.DUMMYFUNCTION("IFERROR(
  TEXTJOIN(CHAR(10),TRUE,FILTER('SUMMARY DATA'!G:G,'SUMMARY DATA'!$A:$A=$A1105,'SUMMARY DATA'!$C:$C=$B1105,'SUMMARY DATA'!$B:$B=""RWS"")),
  IF(
    OR(
      ISNUMBER(SEARCH(""CDM CASH DEPOSIT"",$C1105)),
      ISNUMBER(SEARCH(""CASH DEPOSIT"",$"&amp;"C1105)),
      COUNTIFS('SUMMARY DATA'!$D:$D,$C1105,'SUMMARY DATA'!$B:$B,""RWS"")&lt;&gt;1
    ),
    """",
    IFERROR(TEXTJOIN(CHAR(10),TRUE,FILTER('SUMMARY DATA'!G:G,'SUMMARY DATA'!$D:$D=$C1105,'SUMMARY DATA'!$B:$B=""RWS"")),"""")
  )
)"),"")</f>
      </c>
      <c r="H1105" s="18" t="str">
        <f>IFERROR(__xludf.DUMMYFUNCTION("IFERROR(
  TEXTJOIN(CHAR(10),TRUE,FILTER('SUMMARY DATA'!H:H,'SUMMARY DATA'!$A:$A=$A1105,'SUMMARY DATA'!$C:$C=$B1105,'SUMMARY DATA'!$B:$B=""RWS"",'SUMMARY DATA'!$H:$H=$D1105)),
  IF(
    OR(
      ISNUMBER(SEARCH(""CDM CASH DEPOSIT"",$C1105)),
      ISNUMB"&amp;"ER(SEARCH(""CASH DEPOSIT"",$C1105))
    ),
    """",
    IFERROR(TEXTJOIN(CHAR(10),TRUE,FILTER('SUMMARY DATA'!H:H,'SUMMARY DATA'!$D:$D=$C1105,'SUMMARY DATA'!$B:$B=""RWS"",'SUMMARY DATA'!$H:$H=$D1105)),"""")
  )
)"),"")</f>
      </c>
      <c r="I1105" s="18" t="str">
        <f>IFERROR(__xludf.DUMMYFUNCTION("IF(H1105="""","""",
SUM(ARRAYFORMULA(VALUE(SPLIT(H1105,CHAR(10)))))
)"),"")</f>
      </c>
      <c r="J1105" s="17" t="str">
        <f>IFERROR(__xludf.DUMMYFUNCTION("IFERROR(
  TEXTJOIN(CHAR(10),TRUE,FILTER('SUMMARY DATA'!I:I,'SUMMARY DATA'!$A:$A=$A1105,'SUMMARY DATA'!$C:$C=$B1105,'SUMMARY DATA'!$B:$B=""RWS"")),
  IF(
    OR(
      ISNUMBER(SEARCH(""CDM CASH DEPOSIT"",$C1105)),
      ISNUMBER(SEARCH(""CASH DEPOSIT"",$"&amp;"C1105)),
      COUNTIFS('SUMMARY DATA'!$D:$D,$C1105,'SUMMARY DATA'!$B:$B,""RWS"")&lt;&gt;1
    ),
    """",
    IFERROR(TEXTJOIN(CHAR(10),TRUE,FILTER('SUMMARY DATA'!I:I,'SUMMARY DATA'!$D:$D=$C1105,'SUMMARY DATA'!$B:$B=""RWS"")),"""")
  )
)"),"")</f>
      </c>
      <c r="K1105" s="2"/>
      <c r="L1105" s="2"/>
      <c r="M1105" s="2"/>
      <c r="N1105" s="2"/>
      <c r="O1105" s="2"/>
      <c r="P1105" s="2"/>
      <c r="Q1105" s="2"/>
      <c r="R1105" s="2"/>
      <c r="S1105" s="2"/>
      <c r="T1105" s="2"/>
      <c r="U1105" s="2"/>
      <c r="V1105" s="2"/>
      <c r="W1105" s="2"/>
      <c r="X1105" s="2"/>
      <c r="Y1105" s="2"/>
      <c r="Z1105" s="2"/>
      <c r="AA1105" s="2"/>
      <c r="AB1105" s="2"/>
    </row>
    <row r="1106" spans="1:28" customHeight="true">
      <c r="A1106" s="2"/>
      <c r="B1106" s="31">
        <v>45794</v>
      </c>
      <c r="C1106" s="2" t="s">
        <v>1642</v>
      </c>
      <c r="D1106" s="6">
        <v>100</v>
      </c>
      <c r="E1106" s="16" t="str">
        <f>IFERROR(__xludf.DUMMYFUNCTION("IFERROR(
  TEXTJOIN(CHAR(10),TRUE,FILTER('SUMMARY DATA'!E:E,'SUMMARY DATA'!$A:$A=$A207,'SUMMARY DATA'!$C:$C=$B207,'SUMMARY DATA'!$B:$B=""GRP"")),
  IF(
    OR(
      ISNUMBER(SEARCH(""CDM CASH DEPOSIT"",$C207)),
      ISNUMBER(SEARCH(""CASH DEPOSIT"",$C20"&amp;"7)),
      COUNTIFS('SUMMARY DATA'!$D:$D,$C207,'SUMMARY DATA'!$B:$B,""GRP"")&lt;&gt;1
    ),
    """",
    IFERROR(TEXTJOIN(CHAR(10),TRUE,FILTER('SUMMARY DATA'!E:E,'SUMMARY DATA'!$D:$D=$C207,'SUMMARY DATA'!$B:$B=""GRP"")),"""")
  )
)"),"")</f>
      </c>
      <c r="F1106" s="17" t="str">
        <f>IFERROR(__xludf.DUMMYFUNCTION("IFERROR(
  TEXTJOIN(CHAR(10),TRUE,FILTER('SUMMARY DATA'!F:F,'SUMMARY DATA'!$A:$A=$A207,'SUMMARY DATA'!$C:$C=$B207,'SUMMARY DATA'!$B:$B=""GRP"")),
  IF(
    OR(
      ISNUMBER(SEARCH(""CDM CASH DEPOSIT"",$C207)),
      ISNUMBER(SEARCH(""CASH DEPOSIT"",$C20"&amp;"7)),
      COUNTIFS('SUMMARY DATA'!$D:$D,$C207,'SUMMARY DATA'!$B:$B,""GRP"")&lt;&gt;1
    ),
    """",
    IFERROR(TEXTJOIN(CHAR(10),TRUE,FILTER('SUMMARY DATA'!F:F,'SUMMARY DATA'!$D:$D=$C207,'SUMMARY DATA'!$B:$B=""GRP"")),"""")
  )
)"),"")</f>
      </c>
      <c r="G1106" s="17" t="str">
        <f>IFERROR(__xludf.DUMMYFUNCTION("IFERROR(
  TEXTJOIN(CHAR(10),TRUE,FILTER('SUMMARY DATA'!G:G,'SUMMARY DATA'!$A:$A=$A1106,'SUMMARY DATA'!$C:$C=$B1106,'SUMMARY DATA'!$B:$B=""RWS"")),
  IF(
    OR(
      ISNUMBER(SEARCH(""CDM CASH DEPOSIT"",$C1106)),
      ISNUMBER(SEARCH(""CASH DEPOSIT"",$"&amp;"C1106)),
      COUNTIFS('SUMMARY DATA'!$D:$D,$C1106,'SUMMARY DATA'!$B:$B,""RWS"")&lt;&gt;1
    ),
    """",
    IFERROR(TEXTJOIN(CHAR(10),TRUE,FILTER('SUMMARY DATA'!G:G,'SUMMARY DATA'!$D:$D=$C1106,'SUMMARY DATA'!$B:$B=""RWS"")),"""")
  )
)"),"")</f>
      </c>
      <c r="H1106" s="18" t="str">
        <f>IFERROR(__xludf.DUMMYFUNCTION("IFERROR(
  TEXTJOIN(CHAR(10),TRUE,FILTER('SUMMARY DATA'!H:H,'SUMMARY DATA'!$A:$A=$A1106,'SUMMARY DATA'!$C:$C=$B1106,'SUMMARY DATA'!$B:$B=""RWS"",'SUMMARY DATA'!$H:$H=$D1106)),
  IF(
    OR(
      ISNUMBER(SEARCH(""CDM CASH DEPOSIT"",$C1106)),
      ISNUMB"&amp;"ER(SEARCH(""CASH DEPOSIT"",$C1106))
    ),
    """",
    IFERROR(TEXTJOIN(CHAR(10),TRUE,FILTER('SUMMARY DATA'!H:H,'SUMMARY DATA'!$D:$D=$C1106,'SUMMARY DATA'!$B:$B=""RWS"",'SUMMARY DATA'!$H:$H=$D1106)),"""")
  )
)"),"")</f>
      </c>
      <c r="I1106" s="18" t="str">
        <f>IFERROR(__xludf.DUMMYFUNCTION("IF(H1106="""","""",
SUM(ARRAYFORMULA(VALUE(SPLIT(H1106,CHAR(10)))))
)"),"")</f>
      </c>
      <c r="J1106" s="17" t="str">
        <f>IFERROR(__xludf.DUMMYFUNCTION("IFERROR(
  TEXTJOIN(CHAR(10),TRUE,FILTER('SUMMARY DATA'!I:I,'SUMMARY DATA'!$A:$A=$A1106,'SUMMARY DATA'!$C:$C=$B1106,'SUMMARY DATA'!$B:$B=""RWS"")),
  IF(
    OR(
      ISNUMBER(SEARCH(""CDM CASH DEPOSIT"",$C1106)),
      ISNUMBER(SEARCH(""CASH DEPOSIT"",$"&amp;"C1106)),
      COUNTIFS('SUMMARY DATA'!$D:$D,$C1106,'SUMMARY DATA'!$B:$B,""RWS"")&lt;&gt;1
    ),
    """",
    IFERROR(TEXTJOIN(CHAR(10),TRUE,FILTER('SUMMARY DATA'!I:I,'SUMMARY DATA'!$D:$D=$C1106,'SUMMARY DATA'!$B:$B=""RWS"")),"""")
  )
)"),"")</f>
      </c>
      <c r="K1106" s="2"/>
      <c r="L1106" s="2"/>
      <c r="M1106" s="2"/>
      <c r="N1106" s="2"/>
      <c r="O1106" s="2"/>
      <c r="P1106" s="2"/>
      <c r="Q1106" s="2"/>
      <c r="R1106" s="2"/>
      <c r="S1106" s="2"/>
      <c r="T1106" s="2"/>
      <c r="U1106" s="2"/>
      <c r="V1106" s="2"/>
      <c r="W1106" s="2"/>
      <c r="X1106" s="2"/>
      <c r="Y1106" s="2"/>
      <c r="Z1106" s="2"/>
      <c r="AA1106" s="2"/>
      <c r="AB1106" s="2"/>
    </row>
    <row r="1107" spans="1:28" customHeight="true">
      <c r="A1107" s="2"/>
      <c r="B1107" s="31">
        <v>45794</v>
      </c>
      <c r="C1107" s="2" t="s">
        <v>1643</v>
      </c>
      <c r="D1107" s="6">
        <v>17</v>
      </c>
      <c r="E1107" s="16" t="str">
        <f>IFERROR(__xludf.DUMMYFUNCTION("IFERROR(
  TEXTJOIN(CHAR(10),TRUE,FILTER('SUMMARY DATA'!E:E,'SUMMARY DATA'!$A:$A=$A208,'SUMMARY DATA'!$C:$C=$B208,'SUMMARY DATA'!$B:$B=""GRP"")),
  IF(
    OR(
      ISNUMBER(SEARCH(""CDM CASH DEPOSIT"",$C208)),
      ISNUMBER(SEARCH(""CASH DEPOSIT"",$C20"&amp;"8)),
      COUNTIFS('SUMMARY DATA'!$D:$D,$C208,'SUMMARY DATA'!$B:$B,""GRP"")&lt;&gt;1
    ),
    """",
    IFERROR(TEXTJOIN(CHAR(10),TRUE,FILTER('SUMMARY DATA'!E:E,'SUMMARY DATA'!$D:$D=$C208,'SUMMARY DATA'!$B:$B=""GRP"")),"""")
  )
)"),"")</f>
      </c>
      <c r="F1107" s="17" t="str">
        <f>IFERROR(__xludf.DUMMYFUNCTION("IFERROR(
  TEXTJOIN(CHAR(10),TRUE,FILTER('SUMMARY DATA'!F:F,'SUMMARY DATA'!$A:$A=$A208,'SUMMARY DATA'!$C:$C=$B208,'SUMMARY DATA'!$B:$B=""GRP"")),
  IF(
    OR(
      ISNUMBER(SEARCH(""CDM CASH DEPOSIT"",$C208)),
      ISNUMBER(SEARCH(""CASH DEPOSIT"",$C20"&amp;"8)),
      COUNTIFS('SUMMARY DATA'!$D:$D,$C208,'SUMMARY DATA'!$B:$B,""GRP"")&lt;&gt;1
    ),
    """",
    IFERROR(TEXTJOIN(CHAR(10),TRUE,FILTER('SUMMARY DATA'!F:F,'SUMMARY DATA'!$D:$D=$C208,'SUMMARY DATA'!$B:$B=""GRP"")),"""")
  )
)"),"")</f>
      </c>
      <c r="G1107" s="17" t="str">
        <f>IFERROR(__xludf.DUMMYFUNCTION("IFERROR(
  TEXTJOIN(CHAR(10),TRUE,FILTER('SUMMARY DATA'!G:G,'SUMMARY DATA'!$A:$A=$A1107,'SUMMARY DATA'!$C:$C=$B1107,'SUMMARY DATA'!$B:$B=""RWS"")),
  IF(
    OR(
      ISNUMBER(SEARCH(""CDM CASH DEPOSIT"",$C1107)),
      ISNUMBER(SEARCH(""CASH DEPOSIT"",$"&amp;"C1107)),
      COUNTIFS('SUMMARY DATA'!$D:$D,$C1107,'SUMMARY DATA'!$B:$B,""RWS"")&lt;&gt;1
    ),
    """",
    IFERROR(TEXTJOIN(CHAR(10),TRUE,FILTER('SUMMARY DATA'!G:G,'SUMMARY DATA'!$D:$D=$C1107,'SUMMARY DATA'!$B:$B=""RWS"")),"""")
  )
)"),"")</f>
      </c>
      <c r="H1107" s="18" t="str">
        <f>IFERROR(__xludf.DUMMYFUNCTION("IFERROR(
  TEXTJOIN(CHAR(10),TRUE,FILTER('SUMMARY DATA'!H:H,'SUMMARY DATA'!$A:$A=$A1107,'SUMMARY DATA'!$C:$C=$B1107,'SUMMARY DATA'!$B:$B=""RWS"",'SUMMARY DATA'!$H:$H=$D1107)),
  IF(
    OR(
      ISNUMBER(SEARCH(""CDM CASH DEPOSIT"",$C1107)),
      ISNUMB"&amp;"ER(SEARCH(""CASH DEPOSIT"",$C1107))
    ),
    """",
    IFERROR(TEXTJOIN(CHAR(10),TRUE,FILTER('SUMMARY DATA'!H:H,'SUMMARY DATA'!$D:$D=$C1107,'SUMMARY DATA'!$B:$B=""RWS"",'SUMMARY DATA'!$H:$H=$D1107)),"""")
  )
)"),"")</f>
      </c>
      <c r="I1107" s="18" t="str">
        <f>IFERROR(__xludf.DUMMYFUNCTION("IF(H1107="""","""",
SUM(ARRAYFORMULA(VALUE(SPLIT(H1107,CHAR(10)))))
)"),"")</f>
      </c>
      <c r="J1107" s="17" t="str">
        <f>IFERROR(__xludf.DUMMYFUNCTION("IFERROR(
  TEXTJOIN(CHAR(10),TRUE,FILTER('SUMMARY DATA'!I:I,'SUMMARY DATA'!$A:$A=$A1107,'SUMMARY DATA'!$C:$C=$B1107,'SUMMARY DATA'!$B:$B=""RWS"")),
  IF(
    OR(
      ISNUMBER(SEARCH(""CDM CASH DEPOSIT"",$C1107)),
      ISNUMBER(SEARCH(""CASH DEPOSIT"",$"&amp;"C1107)),
      COUNTIFS('SUMMARY DATA'!$D:$D,$C1107,'SUMMARY DATA'!$B:$B,""RWS"")&lt;&gt;1
    ),
    """",
    IFERROR(TEXTJOIN(CHAR(10),TRUE,FILTER('SUMMARY DATA'!I:I,'SUMMARY DATA'!$D:$D=$C1107,'SUMMARY DATA'!$B:$B=""RWS"")),"""")
  )
)"),"")</f>
      </c>
      <c r="K1107" s="2"/>
      <c r="L1107" s="2"/>
      <c r="M1107" s="2"/>
      <c r="N1107" s="2"/>
      <c r="O1107" s="2"/>
      <c r="P1107" s="2"/>
      <c r="Q1107" s="2"/>
      <c r="R1107" s="2"/>
      <c r="S1107" s="2"/>
      <c r="T1107" s="2"/>
      <c r="U1107" s="2"/>
      <c r="V1107" s="2"/>
      <c r="W1107" s="2"/>
      <c r="X1107" s="2"/>
      <c r="Y1107" s="2"/>
      <c r="Z1107" s="2"/>
      <c r="AA1107" s="2"/>
      <c r="AB1107" s="2"/>
    </row>
    <row r="1108" spans="1:28" customHeight="true">
      <c r="A1108" s="2"/>
      <c r="B1108" s="15">
        <v>45794</v>
      </c>
      <c r="C1108" s="2" t="s">
        <v>1644</v>
      </c>
      <c r="D1108" s="6">
        <v>10</v>
      </c>
      <c r="E1108" s="16" t="str">
        <f>IFERROR(__xludf.DUMMYFUNCTION("IFERROR(
  TEXTJOIN(CHAR(10),TRUE,FILTER('SUMMARY DATA'!E:E,'SUMMARY DATA'!$A:$A=$A209,'SUMMARY DATA'!$C:$C=$B209,'SUMMARY DATA'!$B:$B=""GRP"")),
  IF(
    OR(
      ISNUMBER(SEARCH(""CDM CASH DEPOSIT"",$C209)),
      ISNUMBER(SEARCH(""CASH DEPOSIT"",$C20"&amp;"9)),
      COUNTIFS('SUMMARY DATA'!$D:$D,$C209,'SUMMARY DATA'!$B:$B,""GRP"")&lt;&gt;1
    ),
    """",
    IFERROR(TEXTJOIN(CHAR(10),TRUE,FILTER('SUMMARY DATA'!E:E,'SUMMARY DATA'!$D:$D=$C209,'SUMMARY DATA'!$B:$B=""GRP"")),"""")
  )
)"),"")</f>
      </c>
      <c r="F1108" s="17" t="str">
        <f>IFERROR(__xludf.DUMMYFUNCTION("IFERROR(
  TEXTJOIN(CHAR(10),TRUE,FILTER('SUMMARY DATA'!F:F,'SUMMARY DATA'!$A:$A=$A209,'SUMMARY DATA'!$C:$C=$B209,'SUMMARY DATA'!$B:$B=""GRP"")),
  IF(
    OR(
      ISNUMBER(SEARCH(""CDM CASH DEPOSIT"",$C209)),
      ISNUMBER(SEARCH(""CASH DEPOSIT"",$C20"&amp;"9)),
      COUNTIFS('SUMMARY DATA'!$D:$D,$C209,'SUMMARY DATA'!$B:$B,""GRP"")&lt;&gt;1
    ),
    """",
    IFERROR(TEXTJOIN(CHAR(10),TRUE,FILTER('SUMMARY DATA'!F:F,'SUMMARY DATA'!$D:$D=$C209,'SUMMARY DATA'!$B:$B=""GRP"")),"""")
  )
)"),"")</f>
      </c>
      <c r="G1108" s="17" t="str">
        <f>IFERROR(__xludf.DUMMYFUNCTION("IFERROR(
  TEXTJOIN(CHAR(10),TRUE,FILTER('SUMMARY DATA'!G:G,'SUMMARY DATA'!$A:$A=$A1108,'SUMMARY DATA'!$C:$C=$B1108,'SUMMARY DATA'!$B:$B=""RWS"")),
  IF(
    OR(
      ISNUMBER(SEARCH(""CDM CASH DEPOSIT"",$C1108)),
      ISNUMBER(SEARCH(""CASH DEPOSIT"",$"&amp;"C1108)),
      COUNTIFS('SUMMARY DATA'!$D:$D,$C1108,'SUMMARY DATA'!$B:$B,""RWS"")&lt;&gt;1
    ),
    """",
    IFERROR(TEXTJOIN(CHAR(10),TRUE,FILTER('SUMMARY DATA'!G:G,'SUMMARY DATA'!$D:$D=$C1108,'SUMMARY DATA'!$B:$B=""RWS"")),"""")
  )
)"),"")</f>
      </c>
      <c r="H1108" s="18" t="str">
        <f>IFERROR(__xludf.DUMMYFUNCTION("IFERROR(
  TEXTJOIN(CHAR(10),TRUE,FILTER('SUMMARY DATA'!H:H,'SUMMARY DATA'!$A:$A=$A1108,'SUMMARY DATA'!$C:$C=$B1108,'SUMMARY DATA'!$B:$B=""RWS"",'SUMMARY DATA'!$H:$H=$D1108)),
  IF(
    OR(
      ISNUMBER(SEARCH(""CDM CASH DEPOSIT"",$C1108)),
      ISNUMB"&amp;"ER(SEARCH(""CASH DEPOSIT"",$C1108))
    ),
    """",
    IFERROR(TEXTJOIN(CHAR(10),TRUE,FILTER('SUMMARY DATA'!H:H,'SUMMARY DATA'!$D:$D=$C1108,'SUMMARY DATA'!$B:$B=""RWS"",'SUMMARY DATA'!$H:$H=$D1108)),"""")
  )
)"),"")</f>
      </c>
      <c r="I1108" s="18" t="str">
        <f>IFERROR(__xludf.DUMMYFUNCTION("IF(H1108="""","""",
SUM(ARRAYFORMULA(VALUE(SPLIT(H1108,CHAR(10)))))
)"),"")</f>
      </c>
      <c r="J1108" s="17" t="str">
        <f>IFERROR(__xludf.DUMMYFUNCTION("IFERROR(
  TEXTJOIN(CHAR(10),TRUE,FILTER('SUMMARY DATA'!I:I,'SUMMARY DATA'!$A:$A=$A1108,'SUMMARY DATA'!$C:$C=$B1108,'SUMMARY DATA'!$B:$B=""RWS"")),
  IF(
    OR(
      ISNUMBER(SEARCH(""CDM CASH DEPOSIT"",$C1108)),
      ISNUMBER(SEARCH(""CASH DEPOSIT"",$"&amp;"C1108)),
      COUNTIFS('SUMMARY DATA'!$D:$D,$C1108,'SUMMARY DATA'!$B:$B,""RWS"")&lt;&gt;1
    ),
    """",
    IFERROR(TEXTJOIN(CHAR(10),TRUE,FILTER('SUMMARY DATA'!I:I,'SUMMARY DATA'!$D:$D=$C1108,'SUMMARY DATA'!$B:$B=""RWS"")),"""")
  )
)"),"")</f>
      </c>
      <c r="K1108" s="2"/>
      <c r="L1108" s="2"/>
      <c r="M1108" s="2"/>
      <c r="N1108" s="2"/>
      <c r="O1108" s="2"/>
      <c r="P1108" s="2"/>
      <c r="Q1108" s="2"/>
      <c r="R1108" s="2"/>
      <c r="S1108" s="2"/>
      <c r="T1108" s="2"/>
      <c r="U1108" s="2"/>
      <c r="V1108" s="2"/>
      <c r="W1108" s="2"/>
      <c r="X1108" s="2"/>
      <c r="Y1108" s="2"/>
      <c r="Z1108" s="2"/>
      <c r="AA1108" s="2"/>
      <c r="AB1108" s="2"/>
    </row>
    <row r="1109" spans="1:28" customHeight="true">
      <c r="A1109" s="2"/>
      <c r="B1109" s="31">
        <v>45794</v>
      </c>
      <c r="C1109" s="2" t="s">
        <v>1645</v>
      </c>
      <c r="D1109" s="6">
        <v>10</v>
      </c>
      <c r="E1109" s="16" t="str">
        <f>IFERROR(__xludf.DUMMYFUNCTION("IFERROR(
  TEXTJOIN(CHAR(10),TRUE,FILTER('SUMMARY DATA'!E:E,'SUMMARY DATA'!$A:$A=$A210,'SUMMARY DATA'!$C:$C=$B210,'SUMMARY DATA'!$B:$B=""GRP"")),
  IF(
    OR(
      ISNUMBER(SEARCH(""CDM CASH DEPOSIT"",$C210)),
      ISNUMBER(SEARCH(""CASH DEPOSIT"",$C21"&amp;"0)),
      COUNTIFS('SUMMARY DATA'!$D:$D,$C210,'SUMMARY DATA'!$B:$B,""GRP"")&lt;&gt;1
    ),
    """",
    IFERROR(TEXTJOIN(CHAR(10),TRUE,FILTER('SUMMARY DATA'!E:E,'SUMMARY DATA'!$D:$D=$C210,'SUMMARY DATA'!$B:$B=""GRP"")),"""")
  )
)"),"")</f>
      </c>
      <c r="F1109" s="17" t="str">
        <f>IFERROR(__xludf.DUMMYFUNCTION("IFERROR(
  TEXTJOIN(CHAR(10),TRUE,FILTER('SUMMARY DATA'!F:F,'SUMMARY DATA'!$A:$A=$A210,'SUMMARY DATA'!$C:$C=$B210,'SUMMARY DATA'!$B:$B=""GRP"")),
  IF(
    OR(
      ISNUMBER(SEARCH(""CDM CASH DEPOSIT"",$C210)),
      ISNUMBER(SEARCH(""CASH DEPOSIT"",$C21"&amp;"0)),
      COUNTIFS('SUMMARY DATA'!$D:$D,$C210,'SUMMARY DATA'!$B:$B,""GRP"")&lt;&gt;1
    ),
    """",
    IFERROR(TEXTJOIN(CHAR(10),TRUE,FILTER('SUMMARY DATA'!F:F,'SUMMARY DATA'!$D:$D=$C210,'SUMMARY DATA'!$B:$B=""GRP"")),"""")
  )
)"),"")</f>
      </c>
      <c r="G1109" s="17" t="str">
        <f>IFERROR(__xludf.DUMMYFUNCTION("IFERROR(
  TEXTJOIN(CHAR(10),TRUE,FILTER('SUMMARY DATA'!G:G,'SUMMARY DATA'!$A:$A=$A1109,'SUMMARY DATA'!$C:$C=$B1109,'SUMMARY DATA'!$B:$B=""RWS"")),
  IF(
    OR(
      ISNUMBER(SEARCH(""CDM CASH DEPOSIT"",$C1109)),
      ISNUMBER(SEARCH(""CASH DEPOSIT"",$"&amp;"C1109)),
      COUNTIFS('SUMMARY DATA'!$D:$D,$C1109,'SUMMARY DATA'!$B:$B,""RWS"")&lt;&gt;1
    ),
    """",
    IFERROR(TEXTJOIN(CHAR(10),TRUE,FILTER('SUMMARY DATA'!G:G,'SUMMARY DATA'!$D:$D=$C1109,'SUMMARY DATA'!$B:$B=""RWS"")),"""")
  )
)"),"")</f>
      </c>
      <c r="H1109" s="18" t="str">
        <f>IFERROR(__xludf.DUMMYFUNCTION("IFERROR(
  TEXTJOIN(CHAR(10),TRUE,FILTER('SUMMARY DATA'!H:H,'SUMMARY DATA'!$A:$A=$A1109,'SUMMARY DATA'!$C:$C=$B1109,'SUMMARY DATA'!$B:$B=""RWS"",'SUMMARY DATA'!$H:$H=$D1109)),
  IF(
    OR(
      ISNUMBER(SEARCH(""CDM CASH DEPOSIT"",$C1109)),
      ISNUMB"&amp;"ER(SEARCH(""CASH DEPOSIT"",$C1109))
    ),
    """",
    IFERROR(TEXTJOIN(CHAR(10),TRUE,FILTER('SUMMARY DATA'!H:H,'SUMMARY DATA'!$D:$D=$C1109,'SUMMARY DATA'!$B:$B=""RWS"",'SUMMARY DATA'!$H:$H=$D1109)),"""")
  )
)"),"")</f>
      </c>
      <c r="I1109" s="18" t="str">
        <f>IFERROR(__xludf.DUMMYFUNCTION("IF(H1109="""","""",
SUM(ARRAYFORMULA(VALUE(SPLIT(H1109,CHAR(10)))))
)"),"")</f>
      </c>
      <c r="J1109" s="17" t="str">
        <f>IFERROR(__xludf.DUMMYFUNCTION("IFERROR(
  TEXTJOIN(CHAR(10),TRUE,FILTER('SUMMARY DATA'!I:I,'SUMMARY DATA'!$A:$A=$A1109,'SUMMARY DATA'!$C:$C=$B1109,'SUMMARY DATA'!$B:$B=""RWS"")),
  IF(
    OR(
      ISNUMBER(SEARCH(""CDM CASH DEPOSIT"",$C1109)),
      ISNUMBER(SEARCH(""CASH DEPOSIT"",$"&amp;"C1109)),
      COUNTIFS('SUMMARY DATA'!$D:$D,$C1109,'SUMMARY DATA'!$B:$B,""RWS"")&lt;&gt;1
    ),
    """",
    IFERROR(TEXTJOIN(CHAR(10),TRUE,FILTER('SUMMARY DATA'!I:I,'SUMMARY DATA'!$D:$D=$C1109,'SUMMARY DATA'!$B:$B=""RWS"")),"""")
  )
)"),"")</f>
      </c>
      <c r="K1109" s="2"/>
      <c r="L1109" s="2"/>
      <c r="M1109" s="2"/>
      <c r="N1109" s="2"/>
      <c r="O1109" s="2"/>
      <c r="P1109" s="2"/>
      <c r="Q1109" s="2"/>
      <c r="R1109" s="2"/>
      <c r="S1109" s="2"/>
      <c r="T1109" s="2"/>
      <c r="U1109" s="2"/>
      <c r="V1109" s="2"/>
      <c r="W1109" s="2"/>
      <c r="X1109" s="2"/>
      <c r="Y1109" s="2"/>
      <c r="Z1109" s="2"/>
      <c r="AA1109" s="2"/>
      <c r="AB1109" s="2"/>
    </row>
    <row r="1110" spans="1:28" customHeight="true">
      <c r="A1110" s="2"/>
      <c r="B1110" s="31">
        <v>45794</v>
      </c>
      <c r="C1110" s="2" t="s">
        <v>1646</v>
      </c>
      <c r="D1110" s="6">
        <v>10</v>
      </c>
      <c r="E1110" s="16" t="str">
        <f>IFERROR(__xludf.DUMMYFUNCTION("IFERROR(
  TEXTJOIN(CHAR(10),TRUE,FILTER('SUMMARY DATA'!E:E,'SUMMARY DATA'!$A:$A=$A211,'SUMMARY DATA'!$C:$C=$B211,'SUMMARY DATA'!$B:$B=""GRP"")),
  IF(
    OR(
      ISNUMBER(SEARCH(""CDM CASH DEPOSIT"",$C211)),
      ISNUMBER(SEARCH(""CASH DEPOSIT"",$C21"&amp;"1)),
      COUNTIFS('SUMMARY DATA'!$D:$D,$C211,'SUMMARY DATA'!$B:$B,""GRP"")&lt;&gt;1
    ),
    """",
    IFERROR(TEXTJOIN(CHAR(10),TRUE,FILTER('SUMMARY DATA'!E:E,'SUMMARY DATA'!$D:$D=$C211,'SUMMARY DATA'!$B:$B=""GRP"")),"""")
  )
)"),"")</f>
      </c>
      <c r="F1110" s="17" t="str">
        <f>IFERROR(__xludf.DUMMYFUNCTION("IFERROR(
  TEXTJOIN(CHAR(10),TRUE,FILTER('SUMMARY DATA'!F:F,'SUMMARY DATA'!$A:$A=$A211,'SUMMARY DATA'!$C:$C=$B211,'SUMMARY DATA'!$B:$B=""GRP"")),
  IF(
    OR(
      ISNUMBER(SEARCH(""CDM CASH DEPOSIT"",$C211)),
      ISNUMBER(SEARCH(""CASH DEPOSIT"",$C21"&amp;"1)),
      COUNTIFS('SUMMARY DATA'!$D:$D,$C211,'SUMMARY DATA'!$B:$B,""GRP"")&lt;&gt;1
    ),
    """",
    IFERROR(TEXTJOIN(CHAR(10),TRUE,FILTER('SUMMARY DATA'!F:F,'SUMMARY DATA'!$D:$D=$C211,'SUMMARY DATA'!$B:$B=""GRP"")),"""")
  )
)"),"")</f>
      </c>
      <c r="G1110" s="17" t="str">
        <f>IFERROR(__xludf.DUMMYFUNCTION("IFERROR(
  TEXTJOIN(CHAR(10),TRUE,FILTER('SUMMARY DATA'!G:G,'SUMMARY DATA'!$A:$A=$A1110,'SUMMARY DATA'!$C:$C=$B1110,'SUMMARY DATA'!$B:$B=""RWS"")),
  IF(
    OR(
      ISNUMBER(SEARCH(""CDM CASH DEPOSIT"",$C1110)),
      ISNUMBER(SEARCH(""CASH DEPOSIT"",$"&amp;"C1110)),
      COUNTIFS('SUMMARY DATA'!$D:$D,$C1110,'SUMMARY DATA'!$B:$B,""RWS"")&lt;&gt;1
    ),
    """",
    IFERROR(TEXTJOIN(CHAR(10),TRUE,FILTER('SUMMARY DATA'!G:G,'SUMMARY DATA'!$D:$D=$C1110,'SUMMARY DATA'!$B:$B=""RWS"")),"""")
  )
)"),"")</f>
      </c>
      <c r="H1110" s="18" t="str">
        <f>IFERROR(__xludf.DUMMYFUNCTION("IFERROR(
  TEXTJOIN(CHAR(10),TRUE,FILTER('SUMMARY DATA'!H:H,'SUMMARY DATA'!$A:$A=$A1110,'SUMMARY DATA'!$C:$C=$B1110,'SUMMARY DATA'!$B:$B=""RWS"",'SUMMARY DATA'!$H:$H=$D1110)),
  IF(
    OR(
      ISNUMBER(SEARCH(""CDM CASH DEPOSIT"",$C1110)),
      ISNUMB"&amp;"ER(SEARCH(""CASH DEPOSIT"",$C1110))
    ),
    """",
    IFERROR(TEXTJOIN(CHAR(10),TRUE,FILTER('SUMMARY DATA'!H:H,'SUMMARY DATA'!$D:$D=$C1110,'SUMMARY DATA'!$B:$B=""RWS"",'SUMMARY DATA'!$H:$H=$D1110)),"""")
  )
)"),"")</f>
      </c>
      <c r="I1110" s="18" t="str">
        <f>IFERROR(__xludf.DUMMYFUNCTION("IF(H1110="""","""",
SUM(ARRAYFORMULA(VALUE(SPLIT(H1110,CHAR(10)))))
)"),"")</f>
      </c>
      <c r="J1110" s="17" t="str">
        <f>IFERROR(__xludf.DUMMYFUNCTION("IFERROR(
  TEXTJOIN(CHAR(10),TRUE,FILTER('SUMMARY DATA'!I:I,'SUMMARY DATA'!$A:$A=$A1110,'SUMMARY DATA'!$C:$C=$B1110,'SUMMARY DATA'!$B:$B=""RWS"")),
  IF(
    OR(
      ISNUMBER(SEARCH(""CDM CASH DEPOSIT"",$C1110)),
      ISNUMBER(SEARCH(""CASH DEPOSIT"",$"&amp;"C1110)),
      COUNTIFS('SUMMARY DATA'!$D:$D,$C1110,'SUMMARY DATA'!$B:$B,""RWS"")&lt;&gt;1
    ),
    """",
    IFERROR(TEXTJOIN(CHAR(10),TRUE,FILTER('SUMMARY DATA'!I:I,'SUMMARY DATA'!$D:$D=$C1110,'SUMMARY DATA'!$B:$B=""RWS"")),"""")
  )
)"),"")</f>
      </c>
      <c r="K1110" s="2"/>
      <c r="L1110" s="2"/>
      <c r="M1110" s="2"/>
      <c r="N1110" s="2"/>
      <c r="O1110" s="2"/>
      <c r="P1110" s="2"/>
      <c r="Q1110" s="2"/>
      <c r="R1110" s="2"/>
      <c r="S1110" s="2"/>
      <c r="T1110" s="2"/>
      <c r="U1110" s="2"/>
      <c r="V1110" s="2"/>
      <c r="W1110" s="2"/>
      <c r="X1110" s="2"/>
      <c r="Y1110" s="2"/>
      <c r="Z1110" s="2"/>
      <c r="AA1110" s="2"/>
      <c r="AB1110" s="2"/>
    </row>
    <row r="1111" spans="1:28" customHeight="true">
      <c r="A1111" s="2"/>
      <c r="B1111" s="31">
        <v>45794</v>
      </c>
      <c r="C1111" s="2" t="s">
        <v>1647</v>
      </c>
      <c r="D1111" s="6">
        <v>10</v>
      </c>
      <c r="E1111" s="16" t="str">
        <f>IFERROR(__xludf.DUMMYFUNCTION("IFERROR(
  TEXTJOIN(CHAR(10),TRUE,FILTER('SUMMARY DATA'!E:E,'SUMMARY DATA'!$A:$A=$A212,'SUMMARY DATA'!$C:$C=$B212,'SUMMARY DATA'!$B:$B=""GRP"")),
  IF(
    OR(
      ISNUMBER(SEARCH(""CDM CASH DEPOSIT"",$C212)),
      ISNUMBER(SEARCH(""CASH DEPOSIT"",$C21"&amp;"2)),
      COUNTIFS('SUMMARY DATA'!$D:$D,$C212,'SUMMARY DATA'!$B:$B,""GRP"")&lt;&gt;1
    ),
    """",
    IFERROR(TEXTJOIN(CHAR(10),TRUE,FILTER('SUMMARY DATA'!E:E,'SUMMARY DATA'!$D:$D=$C212,'SUMMARY DATA'!$B:$B=""GRP"")),"""")
  )
)"),"")</f>
      </c>
      <c r="F1111" s="17" t="str">
        <f>IFERROR(__xludf.DUMMYFUNCTION("IFERROR(
  TEXTJOIN(CHAR(10),TRUE,FILTER('SUMMARY DATA'!F:F,'SUMMARY DATA'!$A:$A=$A212,'SUMMARY DATA'!$C:$C=$B212,'SUMMARY DATA'!$B:$B=""GRP"")),
  IF(
    OR(
      ISNUMBER(SEARCH(""CDM CASH DEPOSIT"",$C212)),
      ISNUMBER(SEARCH(""CASH DEPOSIT"",$C21"&amp;"2)),
      COUNTIFS('SUMMARY DATA'!$D:$D,$C212,'SUMMARY DATA'!$B:$B,""GRP"")&lt;&gt;1
    ),
    """",
    IFERROR(TEXTJOIN(CHAR(10),TRUE,FILTER('SUMMARY DATA'!F:F,'SUMMARY DATA'!$D:$D=$C212,'SUMMARY DATA'!$B:$B=""GRP"")),"""")
  )
)"),"")</f>
      </c>
      <c r="G1111" s="17" t="str">
        <f>IFERROR(__xludf.DUMMYFUNCTION("IFERROR(
  TEXTJOIN(CHAR(10),TRUE,FILTER('SUMMARY DATA'!G:G,'SUMMARY DATA'!$A:$A=$A1111,'SUMMARY DATA'!$C:$C=$B1111,'SUMMARY DATA'!$B:$B=""RWS"")),
  IF(
    OR(
      ISNUMBER(SEARCH(""CDM CASH DEPOSIT"",$C1111)),
      ISNUMBER(SEARCH(""CASH DEPOSIT"",$"&amp;"C1111)),
      COUNTIFS('SUMMARY DATA'!$D:$D,$C1111,'SUMMARY DATA'!$B:$B,""RWS"")&lt;&gt;1
    ),
    """",
    IFERROR(TEXTJOIN(CHAR(10),TRUE,FILTER('SUMMARY DATA'!G:G,'SUMMARY DATA'!$D:$D=$C1111,'SUMMARY DATA'!$B:$B=""RWS"")),"""")
  )
)"),"")</f>
      </c>
      <c r="H1111" s="18" t="str">
        <f>IFERROR(__xludf.DUMMYFUNCTION("IFERROR(
  TEXTJOIN(CHAR(10),TRUE,FILTER('SUMMARY DATA'!H:H,'SUMMARY DATA'!$A:$A=$A1111,'SUMMARY DATA'!$C:$C=$B1111,'SUMMARY DATA'!$B:$B=""RWS"",'SUMMARY DATA'!$H:$H=$D1111)),
  IF(
    OR(
      ISNUMBER(SEARCH(""CDM CASH DEPOSIT"",$C1111)),
      ISNUMB"&amp;"ER(SEARCH(""CASH DEPOSIT"",$C1111))
    ),
    """",
    IFERROR(TEXTJOIN(CHAR(10),TRUE,FILTER('SUMMARY DATA'!H:H,'SUMMARY DATA'!$D:$D=$C1111,'SUMMARY DATA'!$B:$B=""RWS"",'SUMMARY DATA'!$H:$H=$D1111)),"""")
  )
)"),"")</f>
      </c>
      <c r="I1111" s="18" t="str">
        <f>IFERROR(__xludf.DUMMYFUNCTION("IF(H1111="""","""",
SUM(ARRAYFORMULA(VALUE(SPLIT(H1111,CHAR(10)))))
)"),"")</f>
      </c>
      <c r="J1111" s="17" t="str">
        <f>IFERROR(__xludf.DUMMYFUNCTION("IFERROR(
  TEXTJOIN(CHAR(10),TRUE,FILTER('SUMMARY DATA'!I:I,'SUMMARY DATA'!$A:$A=$A1111,'SUMMARY DATA'!$C:$C=$B1111,'SUMMARY DATA'!$B:$B=""RWS"")),
  IF(
    OR(
      ISNUMBER(SEARCH(""CDM CASH DEPOSIT"",$C1111)),
      ISNUMBER(SEARCH(""CASH DEPOSIT"",$"&amp;"C1111)),
      COUNTIFS('SUMMARY DATA'!$D:$D,$C1111,'SUMMARY DATA'!$B:$B,""RWS"")&lt;&gt;1
    ),
    """",
    IFERROR(TEXTJOIN(CHAR(10),TRUE,FILTER('SUMMARY DATA'!I:I,'SUMMARY DATA'!$D:$D=$C1111,'SUMMARY DATA'!$B:$B=""RWS"")),"""")
  )
)"),"")</f>
      </c>
      <c r="K1111" s="2"/>
      <c r="L1111" s="2"/>
      <c r="M1111" s="2"/>
      <c r="N1111" s="2"/>
      <c r="O1111" s="2"/>
      <c r="P1111" s="2"/>
      <c r="Q1111" s="2"/>
      <c r="R1111" s="2"/>
      <c r="S1111" s="2"/>
      <c r="T1111" s="2"/>
      <c r="U1111" s="2"/>
      <c r="V1111" s="2"/>
      <c r="W1111" s="2"/>
      <c r="X1111" s="2"/>
      <c r="Y1111" s="2"/>
      <c r="Z1111" s="2"/>
      <c r="AA1111" s="2"/>
      <c r="AB1111" s="2"/>
    </row>
    <row r="1112" spans="1:28" customHeight="true">
      <c r="A1112" s="2"/>
      <c r="B1112" s="31">
        <v>45795</v>
      </c>
      <c r="C1112" s="2" t="s">
        <v>1648</v>
      </c>
      <c r="D1112" s="6">
        <v>425.47</v>
      </c>
      <c r="E1112" s="16" t="str">
        <f>IFERROR(__xludf.DUMMYFUNCTION("IFERROR(
  TEXTJOIN(CHAR(10),TRUE,FILTER('SUMMARY DATA'!E:E,'SUMMARY DATA'!$A:$A=$A213,'SUMMARY DATA'!$C:$C=$B213,'SUMMARY DATA'!$B:$B=""GRP"")),
  IF(
    OR(
      ISNUMBER(SEARCH(""CDM CASH DEPOSIT"",$C213)),
      ISNUMBER(SEARCH(""CASH DEPOSIT"",$C21"&amp;"3)),
      COUNTIFS('SUMMARY DATA'!$D:$D,$C213,'SUMMARY DATA'!$B:$B,""GRP"")&lt;&gt;1
    ),
    """",
    IFERROR(TEXTJOIN(CHAR(10),TRUE,FILTER('SUMMARY DATA'!E:E,'SUMMARY DATA'!$D:$D=$C213,'SUMMARY DATA'!$B:$B=""GRP"")),"""")
  )
)"),"")</f>
      </c>
      <c r="F1112" s="17" t="str">
        <f>IFERROR(__xludf.DUMMYFUNCTION("IFERROR(
  TEXTJOIN(CHAR(10),TRUE,FILTER('SUMMARY DATA'!F:F,'SUMMARY DATA'!$A:$A=$A213,'SUMMARY DATA'!$C:$C=$B213,'SUMMARY DATA'!$B:$B=""GRP"")),
  IF(
    OR(
      ISNUMBER(SEARCH(""CDM CASH DEPOSIT"",$C213)),
      ISNUMBER(SEARCH(""CASH DEPOSIT"",$C21"&amp;"3)),
      COUNTIFS('SUMMARY DATA'!$D:$D,$C213,'SUMMARY DATA'!$B:$B,""GRP"")&lt;&gt;1
    ),
    """",
    IFERROR(TEXTJOIN(CHAR(10),TRUE,FILTER('SUMMARY DATA'!F:F,'SUMMARY DATA'!$D:$D=$C213,'SUMMARY DATA'!$B:$B=""GRP"")),"""")
  )
)"),"")</f>
      </c>
      <c r="G1112" s="17" t="str">
        <f>IFERROR(__xludf.DUMMYFUNCTION("IFERROR(
  TEXTJOIN(CHAR(10),TRUE,FILTER('SUMMARY DATA'!G:G,'SUMMARY DATA'!$A:$A=$A1112,'SUMMARY DATA'!$C:$C=$B1112,'SUMMARY DATA'!$B:$B=""RWS"")),
  IF(
    OR(
      ISNUMBER(SEARCH(""CDM CASH DEPOSIT"",$C1112)),
      ISNUMBER(SEARCH(""CASH DEPOSIT"",$"&amp;"C1112)),
      COUNTIFS('SUMMARY DATA'!$D:$D,$C1112,'SUMMARY DATA'!$B:$B,""RWS"")&lt;&gt;1
    ),
    """",
    IFERROR(TEXTJOIN(CHAR(10),TRUE,FILTER('SUMMARY DATA'!G:G,'SUMMARY DATA'!$D:$D=$C1112,'SUMMARY DATA'!$B:$B=""RWS"")),"""")
  )
)"),"")</f>
      </c>
      <c r="H1112" s="18" t="str">
        <f>IFERROR(__xludf.DUMMYFUNCTION("IFERROR(
  TEXTJOIN(CHAR(10),TRUE,FILTER('SUMMARY DATA'!H:H,'SUMMARY DATA'!$A:$A=$A1112,'SUMMARY DATA'!$C:$C=$B1112,'SUMMARY DATA'!$B:$B=""RWS"",'SUMMARY DATA'!$H:$H=$D1112)),
  IF(
    OR(
      ISNUMBER(SEARCH(""CDM CASH DEPOSIT"",$C1112)),
      ISNUMB"&amp;"ER(SEARCH(""CASH DEPOSIT"",$C1112))
    ),
    """",
    IFERROR(TEXTJOIN(CHAR(10),TRUE,FILTER('SUMMARY DATA'!H:H,'SUMMARY DATA'!$D:$D=$C1112,'SUMMARY DATA'!$B:$B=""RWS"",'SUMMARY DATA'!$H:$H=$D1112)),"""")
  )
)"),"")</f>
      </c>
      <c r="I1112" s="18" t="str">
        <f>IFERROR(__xludf.DUMMYFUNCTION("IF(H1112="""","""",
SUM(ARRAYFORMULA(VALUE(SPLIT(H1112,CHAR(10)))))
)"),"")</f>
      </c>
      <c r="J1112" s="17" t="str">
        <f>IFERROR(__xludf.DUMMYFUNCTION("IFERROR(
  TEXTJOIN(CHAR(10),TRUE,FILTER('SUMMARY DATA'!I:I,'SUMMARY DATA'!$A:$A=$A1112,'SUMMARY DATA'!$C:$C=$B1112,'SUMMARY DATA'!$B:$B=""RWS"")),
  IF(
    OR(
      ISNUMBER(SEARCH(""CDM CASH DEPOSIT"",$C1112)),
      ISNUMBER(SEARCH(""CASH DEPOSIT"",$"&amp;"C1112)),
      COUNTIFS('SUMMARY DATA'!$D:$D,$C1112,'SUMMARY DATA'!$B:$B,""RWS"")&lt;&gt;1
    ),
    """",
    IFERROR(TEXTJOIN(CHAR(10),TRUE,FILTER('SUMMARY DATA'!I:I,'SUMMARY DATA'!$D:$D=$C1112,'SUMMARY DATA'!$B:$B=""RWS"")),"""")
  )
)"),"")</f>
      </c>
      <c r="K1112" s="2"/>
      <c r="L1112" s="2"/>
      <c r="M1112" s="2"/>
      <c r="N1112" s="2"/>
      <c r="O1112" s="2"/>
      <c r="P1112" s="2"/>
      <c r="Q1112" s="2"/>
      <c r="R1112" s="2"/>
      <c r="S1112" s="2"/>
      <c r="T1112" s="2"/>
      <c r="U1112" s="2"/>
      <c r="V1112" s="2"/>
      <c r="W1112" s="2"/>
      <c r="X1112" s="2"/>
      <c r="Y1112" s="2"/>
      <c r="Z1112" s="2"/>
      <c r="AA1112" s="2"/>
      <c r="AB1112" s="2"/>
    </row>
    <row r="1113" spans="1:28" customHeight="true">
      <c r="A1113" s="2"/>
      <c r="B1113" s="31">
        <v>45795</v>
      </c>
      <c r="C1113" s="2" t="s">
        <v>1649</v>
      </c>
      <c r="D1113" s="6">
        <v>161.98</v>
      </c>
      <c r="E1113" s="16" t="str">
        <f>IFERROR(__xludf.DUMMYFUNCTION("IFERROR(
  TEXTJOIN(CHAR(10),TRUE,FILTER('SUMMARY DATA'!E:E,'SUMMARY DATA'!$A:$A=$A214,'SUMMARY DATA'!$C:$C=$B214,'SUMMARY DATA'!$B:$B=""GRP"")),
  IF(
    OR(
      ISNUMBER(SEARCH(""CDM CASH DEPOSIT"",$C214)),
      ISNUMBER(SEARCH(""CASH DEPOSIT"",$C21"&amp;"4)),
      COUNTIFS('SUMMARY DATA'!$D:$D,$C214,'SUMMARY DATA'!$B:$B,""GRP"")&lt;&gt;1
    ),
    """",
    IFERROR(TEXTJOIN(CHAR(10),TRUE,FILTER('SUMMARY DATA'!E:E,'SUMMARY DATA'!$D:$D=$C214,'SUMMARY DATA'!$B:$B=""GRP"")),"""")
  )
)"),"")</f>
      </c>
      <c r="F1113" s="17" t="str">
        <f>IFERROR(__xludf.DUMMYFUNCTION("IFERROR(
  TEXTJOIN(CHAR(10),TRUE,FILTER('SUMMARY DATA'!F:F,'SUMMARY DATA'!$A:$A=$A214,'SUMMARY DATA'!$C:$C=$B214,'SUMMARY DATA'!$B:$B=""GRP"")),
  IF(
    OR(
      ISNUMBER(SEARCH(""CDM CASH DEPOSIT"",$C214)),
      ISNUMBER(SEARCH(""CASH DEPOSIT"",$C21"&amp;"4)),
      COUNTIFS('SUMMARY DATA'!$D:$D,$C214,'SUMMARY DATA'!$B:$B,""GRP"")&lt;&gt;1
    ),
    """",
    IFERROR(TEXTJOIN(CHAR(10),TRUE,FILTER('SUMMARY DATA'!F:F,'SUMMARY DATA'!$D:$D=$C214,'SUMMARY DATA'!$B:$B=""GRP"")),"""")
  )
)"),"")</f>
      </c>
      <c r="G1113" s="17" t="str">
        <f>IFERROR(__xludf.DUMMYFUNCTION("IFERROR(
  TEXTJOIN(CHAR(10),TRUE,FILTER('SUMMARY DATA'!G:G,'SUMMARY DATA'!$A:$A=$A1113,'SUMMARY DATA'!$C:$C=$B1113,'SUMMARY DATA'!$B:$B=""RWS"")),
  IF(
    OR(
      ISNUMBER(SEARCH(""CDM CASH DEPOSIT"",$C1113)),
      ISNUMBER(SEARCH(""CASH DEPOSIT"",$"&amp;"C1113)),
      COUNTIFS('SUMMARY DATA'!$D:$D,$C1113,'SUMMARY DATA'!$B:$B,""RWS"")&lt;&gt;1
    ),
    """",
    IFERROR(TEXTJOIN(CHAR(10),TRUE,FILTER('SUMMARY DATA'!G:G,'SUMMARY DATA'!$D:$D=$C1113,'SUMMARY DATA'!$B:$B=""RWS"")),"""")
  )
)"),"")</f>
      </c>
      <c r="H1113" s="18" t="str">
        <f>IFERROR(__xludf.DUMMYFUNCTION("IFERROR(
  TEXTJOIN(CHAR(10),TRUE,FILTER('SUMMARY DATA'!H:H,'SUMMARY DATA'!$A:$A=$A1113,'SUMMARY DATA'!$C:$C=$B1113,'SUMMARY DATA'!$B:$B=""RWS"",'SUMMARY DATA'!$H:$H=$D1113)),
  IF(
    OR(
      ISNUMBER(SEARCH(""CDM CASH DEPOSIT"",$C1113)),
      ISNUMB"&amp;"ER(SEARCH(""CASH DEPOSIT"",$C1113))
    ),
    """",
    IFERROR(TEXTJOIN(CHAR(10),TRUE,FILTER('SUMMARY DATA'!H:H,'SUMMARY DATA'!$D:$D=$C1113,'SUMMARY DATA'!$B:$B=""RWS"",'SUMMARY DATA'!$H:$H=$D1113)),"""")
  )
)"),"")</f>
      </c>
      <c r="I1113" s="18" t="str">
        <f>IFERROR(__xludf.DUMMYFUNCTION("IF(H1113="""","""",
SUM(ARRAYFORMULA(VALUE(SPLIT(H1113,CHAR(10)))))
)"),"")</f>
      </c>
      <c r="J1113" s="17" t="str">
        <f>IFERROR(__xludf.DUMMYFUNCTION("IFERROR(
  TEXTJOIN(CHAR(10),TRUE,FILTER('SUMMARY DATA'!I:I,'SUMMARY DATA'!$A:$A=$A1113,'SUMMARY DATA'!$C:$C=$B1113,'SUMMARY DATA'!$B:$B=""RWS"")),
  IF(
    OR(
      ISNUMBER(SEARCH(""CDM CASH DEPOSIT"",$C1113)),
      ISNUMBER(SEARCH(""CASH DEPOSIT"",$"&amp;"C1113)),
      COUNTIFS('SUMMARY DATA'!$D:$D,$C1113,'SUMMARY DATA'!$B:$B,""RWS"")&lt;&gt;1
    ),
    """",
    IFERROR(TEXTJOIN(CHAR(10),TRUE,FILTER('SUMMARY DATA'!I:I,'SUMMARY DATA'!$D:$D=$C1113,'SUMMARY DATA'!$B:$B=""RWS"")),"""")
  )
)"),"")</f>
      </c>
      <c r="K1113" s="2"/>
      <c r="L1113" s="2"/>
      <c r="M1113" s="2"/>
      <c r="N1113" s="2"/>
      <c r="O1113" s="2"/>
      <c r="P1113" s="2"/>
      <c r="Q1113" s="2"/>
      <c r="R1113" s="2"/>
      <c r="S1113" s="2"/>
      <c r="T1113" s="2"/>
      <c r="U1113" s="2"/>
      <c r="V1113" s="2"/>
      <c r="W1113" s="2"/>
      <c r="X1113" s="2"/>
      <c r="Y1113" s="2"/>
      <c r="Z1113" s="2"/>
      <c r="AA1113" s="2"/>
      <c r="AB1113" s="2"/>
    </row>
    <row r="1114" spans="1:28" customHeight="true">
      <c r="A1114" s="2" t="s">
        <v>1650</v>
      </c>
      <c r="B1114" s="31">
        <v>45795</v>
      </c>
      <c r="C1114" s="2" t="s">
        <v>1651</v>
      </c>
      <c r="D1114" s="6">
        <v>118.76</v>
      </c>
      <c r="E1114" s="16" t="str">
        <f>IFERROR(__xludf.DUMMYFUNCTION("IFERROR(
  TEXTJOIN(CHAR(10),TRUE,FILTER('SUMMARY DATA'!E:E,'SUMMARY DATA'!$A:$A=$A215,'SUMMARY DATA'!$C:$C=$B215,'SUMMARY DATA'!$B:$B=""GRP"")),
  IF(
    OR(
      ISNUMBER(SEARCH(""CDM CASH DEPOSIT"",$C215)),
      ISNUMBER(SEARCH(""CASH DEPOSIT"",$C21"&amp;"5)),
      COUNTIFS('SUMMARY DATA'!$D:$D,$C215,'SUMMARY DATA'!$B:$B,""GRP"")&lt;&gt;1
    ),
    """",
    IFERROR(TEXTJOIN(CHAR(10),TRUE,FILTER('SUMMARY DATA'!E:E,'SUMMARY DATA'!$D:$D=$C215,'SUMMARY DATA'!$B:$B=""GRP"")),"""")
  )
)"),"")</f>
      </c>
      <c r="F1114" s="17" t="str">
        <f>IFERROR(__xludf.DUMMYFUNCTION("IFERROR(
  TEXTJOIN(CHAR(10),TRUE,FILTER('SUMMARY DATA'!F:F,'SUMMARY DATA'!$A:$A=$A215,'SUMMARY DATA'!$C:$C=$B215,'SUMMARY DATA'!$B:$B=""GRP"")),
  IF(
    OR(
      ISNUMBER(SEARCH(""CDM CASH DEPOSIT"",$C215)),
      ISNUMBER(SEARCH(""CASH DEPOSIT"",$C21"&amp;"5)),
      COUNTIFS('SUMMARY DATA'!$D:$D,$C215,'SUMMARY DATA'!$B:$B,""GRP"")&lt;&gt;1
    ),
    """",
    IFERROR(TEXTJOIN(CHAR(10),TRUE,FILTER('SUMMARY DATA'!F:F,'SUMMARY DATA'!$D:$D=$C215,'SUMMARY DATA'!$B:$B=""GRP"")),"""")
  )
)"),"")</f>
      </c>
      <c r="G1114" s="17" t="str">
        <f>IFERROR(__xludf.DUMMYFUNCTION("IFERROR(
  TEXTJOIN(CHAR(10),TRUE,FILTER('SUMMARY DATA'!G:G,'SUMMARY DATA'!$A:$A=$A1114,'SUMMARY DATA'!$C:$C=$B1114,'SUMMARY DATA'!$B:$B=""RWS"")),
  IF(
    OR(
      ISNUMBER(SEARCH(""CDM CASH DEPOSIT"",$C1114)),
      ISNUMBER(SEARCH(""CASH DEPOSIT"",$"&amp;"C1114)),
      COUNTIFS('SUMMARY DATA'!$D:$D,$C1114,'SUMMARY DATA'!$B:$B,""RWS"")&lt;&gt;1
    ),
    """",
    IFERROR(TEXTJOIN(CHAR(10),TRUE,FILTER('SUMMARY DATA'!G:G,'SUMMARY DATA'!$D:$D=$C1114,'SUMMARY DATA'!$B:$B=""RWS"")),"""")
  )
)"),"")</f>
      </c>
      <c r="H1114" s="18" t="str">
        <f>IFERROR(__xludf.DUMMYFUNCTION("IFERROR(
  TEXTJOIN(CHAR(10),TRUE,FILTER('SUMMARY DATA'!H:H,'SUMMARY DATA'!$A:$A=$A1114,'SUMMARY DATA'!$C:$C=$B1114,'SUMMARY DATA'!$B:$B=""RWS"",'SUMMARY DATA'!$H:$H=$D1114)),
  IF(
    OR(
      ISNUMBER(SEARCH(""CDM CASH DEPOSIT"",$C1114)),
      ISNUMB"&amp;"ER(SEARCH(""CASH DEPOSIT"",$C1114))
    ),
    """",
    IFERROR(TEXTJOIN(CHAR(10),TRUE,FILTER('SUMMARY DATA'!H:H,'SUMMARY DATA'!$D:$D=$C1114,'SUMMARY DATA'!$B:$B=""RWS"",'SUMMARY DATA'!$H:$H=$D1114)),"""")
  )
)"),"")</f>
      </c>
      <c r="I1114" s="18" t="str">
        <f>IFERROR(__xludf.DUMMYFUNCTION("IF(H1114="""","""",
SUM(ARRAYFORMULA(VALUE(SPLIT(H1114,CHAR(10)))))
)"),"")</f>
      </c>
      <c r="J1114" s="17" t="str">
        <f>IFERROR(__xludf.DUMMYFUNCTION("IFERROR(
  TEXTJOIN(CHAR(10),TRUE,FILTER('SUMMARY DATA'!I:I,'SUMMARY DATA'!$A:$A=$A1114,'SUMMARY DATA'!$C:$C=$B1114,'SUMMARY DATA'!$B:$B=""RWS"")),
  IF(
    OR(
      ISNUMBER(SEARCH(""CDM CASH DEPOSIT"",$C1114)),
      ISNUMBER(SEARCH(""CASH DEPOSIT"",$"&amp;"C1114)),
      COUNTIFS('SUMMARY DATA'!$D:$D,$C1114,'SUMMARY DATA'!$B:$B,""RWS"")&lt;&gt;1
    ),
    """",
    IFERROR(TEXTJOIN(CHAR(10),TRUE,FILTER('SUMMARY DATA'!I:I,'SUMMARY DATA'!$D:$D=$C1114,'SUMMARY DATA'!$B:$B=""RWS"")),"""")
  )
)"),"")</f>
      </c>
      <c r="K1114" s="2"/>
      <c r="L1114" s="2"/>
      <c r="M1114" s="2"/>
      <c r="N1114" s="2"/>
      <c r="O1114" s="2"/>
      <c r="P1114" s="2"/>
      <c r="Q1114" s="2"/>
      <c r="R1114" s="2"/>
      <c r="S1114" s="2"/>
      <c r="T1114" s="2"/>
      <c r="U1114" s="2"/>
      <c r="V1114" s="2"/>
      <c r="W1114" s="2"/>
      <c r="X1114" s="2"/>
      <c r="Y1114" s="2"/>
      <c r="Z1114" s="2"/>
      <c r="AA1114" s="2"/>
      <c r="AB1114" s="2"/>
    </row>
    <row r="1115" spans="1:28" customHeight="true">
      <c r="A1115" s="2"/>
      <c r="B1115" s="31">
        <v>45795</v>
      </c>
      <c r="C1115" s="2" t="s">
        <v>1652</v>
      </c>
      <c r="D1115" s="6">
        <v>49.39</v>
      </c>
      <c r="E1115" s="16" t="str">
        <f>IFERROR(__xludf.DUMMYFUNCTION("IFERROR(
  TEXTJOIN(CHAR(10),TRUE,FILTER('SUMMARY DATA'!E:E,'SUMMARY DATA'!$A:$A=$A216,'SUMMARY DATA'!$C:$C=$B216,'SUMMARY DATA'!$B:$B=""GRP"")),
  IF(
    OR(
      ISNUMBER(SEARCH(""CDM CASH DEPOSIT"",$C216)),
      ISNUMBER(SEARCH(""CASH DEPOSIT"",$C21"&amp;"6)),
      COUNTIFS('SUMMARY DATA'!$D:$D,$C216,'SUMMARY DATA'!$B:$B,""GRP"")&lt;&gt;1
    ),
    """",
    IFERROR(TEXTJOIN(CHAR(10),TRUE,FILTER('SUMMARY DATA'!E:E,'SUMMARY DATA'!$D:$D=$C216,'SUMMARY DATA'!$B:$B=""GRP"")),"""")
  )
)"),"")</f>
      </c>
      <c r="F1115" s="17" t="str">
        <f>IFERROR(__xludf.DUMMYFUNCTION("IFERROR(
  TEXTJOIN(CHAR(10),TRUE,FILTER('SUMMARY DATA'!F:F,'SUMMARY DATA'!$A:$A=$A216,'SUMMARY DATA'!$C:$C=$B216,'SUMMARY DATA'!$B:$B=""GRP"")),
  IF(
    OR(
      ISNUMBER(SEARCH(""CDM CASH DEPOSIT"",$C216)),
      ISNUMBER(SEARCH(""CASH DEPOSIT"",$C21"&amp;"6)),
      COUNTIFS('SUMMARY DATA'!$D:$D,$C216,'SUMMARY DATA'!$B:$B,""GRP"")&lt;&gt;1
    ),
    """",
    IFERROR(TEXTJOIN(CHAR(10),TRUE,FILTER('SUMMARY DATA'!F:F,'SUMMARY DATA'!$D:$D=$C216,'SUMMARY DATA'!$B:$B=""GRP"")),"""")
  )
)"),"")</f>
      </c>
      <c r="G1115" s="17" t="str">
        <f>IFERROR(__xludf.DUMMYFUNCTION("IFERROR(
  TEXTJOIN(CHAR(10),TRUE,FILTER('SUMMARY DATA'!G:G,'SUMMARY DATA'!$A:$A=$A1115,'SUMMARY DATA'!$C:$C=$B1115,'SUMMARY DATA'!$B:$B=""RWS"")),
  IF(
    OR(
      ISNUMBER(SEARCH(""CDM CASH DEPOSIT"",$C1115)),
      ISNUMBER(SEARCH(""CASH DEPOSIT"",$"&amp;"C1115)),
      COUNTIFS('SUMMARY DATA'!$D:$D,$C1115,'SUMMARY DATA'!$B:$B,""RWS"")&lt;&gt;1
    ),
    """",
    IFERROR(TEXTJOIN(CHAR(10),TRUE,FILTER('SUMMARY DATA'!G:G,'SUMMARY DATA'!$D:$D=$C1115,'SUMMARY DATA'!$B:$B=""RWS"")),"""")
  )
)"),"")</f>
      </c>
      <c r="H1115" s="18" t="str">
        <f>IFERROR(__xludf.DUMMYFUNCTION("IFERROR(
  TEXTJOIN(CHAR(10),TRUE,FILTER('SUMMARY DATA'!H:H,'SUMMARY DATA'!$A:$A=$A1115,'SUMMARY DATA'!$C:$C=$B1115,'SUMMARY DATA'!$B:$B=""RWS"",'SUMMARY DATA'!$H:$H=$D1115)),
  IF(
    OR(
      ISNUMBER(SEARCH(""CDM CASH DEPOSIT"",$C1115)),
      ISNUMB"&amp;"ER(SEARCH(""CASH DEPOSIT"",$C1115))
    ),
    """",
    IFERROR(TEXTJOIN(CHAR(10),TRUE,FILTER('SUMMARY DATA'!H:H,'SUMMARY DATA'!$D:$D=$C1115,'SUMMARY DATA'!$B:$B=""RWS"",'SUMMARY DATA'!$H:$H=$D1115)),"""")
  )
)"),"")</f>
      </c>
      <c r="I1115" s="18" t="str">
        <f>IFERROR(__xludf.DUMMYFUNCTION("IF(H1115="""","""",
SUM(ARRAYFORMULA(VALUE(SPLIT(H1115,CHAR(10)))))
)"),"")</f>
      </c>
      <c r="J1115" s="17" t="str">
        <f>IFERROR(__xludf.DUMMYFUNCTION("IFERROR(
  TEXTJOIN(CHAR(10),TRUE,FILTER('SUMMARY DATA'!I:I,'SUMMARY DATA'!$A:$A=$A1115,'SUMMARY DATA'!$C:$C=$B1115,'SUMMARY DATA'!$B:$B=""RWS"")),
  IF(
    OR(
      ISNUMBER(SEARCH(""CDM CASH DEPOSIT"",$C1115)),
      ISNUMBER(SEARCH(""CASH DEPOSIT"",$"&amp;"C1115)),
      COUNTIFS('SUMMARY DATA'!$D:$D,$C1115,'SUMMARY DATA'!$B:$B,""RWS"")&lt;&gt;1
    ),
    """",
    IFERROR(TEXTJOIN(CHAR(10),TRUE,FILTER('SUMMARY DATA'!I:I,'SUMMARY DATA'!$D:$D=$C1115,'SUMMARY DATA'!$B:$B=""RWS"")),"""")
  )
)"),"")</f>
      </c>
      <c r="K1115" s="2"/>
      <c r="L1115" s="2"/>
      <c r="M1115" s="2"/>
      <c r="N1115" s="2"/>
      <c r="O1115" s="2"/>
      <c r="P1115" s="2"/>
      <c r="Q1115" s="2"/>
      <c r="R1115" s="2"/>
      <c r="S1115" s="2"/>
      <c r="T1115" s="2"/>
      <c r="U1115" s="2"/>
      <c r="V1115" s="2"/>
      <c r="W1115" s="2"/>
      <c r="X1115" s="2"/>
      <c r="Y1115" s="2"/>
      <c r="Z1115" s="2"/>
      <c r="AA1115" s="2"/>
      <c r="AB1115" s="2"/>
    </row>
    <row r="1116" spans="1:28" customHeight="true">
      <c r="A1116" s="2"/>
      <c r="B1116" s="31">
        <v>45795</v>
      </c>
      <c r="C1116" s="2" t="s">
        <v>1653</v>
      </c>
      <c r="D1116" s="6">
        <v>10</v>
      </c>
      <c r="E1116" s="16" t="str">
        <f>IFERROR(__xludf.DUMMYFUNCTION("IFERROR(
  TEXTJOIN(CHAR(10),TRUE,FILTER('SUMMARY DATA'!E:E,'SUMMARY DATA'!$A:$A=$A217,'SUMMARY DATA'!$C:$C=$B217,'SUMMARY DATA'!$B:$B=""GRP"")),
  IF(
    OR(
      ISNUMBER(SEARCH(""CDM CASH DEPOSIT"",$C217)),
      ISNUMBER(SEARCH(""CASH DEPOSIT"",$C21"&amp;"7)),
      COUNTIFS('SUMMARY DATA'!$D:$D,$C217,'SUMMARY DATA'!$B:$B,""GRP"")&lt;&gt;1
    ),
    """",
    IFERROR(TEXTJOIN(CHAR(10),TRUE,FILTER('SUMMARY DATA'!E:E,'SUMMARY DATA'!$D:$D=$C217,'SUMMARY DATA'!$B:$B=""GRP"")),"""")
  )
)"),"")</f>
      </c>
      <c r="F1116" s="17" t="str">
        <f>IFERROR(__xludf.DUMMYFUNCTION("IFERROR(
  TEXTJOIN(CHAR(10),TRUE,FILTER('SUMMARY DATA'!F:F,'SUMMARY DATA'!$A:$A=$A217,'SUMMARY DATA'!$C:$C=$B217,'SUMMARY DATA'!$B:$B=""GRP"")),
  IF(
    OR(
      ISNUMBER(SEARCH(""CDM CASH DEPOSIT"",$C217)),
      ISNUMBER(SEARCH(""CASH DEPOSIT"",$C21"&amp;"7)),
      COUNTIFS('SUMMARY DATA'!$D:$D,$C217,'SUMMARY DATA'!$B:$B,""GRP"")&lt;&gt;1
    ),
    """",
    IFERROR(TEXTJOIN(CHAR(10),TRUE,FILTER('SUMMARY DATA'!F:F,'SUMMARY DATA'!$D:$D=$C217,'SUMMARY DATA'!$B:$B=""GRP"")),"""")
  )
)"),"")</f>
      </c>
      <c r="G1116" s="17" t="str">
        <f>IFERROR(__xludf.DUMMYFUNCTION("IFERROR(
  TEXTJOIN(CHAR(10),TRUE,FILTER('SUMMARY DATA'!G:G,'SUMMARY DATA'!$A:$A=$A1116,'SUMMARY DATA'!$C:$C=$B1116,'SUMMARY DATA'!$B:$B=""RWS"")),
  IF(
    OR(
      ISNUMBER(SEARCH(""CDM CASH DEPOSIT"",$C1116)),
      ISNUMBER(SEARCH(""CASH DEPOSIT"",$"&amp;"C1116)),
      COUNTIFS('SUMMARY DATA'!$D:$D,$C1116,'SUMMARY DATA'!$B:$B,""RWS"")&lt;&gt;1
    ),
    """",
    IFERROR(TEXTJOIN(CHAR(10),TRUE,FILTER('SUMMARY DATA'!G:G,'SUMMARY DATA'!$D:$D=$C1116,'SUMMARY DATA'!$B:$B=""RWS"")),"""")
  )
)"),"")</f>
      </c>
      <c r="H1116" s="18" t="str">
        <f>IFERROR(__xludf.DUMMYFUNCTION("IFERROR(
  TEXTJOIN(CHAR(10),TRUE,FILTER('SUMMARY DATA'!H:H,'SUMMARY DATA'!$A:$A=$A1116,'SUMMARY DATA'!$C:$C=$B1116,'SUMMARY DATA'!$B:$B=""RWS"",'SUMMARY DATA'!$H:$H=$D1116)),
  IF(
    OR(
      ISNUMBER(SEARCH(""CDM CASH DEPOSIT"",$C1116)),
      ISNUMB"&amp;"ER(SEARCH(""CASH DEPOSIT"",$C1116))
    ),
    """",
    IFERROR(TEXTJOIN(CHAR(10),TRUE,FILTER('SUMMARY DATA'!H:H,'SUMMARY DATA'!$D:$D=$C1116,'SUMMARY DATA'!$B:$B=""RWS"",'SUMMARY DATA'!$H:$H=$D1116)),"""")
  )
)"),"")</f>
      </c>
      <c r="I1116" s="18" t="str">
        <f>IFERROR(__xludf.DUMMYFUNCTION("IF(H1116="""","""",
SUM(ARRAYFORMULA(VALUE(SPLIT(H1116,CHAR(10)))))
)"),"")</f>
      </c>
      <c r="J1116" s="17" t="str">
        <f>IFERROR(__xludf.DUMMYFUNCTION("IFERROR(
  TEXTJOIN(CHAR(10),TRUE,FILTER('SUMMARY DATA'!I:I,'SUMMARY DATA'!$A:$A=$A1116,'SUMMARY DATA'!$C:$C=$B1116,'SUMMARY DATA'!$B:$B=""RWS"")),
  IF(
    OR(
      ISNUMBER(SEARCH(""CDM CASH DEPOSIT"",$C1116)),
      ISNUMBER(SEARCH(""CASH DEPOSIT"",$"&amp;"C1116)),
      COUNTIFS('SUMMARY DATA'!$D:$D,$C1116,'SUMMARY DATA'!$B:$B,""RWS"")&lt;&gt;1
    ),
    """",
    IFERROR(TEXTJOIN(CHAR(10),TRUE,FILTER('SUMMARY DATA'!I:I,'SUMMARY DATA'!$D:$D=$C1116,'SUMMARY DATA'!$B:$B=""RWS"")),"""")
  )
)"),"")</f>
      </c>
      <c r="K1116" s="2"/>
      <c r="L1116" s="2"/>
      <c r="M1116" s="2"/>
      <c r="N1116" s="2"/>
      <c r="O1116" s="2"/>
      <c r="P1116" s="2"/>
      <c r="Q1116" s="2"/>
      <c r="R1116" s="2"/>
      <c r="S1116" s="2"/>
      <c r="T1116" s="2"/>
      <c r="U1116" s="2"/>
      <c r="V1116" s="2"/>
      <c r="W1116" s="2"/>
      <c r="X1116" s="2"/>
      <c r="Y1116" s="2"/>
      <c r="Z1116" s="2"/>
      <c r="AA1116" s="2"/>
      <c r="AB1116" s="2"/>
    </row>
    <row r="1117" spans="1:28" customHeight="true">
      <c r="A1117" s="2"/>
      <c r="B1117" s="15">
        <v>45795</v>
      </c>
      <c r="C1117" s="2" t="s">
        <v>1654</v>
      </c>
      <c r="D1117" s="6">
        <v>5</v>
      </c>
      <c r="E1117" s="16" t="str">
        <f>IFERROR(__xludf.DUMMYFUNCTION("IFERROR(
  TEXTJOIN(CHAR(10),TRUE,FILTER('SUMMARY DATA'!E:E,'SUMMARY DATA'!$A:$A=$A218,'SUMMARY DATA'!$C:$C=$B218,'SUMMARY DATA'!$B:$B=""GRP"")),
  IF(
    OR(
      ISNUMBER(SEARCH(""CDM CASH DEPOSIT"",$C218)),
      ISNUMBER(SEARCH(""CASH DEPOSIT"",$C21"&amp;"8)),
      COUNTIFS('SUMMARY DATA'!$D:$D,$C218,'SUMMARY DATA'!$B:$B,""GRP"")&lt;&gt;1
    ),
    """",
    IFERROR(TEXTJOIN(CHAR(10),TRUE,FILTER('SUMMARY DATA'!E:E,'SUMMARY DATA'!$D:$D=$C218,'SUMMARY DATA'!$B:$B=""GRP"")),"""")
  )
)"),"")</f>
      </c>
      <c r="F1117" s="17" t="str">
        <f>IFERROR(__xludf.DUMMYFUNCTION("IFERROR(
  TEXTJOIN(CHAR(10),TRUE,FILTER('SUMMARY DATA'!F:F,'SUMMARY DATA'!$A:$A=$A218,'SUMMARY DATA'!$C:$C=$B218,'SUMMARY DATA'!$B:$B=""GRP"")),
  IF(
    OR(
      ISNUMBER(SEARCH(""CDM CASH DEPOSIT"",$C218)),
      ISNUMBER(SEARCH(""CASH DEPOSIT"",$C21"&amp;"8)),
      COUNTIFS('SUMMARY DATA'!$D:$D,$C218,'SUMMARY DATA'!$B:$B,""GRP"")&lt;&gt;1
    ),
    """",
    IFERROR(TEXTJOIN(CHAR(10),TRUE,FILTER('SUMMARY DATA'!F:F,'SUMMARY DATA'!$D:$D=$C218,'SUMMARY DATA'!$B:$B=""GRP"")),"""")
  )
)"),"")</f>
      </c>
      <c r="G1117" s="17" t="str">
        <f>IFERROR(__xludf.DUMMYFUNCTION("IFERROR(
  TEXTJOIN(CHAR(10),TRUE,FILTER('SUMMARY DATA'!G:G,'SUMMARY DATA'!$A:$A=$A1117,'SUMMARY DATA'!$C:$C=$B1117,'SUMMARY DATA'!$B:$B=""RWS"")),
  IF(
    OR(
      ISNUMBER(SEARCH(""CDM CASH DEPOSIT"",$C1117)),
      ISNUMBER(SEARCH(""CASH DEPOSIT"",$"&amp;"C1117)),
      COUNTIFS('SUMMARY DATA'!$D:$D,$C1117,'SUMMARY DATA'!$B:$B,""RWS"")&lt;&gt;1
    ),
    """",
    IFERROR(TEXTJOIN(CHAR(10),TRUE,FILTER('SUMMARY DATA'!G:G,'SUMMARY DATA'!$D:$D=$C1117,'SUMMARY DATA'!$B:$B=""RWS"")),"""")
  )
)"),"")</f>
      </c>
      <c r="H1117" s="18" t="str">
        <f>IFERROR(__xludf.DUMMYFUNCTION("IFERROR(
  TEXTJOIN(CHAR(10),TRUE,FILTER('SUMMARY DATA'!H:H,'SUMMARY DATA'!$A:$A=$A1117,'SUMMARY DATA'!$C:$C=$B1117,'SUMMARY DATA'!$B:$B=""RWS"",'SUMMARY DATA'!$H:$H=$D1117)),
  IF(
    OR(
      ISNUMBER(SEARCH(""CDM CASH DEPOSIT"",$C1117)),
      ISNUMB"&amp;"ER(SEARCH(""CASH DEPOSIT"",$C1117))
    ),
    """",
    IFERROR(TEXTJOIN(CHAR(10),TRUE,FILTER('SUMMARY DATA'!H:H,'SUMMARY DATA'!$D:$D=$C1117,'SUMMARY DATA'!$B:$B=""RWS"",'SUMMARY DATA'!$H:$H=$D1117)),"""")
  )
)"),"")</f>
      </c>
      <c r="I1117" s="18" t="str">
        <f>IFERROR(__xludf.DUMMYFUNCTION("IF(H1117="""","""",
SUM(ARRAYFORMULA(VALUE(SPLIT(H1117,CHAR(10)))))
)"),"")</f>
      </c>
      <c r="J1117" s="17" t="str">
        <f>IFERROR(__xludf.DUMMYFUNCTION("IFERROR(
  TEXTJOIN(CHAR(10),TRUE,FILTER('SUMMARY DATA'!I:I,'SUMMARY DATA'!$A:$A=$A1117,'SUMMARY DATA'!$C:$C=$B1117,'SUMMARY DATA'!$B:$B=""RWS"")),
  IF(
    OR(
      ISNUMBER(SEARCH(""CDM CASH DEPOSIT"",$C1117)),
      ISNUMBER(SEARCH(""CASH DEPOSIT"",$"&amp;"C1117)),
      COUNTIFS('SUMMARY DATA'!$D:$D,$C1117,'SUMMARY DATA'!$B:$B,""RWS"")&lt;&gt;1
    ),
    """",
    IFERROR(TEXTJOIN(CHAR(10),TRUE,FILTER('SUMMARY DATA'!I:I,'SUMMARY DATA'!$D:$D=$C1117,'SUMMARY DATA'!$B:$B=""RWS"")),"""")
  )
)"),"")</f>
      </c>
      <c r="K1117" s="2"/>
      <c r="L1117" s="2"/>
      <c r="M1117" s="2"/>
      <c r="N1117" s="2"/>
      <c r="O1117" s="2"/>
      <c r="P1117" s="2"/>
      <c r="Q1117" s="2"/>
      <c r="R1117" s="2"/>
      <c r="S1117" s="2"/>
      <c r="T1117" s="2"/>
      <c r="U1117" s="2"/>
      <c r="V1117" s="2"/>
      <c r="W1117" s="2"/>
      <c r="X1117" s="2"/>
      <c r="Y1117" s="2"/>
      <c r="Z1117" s="2"/>
      <c r="AA1117" s="2"/>
      <c r="AB1117" s="2"/>
    </row>
    <row r="1118" spans="1:28" customHeight="true">
      <c r="A1118" s="2"/>
      <c r="B1118" s="15">
        <v>45796</v>
      </c>
      <c r="C1118" s="2" t="s">
        <v>1655</v>
      </c>
      <c r="D1118" s="6">
        <v>770.45</v>
      </c>
      <c r="E1118" s="16" t="str">
        <f>IFERROR(__xludf.DUMMYFUNCTION("IFERROR(
  TEXTJOIN(CHAR(10),TRUE,FILTER('SUMMARY DATA'!E:E,'SUMMARY DATA'!$A:$A=$A219,'SUMMARY DATA'!$C:$C=$B219,'SUMMARY DATA'!$B:$B=""GRP"")),
  IF(
    OR(
      ISNUMBER(SEARCH(""CDM CASH DEPOSIT"",$C219)),
      ISNUMBER(SEARCH(""CASH DEPOSIT"",$C21"&amp;"9)),
      COUNTIFS('SUMMARY DATA'!$D:$D,$C219,'SUMMARY DATA'!$B:$B,""GRP"")&lt;&gt;1
    ),
    """",
    IFERROR(TEXTJOIN(CHAR(10),TRUE,FILTER('SUMMARY DATA'!E:E,'SUMMARY DATA'!$D:$D=$C219,'SUMMARY DATA'!$B:$B=""GRP"")),"""")
  )
)"),"")</f>
      </c>
      <c r="F1118" s="17" t="str">
        <f>IFERROR(__xludf.DUMMYFUNCTION("IFERROR(
  TEXTJOIN(CHAR(10),TRUE,FILTER('SUMMARY DATA'!F:F,'SUMMARY DATA'!$A:$A=$A219,'SUMMARY DATA'!$C:$C=$B219,'SUMMARY DATA'!$B:$B=""GRP"")),
  IF(
    OR(
      ISNUMBER(SEARCH(""CDM CASH DEPOSIT"",$C219)),
      ISNUMBER(SEARCH(""CASH DEPOSIT"",$C21"&amp;"9)),
      COUNTIFS('SUMMARY DATA'!$D:$D,$C219,'SUMMARY DATA'!$B:$B,""GRP"")&lt;&gt;1
    ),
    """",
    IFERROR(TEXTJOIN(CHAR(10),TRUE,FILTER('SUMMARY DATA'!F:F,'SUMMARY DATA'!$D:$D=$C219,'SUMMARY DATA'!$B:$B=""GRP"")),"""")
  )
)"),"")</f>
      </c>
      <c r="G1118" s="17" t="str">
        <f>IFERROR(__xludf.DUMMYFUNCTION("IFERROR(
  TEXTJOIN(CHAR(10),TRUE,FILTER('SUMMARY DATA'!G:G,'SUMMARY DATA'!$A:$A=$A1118,'SUMMARY DATA'!$C:$C=$B1118,'SUMMARY DATA'!$B:$B=""RWS"")),
  IF(
    OR(
      ISNUMBER(SEARCH(""CDM CASH DEPOSIT"",$C1118)),
      ISNUMBER(SEARCH(""CASH DEPOSIT"",$"&amp;"C1118)),
      COUNTIFS('SUMMARY DATA'!$D:$D,$C1118,'SUMMARY DATA'!$B:$B,""RWS"")&lt;&gt;1
    ),
    """",
    IFERROR(TEXTJOIN(CHAR(10),TRUE,FILTER('SUMMARY DATA'!G:G,'SUMMARY DATA'!$D:$D=$C1118,'SUMMARY DATA'!$B:$B=""RWS"")),"""")
  )
)"),"")</f>
      </c>
      <c r="H1118" s="18" t="str">
        <f>IFERROR(__xludf.DUMMYFUNCTION("IFERROR(
  TEXTJOIN(CHAR(10),TRUE,FILTER('SUMMARY DATA'!H:H,'SUMMARY DATA'!$A:$A=$A1118,'SUMMARY DATA'!$C:$C=$B1118,'SUMMARY DATA'!$B:$B=""RWS"",'SUMMARY DATA'!$H:$H=$D1118)),
  IF(
    OR(
      ISNUMBER(SEARCH(""CDM CASH DEPOSIT"",$C1118)),
      ISNUMB"&amp;"ER(SEARCH(""CASH DEPOSIT"",$C1118))
    ),
    """",
    IFERROR(TEXTJOIN(CHAR(10),TRUE,FILTER('SUMMARY DATA'!H:H,'SUMMARY DATA'!$D:$D=$C1118,'SUMMARY DATA'!$B:$B=""RWS"",'SUMMARY DATA'!$H:$H=$D1118)),"""")
  )
)"),"")</f>
      </c>
      <c r="I1118" s="18" t="str">
        <f>IFERROR(__xludf.DUMMYFUNCTION("IF(H1118="""","""",
SUM(ARRAYFORMULA(VALUE(SPLIT(H1118,CHAR(10)))))
)"),"")</f>
      </c>
      <c r="J1118" s="17" t="str">
        <f>IFERROR(__xludf.DUMMYFUNCTION("IFERROR(
  TEXTJOIN(CHAR(10),TRUE,FILTER('SUMMARY DATA'!I:I,'SUMMARY DATA'!$A:$A=$A1118,'SUMMARY DATA'!$C:$C=$B1118,'SUMMARY DATA'!$B:$B=""RWS"")),
  IF(
    OR(
      ISNUMBER(SEARCH(""CDM CASH DEPOSIT"",$C1118)),
      ISNUMBER(SEARCH(""CASH DEPOSIT"",$"&amp;"C1118)),
      COUNTIFS('SUMMARY DATA'!$D:$D,$C1118,'SUMMARY DATA'!$B:$B,""RWS"")&lt;&gt;1
    ),
    """",
    IFERROR(TEXTJOIN(CHAR(10),TRUE,FILTER('SUMMARY DATA'!I:I,'SUMMARY DATA'!$D:$D=$C1118,'SUMMARY DATA'!$B:$B=""RWS"")),"""")
  )
)"),"")</f>
      </c>
      <c r="K1118" s="2"/>
      <c r="L1118" s="2"/>
      <c r="M1118" s="2"/>
      <c r="N1118" s="2"/>
      <c r="O1118" s="2"/>
      <c r="P1118" s="2"/>
      <c r="Q1118" s="2"/>
      <c r="R1118" s="2"/>
      <c r="S1118" s="2"/>
      <c r="T1118" s="2"/>
      <c r="U1118" s="2"/>
      <c r="V1118" s="2"/>
      <c r="W1118" s="2"/>
      <c r="X1118" s="2"/>
      <c r="Y1118" s="2"/>
      <c r="Z1118" s="2"/>
      <c r="AA1118" s="2"/>
      <c r="AB1118" s="2"/>
    </row>
    <row r="1119" spans="1:28" customHeight="true">
      <c r="A1119" s="2"/>
      <c r="B1119" s="15">
        <v>45796</v>
      </c>
      <c r="C1119" s="2" t="s">
        <v>1656</v>
      </c>
      <c r="D1119" s="6">
        <v>66</v>
      </c>
      <c r="E1119" s="16" t="str">
        <f>IFERROR(__xludf.DUMMYFUNCTION("IFERROR(
  TEXTJOIN(CHAR(10),TRUE,FILTER('SUMMARY DATA'!E:E,'SUMMARY DATA'!$A:$A=$A220,'SUMMARY DATA'!$C:$C=$B220,'SUMMARY DATA'!$B:$B=""GRP"")),
  IF(
    OR(
      ISNUMBER(SEARCH(""CDM CASH DEPOSIT"",$C220)),
      ISNUMBER(SEARCH(""CASH DEPOSIT"",$C22"&amp;"0)),
      COUNTIFS('SUMMARY DATA'!$D:$D,$C220,'SUMMARY DATA'!$B:$B,""GRP"")&lt;&gt;1
    ),
    """",
    IFERROR(TEXTJOIN(CHAR(10),TRUE,FILTER('SUMMARY DATA'!E:E,'SUMMARY DATA'!$D:$D=$C220,'SUMMARY DATA'!$B:$B=""GRP"")),"""")
  )
)"),"")</f>
      </c>
      <c r="F1119" s="17" t="str">
        <f>IFERROR(__xludf.DUMMYFUNCTION("IFERROR(
  TEXTJOIN(CHAR(10),TRUE,FILTER('SUMMARY DATA'!F:F,'SUMMARY DATA'!$A:$A=$A220,'SUMMARY DATA'!$C:$C=$B220,'SUMMARY DATA'!$B:$B=""GRP"")),
  IF(
    OR(
      ISNUMBER(SEARCH(""CDM CASH DEPOSIT"",$C220)),
      ISNUMBER(SEARCH(""CASH DEPOSIT"",$C22"&amp;"0)),
      COUNTIFS('SUMMARY DATA'!$D:$D,$C220,'SUMMARY DATA'!$B:$B,""GRP"")&lt;&gt;1
    ),
    """",
    IFERROR(TEXTJOIN(CHAR(10),TRUE,FILTER('SUMMARY DATA'!F:F,'SUMMARY DATA'!$D:$D=$C220,'SUMMARY DATA'!$B:$B=""GRP"")),"""")
  )
)"),"")</f>
      </c>
      <c r="G1119" s="17" t="str">
        <f>IFERROR(__xludf.DUMMYFUNCTION("IFERROR(
  TEXTJOIN(CHAR(10),TRUE,FILTER('SUMMARY DATA'!G:G,'SUMMARY DATA'!$A:$A=$A1119,'SUMMARY DATA'!$C:$C=$B1119,'SUMMARY DATA'!$B:$B=""RWS"")),
  IF(
    OR(
      ISNUMBER(SEARCH(""CDM CASH DEPOSIT"",$C1119)),
      ISNUMBER(SEARCH(""CASH DEPOSIT"",$"&amp;"C1119)),
      COUNTIFS('SUMMARY DATA'!$D:$D,$C1119,'SUMMARY DATA'!$B:$B,""RWS"")&lt;&gt;1
    ),
    """",
    IFERROR(TEXTJOIN(CHAR(10),TRUE,FILTER('SUMMARY DATA'!G:G,'SUMMARY DATA'!$D:$D=$C1119,'SUMMARY DATA'!$B:$B=""RWS"")),"""")
  )
)"),"")</f>
      </c>
      <c r="H1119" s="18" t="str">
        <f>IFERROR(__xludf.DUMMYFUNCTION("IFERROR(
  TEXTJOIN(CHAR(10),TRUE,FILTER('SUMMARY DATA'!H:H,'SUMMARY DATA'!$A:$A=$A1119,'SUMMARY DATA'!$C:$C=$B1119,'SUMMARY DATA'!$B:$B=""RWS"",'SUMMARY DATA'!$H:$H=$D1119)),
  IF(
    OR(
      ISNUMBER(SEARCH(""CDM CASH DEPOSIT"",$C1119)),
      ISNUMB"&amp;"ER(SEARCH(""CASH DEPOSIT"",$C1119))
    ),
    """",
    IFERROR(TEXTJOIN(CHAR(10),TRUE,FILTER('SUMMARY DATA'!H:H,'SUMMARY DATA'!$D:$D=$C1119,'SUMMARY DATA'!$B:$B=""RWS"",'SUMMARY DATA'!$H:$H=$D1119)),"""")
  )
)"),"")</f>
      </c>
      <c r="I1119" s="18" t="str">
        <f>IFERROR(__xludf.DUMMYFUNCTION("IF(H1119="""","""",
SUM(ARRAYFORMULA(VALUE(SPLIT(H1119,CHAR(10)))))
)"),"")</f>
      </c>
      <c r="J1119" s="17" t="str">
        <f>IFERROR(__xludf.DUMMYFUNCTION("IFERROR(
  TEXTJOIN(CHAR(10),TRUE,FILTER('SUMMARY DATA'!I:I,'SUMMARY DATA'!$A:$A=$A1119,'SUMMARY DATA'!$C:$C=$B1119,'SUMMARY DATA'!$B:$B=""RWS"")),
  IF(
    OR(
      ISNUMBER(SEARCH(""CDM CASH DEPOSIT"",$C1119)),
      ISNUMBER(SEARCH(""CASH DEPOSIT"",$"&amp;"C1119)),
      COUNTIFS('SUMMARY DATA'!$D:$D,$C1119,'SUMMARY DATA'!$B:$B,""RWS"")&lt;&gt;1
    ),
    """",
    IFERROR(TEXTJOIN(CHAR(10),TRUE,FILTER('SUMMARY DATA'!I:I,'SUMMARY DATA'!$D:$D=$C1119,'SUMMARY DATA'!$B:$B=""RWS"")),"""")
  )
)"),"")</f>
      </c>
      <c r="K1119" s="2"/>
      <c r="L1119" s="2"/>
      <c r="M1119" s="2"/>
      <c r="N1119" s="2"/>
      <c r="O1119" s="2"/>
      <c r="P1119" s="2"/>
      <c r="Q1119" s="2"/>
      <c r="R1119" s="2"/>
      <c r="S1119" s="2"/>
      <c r="T1119" s="2"/>
      <c r="U1119" s="2"/>
      <c r="V1119" s="2"/>
      <c r="W1119" s="2"/>
      <c r="X1119" s="2"/>
      <c r="Y1119" s="2"/>
      <c r="Z1119" s="2"/>
      <c r="AA1119" s="2"/>
      <c r="AB1119" s="2"/>
    </row>
    <row r="1120" spans="1:28" customHeight="true">
      <c r="A1120" s="2"/>
      <c r="B1120" s="15">
        <v>45796</v>
      </c>
      <c r="C1120" s="2" t="s">
        <v>1657</v>
      </c>
      <c r="D1120" s="6">
        <v>56</v>
      </c>
      <c r="E1120" s="16" t="str">
        <f>IFERROR(__xludf.DUMMYFUNCTION("IFERROR(
  TEXTJOIN(CHAR(10),TRUE,FILTER('SUMMARY DATA'!E:E,'SUMMARY DATA'!$A:$A=$A221,'SUMMARY DATA'!$C:$C=$B221,'SUMMARY DATA'!$B:$B=""GRP"")),
  IF(
    OR(
      ISNUMBER(SEARCH(""CDM CASH DEPOSIT"",$C221)),
      ISNUMBER(SEARCH(""CASH DEPOSIT"",$C22"&amp;"1)),
      COUNTIFS('SUMMARY DATA'!$D:$D,$C221,'SUMMARY DATA'!$B:$B,""GRP"")&lt;&gt;1
    ),
    """",
    IFERROR(TEXTJOIN(CHAR(10),TRUE,FILTER('SUMMARY DATA'!E:E,'SUMMARY DATA'!$D:$D=$C221,'SUMMARY DATA'!$B:$B=""GRP"")),"""")
  )
)"),"")</f>
      </c>
      <c r="F1120" s="17" t="str">
        <f>IFERROR(__xludf.DUMMYFUNCTION("IFERROR(
  TEXTJOIN(CHAR(10),TRUE,FILTER('SUMMARY DATA'!F:F,'SUMMARY DATA'!$A:$A=$A221,'SUMMARY DATA'!$C:$C=$B221,'SUMMARY DATA'!$B:$B=""GRP"")),
  IF(
    OR(
      ISNUMBER(SEARCH(""CDM CASH DEPOSIT"",$C221)),
      ISNUMBER(SEARCH(""CASH DEPOSIT"",$C22"&amp;"1)),
      COUNTIFS('SUMMARY DATA'!$D:$D,$C221,'SUMMARY DATA'!$B:$B,""GRP"")&lt;&gt;1
    ),
    """",
    IFERROR(TEXTJOIN(CHAR(10),TRUE,FILTER('SUMMARY DATA'!F:F,'SUMMARY DATA'!$D:$D=$C221,'SUMMARY DATA'!$B:$B=""GRP"")),"""")
  )
)"),"")</f>
      </c>
      <c r="G1120" s="17" t="str">
        <f>IFERROR(__xludf.DUMMYFUNCTION("IFERROR(
  TEXTJOIN(CHAR(10),TRUE,FILTER('SUMMARY DATA'!G:G,'SUMMARY DATA'!$A:$A=$A1120,'SUMMARY DATA'!$C:$C=$B1120,'SUMMARY DATA'!$B:$B=""RWS"")),
  IF(
    OR(
      ISNUMBER(SEARCH(""CDM CASH DEPOSIT"",$C1120)),
      ISNUMBER(SEARCH(""CASH DEPOSIT"",$"&amp;"C1120)),
      COUNTIFS('SUMMARY DATA'!$D:$D,$C1120,'SUMMARY DATA'!$B:$B,""RWS"")&lt;&gt;1
    ),
    """",
    IFERROR(TEXTJOIN(CHAR(10),TRUE,FILTER('SUMMARY DATA'!G:G,'SUMMARY DATA'!$D:$D=$C1120,'SUMMARY DATA'!$B:$B=""RWS"")),"""")
  )
)"),"")</f>
      </c>
      <c r="H1120" s="18" t="str">
        <f>IFERROR(__xludf.DUMMYFUNCTION("IFERROR(
  TEXTJOIN(CHAR(10),TRUE,FILTER('SUMMARY DATA'!H:H,'SUMMARY DATA'!$A:$A=$A1120,'SUMMARY DATA'!$C:$C=$B1120,'SUMMARY DATA'!$B:$B=""RWS"",'SUMMARY DATA'!$H:$H=$D1120)),
  IF(
    OR(
      ISNUMBER(SEARCH(""CDM CASH DEPOSIT"",$C1120)),
      ISNUMB"&amp;"ER(SEARCH(""CASH DEPOSIT"",$C1120))
    ),
    """",
    IFERROR(TEXTJOIN(CHAR(10),TRUE,FILTER('SUMMARY DATA'!H:H,'SUMMARY DATA'!$D:$D=$C1120,'SUMMARY DATA'!$B:$B=""RWS"",'SUMMARY DATA'!$H:$H=$D1120)),"""")
  )
)"),"")</f>
      </c>
      <c r="I1120" s="18" t="str">
        <f>IFERROR(__xludf.DUMMYFUNCTION("IF(H1120="""","""",
SUM(ARRAYFORMULA(VALUE(SPLIT(H1120,CHAR(10)))))
)"),"")</f>
      </c>
      <c r="J1120" s="17" t="str">
        <f>IFERROR(__xludf.DUMMYFUNCTION("IFERROR(
  TEXTJOIN(CHAR(10),TRUE,FILTER('SUMMARY DATA'!I:I,'SUMMARY DATA'!$A:$A=$A1120,'SUMMARY DATA'!$C:$C=$B1120,'SUMMARY DATA'!$B:$B=""RWS"")),
  IF(
    OR(
      ISNUMBER(SEARCH(""CDM CASH DEPOSIT"",$C1120)),
      ISNUMBER(SEARCH(""CASH DEPOSIT"",$"&amp;"C1120)),
      COUNTIFS('SUMMARY DATA'!$D:$D,$C1120,'SUMMARY DATA'!$B:$B,""RWS"")&lt;&gt;1
    ),
    """",
    IFERROR(TEXTJOIN(CHAR(10),TRUE,FILTER('SUMMARY DATA'!I:I,'SUMMARY DATA'!$D:$D=$C1120,'SUMMARY DATA'!$B:$B=""RWS"")),"""")
  )
)"),"")</f>
      </c>
      <c r="K1120" s="2"/>
      <c r="L1120" s="2"/>
      <c r="M1120" s="2"/>
      <c r="N1120" s="2"/>
      <c r="O1120" s="2"/>
      <c r="P1120" s="2"/>
      <c r="Q1120" s="2"/>
      <c r="R1120" s="2"/>
      <c r="S1120" s="2"/>
      <c r="T1120" s="2"/>
      <c r="U1120" s="2"/>
      <c r="V1120" s="2"/>
      <c r="W1120" s="2"/>
      <c r="X1120" s="2"/>
      <c r="Y1120" s="2"/>
      <c r="Z1120" s="2"/>
      <c r="AA1120" s="2"/>
      <c r="AB1120" s="2"/>
    </row>
    <row r="1121" spans="1:28" customHeight="true">
      <c r="A1121" s="2"/>
      <c r="B1121" s="15">
        <v>45796</v>
      </c>
      <c r="C1121" s="2" t="s">
        <v>1658</v>
      </c>
      <c r="D1121" s="6">
        <v>48.64</v>
      </c>
      <c r="E1121" s="16" t="str">
        <f>IFERROR(__xludf.DUMMYFUNCTION("IFERROR(
  TEXTJOIN(CHAR(10),TRUE,FILTER('SUMMARY DATA'!E:E,'SUMMARY DATA'!$A:$A=$A222,'SUMMARY DATA'!$C:$C=$B222,'SUMMARY DATA'!$B:$B=""GRP"")),
  IF(
    OR(
      ISNUMBER(SEARCH(""CDM CASH DEPOSIT"",$C222)),
      ISNUMBER(SEARCH(""CASH DEPOSIT"",$C22"&amp;"2)),
      COUNTIFS('SUMMARY DATA'!$D:$D,$C222,'SUMMARY DATA'!$B:$B,""GRP"")&lt;&gt;1
    ),
    """",
    IFERROR(TEXTJOIN(CHAR(10),TRUE,FILTER('SUMMARY DATA'!E:E,'SUMMARY DATA'!$D:$D=$C222,'SUMMARY DATA'!$B:$B=""GRP"")),"""")
  )
)"),"")</f>
      </c>
      <c r="F1121" s="17" t="str">
        <f>IFERROR(__xludf.DUMMYFUNCTION("IFERROR(
  TEXTJOIN(CHAR(10),TRUE,FILTER('SUMMARY DATA'!F:F,'SUMMARY DATA'!$A:$A=$A222,'SUMMARY DATA'!$C:$C=$B222,'SUMMARY DATA'!$B:$B=""GRP"")),
  IF(
    OR(
      ISNUMBER(SEARCH(""CDM CASH DEPOSIT"",$C222)),
      ISNUMBER(SEARCH(""CASH DEPOSIT"",$C22"&amp;"2)),
      COUNTIFS('SUMMARY DATA'!$D:$D,$C222,'SUMMARY DATA'!$B:$B,""GRP"")&lt;&gt;1
    ),
    """",
    IFERROR(TEXTJOIN(CHAR(10),TRUE,FILTER('SUMMARY DATA'!F:F,'SUMMARY DATA'!$D:$D=$C222,'SUMMARY DATA'!$B:$B=""GRP"")),"""")
  )
)"),"")</f>
      </c>
      <c r="G1121" s="17" t="str">
        <f>IFERROR(__xludf.DUMMYFUNCTION("IFERROR(
  TEXTJOIN(CHAR(10),TRUE,FILTER('SUMMARY DATA'!G:G,'SUMMARY DATA'!$A:$A=$A1121,'SUMMARY DATA'!$C:$C=$B1121,'SUMMARY DATA'!$B:$B=""RWS"")),
  IF(
    OR(
      ISNUMBER(SEARCH(""CDM CASH DEPOSIT"",$C1121)),
      ISNUMBER(SEARCH(""CASH DEPOSIT"",$"&amp;"C1121)),
      COUNTIFS('SUMMARY DATA'!$D:$D,$C1121,'SUMMARY DATA'!$B:$B,""RWS"")&lt;&gt;1
    ),
    """",
    IFERROR(TEXTJOIN(CHAR(10),TRUE,FILTER('SUMMARY DATA'!G:G,'SUMMARY DATA'!$D:$D=$C1121,'SUMMARY DATA'!$B:$B=""RWS"")),"""")
  )
)"),"")</f>
      </c>
      <c r="H1121" s="18" t="str">
        <f>IFERROR(__xludf.DUMMYFUNCTION("IFERROR(
  TEXTJOIN(CHAR(10),TRUE,FILTER('SUMMARY DATA'!H:H,'SUMMARY DATA'!$A:$A=$A1121,'SUMMARY DATA'!$C:$C=$B1121,'SUMMARY DATA'!$B:$B=""RWS"",'SUMMARY DATA'!$H:$H=$D1121)),
  IF(
    OR(
      ISNUMBER(SEARCH(""CDM CASH DEPOSIT"",$C1121)),
      ISNUMB"&amp;"ER(SEARCH(""CASH DEPOSIT"",$C1121))
    ),
    """",
    IFERROR(TEXTJOIN(CHAR(10),TRUE,FILTER('SUMMARY DATA'!H:H,'SUMMARY DATA'!$D:$D=$C1121,'SUMMARY DATA'!$B:$B=""RWS"",'SUMMARY DATA'!$H:$H=$D1121)),"""")
  )
)"),"")</f>
      </c>
      <c r="I1121" s="18" t="str">
        <f>IFERROR(__xludf.DUMMYFUNCTION("IF(H1121="""","""",
SUM(ARRAYFORMULA(VALUE(SPLIT(H1121,CHAR(10)))))
)"),"")</f>
      </c>
      <c r="J1121" s="17" t="str">
        <f>IFERROR(__xludf.DUMMYFUNCTION("IFERROR(
  TEXTJOIN(CHAR(10),TRUE,FILTER('SUMMARY DATA'!I:I,'SUMMARY DATA'!$A:$A=$A1121,'SUMMARY DATA'!$C:$C=$B1121,'SUMMARY DATA'!$B:$B=""RWS"")),
  IF(
    OR(
      ISNUMBER(SEARCH(""CDM CASH DEPOSIT"",$C1121)),
      ISNUMBER(SEARCH(""CASH DEPOSIT"",$"&amp;"C1121)),
      COUNTIFS('SUMMARY DATA'!$D:$D,$C1121,'SUMMARY DATA'!$B:$B,""RWS"")&lt;&gt;1
    ),
    """",
    IFERROR(TEXTJOIN(CHAR(10),TRUE,FILTER('SUMMARY DATA'!I:I,'SUMMARY DATA'!$D:$D=$C1121,'SUMMARY DATA'!$B:$B=""RWS"")),"""")
  )
)"),"")</f>
      </c>
      <c r="K1121" s="2"/>
      <c r="L1121" s="2"/>
      <c r="M1121" s="2"/>
      <c r="N1121" s="2"/>
      <c r="O1121" s="2"/>
      <c r="P1121" s="2"/>
      <c r="Q1121" s="2"/>
      <c r="R1121" s="2"/>
      <c r="S1121" s="2"/>
      <c r="T1121" s="2"/>
      <c r="U1121" s="2"/>
      <c r="V1121" s="2"/>
      <c r="W1121" s="2"/>
      <c r="X1121" s="2"/>
      <c r="Y1121" s="2"/>
      <c r="Z1121" s="2"/>
      <c r="AA1121" s="2"/>
      <c r="AB1121" s="2"/>
    </row>
    <row r="1122" spans="1:28" customHeight="true">
      <c r="A1122" s="2" t="s">
        <v>1659</v>
      </c>
      <c r="B1122" s="15">
        <v>45796</v>
      </c>
      <c r="C1122" s="2" t="s">
        <v>48</v>
      </c>
      <c r="D1122" s="6">
        <v>40</v>
      </c>
      <c r="E1122" s="16" t="str">
        <f>IFERROR(__xludf.DUMMYFUNCTION("IFERROR(
  TEXTJOIN(CHAR(10),TRUE,FILTER('SUMMARY DATA'!E:E,'SUMMARY DATA'!$A:$A=$A223,'SUMMARY DATA'!$C:$C=$B223,'SUMMARY DATA'!$B:$B=""GRP"")),
  IF(
    OR(
      ISNUMBER(SEARCH(""CDM CASH DEPOSIT"",$C223)),
      ISNUMBER(SEARCH(""CASH DEPOSIT"",$C22"&amp;"3)),
      COUNTIFS('SUMMARY DATA'!$D:$D,$C223,'SUMMARY DATA'!$B:$B,""GRP"")&lt;&gt;1
    ),
    """",
    IFERROR(TEXTJOIN(CHAR(10),TRUE,FILTER('SUMMARY DATA'!E:E,'SUMMARY DATA'!$D:$D=$C223,'SUMMARY DATA'!$B:$B=""GRP"")),"""")
  )
)"),"")</f>
      </c>
      <c r="F1122" s="17" t="str">
        <f>IFERROR(__xludf.DUMMYFUNCTION("IFERROR(
  TEXTJOIN(CHAR(10),TRUE,FILTER('SUMMARY DATA'!F:F,'SUMMARY DATA'!$A:$A=$A223,'SUMMARY DATA'!$C:$C=$B223,'SUMMARY DATA'!$B:$B=""GRP"")),
  IF(
    OR(
      ISNUMBER(SEARCH(""CDM CASH DEPOSIT"",$C223)),
      ISNUMBER(SEARCH(""CASH DEPOSIT"",$C22"&amp;"3)),
      COUNTIFS('SUMMARY DATA'!$D:$D,$C223,'SUMMARY DATA'!$B:$B,""GRP"")&lt;&gt;1
    ),
    """",
    IFERROR(TEXTJOIN(CHAR(10),TRUE,FILTER('SUMMARY DATA'!F:F,'SUMMARY DATA'!$D:$D=$C223,'SUMMARY DATA'!$B:$B=""GRP"")),"""")
  )
)"),"")</f>
      </c>
      <c r="G1122" s="17" t="str">
        <f>IFERROR(__xludf.DUMMYFUNCTION("IFERROR(
  TEXTJOIN(CHAR(10),TRUE,FILTER('SUMMARY DATA'!G:G,'SUMMARY DATA'!$A:$A=$A1122,'SUMMARY DATA'!$C:$C=$B1122,'SUMMARY DATA'!$B:$B=""RWS"")),
  IF(
    OR(
      ISNUMBER(SEARCH(""CDM CASH DEPOSIT"",$C1122)),
      ISNUMBER(SEARCH(""CASH DEPOSIT"",$"&amp;"C1122)),
      COUNTIFS('SUMMARY DATA'!$D:$D,$C1122,'SUMMARY DATA'!$B:$B,""RWS"")&lt;&gt;1
    ),
    """",
    IFERROR(TEXTJOIN(CHAR(10),TRUE,FILTER('SUMMARY DATA'!G:G,'SUMMARY DATA'!$D:$D=$C1122,'SUMMARY DATA'!$B:$B=""RWS"")),"""")
  )
)"),"")</f>
      </c>
      <c r="H1122" s="18" t="str">
        <f>IFERROR(__xludf.DUMMYFUNCTION("IFERROR(
  TEXTJOIN(CHAR(10),TRUE,FILTER('SUMMARY DATA'!H:H,'SUMMARY DATA'!$A:$A=$A1122,'SUMMARY DATA'!$C:$C=$B1122,'SUMMARY DATA'!$B:$B=""RWS"",'SUMMARY DATA'!$H:$H=$D1122)),
  IF(
    OR(
      ISNUMBER(SEARCH(""CDM CASH DEPOSIT"",$C1122)),
      ISNUMB"&amp;"ER(SEARCH(""CASH DEPOSIT"",$C1122))
    ),
    """",
    IFERROR(TEXTJOIN(CHAR(10),TRUE,FILTER('SUMMARY DATA'!H:H,'SUMMARY DATA'!$D:$D=$C1122,'SUMMARY DATA'!$B:$B=""RWS"",'SUMMARY DATA'!$H:$H=$D1122)),"""")
  )
)"),"")</f>
      </c>
      <c r="I1122" s="18" t="str">
        <f>IFERROR(__xludf.DUMMYFUNCTION("IF(H1122="""","""",
SUM(ARRAYFORMULA(VALUE(SPLIT(H1122,CHAR(10)))))
)"),"")</f>
      </c>
      <c r="J1122" s="17" t="str">
        <f>IFERROR(__xludf.DUMMYFUNCTION("IFERROR(
  TEXTJOIN(CHAR(10),TRUE,FILTER('SUMMARY DATA'!I:I,'SUMMARY DATA'!$A:$A=$A1122,'SUMMARY DATA'!$C:$C=$B1122,'SUMMARY DATA'!$B:$B=""RWS"")),
  IF(
    OR(
      ISNUMBER(SEARCH(""CDM CASH DEPOSIT"",$C1122)),
      ISNUMBER(SEARCH(""CASH DEPOSIT"",$"&amp;"C1122)),
      COUNTIFS('SUMMARY DATA'!$D:$D,$C1122,'SUMMARY DATA'!$B:$B,""RWS"")&lt;&gt;1
    ),
    """",
    IFERROR(TEXTJOIN(CHAR(10),TRUE,FILTER('SUMMARY DATA'!I:I,'SUMMARY DATA'!$D:$D=$C1122,'SUMMARY DATA'!$B:$B=""RWS"")),"""")
  )
)"),"")</f>
      </c>
      <c r="K1122" s="2"/>
      <c r="L1122" s="2"/>
      <c r="M1122" s="2"/>
      <c r="N1122" s="2"/>
      <c r="O1122" s="2"/>
      <c r="P1122" s="2"/>
      <c r="Q1122" s="2"/>
      <c r="R1122" s="2"/>
      <c r="S1122" s="2"/>
      <c r="T1122" s="2"/>
      <c r="U1122" s="2"/>
      <c r="V1122" s="2"/>
      <c r="W1122" s="2"/>
      <c r="X1122" s="2"/>
      <c r="Y1122" s="2"/>
      <c r="Z1122" s="2"/>
      <c r="AA1122" s="2"/>
      <c r="AB1122" s="2"/>
    </row>
    <row r="1123" spans="1:28" customHeight="true">
      <c r="A1123" s="2" t="s">
        <v>1660</v>
      </c>
      <c r="B1123" s="15">
        <v>45797</v>
      </c>
      <c r="C1123" s="2" t="s">
        <v>1661</v>
      </c>
      <c r="D1123" s="6">
        <v>324.74</v>
      </c>
      <c r="E1123" s="16" t="str">
        <f>IFERROR(__xludf.DUMMYFUNCTION("IFERROR(
  TEXTJOIN(CHAR(10),TRUE,FILTER('SUMMARY DATA'!E:E,'SUMMARY DATA'!$A:$A=$A224,'SUMMARY DATA'!$C:$C=$B224,'SUMMARY DATA'!$B:$B=""GRP"")),
  IF(
    OR(
      ISNUMBER(SEARCH(""CDM CASH DEPOSIT"",$C224)),
      ISNUMBER(SEARCH(""CASH DEPOSIT"",$C22"&amp;"4)),
      COUNTIFS('SUMMARY DATA'!$D:$D,$C224,'SUMMARY DATA'!$B:$B,""GRP"")&lt;&gt;1
    ),
    """",
    IFERROR(TEXTJOIN(CHAR(10),TRUE,FILTER('SUMMARY DATA'!E:E,'SUMMARY DATA'!$D:$D=$C224,'SUMMARY DATA'!$B:$B=""GRP"")),"""")
  )
)"),"")</f>
      </c>
      <c r="F1123" s="17" t="str">
        <f>IFERROR(__xludf.DUMMYFUNCTION("IFERROR(
  TEXTJOIN(CHAR(10),TRUE,FILTER('SUMMARY DATA'!F:F,'SUMMARY DATA'!$A:$A=$A224,'SUMMARY DATA'!$C:$C=$B224,'SUMMARY DATA'!$B:$B=""GRP"")),
  IF(
    OR(
      ISNUMBER(SEARCH(""CDM CASH DEPOSIT"",$C224)),
      ISNUMBER(SEARCH(""CASH DEPOSIT"",$C22"&amp;"4)),
      COUNTIFS('SUMMARY DATA'!$D:$D,$C224,'SUMMARY DATA'!$B:$B,""GRP"")&lt;&gt;1
    ),
    """",
    IFERROR(TEXTJOIN(CHAR(10),TRUE,FILTER('SUMMARY DATA'!F:F,'SUMMARY DATA'!$D:$D=$C224,'SUMMARY DATA'!$B:$B=""GRP"")),"""")
  )
)"),"")</f>
      </c>
      <c r="G1123" s="17" t="str">
        <f>IFERROR(__xludf.DUMMYFUNCTION("IFERROR(
  TEXTJOIN(CHAR(10),TRUE,FILTER('SUMMARY DATA'!G:G,'SUMMARY DATA'!$A:$A=$A1123,'SUMMARY DATA'!$C:$C=$B1123,'SUMMARY DATA'!$B:$B=""RWS"")),
  IF(
    OR(
      ISNUMBER(SEARCH(""CDM CASH DEPOSIT"",$C1123)),
      ISNUMBER(SEARCH(""CASH DEPOSIT"",$"&amp;"C1123)),
      COUNTIFS('SUMMARY DATA'!$D:$D,$C1123,'SUMMARY DATA'!$B:$B,""RWS"")&lt;&gt;1
    ),
    """",
    IFERROR(TEXTJOIN(CHAR(10),TRUE,FILTER('SUMMARY DATA'!G:G,'SUMMARY DATA'!$D:$D=$C1123,'SUMMARY DATA'!$B:$B=""RWS"")),"""")
  )
)"),"")</f>
      </c>
      <c r="H1123" s="18" t="str">
        <f>IFERROR(__xludf.DUMMYFUNCTION("IFERROR(
  TEXTJOIN(CHAR(10),TRUE,FILTER('SUMMARY DATA'!H:H,'SUMMARY DATA'!$A:$A=$A1123,'SUMMARY DATA'!$C:$C=$B1123,'SUMMARY DATA'!$B:$B=""RWS"",'SUMMARY DATA'!$H:$H=$D1123)),
  IF(
    OR(
      ISNUMBER(SEARCH(""CDM CASH DEPOSIT"",$C1123)),
      ISNUMB"&amp;"ER(SEARCH(""CASH DEPOSIT"",$C1123))
    ),
    """",
    IFERROR(TEXTJOIN(CHAR(10),TRUE,FILTER('SUMMARY DATA'!H:H,'SUMMARY DATA'!$D:$D=$C1123,'SUMMARY DATA'!$B:$B=""RWS"",'SUMMARY DATA'!$H:$H=$D1123)),"""")
  )
)"),"")</f>
      </c>
      <c r="I1123" s="18" t="str">
        <f>IFERROR(__xludf.DUMMYFUNCTION("IF(H1123="""","""",
SUM(ARRAYFORMULA(VALUE(SPLIT(H1123,CHAR(10)))))
)"),"")</f>
      </c>
      <c r="J1123" s="17" t="str">
        <f>IFERROR(__xludf.DUMMYFUNCTION("IFERROR(
  TEXTJOIN(CHAR(10),TRUE,FILTER('SUMMARY DATA'!I:I,'SUMMARY DATA'!$A:$A=$A1123,'SUMMARY DATA'!$C:$C=$B1123,'SUMMARY DATA'!$B:$B=""RWS"")),
  IF(
    OR(
      ISNUMBER(SEARCH(""CDM CASH DEPOSIT"",$C1123)),
      ISNUMBER(SEARCH(""CASH DEPOSIT"",$"&amp;"C1123)),
      COUNTIFS('SUMMARY DATA'!$D:$D,$C1123,'SUMMARY DATA'!$B:$B,""RWS"")&lt;&gt;1
    ),
    """",
    IFERROR(TEXTJOIN(CHAR(10),TRUE,FILTER('SUMMARY DATA'!I:I,'SUMMARY DATA'!$D:$D=$C1123,'SUMMARY DATA'!$B:$B=""RWS"")),"""")
  )
)"),"")</f>
      </c>
      <c r="K1123" s="2"/>
      <c r="L1123" s="2"/>
      <c r="M1123" s="2"/>
      <c r="N1123" s="2"/>
      <c r="O1123" s="2"/>
      <c r="P1123" s="2"/>
      <c r="Q1123" s="2"/>
      <c r="R1123" s="2"/>
      <c r="S1123" s="2"/>
      <c r="T1123" s="2"/>
      <c r="U1123" s="2"/>
      <c r="V1123" s="2"/>
      <c r="W1123" s="2"/>
      <c r="X1123" s="2"/>
      <c r="Y1123" s="2"/>
      <c r="Z1123" s="2"/>
      <c r="AA1123" s="2"/>
      <c r="AB1123" s="2"/>
    </row>
    <row r="1124" spans="1:28" customHeight="true">
      <c r="A1124" s="2" t="s">
        <v>1662</v>
      </c>
      <c r="B1124" s="15">
        <v>45797</v>
      </c>
      <c r="C1124" s="2" t="s">
        <v>1663</v>
      </c>
      <c r="D1124" s="6">
        <v>205.88</v>
      </c>
      <c r="E1124" s="16" t="str">
        <f>IFERROR(__xludf.DUMMYFUNCTION("IFERROR(
  TEXTJOIN(CHAR(10),TRUE,FILTER('SUMMARY DATA'!E:E,'SUMMARY DATA'!$A:$A=$A225,'SUMMARY DATA'!$C:$C=$B225,'SUMMARY DATA'!$B:$B=""GRP"")),
  IF(
    OR(
      ISNUMBER(SEARCH(""CDM CASH DEPOSIT"",$C225)),
      ISNUMBER(SEARCH(""CASH DEPOSIT"",$C22"&amp;"5)),
      COUNTIFS('SUMMARY DATA'!$D:$D,$C225,'SUMMARY DATA'!$B:$B,""GRP"")&lt;&gt;1
    ),
    """",
    IFERROR(TEXTJOIN(CHAR(10),TRUE,FILTER('SUMMARY DATA'!E:E,'SUMMARY DATA'!$D:$D=$C225,'SUMMARY DATA'!$B:$B=""GRP"")),"""")
  )
)"),"")</f>
      </c>
      <c r="F1124" s="17" t="str">
        <f>IFERROR(__xludf.DUMMYFUNCTION("IFERROR(
  TEXTJOIN(CHAR(10),TRUE,FILTER('SUMMARY DATA'!F:F,'SUMMARY DATA'!$A:$A=$A225,'SUMMARY DATA'!$C:$C=$B225,'SUMMARY DATA'!$B:$B=""GRP"")),
  IF(
    OR(
      ISNUMBER(SEARCH(""CDM CASH DEPOSIT"",$C225)),
      ISNUMBER(SEARCH(""CASH DEPOSIT"",$C22"&amp;"5)),
      COUNTIFS('SUMMARY DATA'!$D:$D,$C225,'SUMMARY DATA'!$B:$B,""GRP"")&lt;&gt;1
    ),
    """",
    IFERROR(TEXTJOIN(CHAR(10),TRUE,FILTER('SUMMARY DATA'!F:F,'SUMMARY DATA'!$D:$D=$C225,'SUMMARY DATA'!$B:$B=""GRP"")),"""")
  )
)"),"")</f>
      </c>
      <c r="G1124" s="17" t="str">
        <f>IFERROR(__xludf.DUMMYFUNCTION("IFERROR(
  TEXTJOIN(CHAR(10),TRUE,FILTER('SUMMARY DATA'!G:G,'SUMMARY DATA'!$A:$A=$A1124,'SUMMARY DATA'!$C:$C=$B1124,'SUMMARY DATA'!$B:$B=""RWS"")),
  IF(
    OR(
      ISNUMBER(SEARCH(""CDM CASH DEPOSIT"",$C1124)),
      ISNUMBER(SEARCH(""CASH DEPOSIT"",$"&amp;"C1124)),
      COUNTIFS('SUMMARY DATA'!$D:$D,$C1124,'SUMMARY DATA'!$B:$B,""RWS"")&lt;&gt;1
    ),
    """",
    IFERROR(TEXTJOIN(CHAR(10),TRUE,FILTER('SUMMARY DATA'!G:G,'SUMMARY DATA'!$D:$D=$C1124,'SUMMARY DATA'!$B:$B=""RWS"")),"""")
  )
)"),"")</f>
      </c>
      <c r="H1124" s="18" t="str">
        <f>IFERROR(__xludf.DUMMYFUNCTION("IFERROR(
  TEXTJOIN(CHAR(10),TRUE,FILTER('SUMMARY DATA'!H:H,'SUMMARY DATA'!$A:$A=$A1124,'SUMMARY DATA'!$C:$C=$B1124,'SUMMARY DATA'!$B:$B=""RWS"",'SUMMARY DATA'!$H:$H=$D1124)),
  IF(
    OR(
      ISNUMBER(SEARCH(""CDM CASH DEPOSIT"",$C1124)),
      ISNUMB"&amp;"ER(SEARCH(""CASH DEPOSIT"",$C1124))
    ),
    """",
    IFERROR(TEXTJOIN(CHAR(10),TRUE,FILTER('SUMMARY DATA'!H:H,'SUMMARY DATA'!$D:$D=$C1124,'SUMMARY DATA'!$B:$B=""RWS"",'SUMMARY DATA'!$H:$H=$D1124)),"""")
  )
)"),"")</f>
      </c>
      <c r="I1124" s="18" t="str">
        <f>IFERROR(__xludf.DUMMYFUNCTION("IF(H1124="""","""",
SUM(ARRAYFORMULA(VALUE(SPLIT(H1124,CHAR(10)))))
)"),"")</f>
      </c>
      <c r="J1124" s="17" t="str">
        <f>IFERROR(__xludf.DUMMYFUNCTION("IFERROR(
  TEXTJOIN(CHAR(10),TRUE,FILTER('SUMMARY DATA'!I:I,'SUMMARY DATA'!$A:$A=$A1124,'SUMMARY DATA'!$C:$C=$B1124,'SUMMARY DATA'!$B:$B=""RWS"")),
  IF(
    OR(
      ISNUMBER(SEARCH(""CDM CASH DEPOSIT"",$C1124)),
      ISNUMBER(SEARCH(""CASH DEPOSIT"",$"&amp;"C1124)),
      COUNTIFS('SUMMARY DATA'!$D:$D,$C1124,'SUMMARY DATA'!$B:$B,""RWS"")&lt;&gt;1
    ),
    """",
    IFERROR(TEXTJOIN(CHAR(10),TRUE,FILTER('SUMMARY DATA'!I:I,'SUMMARY DATA'!$D:$D=$C1124,'SUMMARY DATA'!$B:$B=""RWS"")),"""")
  )
)"),"")</f>
      </c>
      <c r="K1124" s="2"/>
      <c r="L1124" s="2"/>
      <c r="M1124" s="2"/>
      <c r="N1124" s="2"/>
      <c r="O1124" s="2"/>
      <c r="P1124" s="2"/>
      <c r="Q1124" s="2"/>
      <c r="R1124" s="2"/>
      <c r="S1124" s="2"/>
      <c r="T1124" s="2"/>
      <c r="U1124" s="2"/>
      <c r="V1124" s="2"/>
      <c r="W1124" s="2"/>
      <c r="X1124" s="2"/>
      <c r="Y1124" s="2"/>
      <c r="Z1124" s="2"/>
      <c r="AA1124" s="2"/>
      <c r="AB1124" s="2"/>
    </row>
    <row r="1125" spans="1:28" customHeight="true">
      <c r="A1125" s="2"/>
      <c r="B1125" s="15">
        <v>45797</v>
      </c>
      <c r="C1125" s="2" t="s">
        <v>1664</v>
      </c>
      <c r="D1125" s="6">
        <v>202.6</v>
      </c>
      <c r="E1125" s="16" t="str">
        <f>IFERROR(__xludf.DUMMYFUNCTION("IFERROR(
  TEXTJOIN(CHAR(10),TRUE,FILTER('SUMMARY DATA'!E:E,'SUMMARY DATA'!$A:$A=$A226,'SUMMARY DATA'!$C:$C=$B226,'SUMMARY DATA'!$B:$B=""GRP"")),
  IF(
    OR(
      ISNUMBER(SEARCH(""CDM CASH DEPOSIT"",$C226)),
      ISNUMBER(SEARCH(""CASH DEPOSIT"",$C22"&amp;"6)),
      COUNTIFS('SUMMARY DATA'!$D:$D,$C226,'SUMMARY DATA'!$B:$B,""GRP"")&lt;&gt;1
    ),
    """",
    IFERROR(TEXTJOIN(CHAR(10),TRUE,FILTER('SUMMARY DATA'!E:E,'SUMMARY DATA'!$D:$D=$C226,'SUMMARY DATA'!$B:$B=""GRP"")),"""")
  )
)"),"")</f>
      </c>
      <c r="F1125" s="17" t="str">
        <f>IFERROR(__xludf.DUMMYFUNCTION("IFERROR(
  TEXTJOIN(CHAR(10),TRUE,FILTER('SUMMARY DATA'!F:F,'SUMMARY DATA'!$A:$A=$A226,'SUMMARY DATA'!$C:$C=$B226,'SUMMARY DATA'!$B:$B=""GRP"")),
  IF(
    OR(
      ISNUMBER(SEARCH(""CDM CASH DEPOSIT"",$C226)),
      ISNUMBER(SEARCH(""CASH DEPOSIT"",$C22"&amp;"6)),
      COUNTIFS('SUMMARY DATA'!$D:$D,$C226,'SUMMARY DATA'!$B:$B,""GRP"")&lt;&gt;1
    ),
    """",
    IFERROR(TEXTJOIN(CHAR(10),TRUE,FILTER('SUMMARY DATA'!F:F,'SUMMARY DATA'!$D:$D=$C226,'SUMMARY DATA'!$B:$B=""GRP"")),"""")
  )
)"),"")</f>
      </c>
      <c r="G1125" s="17" t="str">
        <f>IFERROR(__xludf.DUMMYFUNCTION("IFERROR(
  TEXTJOIN(CHAR(10),TRUE,FILTER('SUMMARY DATA'!G:G,'SUMMARY DATA'!$A:$A=$A1125,'SUMMARY DATA'!$C:$C=$B1125,'SUMMARY DATA'!$B:$B=""RWS"")),
  IF(
    OR(
      ISNUMBER(SEARCH(""CDM CASH DEPOSIT"",$C1125)),
      ISNUMBER(SEARCH(""CASH DEPOSIT"",$"&amp;"C1125)),
      COUNTIFS('SUMMARY DATA'!$D:$D,$C1125,'SUMMARY DATA'!$B:$B,""RWS"")&lt;&gt;1
    ),
    """",
    IFERROR(TEXTJOIN(CHAR(10),TRUE,FILTER('SUMMARY DATA'!G:G,'SUMMARY DATA'!$D:$D=$C1125,'SUMMARY DATA'!$B:$B=""RWS"")),"""")
  )
)"),"")</f>
      </c>
      <c r="H1125" s="18" t="str">
        <f>IFERROR(__xludf.DUMMYFUNCTION("IFERROR(
  TEXTJOIN(CHAR(10),TRUE,FILTER('SUMMARY DATA'!H:H,'SUMMARY DATA'!$A:$A=$A1125,'SUMMARY DATA'!$C:$C=$B1125,'SUMMARY DATA'!$B:$B=""RWS"",'SUMMARY DATA'!$H:$H=$D1125)),
  IF(
    OR(
      ISNUMBER(SEARCH(""CDM CASH DEPOSIT"",$C1125)),
      ISNUMB"&amp;"ER(SEARCH(""CASH DEPOSIT"",$C1125))
    ),
    """",
    IFERROR(TEXTJOIN(CHAR(10),TRUE,FILTER('SUMMARY DATA'!H:H,'SUMMARY DATA'!$D:$D=$C1125,'SUMMARY DATA'!$B:$B=""RWS"",'SUMMARY DATA'!$H:$H=$D1125)),"""")
  )
)"),"")</f>
      </c>
      <c r="I1125" s="18" t="str">
        <f>IFERROR(__xludf.DUMMYFUNCTION("IF(H1125="""","""",
SUM(ARRAYFORMULA(VALUE(SPLIT(H1125,CHAR(10)))))
)"),"")</f>
      </c>
      <c r="J1125" s="17" t="str">
        <f>IFERROR(__xludf.DUMMYFUNCTION("IFERROR(
  TEXTJOIN(CHAR(10),TRUE,FILTER('SUMMARY DATA'!I:I,'SUMMARY DATA'!$A:$A=$A1125,'SUMMARY DATA'!$C:$C=$B1125,'SUMMARY DATA'!$B:$B=""RWS"")),
  IF(
    OR(
      ISNUMBER(SEARCH(""CDM CASH DEPOSIT"",$C1125)),
      ISNUMBER(SEARCH(""CASH DEPOSIT"",$"&amp;"C1125)),
      COUNTIFS('SUMMARY DATA'!$D:$D,$C1125,'SUMMARY DATA'!$B:$B,""RWS"")&lt;&gt;1
    ),
    """",
    IFERROR(TEXTJOIN(CHAR(10),TRUE,FILTER('SUMMARY DATA'!I:I,'SUMMARY DATA'!$D:$D=$C1125,'SUMMARY DATA'!$B:$B=""RWS"")),"""")
  )
)"),"")</f>
      </c>
      <c r="K1125" s="2"/>
      <c r="L1125" s="2"/>
      <c r="M1125" s="2"/>
      <c r="N1125" s="2"/>
      <c r="O1125" s="2"/>
      <c r="P1125" s="2"/>
      <c r="Q1125" s="2"/>
      <c r="R1125" s="2"/>
      <c r="S1125" s="2"/>
      <c r="T1125" s="2"/>
      <c r="U1125" s="2"/>
      <c r="V1125" s="2"/>
      <c r="W1125" s="2"/>
      <c r="X1125" s="2"/>
      <c r="Y1125" s="2"/>
      <c r="Z1125" s="2"/>
      <c r="AA1125" s="2"/>
      <c r="AB1125" s="2"/>
    </row>
    <row r="1126" spans="1:28" customHeight="true">
      <c r="A1126" s="2" t="s">
        <v>1665</v>
      </c>
      <c r="B1126" s="15">
        <v>45797</v>
      </c>
      <c r="C1126" s="2" t="s">
        <v>48</v>
      </c>
      <c r="D1126" s="6">
        <v>120</v>
      </c>
      <c r="E1126" s="16" t="str">
        <f>IFERROR(__xludf.DUMMYFUNCTION("IFERROR(
  TEXTJOIN(CHAR(10),TRUE,FILTER('SUMMARY DATA'!E:E,'SUMMARY DATA'!$A:$A=$A227,'SUMMARY DATA'!$C:$C=$B227,'SUMMARY DATA'!$B:$B=""GRP"")),
  IF(
    OR(
      ISNUMBER(SEARCH(""CDM CASH DEPOSIT"",$C227)),
      ISNUMBER(SEARCH(""CASH DEPOSIT"",$C22"&amp;"7)),
      COUNTIFS('SUMMARY DATA'!$D:$D,$C227,'SUMMARY DATA'!$B:$B,""GRP"")&lt;&gt;1
    ),
    """",
    IFERROR(TEXTJOIN(CHAR(10),TRUE,FILTER('SUMMARY DATA'!E:E,'SUMMARY DATA'!$D:$D=$C227,'SUMMARY DATA'!$B:$B=""GRP"")),"""")
  )
)"),"")</f>
      </c>
      <c r="F1126" s="17" t="str">
        <f>IFERROR(__xludf.DUMMYFUNCTION("IFERROR(
  TEXTJOIN(CHAR(10),TRUE,FILTER('SUMMARY DATA'!F:F,'SUMMARY DATA'!$A:$A=$A227,'SUMMARY DATA'!$C:$C=$B227,'SUMMARY DATA'!$B:$B=""GRP"")),
  IF(
    OR(
      ISNUMBER(SEARCH(""CDM CASH DEPOSIT"",$C227)),
      ISNUMBER(SEARCH(""CASH DEPOSIT"",$C22"&amp;"7)),
      COUNTIFS('SUMMARY DATA'!$D:$D,$C227,'SUMMARY DATA'!$B:$B,""GRP"")&lt;&gt;1
    ),
    """",
    IFERROR(TEXTJOIN(CHAR(10),TRUE,FILTER('SUMMARY DATA'!F:F,'SUMMARY DATA'!$D:$D=$C227,'SUMMARY DATA'!$B:$B=""GRP"")),"""")
  )
)"),"")</f>
      </c>
      <c r="G1126" s="17" t="str">
        <f>IFERROR(__xludf.DUMMYFUNCTION("IFERROR(
  TEXTJOIN(CHAR(10),TRUE,FILTER('SUMMARY DATA'!G:G,'SUMMARY DATA'!$A:$A=$A1126,'SUMMARY DATA'!$C:$C=$B1126,'SUMMARY DATA'!$B:$B=""RWS"")),
  IF(
    OR(
      ISNUMBER(SEARCH(""CDM CASH DEPOSIT"",$C1126)),
      ISNUMBER(SEARCH(""CASH DEPOSIT"",$"&amp;"C1126)),
      COUNTIFS('SUMMARY DATA'!$D:$D,$C1126,'SUMMARY DATA'!$B:$B,""RWS"")&lt;&gt;1
    ),
    """",
    IFERROR(TEXTJOIN(CHAR(10),TRUE,FILTER('SUMMARY DATA'!G:G,'SUMMARY DATA'!$D:$D=$C1126,'SUMMARY DATA'!$B:$B=""RWS"")),"""")
  )
)"),"")</f>
      </c>
      <c r="H1126" s="18" t="str">
        <f>IFERROR(__xludf.DUMMYFUNCTION("IFERROR(
  TEXTJOIN(CHAR(10),TRUE,FILTER('SUMMARY DATA'!H:H,'SUMMARY DATA'!$A:$A=$A1126,'SUMMARY DATA'!$C:$C=$B1126,'SUMMARY DATA'!$B:$B=""RWS"",'SUMMARY DATA'!$H:$H=$D1126)),
  IF(
    OR(
      ISNUMBER(SEARCH(""CDM CASH DEPOSIT"",$C1126)),
      ISNUMB"&amp;"ER(SEARCH(""CASH DEPOSIT"",$C1126))
    ),
    """",
    IFERROR(TEXTJOIN(CHAR(10),TRUE,FILTER('SUMMARY DATA'!H:H,'SUMMARY DATA'!$D:$D=$C1126,'SUMMARY DATA'!$B:$B=""RWS"",'SUMMARY DATA'!$H:$H=$D1126)),"""")
  )
)"),"")</f>
      </c>
      <c r="I1126" s="18" t="str">
        <f>IFERROR(__xludf.DUMMYFUNCTION("IF(H1126="""","""",
SUM(ARRAYFORMULA(VALUE(SPLIT(H1126,CHAR(10)))))
)"),"")</f>
      </c>
      <c r="J1126" s="17" t="str">
        <f>IFERROR(__xludf.DUMMYFUNCTION("IFERROR(
  TEXTJOIN(CHAR(10),TRUE,FILTER('SUMMARY DATA'!I:I,'SUMMARY DATA'!$A:$A=$A1126,'SUMMARY DATA'!$C:$C=$B1126,'SUMMARY DATA'!$B:$B=""RWS"")),
  IF(
    OR(
      ISNUMBER(SEARCH(""CDM CASH DEPOSIT"",$C1126)),
      ISNUMBER(SEARCH(""CASH DEPOSIT"",$"&amp;"C1126)),
      COUNTIFS('SUMMARY DATA'!$D:$D,$C1126,'SUMMARY DATA'!$B:$B,""RWS"")&lt;&gt;1
    ),
    """",
    IFERROR(TEXTJOIN(CHAR(10),TRUE,FILTER('SUMMARY DATA'!I:I,'SUMMARY DATA'!$D:$D=$C1126,'SUMMARY DATA'!$B:$B=""RWS"")),"""")
  )
)"),"")</f>
      </c>
      <c r="K1126" s="2"/>
      <c r="L1126" s="2"/>
      <c r="M1126" s="2"/>
      <c r="N1126" s="2"/>
      <c r="O1126" s="2"/>
      <c r="P1126" s="2"/>
      <c r="Q1126" s="2"/>
      <c r="R1126" s="2"/>
      <c r="S1126" s="2"/>
      <c r="T1126" s="2"/>
      <c r="U1126" s="2"/>
      <c r="V1126" s="2"/>
      <c r="W1126" s="2"/>
      <c r="X1126" s="2"/>
      <c r="Y1126" s="2"/>
      <c r="Z1126" s="2"/>
      <c r="AA1126" s="2"/>
      <c r="AB1126" s="2"/>
    </row>
    <row r="1127" spans="1:28" customHeight="true">
      <c r="A1127" s="2"/>
      <c r="B1127" s="15">
        <v>45797</v>
      </c>
      <c r="C1127" s="2" t="s">
        <v>1666</v>
      </c>
      <c r="D1127" s="6">
        <v>79</v>
      </c>
      <c r="E1127" s="16" t="str">
        <f>IFERROR(__xludf.DUMMYFUNCTION("IFERROR(
  TEXTJOIN(CHAR(10),TRUE,FILTER('SUMMARY DATA'!E:E,'SUMMARY DATA'!$A:$A=$A228,'SUMMARY DATA'!$C:$C=$B228,'SUMMARY DATA'!$B:$B=""GRP"")),
  IF(
    OR(
      ISNUMBER(SEARCH(""CDM CASH DEPOSIT"",$C228)),
      ISNUMBER(SEARCH(""CASH DEPOSIT"",$C22"&amp;"8)),
      COUNTIFS('SUMMARY DATA'!$D:$D,$C228,'SUMMARY DATA'!$B:$B,""GRP"")&lt;&gt;1
    ),
    """",
    IFERROR(TEXTJOIN(CHAR(10),TRUE,FILTER('SUMMARY DATA'!E:E,'SUMMARY DATA'!$D:$D=$C228,'SUMMARY DATA'!$B:$B=""GRP"")),"""")
  )
)"),"")</f>
      </c>
      <c r="F1127" s="17" t="str">
        <f>IFERROR(__xludf.DUMMYFUNCTION("IFERROR(
  TEXTJOIN(CHAR(10),TRUE,FILTER('SUMMARY DATA'!F:F,'SUMMARY DATA'!$A:$A=$A228,'SUMMARY DATA'!$C:$C=$B228,'SUMMARY DATA'!$B:$B=""GRP"")),
  IF(
    OR(
      ISNUMBER(SEARCH(""CDM CASH DEPOSIT"",$C228)),
      ISNUMBER(SEARCH(""CASH DEPOSIT"",$C22"&amp;"8)),
      COUNTIFS('SUMMARY DATA'!$D:$D,$C228,'SUMMARY DATA'!$B:$B,""GRP"")&lt;&gt;1
    ),
    """",
    IFERROR(TEXTJOIN(CHAR(10),TRUE,FILTER('SUMMARY DATA'!F:F,'SUMMARY DATA'!$D:$D=$C228,'SUMMARY DATA'!$B:$B=""GRP"")),"""")
  )
)"),"")</f>
      </c>
      <c r="G1127" s="17" t="str">
        <f>IFERROR(__xludf.DUMMYFUNCTION("IFERROR(
  TEXTJOIN(CHAR(10),TRUE,FILTER('SUMMARY DATA'!G:G,'SUMMARY DATA'!$A:$A=$A1127,'SUMMARY DATA'!$C:$C=$B1127,'SUMMARY DATA'!$B:$B=""RWS"")),
  IF(
    OR(
      ISNUMBER(SEARCH(""CDM CASH DEPOSIT"",$C1127)),
      ISNUMBER(SEARCH(""CASH DEPOSIT"",$"&amp;"C1127)),
      COUNTIFS('SUMMARY DATA'!$D:$D,$C1127,'SUMMARY DATA'!$B:$B,""RWS"")&lt;&gt;1
    ),
    """",
    IFERROR(TEXTJOIN(CHAR(10),TRUE,FILTER('SUMMARY DATA'!G:G,'SUMMARY DATA'!$D:$D=$C1127,'SUMMARY DATA'!$B:$B=""RWS"")),"""")
  )
)"),"")</f>
      </c>
      <c r="H1127" s="18" t="str">
        <f>IFERROR(__xludf.DUMMYFUNCTION("IFERROR(
  TEXTJOIN(CHAR(10),TRUE,FILTER('SUMMARY DATA'!H:H,'SUMMARY DATA'!$A:$A=$A1127,'SUMMARY DATA'!$C:$C=$B1127,'SUMMARY DATA'!$B:$B=""RWS"",'SUMMARY DATA'!$H:$H=$D1127)),
  IF(
    OR(
      ISNUMBER(SEARCH(""CDM CASH DEPOSIT"",$C1127)),
      ISNUMB"&amp;"ER(SEARCH(""CASH DEPOSIT"",$C1127))
    ),
    """",
    IFERROR(TEXTJOIN(CHAR(10),TRUE,FILTER('SUMMARY DATA'!H:H,'SUMMARY DATA'!$D:$D=$C1127,'SUMMARY DATA'!$B:$B=""RWS"",'SUMMARY DATA'!$H:$H=$D1127)),"""")
  )
)"),"")</f>
      </c>
      <c r="I1127" s="18" t="str">
        <f>IFERROR(__xludf.DUMMYFUNCTION("IF(H1127="""","""",
SUM(ARRAYFORMULA(VALUE(SPLIT(H1127,CHAR(10)))))
)"),"")</f>
      </c>
      <c r="J1127" s="17" t="str">
        <f>IFERROR(__xludf.DUMMYFUNCTION("IFERROR(
  TEXTJOIN(CHAR(10),TRUE,FILTER('SUMMARY DATA'!I:I,'SUMMARY DATA'!$A:$A=$A1127,'SUMMARY DATA'!$C:$C=$B1127,'SUMMARY DATA'!$B:$B=""RWS"")),
  IF(
    OR(
      ISNUMBER(SEARCH(""CDM CASH DEPOSIT"",$C1127)),
      ISNUMBER(SEARCH(""CASH DEPOSIT"",$"&amp;"C1127)),
      COUNTIFS('SUMMARY DATA'!$D:$D,$C1127,'SUMMARY DATA'!$B:$B,""RWS"")&lt;&gt;1
    ),
    """",
    IFERROR(TEXTJOIN(CHAR(10),TRUE,FILTER('SUMMARY DATA'!I:I,'SUMMARY DATA'!$D:$D=$C1127,'SUMMARY DATA'!$B:$B=""RWS"")),"""")
  )
)"),"")</f>
      </c>
      <c r="K1127" s="2"/>
      <c r="L1127" s="2"/>
      <c r="M1127" s="2"/>
      <c r="N1127" s="2"/>
      <c r="O1127" s="2"/>
      <c r="P1127" s="2"/>
      <c r="Q1127" s="2"/>
      <c r="R1127" s="2"/>
      <c r="S1127" s="2"/>
      <c r="T1127" s="2"/>
      <c r="U1127" s="2"/>
      <c r="V1127" s="2"/>
      <c r="W1127" s="2"/>
      <c r="X1127" s="2"/>
      <c r="Y1127" s="2"/>
      <c r="Z1127" s="2"/>
      <c r="AA1127" s="2"/>
      <c r="AB1127" s="2"/>
    </row>
    <row r="1128" spans="1:28" customHeight="true">
      <c r="A1128" s="2" t="s">
        <v>1667</v>
      </c>
      <c r="B1128" s="15">
        <v>45797</v>
      </c>
      <c r="C1128" s="2" t="s">
        <v>1668</v>
      </c>
      <c r="D1128" s="6">
        <v>58</v>
      </c>
      <c r="E1128" s="16" t="str">
        <f>IFERROR(__xludf.DUMMYFUNCTION("IFERROR(
  TEXTJOIN(CHAR(10),TRUE,FILTER('SUMMARY DATA'!E:E,'SUMMARY DATA'!$A:$A=$A229,'SUMMARY DATA'!$C:$C=$B229,'SUMMARY DATA'!$B:$B=""GRP"")),
  IF(
    OR(
      ISNUMBER(SEARCH(""CDM CASH DEPOSIT"",$C229)),
      ISNUMBER(SEARCH(""CASH DEPOSIT"",$C22"&amp;"9)),
      COUNTIFS('SUMMARY DATA'!$D:$D,$C229,'SUMMARY DATA'!$B:$B,""GRP"")&lt;&gt;1
    ),
    """",
    IFERROR(TEXTJOIN(CHAR(10),TRUE,FILTER('SUMMARY DATA'!E:E,'SUMMARY DATA'!$D:$D=$C229,'SUMMARY DATA'!$B:$B=""GRP"")),"""")
  )
)"),"")</f>
      </c>
      <c r="F1128" s="17" t="str">
        <f>IFERROR(__xludf.DUMMYFUNCTION("IFERROR(
  TEXTJOIN(CHAR(10),TRUE,FILTER('SUMMARY DATA'!F:F,'SUMMARY DATA'!$A:$A=$A229,'SUMMARY DATA'!$C:$C=$B229,'SUMMARY DATA'!$B:$B=""GRP"")),
  IF(
    OR(
      ISNUMBER(SEARCH(""CDM CASH DEPOSIT"",$C229)),
      ISNUMBER(SEARCH(""CASH DEPOSIT"",$C22"&amp;"9)),
      COUNTIFS('SUMMARY DATA'!$D:$D,$C229,'SUMMARY DATA'!$B:$B,""GRP"")&lt;&gt;1
    ),
    """",
    IFERROR(TEXTJOIN(CHAR(10),TRUE,FILTER('SUMMARY DATA'!F:F,'SUMMARY DATA'!$D:$D=$C229,'SUMMARY DATA'!$B:$B=""GRP"")),"""")
  )
)"),"")</f>
      </c>
      <c r="G1128" s="17" t="str">
        <f>IFERROR(__xludf.DUMMYFUNCTION("IFERROR(
  TEXTJOIN(CHAR(10),TRUE,FILTER('SUMMARY DATA'!G:G,'SUMMARY DATA'!$A:$A=$A1128,'SUMMARY DATA'!$C:$C=$B1128,'SUMMARY DATA'!$B:$B=""RWS"")),
  IF(
    OR(
      ISNUMBER(SEARCH(""CDM CASH DEPOSIT"",$C1128)),
      ISNUMBER(SEARCH(""CASH DEPOSIT"",$"&amp;"C1128)),
      COUNTIFS('SUMMARY DATA'!$D:$D,$C1128,'SUMMARY DATA'!$B:$B,""RWS"")&lt;&gt;1
    ),
    """",
    IFERROR(TEXTJOIN(CHAR(10),TRUE,FILTER('SUMMARY DATA'!G:G,'SUMMARY DATA'!$D:$D=$C1128,'SUMMARY DATA'!$B:$B=""RWS"")),"""")
  )
)"),"")</f>
      </c>
      <c r="H1128" s="18" t="str">
        <f>IFERROR(__xludf.DUMMYFUNCTION("IFERROR(
  TEXTJOIN(CHAR(10),TRUE,FILTER('SUMMARY DATA'!H:H,'SUMMARY DATA'!$A:$A=$A1128,'SUMMARY DATA'!$C:$C=$B1128,'SUMMARY DATA'!$B:$B=""RWS"",'SUMMARY DATA'!$H:$H=$D1128)),
  IF(
    OR(
      ISNUMBER(SEARCH(""CDM CASH DEPOSIT"",$C1128)),
      ISNUMB"&amp;"ER(SEARCH(""CASH DEPOSIT"",$C1128))
    ),
    """",
    IFERROR(TEXTJOIN(CHAR(10),TRUE,FILTER('SUMMARY DATA'!H:H,'SUMMARY DATA'!$D:$D=$C1128,'SUMMARY DATA'!$B:$B=""RWS"",'SUMMARY DATA'!$H:$H=$D1128)),"""")
  )
)"),"")</f>
      </c>
      <c r="I1128" s="18" t="str">
        <f>IFERROR(__xludf.DUMMYFUNCTION("IF(H1128="""","""",
SUM(ARRAYFORMULA(VALUE(SPLIT(H1128,CHAR(10)))))
)"),"")</f>
      </c>
      <c r="J1128" s="17" t="str">
        <f>IFERROR(__xludf.DUMMYFUNCTION("IFERROR(
  TEXTJOIN(CHAR(10),TRUE,FILTER('SUMMARY DATA'!I:I,'SUMMARY DATA'!$A:$A=$A1128,'SUMMARY DATA'!$C:$C=$B1128,'SUMMARY DATA'!$B:$B=""RWS"")),
  IF(
    OR(
      ISNUMBER(SEARCH(""CDM CASH DEPOSIT"",$C1128)),
      ISNUMBER(SEARCH(""CASH DEPOSIT"",$"&amp;"C1128)),
      COUNTIFS('SUMMARY DATA'!$D:$D,$C1128,'SUMMARY DATA'!$B:$B,""RWS"")&lt;&gt;1
    ),
    """",
    IFERROR(TEXTJOIN(CHAR(10),TRUE,FILTER('SUMMARY DATA'!I:I,'SUMMARY DATA'!$D:$D=$C1128,'SUMMARY DATA'!$B:$B=""RWS"")),"""")
  )
)"),"")</f>
      </c>
      <c r="K1128" s="2"/>
      <c r="L1128" s="2"/>
      <c r="M1128" s="2"/>
      <c r="N1128" s="2"/>
      <c r="O1128" s="2"/>
      <c r="P1128" s="2"/>
      <c r="Q1128" s="2"/>
      <c r="R1128" s="2"/>
      <c r="S1128" s="2"/>
      <c r="T1128" s="2"/>
      <c r="U1128" s="2"/>
      <c r="V1128" s="2"/>
      <c r="W1128" s="2"/>
      <c r="X1128" s="2"/>
      <c r="Y1128" s="2"/>
      <c r="Z1128" s="2"/>
      <c r="AA1128" s="2"/>
      <c r="AB1128" s="2"/>
    </row>
    <row r="1129" spans="1:28" customHeight="true">
      <c r="A1129" s="2"/>
      <c r="B1129" s="15">
        <v>45797</v>
      </c>
      <c r="C1129" s="2" t="s">
        <v>1669</v>
      </c>
      <c r="D1129" s="6">
        <v>29.94</v>
      </c>
      <c r="E1129" s="16" t="str">
        <f>IFERROR(__xludf.DUMMYFUNCTION("IFERROR(
  TEXTJOIN(CHAR(10),TRUE,FILTER('SUMMARY DATA'!E:E,'SUMMARY DATA'!$A:$A=$A230,'SUMMARY DATA'!$C:$C=$B230,'SUMMARY DATA'!$B:$B=""GRP"")),
  IF(
    OR(
      ISNUMBER(SEARCH(""CDM CASH DEPOSIT"",$C230)),
      ISNUMBER(SEARCH(""CASH DEPOSIT"",$C23"&amp;"0)),
      COUNTIFS('SUMMARY DATA'!$D:$D,$C230,'SUMMARY DATA'!$B:$B,""GRP"")&lt;&gt;1
    ),
    """",
    IFERROR(TEXTJOIN(CHAR(10),TRUE,FILTER('SUMMARY DATA'!E:E,'SUMMARY DATA'!$D:$D=$C230,'SUMMARY DATA'!$B:$B=""GRP"")),"""")
  )
)"),"")</f>
      </c>
      <c r="F1129" s="17" t="str">
        <f>IFERROR(__xludf.DUMMYFUNCTION("IFERROR(
  TEXTJOIN(CHAR(10),TRUE,FILTER('SUMMARY DATA'!F:F,'SUMMARY DATA'!$A:$A=$A230,'SUMMARY DATA'!$C:$C=$B230,'SUMMARY DATA'!$B:$B=""GRP"")),
  IF(
    OR(
      ISNUMBER(SEARCH(""CDM CASH DEPOSIT"",$C230)),
      ISNUMBER(SEARCH(""CASH DEPOSIT"",$C23"&amp;"0)),
      COUNTIFS('SUMMARY DATA'!$D:$D,$C230,'SUMMARY DATA'!$B:$B,""GRP"")&lt;&gt;1
    ),
    """",
    IFERROR(TEXTJOIN(CHAR(10),TRUE,FILTER('SUMMARY DATA'!F:F,'SUMMARY DATA'!$D:$D=$C230,'SUMMARY DATA'!$B:$B=""GRP"")),"""")
  )
)"),"")</f>
      </c>
      <c r="G1129" s="17" t="str">
        <f>IFERROR(__xludf.DUMMYFUNCTION("IFERROR(
  TEXTJOIN(CHAR(10),TRUE,FILTER('SUMMARY DATA'!G:G,'SUMMARY DATA'!$A:$A=$A1129,'SUMMARY DATA'!$C:$C=$B1129,'SUMMARY DATA'!$B:$B=""RWS"")),
  IF(
    OR(
      ISNUMBER(SEARCH(""CDM CASH DEPOSIT"",$C1129)),
      ISNUMBER(SEARCH(""CASH DEPOSIT"",$"&amp;"C1129)),
      COUNTIFS('SUMMARY DATA'!$D:$D,$C1129,'SUMMARY DATA'!$B:$B,""RWS"")&lt;&gt;1
    ),
    """",
    IFERROR(TEXTJOIN(CHAR(10),TRUE,FILTER('SUMMARY DATA'!G:G,'SUMMARY DATA'!$D:$D=$C1129,'SUMMARY DATA'!$B:$B=""RWS"")),"""")
  )
)"),"")</f>
      </c>
      <c r="H1129" s="18" t="str">
        <f>IFERROR(__xludf.DUMMYFUNCTION("IFERROR(
  TEXTJOIN(CHAR(10),TRUE,FILTER('SUMMARY DATA'!H:H,'SUMMARY DATA'!$A:$A=$A1129,'SUMMARY DATA'!$C:$C=$B1129,'SUMMARY DATA'!$B:$B=""RWS"",'SUMMARY DATA'!$H:$H=$D1129)),
  IF(
    OR(
      ISNUMBER(SEARCH(""CDM CASH DEPOSIT"",$C1129)),
      ISNUMB"&amp;"ER(SEARCH(""CASH DEPOSIT"",$C1129))
    ),
    """",
    IFERROR(TEXTJOIN(CHAR(10),TRUE,FILTER('SUMMARY DATA'!H:H,'SUMMARY DATA'!$D:$D=$C1129,'SUMMARY DATA'!$B:$B=""RWS"",'SUMMARY DATA'!$H:$H=$D1129)),"""")
  )
)"),"")</f>
      </c>
      <c r="I1129" s="18" t="str">
        <f>IFERROR(__xludf.DUMMYFUNCTION("IF(H1129="""","""",
SUM(ARRAYFORMULA(VALUE(SPLIT(H1129,CHAR(10)))))
)"),"")</f>
      </c>
      <c r="J1129" s="17" t="str">
        <f>IFERROR(__xludf.DUMMYFUNCTION("IFERROR(
  TEXTJOIN(CHAR(10),TRUE,FILTER('SUMMARY DATA'!I:I,'SUMMARY DATA'!$A:$A=$A1129,'SUMMARY DATA'!$C:$C=$B1129,'SUMMARY DATA'!$B:$B=""RWS"")),
  IF(
    OR(
      ISNUMBER(SEARCH(""CDM CASH DEPOSIT"",$C1129)),
      ISNUMBER(SEARCH(""CASH DEPOSIT"",$"&amp;"C1129)),
      COUNTIFS('SUMMARY DATA'!$D:$D,$C1129,'SUMMARY DATA'!$B:$B,""RWS"")&lt;&gt;1
    ),
    """",
    IFERROR(TEXTJOIN(CHAR(10),TRUE,FILTER('SUMMARY DATA'!I:I,'SUMMARY DATA'!$D:$D=$C1129,'SUMMARY DATA'!$B:$B=""RWS"")),"""")
  )
)"),"")</f>
      </c>
      <c r="K1129" s="2"/>
      <c r="L1129" s="2"/>
      <c r="M1129" s="2"/>
      <c r="N1129" s="2"/>
      <c r="O1129" s="2"/>
      <c r="P1129" s="2"/>
      <c r="Q1129" s="2"/>
      <c r="R1129" s="2"/>
      <c r="S1129" s="2"/>
      <c r="T1129" s="2"/>
      <c r="U1129" s="2"/>
      <c r="V1129" s="2"/>
      <c r="W1129" s="2"/>
      <c r="X1129" s="2"/>
      <c r="Y1129" s="2"/>
      <c r="Z1129" s="2"/>
      <c r="AA1129" s="2"/>
      <c r="AB1129" s="2"/>
    </row>
    <row r="1130" spans="1:28" customHeight="true">
      <c r="A1130" s="2"/>
      <c r="B1130" s="15">
        <v>45797</v>
      </c>
      <c r="C1130" s="2" t="s">
        <v>1670</v>
      </c>
      <c r="D1130" s="6">
        <v>5.2</v>
      </c>
      <c r="E1130" s="16" t="str">
        <f>IFERROR(__xludf.DUMMYFUNCTION("IFERROR(
  TEXTJOIN(CHAR(10),TRUE,FILTER('SUMMARY DATA'!E:E,'SUMMARY DATA'!$A:$A=$A231,'SUMMARY DATA'!$C:$C=$B231,'SUMMARY DATA'!$B:$B=""GRP"")),
  IF(
    OR(
      ISNUMBER(SEARCH(""CDM CASH DEPOSIT"",$C231)),
      ISNUMBER(SEARCH(""CASH DEPOSIT"",$C23"&amp;"1)),
      COUNTIFS('SUMMARY DATA'!$D:$D,$C231,'SUMMARY DATA'!$B:$B,""GRP"")&lt;&gt;1
    ),
    """",
    IFERROR(TEXTJOIN(CHAR(10),TRUE,FILTER('SUMMARY DATA'!E:E,'SUMMARY DATA'!$D:$D=$C231,'SUMMARY DATA'!$B:$B=""GRP"")),"""")
  )
)"),"")</f>
      </c>
      <c r="F1130" s="17" t="str">
        <f>IFERROR(__xludf.DUMMYFUNCTION("IFERROR(
  TEXTJOIN(CHAR(10),TRUE,FILTER('SUMMARY DATA'!F:F,'SUMMARY DATA'!$A:$A=$A231,'SUMMARY DATA'!$C:$C=$B231,'SUMMARY DATA'!$B:$B=""GRP"")),
  IF(
    OR(
      ISNUMBER(SEARCH(""CDM CASH DEPOSIT"",$C231)),
      ISNUMBER(SEARCH(""CASH DEPOSIT"",$C23"&amp;"1)),
      COUNTIFS('SUMMARY DATA'!$D:$D,$C231,'SUMMARY DATA'!$B:$B,""GRP"")&lt;&gt;1
    ),
    """",
    IFERROR(TEXTJOIN(CHAR(10),TRUE,FILTER('SUMMARY DATA'!F:F,'SUMMARY DATA'!$D:$D=$C231,'SUMMARY DATA'!$B:$B=""GRP"")),"""")
  )
)"),"")</f>
      </c>
      <c r="G1130" s="17" t="str">
        <f>IFERROR(__xludf.DUMMYFUNCTION("IFERROR(
  TEXTJOIN(CHAR(10),TRUE,FILTER('SUMMARY DATA'!G:G,'SUMMARY DATA'!$A:$A=$A1130,'SUMMARY DATA'!$C:$C=$B1130,'SUMMARY DATA'!$B:$B=""RWS"")),
  IF(
    OR(
      ISNUMBER(SEARCH(""CDM CASH DEPOSIT"",$C1130)),
      ISNUMBER(SEARCH(""CASH DEPOSIT"",$"&amp;"C1130)),
      COUNTIFS('SUMMARY DATA'!$D:$D,$C1130,'SUMMARY DATA'!$B:$B,""RWS"")&lt;&gt;1
    ),
    """",
    IFERROR(TEXTJOIN(CHAR(10),TRUE,FILTER('SUMMARY DATA'!G:G,'SUMMARY DATA'!$D:$D=$C1130,'SUMMARY DATA'!$B:$B=""RWS"")),"""")
  )
)"),"")</f>
      </c>
      <c r="H1130" s="18" t="str">
        <f>IFERROR(__xludf.DUMMYFUNCTION("IFERROR(
  TEXTJOIN(CHAR(10),TRUE,FILTER('SUMMARY DATA'!H:H,'SUMMARY DATA'!$A:$A=$A1130,'SUMMARY DATA'!$C:$C=$B1130,'SUMMARY DATA'!$B:$B=""RWS"",'SUMMARY DATA'!$H:$H=$D1130)),
  IF(
    OR(
      ISNUMBER(SEARCH(""CDM CASH DEPOSIT"",$C1130)),
      ISNUMB"&amp;"ER(SEARCH(""CASH DEPOSIT"",$C1130))
    ),
    """",
    IFERROR(TEXTJOIN(CHAR(10),TRUE,FILTER('SUMMARY DATA'!H:H,'SUMMARY DATA'!$D:$D=$C1130,'SUMMARY DATA'!$B:$B=""RWS"",'SUMMARY DATA'!$H:$H=$D1130)),"""")
  )
)"),"")</f>
      </c>
      <c r="I1130" s="18" t="str">
        <f>IFERROR(__xludf.DUMMYFUNCTION("IF(H1130="""","""",
SUM(ARRAYFORMULA(VALUE(SPLIT(H1130,CHAR(10)))))
)"),"")</f>
      </c>
      <c r="J1130" s="17" t="str">
        <f>IFERROR(__xludf.DUMMYFUNCTION("IFERROR(
  TEXTJOIN(CHAR(10),TRUE,FILTER('SUMMARY DATA'!I:I,'SUMMARY DATA'!$A:$A=$A1130,'SUMMARY DATA'!$C:$C=$B1130,'SUMMARY DATA'!$B:$B=""RWS"")),
  IF(
    OR(
      ISNUMBER(SEARCH(""CDM CASH DEPOSIT"",$C1130)),
      ISNUMBER(SEARCH(""CASH DEPOSIT"",$"&amp;"C1130)),
      COUNTIFS('SUMMARY DATA'!$D:$D,$C1130,'SUMMARY DATA'!$B:$B,""RWS"")&lt;&gt;1
    ),
    """",
    IFERROR(TEXTJOIN(CHAR(10),TRUE,FILTER('SUMMARY DATA'!I:I,'SUMMARY DATA'!$D:$D=$C1130,'SUMMARY DATA'!$B:$B=""RWS"")),"""")
  )
)"),"")</f>
      </c>
      <c r="K1130" s="2"/>
      <c r="L1130" s="2"/>
      <c r="M1130" s="2"/>
      <c r="N1130" s="2"/>
      <c r="O1130" s="2"/>
      <c r="P1130" s="2"/>
      <c r="Q1130" s="2"/>
      <c r="R1130" s="2"/>
      <c r="S1130" s="2"/>
      <c r="T1130" s="2"/>
      <c r="U1130" s="2"/>
      <c r="V1130" s="2"/>
      <c r="W1130" s="2"/>
      <c r="X1130" s="2"/>
      <c r="Y1130" s="2"/>
      <c r="Z1130" s="2"/>
      <c r="AA1130" s="2"/>
      <c r="AB1130" s="2"/>
    </row>
    <row r="1131" spans="1:28" customHeight="true">
      <c r="A1131" s="2"/>
      <c r="B1131" s="15">
        <v>45798</v>
      </c>
      <c r="C1131" s="2" t="s">
        <v>480</v>
      </c>
      <c r="D1131" s="6">
        <v>527.94</v>
      </c>
      <c r="E1131" s="16" t="str">
        <f>IFERROR(__xludf.DUMMYFUNCTION("IFERROR(
  TEXTJOIN(CHAR(10),TRUE,FILTER('SUMMARY DATA'!E:E,'SUMMARY DATA'!$A:$A=$A232,'SUMMARY DATA'!$C:$C=$B232,'SUMMARY DATA'!$B:$B=""GRP"")),
  IF(
    OR(
      ISNUMBER(SEARCH(""CDM CASH DEPOSIT"",$C232)),
      ISNUMBER(SEARCH(""CASH DEPOSIT"",$C23"&amp;"2)),
      COUNTIFS('SUMMARY DATA'!$D:$D,$C232,'SUMMARY DATA'!$B:$B,""GRP"")&lt;&gt;1
    ),
    """",
    IFERROR(TEXTJOIN(CHAR(10),TRUE,FILTER('SUMMARY DATA'!E:E,'SUMMARY DATA'!$D:$D=$C232,'SUMMARY DATA'!$B:$B=""GRP"")),"""")
  )
)"),"")</f>
      </c>
      <c r="F1131" s="17" t="str">
        <f>IFERROR(__xludf.DUMMYFUNCTION("IFERROR(
  TEXTJOIN(CHAR(10),TRUE,FILTER('SUMMARY DATA'!F:F,'SUMMARY DATA'!$A:$A=$A232,'SUMMARY DATA'!$C:$C=$B232,'SUMMARY DATA'!$B:$B=""GRP"")),
  IF(
    OR(
      ISNUMBER(SEARCH(""CDM CASH DEPOSIT"",$C232)),
      ISNUMBER(SEARCH(""CASH DEPOSIT"",$C23"&amp;"2)),
      COUNTIFS('SUMMARY DATA'!$D:$D,$C232,'SUMMARY DATA'!$B:$B,""GRP"")&lt;&gt;1
    ),
    """",
    IFERROR(TEXTJOIN(CHAR(10),TRUE,FILTER('SUMMARY DATA'!F:F,'SUMMARY DATA'!$D:$D=$C232,'SUMMARY DATA'!$B:$B=""GRP"")),"""")
  )
)"),"")</f>
      </c>
      <c r="G1131" s="17" t="str">
        <f>IFERROR(__xludf.DUMMYFUNCTION("IFERROR(
  TEXTJOIN(CHAR(10),TRUE,FILTER('SUMMARY DATA'!G:G,'SUMMARY DATA'!$A:$A=$A1131,'SUMMARY DATA'!$C:$C=$B1131,'SUMMARY DATA'!$B:$B=""RWS"")),
  IF(
    OR(
      ISNUMBER(SEARCH(""CDM CASH DEPOSIT"",$C1131)),
      ISNUMBER(SEARCH(""CASH DEPOSIT"",$"&amp;"C1131)),
      COUNTIFS('SUMMARY DATA'!$D:$D,$C1131,'SUMMARY DATA'!$B:$B,""RWS"")&lt;&gt;1
    ),
    """",
    IFERROR(TEXTJOIN(CHAR(10),TRUE,FILTER('SUMMARY DATA'!G:G,'SUMMARY DATA'!$D:$D=$C1131,'SUMMARY DATA'!$B:$B=""RWS"")),"""")
  )
)"),"")</f>
      </c>
      <c r="H1131" s="18" t="str">
        <f>IFERROR(__xludf.DUMMYFUNCTION("IFERROR(
  TEXTJOIN(CHAR(10),TRUE,FILTER('SUMMARY DATA'!H:H,'SUMMARY DATA'!$A:$A=$A1131,'SUMMARY DATA'!$C:$C=$B1131,'SUMMARY DATA'!$B:$B=""RWS"",'SUMMARY DATA'!$H:$H=$D1131)),
  IF(
    OR(
      ISNUMBER(SEARCH(""CDM CASH DEPOSIT"",$C1131)),
      ISNUMB"&amp;"ER(SEARCH(""CASH DEPOSIT"",$C1131))
    ),
    """",
    IFERROR(TEXTJOIN(CHAR(10),TRUE,FILTER('SUMMARY DATA'!H:H,'SUMMARY DATA'!$D:$D=$C1131,'SUMMARY DATA'!$B:$B=""RWS"",'SUMMARY DATA'!$H:$H=$D1131)),"""")
  )
)"),"")</f>
      </c>
      <c r="I1131" s="18" t="str">
        <f>IFERROR(__xludf.DUMMYFUNCTION("IF(H1131="""","""",
SUM(ARRAYFORMULA(VALUE(SPLIT(H1131,CHAR(10)))))
)"),"")</f>
      </c>
      <c r="J1131" s="17" t="str">
        <f>IFERROR(__xludf.DUMMYFUNCTION("IFERROR(
  TEXTJOIN(CHAR(10),TRUE,FILTER('SUMMARY DATA'!I:I,'SUMMARY DATA'!$A:$A=$A1131,'SUMMARY DATA'!$C:$C=$B1131,'SUMMARY DATA'!$B:$B=""RWS"")),
  IF(
    OR(
      ISNUMBER(SEARCH(""CDM CASH DEPOSIT"",$C1131)),
      ISNUMBER(SEARCH(""CASH DEPOSIT"",$"&amp;"C1131)),
      COUNTIFS('SUMMARY DATA'!$D:$D,$C1131,'SUMMARY DATA'!$B:$B,""RWS"")&lt;&gt;1
    ),
    """",
    IFERROR(TEXTJOIN(CHAR(10),TRUE,FILTER('SUMMARY DATA'!I:I,'SUMMARY DATA'!$D:$D=$C1131,'SUMMARY DATA'!$B:$B=""RWS"")),"""")
  )
)"),"")</f>
      </c>
      <c r="K1131" s="2"/>
      <c r="L1131" s="2"/>
      <c r="M1131" s="2"/>
      <c r="N1131" s="2"/>
      <c r="O1131" s="2"/>
      <c r="P1131" s="2"/>
      <c r="Q1131" s="2"/>
      <c r="R1131" s="2"/>
      <c r="S1131" s="2"/>
      <c r="T1131" s="2"/>
      <c r="U1131" s="2"/>
      <c r="V1131" s="2"/>
      <c r="W1131" s="2"/>
      <c r="X1131" s="2"/>
      <c r="Y1131" s="2"/>
      <c r="Z1131" s="2"/>
      <c r="AA1131" s="2"/>
      <c r="AB1131" s="2"/>
    </row>
    <row r="1132" spans="1:28" customHeight="true">
      <c r="A1132" s="2"/>
      <c r="B1132" s="15">
        <v>45798</v>
      </c>
      <c r="C1132" s="2" t="s">
        <v>67</v>
      </c>
      <c r="D1132" s="6">
        <v>412.74</v>
      </c>
      <c r="E1132" s="16" t="str">
        <f>IFERROR(__xludf.DUMMYFUNCTION("IFERROR(
  TEXTJOIN(CHAR(10),TRUE,FILTER('SUMMARY DATA'!E:E,'SUMMARY DATA'!$A:$A=$A233,'SUMMARY DATA'!$C:$C=$B233,'SUMMARY DATA'!$B:$B=""GRP"")),
  IF(
    OR(
      ISNUMBER(SEARCH(""CDM CASH DEPOSIT"",$C233)),
      ISNUMBER(SEARCH(""CASH DEPOSIT"",$C23"&amp;"3)),
      COUNTIFS('SUMMARY DATA'!$D:$D,$C233,'SUMMARY DATA'!$B:$B,""GRP"")&lt;&gt;1
    ),
    """",
    IFERROR(TEXTJOIN(CHAR(10),TRUE,FILTER('SUMMARY DATA'!E:E,'SUMMARY DATA'!$D:$D=$C233,'SUMMARY DATA'!$B:$B=""GRP"")),"""")
  )
)"),"")</f>
      </c>
      <c r="F1132" s="17" t="str">
        <f>IFERROR(__xludf.DUMMYFUNCTION("IFERROR(
  TEXTJOIN(CHAR(10),TRUE,FILTER('SUMMARY DATA'!F:F,'SUMMARY DATA'!$A:$A=$A233,'SUMMARY DATA'!$C:$C=$B233,'SUMMARY DATA'!$B:$B=""GRP"")),
  IF(
    OR(
      ISNUMBER(SEARCH(""CDM CASH DEPOSIT"",$C233)),
      ISNUMBER(SEARCH(""CASH DEPOSIT"",$C23"&amp;"3)),
      COUNTIFS('SUMMARY DATA'!$D:$D,$C233,'SUMMARY DATA'!$B:$B,""GRP"")&lt;&gt;1
    ),
    """",
    IFERROR(TEXTJOIN(CHAR(10),TRUE,FILTER('SUMMARY DATA'!F:F,'SUMMARY DATA'!$D:$D=$C233,'SUMMARY DATA'!$B:$B=""GRP"")),"""")
  )
)"),"")</f>
      </c>
      <c r="G1132" s="17" t="str">
        <f>IFERROR(__xludf.DUMMYFUNCTION("IFERROR(
  TEXTJOIN(CHAR(10),TRUE,FILTER('SUMMARY DATA'!G:G,'SUMMARY DATA'!$A:$A=$A1132,'SUMMARY DATA'!$C:$C=$B1132,'SUMMARY DATA'!$B:$B=""RWS"")),
  IF(
    OR(
      ISNUMBER(SEARCH(""CDM CASH DEPOSIT"",$C1132)),
      ISNUMBER(SEARCH(""CASH DEPOSIT"",$"&amp;"C1132)),
      COUNTIFS('SUMMARY DATA'!$D:$D,$C1132,'SUMMARY DATA'!$B:$B,""RWS"")&lt;&gt;1
    ),
    """",
    IFERROR(TEXTJOIN(CHAR(10),TRUE,FILTER('SUMMARY DATA'!G:G,'SUMMARY DATA'!$D:$D=$C1132,'SUMMARY DATA'!$B:$B=""RWS"")),"""")
  )
)"),"")</f>
      </c>
      <c r="H1132" s="18" t="str">
        <f>IFERROR(__xludf.DUMMYFUNCTION("IFERROR(
  TEXTJOIN(CHAR(10),TRUE,FILTER('SUMMARY DATA'!H:H,'SUMMARY DATA'!$A:$A=$A1132,'SUMMARY DATA'!$C:$C=$B1132,'SUMMARY DATA'!$B:$B=""RWS"",'SUMMARY DATA'!$H:$H=$D1132)),
  IF(
    OR(
      ISNUMBER(SEARCH(""CDM CASH DEPOSIT"",$C1132)),
      ISNUMB"&amp;"ER(SEARCH(""CASH DEPOSIT"",$C1132))
    ),
    """",
    IFERROR(TEXTJOIN(CHAR(10),TRUE,FILTER('SUMMARY DATA'!H:H,'SUMMARY DATA'!$D:$D=$C1132,'SUMMARY DATA'!$B:$B=""RWS"",'SUMMARY DATA'!$H:$H=$D1132)),"""")
  )
)"),"")</f>
      </c>
      <c r="I1132" s="18" t="str">
        <f>IFERROR(__xludf.DUMMYFUNCTION("IF(H1132="""","""",
SUM(ARRAYFORMULA(VALUE(SPLIT(H1132,CHAR(10)))))
)"),"")</f>
      </c>
      <c r="J1132" s="17" t="str">
        <f>IFERROR(__xludf.DUMMYFUNCTION("IFERROR(
  TEXTJOIN(CHAR(10),TRUE,FILTER('SUMMARY DATA'!I:I,'SUMMARY DATA'!$A:$A=$A1132,'SUMMARY DATA'!$C:$C=$B1132,'SUMMARY DATA'!$B:$B=""RWS"")),
  IF(
    OR(
      ISNUMBER(SEARCH(""CDM CASH DEPOSIT"",$C1132)),
      ISNUMBER(SEARCH(""CASH DEPOSIT"",$"&amp;"C1132)),
      COUNTIFS('SUMMARY DATA'!$D:$D,$C1132,'SUMMARY DATA'!$B:$B,""RWS"")&lt;&gt;1
    ),
    """",
    IFERROR(TEXTJOIN(CHAR(10),TRUE,FILTER('SUMMARY DATA'!I:I,'SUMMARY DATA'!$D:$D=$C1132,'SUMMARY DATA'!$B:$B=""RWS"")),"""")
  )
)"),"")</f>
      </c>
      <c r="K1132" s="2"/>
      <c r="L1132" s="2"/>
      <c r="M1132" s="2"/>
      <c r="N1132" s="2"/>
      <c r="O1132" s="2"/>
      <c r="P1132" s="2"/>
      <c r="Q1132" s="2"/>
      <c r="R1132" s="2"/>
      <c r="S1132" s="2"/>
      <c r="T1132" s="2"/>
      <c r="U1132" s="2"/>
      <c r="V1132" s="2"/>
      <c r="W1132" s="2"/>
      <c r="X1132" s="2"/>
      <c r="Y1132" s="2"/>
      <c r="Z1132" s="2"/>
      <c r="AA1132" s="2"/>
      <c r="AB1132" s="2"/>
    </row>
    <row r="1133" spans="1:28" customHeight="true">
      <c r="A1133" s="2"/>
      <c r="B1133" s="15">
        <v>45798</v>
      </c>
      <c r="C1133" s="2" t="s">
        <v>1671</v>
      </c>
      <c r="D1133" s="6">
        <v>239.94</v>
      </c>
      <c r="E1133" s="16" t="str">
        <f>IFERROR(__xludf.DUMMYFUNCTION("IFERROR(
  TEXTJOIN(CHAR(10),TRUE,FILTER('SUMMARY DATA'!E:E,'SUMMARY DATA'!$A:$A=$A234,'SUMMARY DATA'!$C:$C=$B234,'SUMMARY DATA'!$B:$B=""GRP"")),
  IF(
    OR(
      ISNUMBER(SEARCH(""CDM CASH DEPOSIT"",$C234)),
      ISNUMBER(SEARCH(""CASH DEPOSIT"",$C23"&amp;"4)),
      COUNTIFS('SUMMARY DATA'!$D:$D,$C234,'SUMMARY DATA'!$B:$B,""GRP"")&lt;&gt;1
    ),
    """",
    IFERROR(TEXTJOIN(CHAR(10),TRUE,FILTER('SUMMARY DATA'!E:E,'SUMMARY DATA'!$D:$D=$C234,'SUMMARY DATA'!$B:$B=""GRP"")),"""")
  )
)"),"")</f>
      </c>
      <c r="F1133" s="17" t="str">
        <f>IFERROR(__xludf.DUMMYFUNCTION("IFERROR(
  TEXTJOIN(CHAR(10),TRUE,FILTER('SUMMARY DATA'!F:F,'SUMMARY DATA'!$A:$A=$A234,'SUMMARY DATA'!$C:$C=$B234,'SUMMARY DATA'!$B:$B=""GRP"")),
  IF(
    OR(
      ISNUMBER(SEARCH(""CDM CASH DEPOSIT"",$C234)),
      ISNUMBER(SEARCH(""CASH DEPOSIT"",$C23"&amp;"4)),
      COUNTIFS('SUMMARY DATA'!$D:$D,$C234,'SUMMARY DATA'!$B:$B,""GRP"")&lt;&gt;1
    ),
    """",
    IFERROR(TEXTJOIN(CHAR(10),TRUE,FILTER('SUMMARY DATA'!F:F,'SUMMARY DATA'!$D:$D=$C234,'SUMMARY DATA'!$B:$B=""GRP"")),"""")
  )
)"),"")</f>
      </c>
      <c r="G1133" s="17" t="str">
        <f>IFERROR(__xludf.DUMMYFUNCTION("IFERROR(
  TEXTJOIN(CHAR(10),TRUE,FILTER('SUMMARY DATA'!G:G,'SUMMARY DATA'!$A:$A=$A1133,'SUMMARY DATA'!$C:$C=$B1133,'SUMMARY DATA'!$B:$B=""RWS"")),
  IF(
    OR(
      ISNUMBER(SEARCH(""CDM CASH DEPOSIT"",$C1133)),
      ISNUMBER(SEARCH(""CASH DEPOSIT"",$"&amp;"C1133)),
      COUNTIFS('SUMMARY DATA'!$D:$D,$C1133,'SUMMARY DATA'!$B:$B,""RWS"")&lt;&gt;1
    ),
    """",
    IFERROR(TEXTJOIN(CHAR(10),TRUE,FILTER('SUMMARY DATA'!G:G,'SUMMARY DATA'!$D:$D=$C1133,'SUMMARY DATA'!$B:$B=""RWS"")),"""")
  )
)"),"")</f>
      </c>
      <c r="H1133" s="18" t="str">
        <f>IFERROR(__xludf.DUMMYFUNCTION("IFERROR(
  TEXTJOIN(CHAR(10),TRUE,FILTER('SUMMARY DATA'!H:H,'SUMMARY DATA'!$A:$A=$A1133,'SUMMARY DATA'!$C:$C=$B1133,'SUMMARY DATA'!$B:$B=""RWS"",'SUMMARY DATA'!$H:$H=$D1133)),
  IF(
    OR(
      ISNUMBER(SEARCH(""CDM CASH DEPOSIT"",$C1133)),
      ISNUMB"&amp;"ER(SEARCH(""CASH DEPOSIT"",$C1133))
    ),
    """",
    IFERROR(TEXTJOIN(CHAR(10),TRUE,FILTER('SUMMARY DATA'!H:H,'SUMMARY DATA'!$D:$D=$C1133,'SUMMARY DATA'!$B:$B=""RWS"",'SUMMARY DATA'!$H:$H=$D1133)),"""")
  )
)"),"")</f>
      </c>
      <c r="I1133" s="18" t="str">
        <f>IFERROR(__xludf.DUMMYFUNCTION("IF(H1133="""","""",
SUM(ARRAYFORMULA(VALUE(SPLIT(H1133,CHAR(10)))))
)"),"")</f>
      </c>
      <c r="J1133" s="17" t="str">
        <f>IFERROR(__xludf.DUMMYFUNCTION("IFERROR(
  TEXTJOIN(CHAR(10),TRUE,FILTER('SUMMARY DATA'!I:I,'SUMMARY DATA'!$A:$A=$A1133,'SUMMARY DATA'!$C:$C=$B1133,'SUMMARY DATA'!$B:$B=""RWS"")),
  IF(
    OR(
      ISNUMBER(SEARCH(""CDM CASH DEPOSIT"",$C1133)),
      ISNUMBER(SEARCH(""CASH DEPOSIT"",$"&amp;"C1133)),
      COUNTIFS('SUMMARY DATA'!$D:$D,$C1133,'SUMMARY DATA'!$B:$B,""RWS"")&lt;&gt;1
    ),
    """",
    IFERROR(TEXTJOIN(CHAR(10),TRUE,FILTER('SUMMARY DATA'!I:I,'SUMMARY DATA'!$D:$D=$C1133,'SUMMARY DATA'!$B:$B=""RWS"")),"""")
  )
)"),"")</f>
      </c>
      <c r="K1133" s="2"/>
      <c r="L1133" s="2"/>
      <c r="M1133" s="2"/>
      <c r="N1133" s="2"/>
      <c r="O1133" s="2"/>
      <c r="P1133" s="2"/>
      <c r="Q1133" s="2"/>
      <c r="R1133" s="2"/>
      <c r="S1133" s="2"/>
      <c r="T1133" s="2"/>
      <c r="U1133" s="2"/>
      <c r="V1133" s="2"/>
      <c r="W1133" s="2"/>
      <c r="X1133" s="2"/>
      <c r="Y1133" s="2"/>
      <c r="Z1133" s="2"/>
      <c r="AA1133" s="2"/>
      <c r="AB1133" s="2"/>
    </row>
    <row r="1134" spans="1:28" customHeight="true">
      <c r="A1134" s="2" t="s">
        <v>1672</v>
      </c>
      <c r="B1134" s="15">
        <v>45798</v>
      </c>
      <c r="C1134" s="2" t="s">
        <v>1673</v>
      </c>
      <c r="D1134" s="6">
        <v>229.83</v>
      </c>
      <c r="E1134" s="16" t="str">
        <f>IFERROR(__xludf.DUMMYFUNCTION("IFERROR(
  TEXTJOIN(CHAR(10),TRUE,FILTER('SUMMARY DATA'!E:E,'SUMMARY DATA'!$A:$A=$A235,'SUMMARY DATA'!$C:$C=$B235,'SUMMARY DATA'!$B:$B=""GRP"")),
  IF(
    OR(
      ISNUMBER(SEARCH(""CDM CASH DEPOSIT"",$C235)),
      ISNUMBER(SEARCH(""CASH DEPOSIT"",$C23"&amp;"5)),
      COUNTIFS('SUMMARY DATA'!$D:$D,$C235,'SUMMARY DATA'!$B:$B,""GRP"")&lt;&gt;1
    ),
    """",
    IFERROR(TEXTJOIN(CHAR(10),TRUE,FILTER('SUMMARY DATA'!E:E,'SUMMARY DATA'!$D:$D=$C235,'SUMMARY DATA'!$B:$B=""GRP"")),"""")
  )
)"),"")</f>
      </c>
      <c r="F1134" s="17" t="str">
        <f>IFERROR(__xludf.DUMMYFUNCTION("IFERROR(
  TEXTJOIN(CHAR(10),TRUE,FILTER('SUMMARY DATA'!F:F,'SUMMARY DATA'!$A:$A=$A235,'SUMMARY DATA'!$C:$C=$B235,'SUMMARY DATA'!$B:$B=""GRP"")),
  IF(
    OR(
      ISNUMBER(SEARCH(""CDM CASH DEPOSIT"",$C235)),
      ISNUMBER(SEARCH(""CASH DEPOSIT"",$C23"&amp;"5)),
      COUNTIFS('SUMMARY DATA'!$D:$D,$C235,'SUMMARY DATA'!$B:$B,""GRP"")&lt;&gt;1
    ),
    """",
    IFERROR(TEXTJOIN(CHAR(10),TRUE,FILTER('SUMMARY DATA'!F:F,'SUMMARY DATA'!$D:$D=$C235,'SUMMARY DATA'!$B:$B=""GRP"")),"""")
  )
)"),"")</f>
      </c>
      <c r="G1134" s="17" t="str">
        <f>IFERROR(__xludf.DUMMYFUNCTION("IFERROR(
  TEXTJOIN(CHAR(10),TRUE,FILTER('SUMMARY DATA'!G:G,'SUMMARY DATA'!$A:$A=$A1134,'SUMMARY DATA'!$C:$C=$B1134,'SUMMARY DATA'!$B:$B=""RWS"")),
  IF(
    OR(
      ISNUMBER(SEARCH(""CDM CASH DEPOSIT"",$C1134)),
      ISNUMBER(SEARCH(""CASH DEPOSIT"",$"&amp;"C1134)),
      COUNTIFS('SUMMARY DATA'!$D:$D,$C1134,'SUMMARY DATA'!$B:$B,""RWS"")&lt;&gt;1
    ),
    """",
    IFERROR(TEXTJOIN(CHAR(10),TRUE,FILTER('SUMMARY DATA'!G:G,'SUMMARY DATA'!$D:$D=$C1134,'SUMMARY DATA'!$B:$B=""RWS"")),"""")
  )
)"),"")</f>
      </c>
      <c r="H1134" s="18" t="str">
        <f>IFERROR(__xludf.DUMMYFUNCTION("IFERROR(
  TEXTJOIN(CHAR(10),TRUE,FILTER('SUMMARY DATA'!H:H,'SUMMARY DATA'!$A:$A=$A1134,'SUMMARY DATA'!$C:$C=$B1134,'SUMMARY DATA'!$B:$B=""RWS"",'SUMMARY DATA'!$H:$H=$D1134)),
  IF(
    OR(
      ISNUMBER(SEARCH(""CDM CASH DEPOSIT"",$C1134)),
      ISNUMB"&amp;"ER(SEARCH(""CASH DEPOSIT"",$C1134))
    ),
    """",
    IFERROR(TEXTJOIN(CHAR(10),TRUE,FILTER('SUMMARY DATA'!H:H,'SUMMARY DATA'!$D:$D=$C1134,'SUMMARY DATA'!$B:$B=""RWS"",'SUMMARY DATA'!$H:$H=$D1134)),"""")
  )
)"),"")</f>
      </c>
      <c r="I1134" s="18" t="str">
        <f>IFERROR(__xludf.DUMMYFUNCTION("IF(H1134="""","""",
SUM(ARRAYFORMULA(VALUE(SPLIT(H1134,CHAR(10)))))
)"),"")</f>
      </c>
      <c r="J1134" s="17" t="str">
        <f>IFERROR(__xludf.DUMMYFUNCTION("IFERROR(
  TEXTJOIN(CHAR(10),TRUE,FILTER('SUMMARY DATA'!I:I,'SUMMARY DATA'!$A:$A=$A1134,'SUMMARY DATA'!$C:$C=$B1134,'SUMMARY DATA'!$B:$B=""RWS"")),
  IF(
    OR(
      ISNUMBER(SEARCH(""CDM CASH DEPOSIT"",$C1134)),
      ISNUMBER(SEARCH(""CASH DEPOSIT"",$"&amp;"C1134)),
      COUNTIFS('SUMMARY DATA'!$D:$D,$C1134,'SUMMARY DATA'!$B:$B,""RWS"")&lt;&gt;1
    ),
    """",
    IFERROR(TEXTJOIN(CHAR(10),TRUE,FILTER('SUMMARY DATA'!I:I,'SUMMARY DATA'!$D:$D=$C1134,'SUMMARY DATA'!$B:$B=""RWS"")),"""")
  )
)"),"")</f>
      </c>
      <c r="K1134" s="2"/>
      <c r="L1134" s="2"/>
      <c r="M1134" s="2"/>
      <c r="N1134" s="2"/>
      <c r="O1134" s="2"/>
      <c r="P1134" s="2"/>
      <c r="Q1134" s="2"/>
      <c r="R1134" s="2"/>
      <c r="S1134" s="2"/>
      <c r="T1134" s="2"/>
      <c r="U1134" s="2"/>
      <c r="V1134" s="2"/>
      <c r="W1134" s="2"/>
      <c r="X1134" s="2"/>
      <c r="Y1134" s="2"/>
      <c r="Z1134" s="2"/>
      <c r="AA1134" s="2"/>
      <c r="AB1134" s="2"/>
    </row>
    <row r="1135" spans="1:28" customHeight="true">
      <c r="A1135" s="2" t="s">
        <v>1674</v>
      </c>
      <c r="B1135" s="15">
        <v>45798</v>
      </c>
      <c r="C1135" s="2" t="s">
        <v>1675</v>
      </c>
      <c r="D1135" s="6">
        <v>108.77</v>
      </c>
      <c r="E1135" s="16" t="str">
        <f>IFERROR(__xludf.DUMMYFUNCTION("IFERROR(
  TEXTJOIN(CHAR(10),TRUE,FILTER('SUMMARY DATA'!E:E,'SUMMARY DATA'!$A:$A=$A236,'SUMMARY DATA'!$C:$C=$B236,'SUMMARY DATA'!$B:$B=""GRP"")),
  IF(
    OR(
      ISNUMBER(SEARCH(""CDM CASH DEPOSIT"",$C236)),
      ISNUMBER(SEARCH(""CASH DEPOSIT"",$C23"&amp;"6)),
      COUNTIFS('SUMMARY DATA'!$D:$D,$C236,'SUMMARY DATA'!$B:$B,""GRP"")&lt;&gt;1
    ),
    """",
    IFERROR(TEXTJOIN(CHAR(10),TRUE,FILTER('SUMMARY DATA'!E:E,'SUMMARY DATA'!$D:$D=$C236,'SUMMARY DATA'!$B:$B=""GRP"")),"""")
  )
)"),"")</f>
      </c>
      <c r="F1135" s="17" t="str">
        <f>IFERROR(__xludf.DUMMYFUNCTION("IFERROR(
  TEXTJOIN(CHAR(10),TRUE,FILTER('SUMMARY DATA'!F:F,'SUMMARY DATA'!$A:$A=$A236,'SUMMARY DATA'!$C:$C=$B236,'SUMMARY DATA'!$B:$B=""GRP"")),
  IF(
    OR(
      ISNUMBER(SEARCH(""CDM CASH DEPOSIT"",$C236)),
      ISNUMBER(SEARCH(""CASH DEPOSIT"",$C23"&amp;"6)),
      COUNTIFS('SUMMARY DATA'!$D:$D,$C236,'SUMMARY DATA'!$B:$B,""GRP"")&lt;&gt;1
    ),
    """",
    IFERROR(TEXTJOIN(CHAR(10),TRUE,FILTER('SUMMARY DATA'!F:F,'SUMMARY DATA'!$D:$D=$C236,'SUMMARY DATA'!$B:$B=""GRP"")),"""")
  )
)"),"")</f>
      </c>
      <c r="G1135" s="17" t="str">
        <f>IFERROR(__xludf.DUMMYFUNCTION("IFERROR(
  TEXTJOIN(CHAR(10),TRUE,FILTER('SUMMARY DATA'!G:G,'SUMMARY DATA'!$A:$A=$A1135,'SUMMARY DATA'!$C:$C=$B1135,'SUMMARY DATA'!$B:$B=""RWS"")),
  IF(
    OR(
      ISNUMBER(SEARCH(""CDM CASH DEPOSIT"",$C1135)),
      ISNUMBER(SEARCH(""CASH DEPOSIT"",$"&amp;"C1135)),
      COUNTIFS('SUMMARY DATA'!$D:$D,$C1135,'SUMMARY DATA'!$B:$B,""RWS"")&lt;&gt;1
    ),
    """",
    IFERROR(TEXTJOIN(CHAR(10),TRUE,FILTER('SUMMARY DATA'!G:G,'SUMMARY DATA'!$D:$D=$C1135,'SUMMARY DATA'!$B:$B=""RWS"")),"""")
  )
)"),"")</f>
      </c>
      <c r="H1135" s="18" t="str">
        <f>IFERROR(__xludf.DUMMYFUNCTION("IFERROR(
  TEXTJOIN(CHAR(10),TRUE,FILTER('SUMMARY DATA'!H:H,'SUMMARY DATA'!$A:$A=$A1135,'SUMMARY DATA'!$C:$C=$B1135,'SUMMARY DATA'!$B:$B=""RWS"",'SUMMARY DATA'!$H:$H=$D1135)),
  IF(
    OR(
      ISNUMBER(SEARCH(""CDM CASH DEPOSIT"",$C1135)),
      ISNUMB"&amp;"ER(SEARCH(""CASH DEPOSIT"",$C1135))
    ),
    """",
    IFERROR(TEXTJOIN(CHAR(10),TRUE,FILTER('SUMMARY DATA'!H:H,'SUMMARY DATA'!$D:$D=$C1135,'SUMMARY DATA'!$B:$B=""RWS"",'SUMMARY DATA'!$H:$H=$D1135)),"""")
  )
)"),"")</f>
      </c>
      <c r="I1135" s="18" t="str">
        <f>IFERROR(__xludf.DUMMYFUNCTION("IF(H1135="""","""",
SUM(ARRAYFORMULA(VALUE(SPLIT(H1135,CHAR(10)))))
)"),"")</f>
      </c>
      <c r="J1135" s="17" t="str">
        <f>IFERROR(__xludf.DUMMYFUNCTION("IFERROR(
  TEXTJOIN(CHAR(10),TRUE,FILTER('SUMMARY DATA'!I:I,'SUMMARY DATA'!$A:$A=$A1135,'SUMMARY DATA'!$C:$C=$B1135,'SUMMARY DATA'!$B:$B=""RWS"")),
  IF(
    OR(
      ISNUMBER(SEARCH(""CDM CASH DEPOSIT"",$C1135)),
      ISNUMBER(SEARCH(""CASH DEPOSIT"",$"&amp;"C1135)),
      COUNTIFS('SUMMARY DATA'!$D:$D,$C1135,'SUMMARY DATA'!$B:$B,""RWS"")&lt;&gt;1
    ),
    """",
    IFERROR(TEXTJOIN(CHAR(10),TRUE,FILTER('SUMMARY DATA'!I:I,'SUMMARY DATA'!$D:$D=$C1135,'SUMMARY DATA'!$B:$B=""RWS"")),"""")
  )
)"),"")</f>
      </c>
      <c r="K1135" s="2"/>
      <c r="L1135" s="2"/>
      <c r="M1135" s="2"/>
      <c r="N1135" s="2"/>
      <c r="O1135" s="2"/>
      <c r="P1135" s="2"/>
      <c r="Q1135" s="2"/>
      <c r="R1135" s="2"/>
      <c r="S1135" s="2"/>
      <c r="T1135" s="2"/>
      <c r="U1135" s="2"/>
      <c r="V1135" s="2"/>
      <c r="W1135" s="2"/>
      <c r="X1135" s="2"/>
      <c r="Y1135" s="2"/>
      <c r="Z1135" s="2"/>
      <c r="AA1135" s="2"/>
      <c r="AB1135" s="2"/>
    </row>
    <row r="1136" spans="1:28" customHeight="true">
      <c r="A1136" s="2"/>
      <c r="B1136" s="15">
        <v>45798</v>
      </c>
      <c r="C1136" s="2" t="s">
        <v>1676</v>
      </c>
      <c r="D1136" s="6">
        <v>99</v>
      </c>
      <c r="E1136" s="16" t="str">
        <f>IFERROR(__xludf.DUMMYFUNCTION("IFERROR(
  TEXTJOIN(CHAR(10),TRUE,FILTER('SUMMARY DATA'!E:E,'SUMMARY DATA'!$A:$A=$A237,'SUMMARY DATA'!$C:$C=$B237,'SUMMARY DATA'!$B:$B=""GRP"")),
  IF(
    OR(
      ISNUMBER(SEARCH(""CDM CASH DEPOSIT"",$C237)),
      ISNUMBER(SEARCH(""CASH DEPOSIT"",$C23"&amp;"7)),
      COUNTIFS('SUMMARY DATA'!$D:$D,$C237,'SUMMARY DATA'!$B:$B,""GRP"")&lt;&gt;1
    ),
    """",
    IFERROR(TEXTJOIN(CHAR(10),TRUE,FILTER('SUMMARY DATA'!E:E,'SUMMARY DATA'!$D:$D=$C237,'SUMMARY DATA'!$B:$B=""GRP"")),"""")
  )
)"),"")</f>
      </c>
      <c r="F1136" s="17" t="str">
        <f>IFERROR(__xludf.DUMMYFUNCTION("IFERROR(
  TEXTJOIN(CHAR(10),TRUE,FILTER('SUMMARY DATA'!F:F,'SUMMARY DATA'!$A:$A=$A237,'SUMMARY DATA'!$C:$C=$B237,'SUMMARY DATA'!$B:$B=""GRP"")),
  IF(
    OR(
      ISNUMBER(SEARCH(""CDM CASH DEPOSIT"",$C237)),
      ISNUMBER(SEARCH(""CASH DEPOSIT"",$C23"&amp;"7)),
      COUNTIFS('SUMMARY DATA'!$D:$D,$C237,'SUMMARY DATA'!$B:$B,""GRP"")&lt;&gt;1
    ),
    """",
    IFERROR(TEXTJOIN(CHAR(10),TRUE,FILTER('SUMMARY DATA'!F:F,'SUMMARY DATA'!$D:$D=$C237,'SUMMARY DATA'!$B:$B=""GRP"")),"""")
  )
)"),"")</f>
      </c>
      <c r="G1136" s="17" t="str">
        <f>IFERROR(__xludf.DUMMYFUNCTION("IFERROR(
  TEXTJOIN(CHAR(10),TRUE,FILTER('SUMMARY DATA'!G:G,'SUMMARY DATA'!$A:$A=$A1136,'SUMMARY DATA'!$C:$C=$B1136,'SUMMARY DATA'!$B:$B=""RWS"")),
  IF(
    OR(
      ISNUMBER(SEARCH(""CDM CASH DEPOSIT"",$C1136)),
      ISNUMBER(SEARCH(""CASH DEPOSIT"",$"&amp;"C1136)),
      COUNTIFS('SUMMARY DATA'!$D:$D,$C1136,'SUMMARY DATA'!$B:$B,""RWS"")&lt;&gt;1
    ),
    """",
    IFERROR(TEXTJOIN(CHAR(10),TRUE,FILTER('SUMMARY DATA'!G:G,'SUMMARY DATA'!$D:$D=$C1136,'SUMMARY DATA'!$B:$B=""RWS"")),"""")
  )
)"),"")</f>
      </c>
      <c r="H1136" s="18" t="str">
        <f>IFERROR(__xludf.DUMMYFUNCTION("IFERROR(
  TEXTJOIN(CHAR(10),TRUE,FILTER('SUMMARY DATA'!H:H,'SUMMARY DATA'!$A:$A=$A1136,'SUMMARY DATA'!$C:$C=$B1136,'SUMMARY DATA'!$B:$B=""RWS"",'SUMMARY DATA'!$H:$H=$D1136)),
  IF(
    OR(
      ISNUMBER(SEARCH(""CDM CASH DEPOSIT"",$C1136)),
      ISNUMB"&amp;"ER(SEARCH(""CASH DEPOSIT"",$C1136))
    ),
    """",
    IFERROR(TEXTJOIN(CHAR(10),TRUE,FILTER('SUMMARY DATA'!H:H,'SUMMARY DATA'!$D:$D=$C1136,'SUMMARY DATA'!$B:$B=""RWS"",'SUMMARY DATA'!$H:$H=$D1136)),"""")
  )
)"),"")</f>
      </c>
      <c r="I1136" s="18" t="str">
        <f>IFERROR(__xludf.DUMMYFUNCTION("IF(H1136="""","""",
SUM(ARRAYFORMULA(VALUE(SPLIT(H1136,CHAR(10)))))
)"),"")</f>
      </c>
      <c r="J1136" s="17" t="str">
        <f>IFERROR(__xludf.DUMMYFUNCTION("IFERROR(
  TEXTJOIN(CHAR(10),TRUE,FILTER('SUMMARY DATA'!I:I,'SUMMARY DATA'!$A:$A=$A1136,'SUMMARY DATA'!$C:$C=$B1136,'SUMMARY DATA'!$B:$B=""RWS"")),
  IF(
    OR(
      ISNUMBER(SEARCH(""CDM CASH DEPOSIT"",$C1136)),
      ISNUMBER(SEARCH(""CASH DEPOSIT"",$"&amp;"C1136)),
      COUNTIFS('SUMMARY DATA'!$D:$D,$C1136,'SUMMARY DATA'!$B:$B,""RWS"")&lt;&gt;1
    ),
    """",
    IFERROR(TEXTJOIN(CHAR(10),TRUE,FILTER('SUMMARY DATA'!I:I,'SUMMARY DATA'!$D:$D=$C1136,'SUMMARY DATA'!$B:$B=""RWS"")),"""")
  )
)"),"")</f>
      </c>
      <c r="K1136" s="2"/>
      <c r="L1136" s="2"/>
      <c r="M1136" s="2"/>
      <c r="N1136" s="2"/>
      <c r="O1136" s="2"/>
      <c r="P1136" s="2"/>
      <c r="Q1136" s="2"/>
      <c r="R1136" s="2"/>
      <c r="S1136" s="2"/>
      <c r="T1136" s="2"/>
      <c r="U1136" s="2"/>
      <c r="V1136" s="2"/>
      <c r="W1136" s="2"/>
      <c r="X1136" s="2"/>
      <c r="Y1136" s="2"/>
      <c r="Z1136" s="2"/>
      <c r="AA1136" s="2"/>
      <c r="AB1136" s="2"/>
    </row>
    <row r="1137" spans="1:28" customHeight="true">
      <c r="A1137" s="2"/>
      <c r="B1137" s="15">
        <v>45798</v>
      </c>
      <c r="C1137" s="2" t="s">
        <v>1677</v>
      </c>
      <c r="D1137" s="6">
        <v>45.77</v>
      </c>
      <c r="E1137" s="16" t="str">
        <f>IFERROR(__xludf.DUMMYFUNCTION("IFERROR(
  TEXTJOIN(CHAR(10),TRUE,FILTER('SUMMARY DATA'!E:E,'SUMMARY DATA'!$A:$A=$A238,'SUMMARY DATA'!$C:$C=$B238,'SUMMARY DATA'!$B:$B=""GRP"")),
  IF(
    OR(
      ISNUMBER(SEARCH(""CDM CASH DEPOSIT"",$C238)),
      ISNUMBER(SEARCH(""CASH DEPOSIT"",$C23"&amp;"8)),
      COUNTIFS('SUMMARY DATA'!$D:$D,$C238,'SUMMARY DATA'!$B:$B,""GRP"")&lt;&gt;1
    ),
    """",
    IFERROR(TEXTJOIN(CHAR(10),TRUE,FILTER('SUMMARY DATA'!E:E,'SUMMARY DATA'!$D:$D=$C238,'SUMMARY DATA'!$B:$B=""GRP"")),"""")
  )
)"),"")</f>
      </c>
      <c r="F1137" s="17" t="str">
        <f>IFERROR(__xludf.DUMMYFUNCTION("IFERROR(
  TEXTJOIN(CHAR(10),TRUE,FILTER('SUMMARY DATA'!F:F,'SUMMARY DATA'!$A:$A=$A238,'SUMMARY DATA'!$C:$C=$B238,'SUMMARY DATA'!$B:$B=""GRP"")),
  IF(
    OR(
      ISNUMBER(SEARCH(""CDM CASH DEPOSIT"",$C238)),
      ISNUMBER(SEARCH(""CASH DEPOSIT"",$C23"&amp;"8)),
      COUNTIFS('SUMMARY DATA'!$D:$D,$C238,'SUMMARY DATA'!$B:$B,""GRP"")&lt;&gt;1
    ),
    """",
    IFERROR(TEXTJOIN(CHAR(10),TRUE,FILTER('SUMMARY DATA'!F:F,'SUMMARY DATA'!$D:$D=$C238,'SUMMARY DATA'!$B:$B=""GRP"")),"""")
  )
)"),"")</f>
      </c>
      <c r="G1137" s="17" t="str">
        <f>IFERROR(__xludf.DUMMYFUNCTION("IFERROR(
  TEXTJOIN(CHAR(10),TRUE,FILTER('SUMMARY DATA'!G:G,'SUMMARY DATA'!$A:$A=$A1137,'SUMMARY DATA'!$C:$C=$B1137,'SUMMARY DATA'!$B:$B=""RWS"")),
  IF(
    OR(
      ISNUMBER(SEARCH(""CDM CASH DEPOSIT"",$C1137)),
      ISNUMBER(SEARCH(""CASH DEPOSIT"",$"&amp;"C1137)),
      COUNTIFS('SUMMARY DATA'!$D:$D,$C1137,'SUMMARY DATA'!$B:$B,""RWS"")&lt;&gt;1
    ),
    """",
    IFERROR(TEXTJOIN(CHAR(10),TRUE,FILTER('SUMMARY DATA'!G:G,'SUMMARY DATA'!$D:$D=$C1137,'SUMMARY DATA'!$B:$B=""RWS"")),"""")
  )
)"),"")</f>
      </c>
      <c r="H1137" s="18" t="str">
        <f>IFERROR(__xludf.DUMMYFUNCTION("IFERROR(
  TEXTJOIN(CHAR(10),TRUE,FILTER('SUMMARY DATA'!H:H,'SUMMARY DATA'!$A:$A=$A1137,'SUMMARY DATA'!$C:$C=$B1137,'SUMMARY DATA'!$B:$B=""RWS"",'SUMMARY DATA'!$H:$H=$D1137)),
  IF(
    OR(
      ISNUMBER(SEARCH(""CDM CASH DEPOSIT"",$C1137)),
      ISNUMB"&amp;"ER(SEARCH(""CASH DEPOSIT"",$C1137))
    ),
    """",
    IFERROR(TEXTJOIN(CHAR(10),TRUE,FILTER('SUMMARY DATA'!H:H,'SUMMARY DATA'!$D:$D=$C1137,'SUMMARY DATA'!$B:$B=""RWS"",'SUMMARY DATA'!$H:$H=$D1137)),"""")
  )
)"),"")</f>
      </c>
      <c r="I1137" s="18" t="str">
        <f>IFERROR(__xludf.DUMMYFUNCTION("IF(H1137="""","""",
SUM(ARRAYFORMULA(VALUE(SPLIT(H1137,CHAR(10)))))
)"),"")</f>
      </c>
      <c r="J1137" s="17" t="str">
        <f>IFERROR(__xludf.DUMMYFUNCTION("IFERROR(
  TEXTJOIN(CHAR(10),TRUE,FILTER('SUMMARY DATA'!I:I,'SUMMARY DATA'!$A:$A=$A1137,'SUMMARY DATA'!$C:$C=$B1137,'SUMMARY DATA'!$B:$B=""RWS"")),
  IF(
    OR(
      ISNUMBER(SEARCH(""CDM CASH DEPOSIT"",$C1137)),
      ISNUMBER(SEARCH(""CASH DEPOSIT"",$"&amp;"C1137)),
      COUNTIFS('SUMMARY DATA'!$D:$D,$C1137,'SUMMARY DATA'!$B:$B,""RWS"")&lt;&gt;1
    ),
    """",
    IFERROR(TEXTJOIN(CHAR(10),TRUE,FILTER('SUMMARY DATA'!I:I,'SUMMARY DATA'!$D:$D=$C1137,'SUMMARY DATA'!$B:$B=""RWS"")),"""")
  )
)"),"")</f>
      </c>
      <c r="K1137" s="2"/>
      <c r="L1137" s="2"/>
      <c r="M1137" s="2"/>
      <c r="N1137" s="2"/>
      <c r="O1137" s="2"/>
      <c r="P1137" s="2"/>
      <c r="Q1137" s="2"/>
      <c r="R1137" s="2"/>
      <c r="S1137" s="2"/>
      <c r="T1137" s="2"/>
      <c r="U1137" s="2"/>
      <c r="V1137" s="2"/>
      <c r="W1137" s="2"/>
      <c r="X1137" s="2"/>
      <c r="Y1137" s="2"/>
      <c r="Z1137" s="2"/>
      <c r="AA1137" s="2"/>
      <c r="AB1137" s="2"/>
    </row>
    <row r="1138" spans="1:28" customHeight="true">
      <c r="A1138" s="2"/>
      <c r="B1138" s="15">
        <v>45798</v>
      </c>
      <c r="C1138" s="2" t="s">
        <v>1678</v>
      </c>
      <c r="D1138" s="6">
        <v>30.8</v>
      </c>
      <c r="E1138" s="16" t="str">
        <f>IFERROR(__xludf.DUMMYFUNCTION("IFERROR(
  TEXTJOIN(CHAR(10),TRUE,FILTER('SUMMARY DATA'!E:E,'SUMMARY DATA'!$A:$A=$A239,'SUMMARY DATA'!$C:$C=$B239,'SUMMARY DATA'!$B:$B=""GRP"")),
  IF(
    OR(
      ISNUMBER(SEARCH(""CDM CASH DEPOSIT"",$C239)),
      ISNUMBER(SEARCH(""CASH DEPOSIT"",$C23"&amp;"9)),
      COUNTIFS('SUMMARY DATA'!$D:$D,$C239,'SUMMARY DATA'!$B:$B,""GRP"")&lt;&gt;1
    ),
    """",
    IFERROR(TEXTJOIN(CHAR(10),TRUE,FILTER('SUMMARY DATA'!E:E,'SUMMARY DATA'!$D:$D=$C239,'SUMMARY DATA'!$B:$B=""GRP"")),"""")
  )
)"),"")</f>
      </c>
      <c r="F1138" s="17" t="str">
        <f>IFERROR(__xludf.DUMMYFUNCTION("IFERROR(
  TEXTJOIN(CHAR(10),TRUE,FILTER('SUMMARY DATA'!F:F,'SUMMARY DATA'!$A:$A=$A239,'SUMMARY DATA'!$C:$C=$B239,'SUMMARY DATA'!$B:$B=""GRP"")),
  IF(
    OR(
      ISNUMBER(SEARCH(""CDM CASH DEPOSIT"",$C239)),
      ISNUMBER(SEARCH(""CASH DEPOSIT"",$C23"&amp;"9)),
      COUNTIFS('SUMMARY DATA'!$D:$D,$C239,'SUMMARY DATA'!$B:$B,""GRP"")&lt;&gt;1
    ),
    """",
    IFERROR(TEXTJOIN(CHAR(10),TRUE,FILTER('SUMMARY DATA'!F:F,'SUMMARY DATA'!$D:$D=$C239,'SUMMARY DATA'!$B:$B=""GRP"")),"""")
  )
)"),"")</f>
      </c>
      <c r="G1138" s="17" t="str">
        <f>IFERROR(__xludf.DUMMYFUNCTION("IFERROR(
  TEXTJOIN(CHAR(10),TRUE,FILTER('SUMMARY DATA'!G:G,'SUMMARY DATA'!$A:$A=$A1138,'SUMMARY DATA'!$C:$C=$B1138,'SUMMARY DATA'!$B:$B=""RWS"")),
  IF(
    OR(
      ISNUMBER(SEARCH(""CDM CASH DEPOSIT"",$C1138)),
      ISNUMBER(SEARCH(""CASH DEPOSIT"",$"&amp;"C1138)),
      COUNTIFS('SUMMARY DATA'!$D:$D,$C1138,'SUMMARY DATA'!$B:$B,""RWS"")&lt;&gt;1
    ),
    """",
    IFERROR(TEXTJOIN(CHAR(10),TRUE,FILTER('SUMMARY DATA'!G:G,'SUMMARY DATA'!$D:$D=$C1138,'SUMMARY DATA'!$B:$B=""RWS"")),"""")
  )
)"),"")</f>
      </c>
      <c r="H1138" s="18" t="str">
        <f>IFERROR(__xludf.DUMMYFUNCTION("IFERROR(
  TEXTJOIN(CHAR(10),TRUE,FILTER('SUMMARY DATA'!H:H,'SUMMARY DATA'!$A:$A=$A1138,'SUMMARY DATA'!$C:$C=$B1138,'SUMMARY DATA'!$B:$B=""RWS"",'SUMMARY DATA'!$H:$H=$D1138)),
  IF(
    OR(
      ISNUMBER(SEARCH(""CDM CASH DEPOSIT"",$C1138)),
      ISNUMB"&amp;"ER(SEARCH(""CASH DEPOSIT"",$C1138))
    ),
    """",
    IFERROR(TEXTJOIN(CHAR(10),TRUE,FILTER('SUMMARY DATA'!H:H,'SUMMARY DATA'!$D:$D=$C1138,'SUMMARY DATA'!$B:$B=""RWS"",'SUMMARY DATA'!$H:$H=$D1138)),"""")
  )
)"),"")</f>
      </c>
      <c r="I1138" s="18" t="str">
        <f>IFERROR(__xludf.DUMMYFUNCTION("IF(H1138="""","""",
SUM(ARRAYFORMULA(VALUE(SPLIT(H1138,CHAR(10)))))
)"),"")</f>
      </c>
      <c r="J1138" s="17" t="str">
        <f>IFERROR(__xludf.DUMMYFUNCTION("IFERROR(
  TEXTJOIN(CHAR(10),TRUE,FILTER('SUMMARY DATA'!I:I,'SUMMARY DATA'!$A:$A=$A1138,'SUMMARY DATA'!$C:$C=$B1138,'SUMMARY DATA'!$B:$B=""RWS"")),
  IF(
    OR(
      ISNUMBER(SEARCH(""CDM CASH DEPOSIT"",$C1138)),
      ISNUMBER(SEARCH(""CASH DEPOSIT"",$"&amp;"C1138)),
      COUNTIFS('SUMMARY DATA'!$D:$D,$C1138,'SUMMARY DATA'!$B:$B,""RWS"")&lt;&gt;1
    ),
    """",
    IFERROR(TEXTJOIN(CHAR(10),TRUE,FILTER('SUMMARY DATA'!I:I,'SUMMARY DATA'!$D:$D=$C1138,'SUMMARY DATA'!$B:$B=""RWS"")),"""")
  )
)"),"")</f>
      </c>
      <c r="K1138" s="2"/>
      <c r="L1138" s="2"/>
      <c r="M1138" s="2"/>
      <c r="N1138" s="2"/>
      <c r="O1138" s="2"/>
      <c r="P1138" s="2"/>
      <c r="Q1138" s="2"/>
      <c r="R1138" s="2"/>
      <c r="S1138" s="2"/>
      <c r="T1138" s="2"/>
      <c r="U1138" s="2"/>
      <c r="V1138" s="2"/>
      <c r="W1138" s="2"/>
      <c r="X1138" s="2"/>
      <c r="Y1138" s="2"/>
      <c r="Z1138" s="2"/>
      <c r="AA1138" s="2"/>
      <c r="AB1138" s="2"/>
    </row>
    <row r="1139" spans="1:28" customHeight="true">
      <c r="A1139" s="2" t="s">
        <v>1679</v>
      </c>
      <c r="B1139" s="15">
        <v>45798</v>
      </c>
      <c r="C1139" s="2" t="s">
        <v>1680</v>
      </c>
      <c r="D1139" s="6">
        <v>19.66</v>
      </c>
      <c r="E1139" s="16" t="str">
        <f>IFERROR(__xludf.DUMMYFUNCTION("IFERROR(
  TEXTJOIN(CHAR(10),TRUE,FILTER('SUMMARY DATA'!E:E,'SUMMARY DATA'!$A:$A=$A240,'SUMMARY DATA'!$C:$C=$B240,'SUMMARY DATA'!$B:$B=""GRP"")),
  IF(
    OR(
      ISNUMBER(SEARCH(""CDM CASH DEPOSIT"",$C240)),
      ISNUMBER(SEARCH(""CASH DEPOSIT"",$C24"&amp;"0)),
      COUNTIFS('SUMMARY DATA'!$D:$D,$C240,'SUMMARY DATA'!$B:$B,""GRP"")&lt;&gt;1
    ),
    """",
    IFERROR(TEXTJOIN(CHAR(10),TRUE,FILTER('SUMMARY DATA'!E:E,'SUMMARY DATA'!$D:$D=$C240,'SUMMARY DATA'!$B:$B=""GRP"")),"""")
  )
)"),"")</f>
      </c>
      <c r="F1139" s="17" t="str">
        <f>IFERROR(__xludf.DUMMYFUNCTION("IFERROR(
  TEXTJOIN(CHAR(10),TRUE,FILTER('SUMMARY DATA'!F:F,'SUMMARY DATA'!$A:$A=$A240,'SUMMARY DATA'!$C:$C=$B240,'SUMMARY DATA'!$B:$B=""GRP"")),
  IF(
    OR(
      ISNUMBER(SEARCH(""CDM CASH DEPOSIT"",$C240)),
      ISNUMBER(SEARCH(""CASH DEPOSIT"",$C24"&amp;"0)),
      COUNTIFS('SUMMARY DATA'!$D:$D,$C240,'SUMMARY DATA'!$B:$B,""GRP"")&lt;&gt;1
    ),
    """",
    IFERROR(TEXTJOIN(CHAR(10),TRUE,FILTER('SUMMARY DATA'!F:F,'SUMMARY DATA'!$D:$D=$C240,'SUMMARY DATA'!$B:$B=""GRP"")),"""")
  )
)"),"")</f>
      </c>
      <c r="G1139" s="17" t="str">
        <f>IFERROR(__xludf.DUMMYFUNCTION("IFERROR(
  TEXTJOIN(CHAR(10),TRUE,FILTER('SUMMARY DATA'!G:G,'SUMMARY DATA'!$A:$A=$A1139,'SUMMARY DATA'!$C:$C=$B1139,'SUMMARY DATA'!$B:$B=""RWS"")),
  IF(
    OR(
      ISNUMBER(SEARCH(""CDM CASH DEPOSIT"",$C1139)),
      ISNUMBER(SEARCH(""CASH DEPOSIT"",$"&amp;"C1139)),
      COUNTIFS('SUMMARY DATA'!$D:$D,$C1139,'SUMMARY DATA'!$B:$B,""RWS"")&lt;&gt;1
    ),
    """",
    IFERROR(TEXTJOIN(CHAR(10),TRUE,FILTER('SUMMARY DATA'!G:G,'SUMMARY DATA'!$D:$D=$C1139,'SUMMARY DATA'!$B:$B=""RWS"")),"""")
  )
)"),"")</f>
      </c>
      <c r="H1139" s="18" t="str">
        <f>IFERROR(__xludf.DUMMYFUNCTION("IFERROR(
  TEXTJOIN(CHAR(10),TRUE,FILTER('SUMMARY DATA'!H:H,'SUMMARY DATA'!$A:$A=$A1139,'SUMMARY DATA'!$C:$C=$B1139,'SUMMARY DATA'!$B:$B=""RWS"",'SUMMARY DATA'!$H:$H=$D1139)),
  IF(
    OR(
      ISNUMBER(SEARCH(""CDM CASH DEPOSIT"",$C1139)),
      ISNUMB"&amp;"ER(SEARCH(""CASH DEPOSIT"",$C1139))
    ),
    """",
    IFERROR(TEXTJOIN(CHAR(10),TRUE,FILTER('SUMMARY DATA'!H:H,'SUMMARY DATA'!$D:$D=$C1139,'SUMMARY DATA'!$B:$B=""RWS"",'SUMMARY DATA'!$H:$H=$D1139)),"""")
  )
)"),"")</f>
      </c>
      <c r="I1139" s="18" t="str">
        <f>IFERROR(__xludf.DUMMYFUNCTION("IF(H1139="""","""",
SUM(ARRAYFORMULA(VALUE(SPLIT(H1139,CHAR(10)))))
)"),"")</f>
      </c>
      <c r="J1139" s="17" t="str">
        <f>IFERROR(__xludf.DUMMYFUNCTION("IFERROR(
  TEXTJOIN(CHAR(10),TRUE,FILTER('SUMMARY DATA'!I:I,'SUMMARY DATA'!$A:$A=$A1139,'SUMMARY DATA'!$C:$C=$B1139,'SUMMARY DATA'!$B:$B=""RWS"")),
  IF(
    OR(
      ISNUMBER(SEARCH(""CDM CASH DEPOSIT"",$C1139)),
      ISNUMBER(SEARCH(""CASH DEPOSIT"",$"&amp;"C1139)),
      COUNTIFS('SUMMARY DATA'!$D:$D,$C1139,'SUMMARY DATA'!$B:$B,""RWS"")&lt;&gt;1
    ),
    """",
    IFERROR(TEXTJOIN(CHAR(10),TRUE,FILTER('SUMMARY DATA'!I:I,'SUMMARY DATA'!$D:$D=$C1139,'SUMMARY DATA'!$B:$B=""RWS"")),"""")
  )
)"),"")</f>
      </c>
      <c r="K1139" s="2"/>
      <c r="L1139" s="2"/>
      <c r="M1139" s="2"/>
      <c r="N1139" s="2"/>
      <c r="O1139" s="2"/>
      <c r="P1139" s="2"/>
      <c r="Q1139" s="2"/>
      <c r="R1139" s="2"/>
      <c r="S1139" s="2"/>
      <c r="T1139" s="2"/>
      <c r="U1139" s="2"/>
      <c r="V1139" s="2"/>
      <c r="W1139" s="2"/>
      <c r="X1139" s="2"/>
      <c r="Y1139" s="2"/>
      <c r="Z1139" s="2"/>
      <c r="AA1139" s="2"/>
      <c r="AB1139" s="2"/>
    </row>
    <row r="1140" spans="1:28" customHeight="true">
      <c r="A1140" s="2"/>
      <c r="B1140" s="15">
        <v>45798</v>
      </c>
      <c r="C1140" s="2" t="s">
        <v>1671</v>
      </c>
      <c r="D1140" s="6">
        <v>18</v>
      </c>
      <c r="E1140" s="16" t="str">
        <f>IFERROR(__xludf.DUMMYFUNCTION("IFERROR(
  TEXTJOIN(CHAR(10),TRUE,FILTER('SUMMARY DATA'!E:E,'SUMMARY DATA'!$A:$A=$A241,'SUMMARY DATA'!$C:$C=$B241,'SUMMARY DATA'!$B:$B=""GRP"")),
  IF(
    OR(
      ISNUMBER(SEARCH(""CDM CASH DEPOSIT"",$C241)),
      ISNUMBER(SEARCH(""CASH DEPOSIT"",$C24"&amp;"1)),
      COUNTIFS('SUMMARY DATA'!$D:$D,$C241,'SUMMARY DATA'!$B:$B,""GRP"")&lt;&gt;1
    ),
    """",
    IFERROR(TEXTJOIN(CHAR(10),TRUE,FILTER('SUMMARY DATA'!E:E,'SUMMARY DATA'!$D:$D=$C241,'SUMMARY DATA'!$B:$B=""GRP"")),"""")
  )
)"),"")</f>
      </c>
      <c r="F1140" s="17" t="str">
        <f>IFERROR(__xludf.DUMMYFUNCTION("IFERROR(
  TEXTJOIN(CHAR(10),TRUE,FILTER('SUMMARY DATA'!F:F,'SUMMARY DATA'!$A:$A=$A241,'SUMMARY DATA'!$C:$C=$B241,'SUMMARY DATA'!$B:$B=""GRP"")),
  IF(
    OR(
      ISNUMBER(SEARCH(""CDM CASH DEPOSIT"",$C241)),
      ISNUMBER(SEARCH(""CASH DEPOSIT"",$C24"&amp;"1)),
      COUNTIFS('SUMMARY DATA'!$D:$D,$C241,'SUMMARY DATA'!$B:$B,""GRP"")&lt;&gt;1
    ),
    """",
    IFERROR(TEXTJOIN(CHAR(10),TRUE,FILTER('SUMMARY DATA'!F:F,'SUMMARY DATA'!$D:$D=$C241,'SUMMARY DATA'!$B:$B=""GRP"")),"""")
  )
)"),"")</f>
      </c>
      <c r="G1140" s="17" t="str">
        <f>IFERROR(__xludf.DUMMYFUNCTION("IFERROR(
  TEXTJOIN(CHAR(10),TRUE,FILTER('SUMMARY DATA'!G:G,'SUMMARY DATA'!$A:$A=$A1140,'SUMMARY DATA'!$C:$C=$B1140,'SUMMARY DATA'!$B:$B=""RWS"")),
  IF(
    OR(
      ISNUMBER(SEARCH(""CDM CASH DEPOSIT"",$C1140)),
      ISNUMBER(SEARCH(""CASH DEPOSIT"",$"&amp;"C1140)),
      COUNTIFS('SUMMARY DATA'!$D:$D,$C1140,'SUMMARY DATA'!$B:$B,""RWS"")&lt;&gt;1
    ),
    """",
    IFERROR(TEXTJOIN(CHAR(10),TRUE,FILTER('SUMMARY DATA'!G:G,'SUMMARY DATA'!$D:$D=$C1140,'SUMMARY DATA'!$B:$B=""RWS"")),"""")
  )
)"),"")</f>
      </c>
      <c r="H1140" s="18" t="str">
        <f>IFERROR(__xludf.DUMMYFUNCTION("IFERROR(
  TEXTJOIN(CHAR(10),TRUE,FILTER('SUMMARY DATA'!H:H,'SUMMARY DATA'!$A:$A=$A1140,'SUMMARY DATA'!$C:$C=$B1140,'SUMMARY DATA'!$B:$B=""RWS"",'SUMMARY DATA'!$H:$H=$D1140)),
  IF(
    OR(
      ISNUMBER(SEARCH(""CDM CASH DEPOSIT"",$C1140)),
      ISNUMB"&amp;"ER(SEARCH(""CASH DEPOSIT"",$C1140))
    ),
    """",
    IFERROR(TEXTJOIN(CHAR(10),TRUE,FILTER('SUMMARY DATA'!H:H,'SUMMARY DATA'!$D:$D=$C1140,'SUMMARY DATA'!$B:$B=""RWS"",'SUMMARY DATA'!$H:$H=$D1140)),"""")
  )
)"),"")</f>
      </c>
      <c r="I1140" s="18" t="str">
        <f>IFERROR(__xludf.DUMMYFUNCTION("IF(H1140="""","""",
SUM(ARRAYFORMULA(VALUE(SPLIT(H1140,CHAR(10)))))
)"),"")</f>
      </c>
      <c r="J1140" s="17" t="str">
        <f>IFERROR(__xludf.DUMMYFUNCTION("IFERROR(
  TEXTJOIN(CHAR(10),TRUE,FILTER('SUMMARY DATA'!I:I,'SUMMARY DATA'!$A:$A=$A1140,'SUMMARY DATA'!$C:$C=$B1140,'SUMMARY DATA'!$B:$B=""RWS"")),
  IF(
    OR(
      ISNUMBER(SEARCH(""CDM CASH DEPOSIT"",$C1140)),
      ISNUMBER(SEARCH(""CASH DEPOSIT"",$"&amp;"C1140)),
      COUNTIFS('SUMMARY DATA'!$D:$D,$C1140,'SUMMARY DATA'!$B:$B,""RWS"")&lt;&gt;1
    ),
    """",
    IFERROR(TEXTJOIN(CHAR(10),TRUE,FILTER('SUMMARY DATA'!I:I,'SUMMARY DATA'!$D:$D=$C1140,'SUMMARY DATA'!$B:$B=""RWS"")),"""")
  )
)"),"")</f>
      </c>
      <c r="K1140" s="2"/>
      <c r="L1140" s="2"/>
      <c r="M1140" s="2"/>
      <c r="N1140" s="2"/>
      <c r="O1140" s="2"/>
      <c r="P1140" s="2"/>
      <c r="Q1140" s="2"/>
      <c r="R1140" s="2"/>
      <c r="S1140" s="2"/>
      <c r="T1140" s="2"/>
      <c r="U1140" s="2"/>
      <c r="V1140" s="2"/>
      <c r="W1140" s="2"/>
      <c r="X1140" s="2"/>
      <c r="Y1140" s="2"/>
      <c r="Z1140" s="2"/>
      <c r="AA1140" s="2"/>
      <c r="AB1140" s="2"/>
    </row>
    <row r="1141" spans="1:28" customHeight="true">
      <c r="A1141" s="2"/>
      <c r="B1141" s="15">
        <v>45798</v>
      </c>
      <c r="C1141" s="2" t="s">
        <v>1681</v>
      </c>
      <c r="D1141" s="6">
        <v>5.6</v>
      </c>
      <c r="E1141" s="16" t="str">
        <f>IFERROR(__xludf.DUMMYFUNCTION("IFERROR(
  TEXTJOIN(CHAR(10),TRUE,FILTER('SUMMARY DATA'!E:E,'SUMMARY DATA'!$A:$A=$A242,'SUMMARY DATA'!$C:$C=$B242,'SUMMARY DATA'!$B:$B=""GRP"")),
  IF(
    OR(
      ISNUMBER(SEARCH(""CDM CASH DEPOSIT"",$C242)),
      ISNUMBER(SEARCH(""CASH DEPOSIT"",$C24"&amp;"2)),
      COUNTIFS('SUMMARY DATA'!$D:$D,$C242,'SUMMARY DATA'!$B:$B,""GRP"")&lt;&gt;1
    ),
    """",
    IFERROR(TEXTJOIN(CHAR(10),TRUE,FILTER('SUMMARY DATA'!E:E,'SUMMARY DATA'!$D:$D=$C242,'SUMMARY DATA'!$B:$B=""GRP"")),"""")
  )
)"),"")</f>
      </c>
      <c r="F1141" s="17" t="str">
        <f>IFERROR(__xludf.DUMMYFUNCTION("IFERROR(
  TEXTJOIN(CHAR(10),TRUE,FILTER('SUMMARY DATA'!F:F,'SUMMARY DATA'!$A:$A=$A242,'SUMMARY DATA'!$C:$C=$B242,'SUMMARY DATA'!$B:$B=""GRP"")),
  IF(
    OR(
      ISNUMBER(SEARCH(""CDM CASH DEPOSIT"",$C242)),
      ISNUMBER(SEARCH(""CASH DEPOSIT"",$C24"&amp;"2)),
      COUNTIFS('SUMMARY DATA'!$D:$D,$C242,'SUMMARY DATA'!$B:$B,""GRP"")&lt;&gt;1
    ),
    """",
    IFERROR(TEXTJOIN(CHAR(10),TRUE,FILTER('SUMMARY DATA'!F:F,'SUMMARY DATA'!$D:$D=$C242,'SUMMARY DATA'!$B:$B=""GRP"")),"""")
  )
)"),"")</f>
      </c>
      <c r="G1141" s="17" t="str">
        <f>IFERROR(__xludf.DUMMYFUNCTION("IFERROR(
  TEXTJOIN(CHAR(10),TRUE,FILTER('SUMMARY DATA'!G:G,'SUMMARY DATA'!$A:$A=$A1141,'SUMMARY DATA'!$C:$C=$B1141,'SUMMARY DATA'!$B:$B=""RWS"")),
  IF(
    OR(
      ISNUMBER(SEARCH(""CDM CASH DEPOSIT"",$C1141)),
      ISNUMBER(SEARCH(""CASH DEPOSIT"",$"&amp;"C1141)),
      COUNTIFS('SUMMARY DATA'!$D:$D,$C1141,'SUMMARY DATA'!$B:$B,""RWS"")&lt;&gt;1
    ),
    """",
    IFERROR(TEXTJOIN(CHAR(10),TRUE,FILTER('SUMMARY DATA'!G:G,'SUMMARY DATA'!$D:$D=$C1141,'SUMMARY DATA'!$B:$B=""RWS"")),"""")
  )
)"),"")</f>
      </c>
      <c r="H1141" s="18" t="str">
        <f>IFERROR(__xludf.DUMMYFUNCTION("IFERROR(
  TEXTJOIN(CHAR(10),TRUE,FILTER('SUMMARY DATA'!H:H,'SUMMARY DATA'!$A:$A=$A1141,'SUMMARY DATA'!$C:$C=$B1141,'SUMMARY DATA'!$B:$B=""RWS"",'SUMMARY DATA'!$H:$H=$D1141)),
  IF(
    OR(
      ISNUMBER(SEARCH(""CDM CASH DEPOSIT"",$C1141)),
      ISNUMB"&amp;"ER(SEARCH(""CASH DEPOSIT"",$C1141))
    ),
    """",
    IFERROR(TEXTJOIN(CHAR(10),TRUE,FILTER('SUMMARY DATA'!H:H,'SUMMARY DATA'!$D:$D=$C1141,'SUMMARY DATA'!$B:$B=""RWS"",'SUMMARY DATA'!$H:$H=$D1141)),"""")
  )
)"),"")</f>
      </c>
      <c r="I1141" s="18" t="str">
        <f>IFERROR(__xludf.DUMMYFUNCTION("IF(H1141="""","""",
SUM(ARRAYFORMULA(VALUE(SPLIT(H1141,CHAR(10)))))
)"),"")</f>
      </c>
      <c r="J1141" s="17" t="str">
        <f>IFERROR(__xludf.DUMMYFUNCTION("IFERROR(
  TEXTJOIN(CHAR(10),TRUE,FILTER('SUMMARY DATA'!I:I,'SUMMARY DATA'!$A:$A=$A1141,'SUMMARY DATA'!$C:$C=$B1141,'SUMMARY DATA'!$B:$B=""RWS"")),
  IF(
    OR(
      ISNUMBER(SEARCH(""CDM CASH DEPOSIT"",$C1141)),
      ISNUMBER(SEARCH(""CASH DEPOSIT"",$"&amp;"C1141)),
      COUNTIFS('SUMMARY DATA'!$D:$D,$C1141,'SUMMARY DATA'!$B:$B,""RWS"")&lt;&gt;1
    ),
    """",
    IFERROR(TEXTJOIN(CHAR(10),TRUE,FILTER('SUMMARY DATA'!I:I,'SUMMARY DATA'!$D:$D=$C1141,'SUMMARY DATA'!$B:$B=""RWS"")),"""")
  )
)"),"")</f>
      </c>
      <c r="K1141" s="2"/>
      <c r="L1141" s="2"/>
      <c r="M1141" s="2"/>
      <c r="N1141" s="2"/>
      <c r="O1141" s="2"/>
      <c r="P1141" s="2"/>
      <c r="Q1141" s="2"/>
      <c r="R1141" s="2"/>
      <c r="S1141" s="2"/>
      <c r="T1141" s="2"/>
      <c r="U1141" s="2"/>
      <c r="V1141" s="2"/>
      <c r="W1141" s="2"/>
      <c r="X1141" s="2"/>
      <c r="Y1141" s="2"/>
      <c r="Z1141" s="2"/>
      <c r="AA1141" s="2"/>
      <c r="AB1141" s="2"/>
    </row>
    <row r="1142" spans="1:28" customHeight="true">
      <c r="A1142" s="2"/>
      <c r="B1142" s="15">
        <v>45799</v>
      </c>
      <c r="C1142" s="2" t="s">
        <v>1682</v>
      </c>
      <c r="D1142" s="6">
        <v>128</v>
      </c>
      <c r="E1142" s="16" t="str">
        <f>IFERROR(__xludf.DUMMYFUNCTION("IFERROR(
  TEXTJOIN(CHAR(10),TRUE,FILTER('SUMMARY DATA'!E:E,'SUMMARY DATA'!$A:$A=$A243,'SUMMARY DATA'!$C:$C=$B243,'SUMMARY DATA'!$B:$B=""GRP"")),
  IF(
    OR(
      ISNUMBER(SEARCH(""CDM CASH DEPOSIT"",$C243)),
      ISNUMBER(SEARCH(""CASH DEPOSIT"",$C24"&amp;"3)),
      COUNTIFS('SUMMARY DATA'!$D:$D,$C243,'SUMMARY DATA'!$B:$B,""GRP"")&lt;&gt;1
    ),
    """",
    IFERROR(TEXTJOIN(CHAR(10),TRUE,FILTER('SUMMARY DATA'!E:E,'SUMMARY DATA'!$D:$D=$C243,'SUMMARY DATA'!$B:$B=""GRP"")),"""")
  )
)"),"")</f>
      </c>
      <c r="F1142" s="17" t="str">
        <f>IFERROR(__xludf.DUMMYFUNCTION("IFERROR(
  TEXTJOIN(CHAR(10),TRUE,FILTER('SUMMARY DATA'!F:F,'SUMMARY DATA'!$A:$A=$A243,'SUMMARY DATA'!$C:$C=$B243,'SUMMARY DATA'!$B:$B=""GRP"")),
  IF(
    OR(
      ISNUMBER(SEARCH(""CDM CASH DEPOSIT"",$C243)),
      ISNUMBER(SEARCH(""CASH DEPOSIT"",$C24"&amp;"3)),
      COUNTIFS('SUMMARY DATA'!$D:$D,$C243,'SUMMARY DATA'!$B:$B,""GRP"")&lt;&gt;1
    ),
    """",
    IFERROR(TEXTJOIN(CHAR(10),TRUE,FILTER('SUMMARY DATA'!F:F,'SUMMARY DATA'!$D:$D=$C243,'SUMMARY DATA'!$B:$B=""GRP"")),"""")
  )
)"),"")</f>
      </c>
      <c r="G1142" s="17" t="str">
        <f>IFERROR(__xludf.DUMMYFUNCTION("IFERROR(
  TEXTJOIN(CHAR(10),TRUE,FILTER('SUMMARY DATA'!G:G,'SUMMARY DATA'!$A:$A=$A1142,'SUMMARY DATA'!$C:$C=$B1142,'SUMMARY DATA'!$B:$B=""RWS"")),
  IF(
    OR(
      ISNUMBER(SEARCH(""CDM CASH DEPOSIT"",$C1142)),
      ISNUMBER(SEARCH(""CASH DEPOSIT"",$"&amp;"C1142)),
      COUNTIFS('SUMMARY DATA'!$D:$D,$C1142,'SUMMARY DATA'!$B:$B,""RWS"")&lt;&gt;1
    ),
    """",
    IFERROR(TEXTJOIN(CHAR(10),TRUE,FILTER('SUMMARY DATA'!G:G,'SUMMARY DATA'!$D:$D=$C1142,'SUMMARY DATA'!$B:$B=""RWS"")),"""")
  )
)"),"")</f>
      </c>
      <c r="H1142" s="18" t="str">
        <f>IFERROR(__xludf.DUMMYFUNCTION("IFERROR(
  TEXTJOIN(CHAR(10),TRUE,FILTER('SUMMARY DATA'!H:H,'SUMMARY DATA'!$A:$A=$A1142,'SUMMARY DATA'!$C:$C=$B1142,'SUMMARY DATA'!$B:$B=""RWS"",'SUMMARY DATA'!$H:$H=$D1142)),
  IF(
    OR(
      ISNUMBER(SEARCH(""CDM CASH DEPOSIT"",$C1142)),
      ISNUMB"&amp;"ER(SEARCH(""CASH DEPOSIT"",$C1142))
    ),
    """",
    IFERROR(TEXTJOIN(CHAR(10),TRUE,FILTER('SUMMARY DATA'!H:H,'SUMMARY DATA'!$D:$D=$C1142,'SUMMARY DATA'!$B:$B=""RWS"",'SUMMARY DATA'!$H:$H=$D1142)),"""")
  )
)"),"")</f>
      </c>
      <c r="I1142" s="18" t="str">
        <f>IFERROR(__xludf.DUMMYFUNCTION("IF(H1142="""","""",
SUM(ARRAYFORMULA(VALUE(SPLIT(H1142,CHAR(10)))))
)"),"")</f>
      </c>
      <c r="J1142" s="17" t="str">
        <f>IFERROR(__xludf.DUMMYFUNCTION("IFERROR(
  TEXTJOIN(CHAR(10),TRUE,FILTER('SUMMARY DATA'!I:I,'SUMMARY DATA'!$A:$A=$A1142,'SUMMARY DATA'!$C:$C=$B1142,'SUMMARY DATA'!$B:$B=""RWS"")),
  IF(
    OR(
      ISNUMBER(SEARCH(""CDM CASH DEPOSIT"",$C1142)),
      ISNUMBER(SEARCH(""CASH DEPOSIT"",$"&amp;"C1142)),
      COUNTIFS('SUMMARY DATA'!$D:$D,$C1142,'SUMMARY DATA'!$B:$B,""RWS"")&lt;&gt;1
    ),
    """",
    IFERROR(TEXTJOIN(CHAR(10),TRUE,FILTER('SUMMARY DATA'!I:I,'SUMMARY DATA'!$D:$D=$C1142,'SUMMARY DATA'!$B:$B=""RWS"")),"""")
  )
)"),"")</f>
      </c>
      <c r="K1142" s="2"/>
      <c r="L1142" s="2"/>
      <c r="M1142" s="2"/>
      <c r="N1142" s="2"/>
      <c r="O1142" s="2"/>
      <c r="P1142" s="2"/>
      <c r="Q1142" s="2"/>
      <c r="R1142" s="2"/>
      <c r="S1142" s="2"/>
      <c r="T1142" s="2"/>
      <c r="U1142" s="2"/>
      <c r="V1142" s="2"/>
      <c r="W1142" s="2"/>
      <c r="X1142" s="2"/>
      <c r="Y1142" s="2"/>
      <c r="Z1142" s="2"/>
      <c r="AA1142" s="2"/>
      <c r="AB1142" s="2"/>
    </row>
    <row r="1143" spans="1:28" customHeight="true">
      <c r="A1143" s="2"/>
      <c r="B1143" s="15">
        <v>45799</v>
      </c>
      <c r="C1143" s="2" t="s">
        <v>1683</v>
      </c>
      <c r="D1143" s="6">
        <v>95.4</v>
      </c>
      <c r="E1143" s="16" t="str">
        <f>IFERROR(__xludf.DUMMYFUNCTION("IFERROR(
  TEXTJOIN(CHAR(10),TRUE,FILTER('SUMMARY DATA'!E:E,'SUMMARY DATA'!$A:$A=$A244,'SUMMARY DATA'!$C:$C=$B244,'SUMMARY DATA'!$B:$B=""GRP"")),
  IF(
    OR(
      ISNUMBER(SEARCH(""CDM CASH DEPOSIT"",$C244)),
      ISNUMBER(SEARCH(""CASH DEPOSIT"",$C24"&amp;"4)),
      COUNTIFS('SUMMARY DATA'!$D:$D,$C244,'SUMMARY DATA'!$B:$B,""GRP"")&lt;&gt;1
    ),
    """",
    IFERROR(TEXTJOIN(CHAR(10),TRUE,FILTER('SUMMARY DATA'!E:E,'SUMMARY DATA'!$D:$D=$C244,'SUMMARY DATA'!$B:$B=""GRP"")),"""")
  )
)"),"")</f>
      </c>
      <c r="F1143" s="17" t="str">
        <f>IFERROR(__xludf.DUMMYFUNCTION("IFERROR(
  TEXTJOIN(CHAR(10),TRUE,FILTER('SUMMARY DATA'!F:F,'SUMMARY DATA'!$A:$A=$A244,'SUMMARY DATA'!$C:$C=$B244,'SUMMARY DATA'!$B:$B=""GRP"")),
  IF(
    OR(
      ISNUMBER(SEARCH(""CDM CASH DEPOSIT"",$C244)),
      ISNUMBER(SEARCH(""CASH DEPOSIT"",$C24"&amp;"4)),
      COUNTIFS('SUMMARY DATA'!$D:$D,$C244,'SUMMARY DATA'!$B:$B,""GRP"")&lt;&gt;1
    ),
    """",
    IFERROR(TEXTJOIN(CHAR(10),TRUE,FILTER('SUMMARY DATA'!F:F,'SUMMARY DATA'!$D:$D=$C244,'SUMMARY DATA'!$B:$B=""GRP"")),"""")
  )
)"),"")</f>
      </c>
      <c r="G1143" s="17" t="str">
        <f>IFERROR(__xludf.DUMMYFUNCTION("IFERROR(
  TEXTJOIN(CHAR(10),TRUE,FILTER('SUMMARY DATA'!G:G,'SUMMARY DATA'!$A:$A=$A1143,'SUMMARY DATA'!$C:$C=$B1143,'SUMMARY DATA'!$B:$B=""RWS"")),
  IF(
    OR(
      ISNUMBER(SEARCH(""CDM CASH DEPOSIT"",$C1143)),
      ISNUMBER(SEARCH(""CASH DEPOSIT"",$"&amp;"C1143)),
      COUNTIFS('SUMMARY DATA'!$D:$D,$C1143,'SUMMARY DATA'!$B:$B,""RWS"")&lt;&gt;1
    ),
    """",
    IFERROR(TEXTJOIN(CHAR(10),TRUE,FILTER('SUMMARY DATA'!G:G,'SUMMARY DATA'!$D:$D=$C1143,'SUMMARY DATA'!$B:$B=""RWS"")),"""")
  )
)"),"")</f>
      </c>
      <c r="H1143" s="18" t="str">
        <f>IFERROR(__xludf.DUMMYFUNCTION("IFERROR(
  TEXTJOIN(CHAR(10),TRUE,FILTER('SUMMARY DATA'!H:H,'SUMMARY DATA'!$A:$A=$A1143,'SUMMARY DATA'!$C:$C=$B1143,'SUMMARY DATA'!$B:$B=""RWS"",'SUMMARY DATA'!$H:$H=$D1143)),
  IF(
    OR(
      ISNUMBER(SEARCH(""CDM CASH DEPOSIT"",$C1143)),
      ISNUMB"&amp;"ER(SEARCH(""CASH DEPOSIT"",$C1143))
    ),
    """",
    IFERROR(TEXTJOIN(CHAR(10),TRUE,FILTER('SUMMARY DATA'!H:H,'SUMMARY DATA'!$D:$D=$C1143,'SUMMARY DATA'!$B:$B=""RWS"",'SUMMARY DATA'!$H:$H=$D1143)),"""")
  )
)"),"")</f>
      </c>
      <c r="I1143" s="18" t="str">
        <f>IFERROR(__xludf.DUMMYFUNCTION("IF(H1143="""","""",
SUM(ARRAYFORMULA(VALUE(SPLIT(H1143,CHAR(10)))))
)"),"")</f>
      </c>
      <c r="J1143" s="17" t="str">
        <f>IFERROR(__xludf.DUMMYFUNCTION("IFERROR(
  TEXTJOIN(CHAR(10),TRUE,FILTER('SUMMARY DATA'!I:I,'SUMMARY DATA'!$A:$A=$A1143,'SUMMARY DATA'!$C:$C=$B1143,'SUMMARY DATA'!$B:$B=""RWS"")),
  IF(
    OR(
      ISNUMBER(SEARCH(""CDM CASH DEPOSIT"",$C1143)),
      ISNUMBER(SEARCH(""CASH DEPOSIT"",$"&amp;"C1143)),
      COUNTIFS('SUMMARY DATA'!$D:$D,$C1143,'SUMMARY DATA'!$B:$B,""RWS"")&lt;&gt;1
    ),
    """",
    IFERROR(TEXTJOIN(CHAR(10),TRUE,FILTER('SUMMARY DATA'!I:I,'SUMMARY DATA'!$D:$D=$C1143,'SUMMARY DATA'!$B:$B=""RWS"")),"""")
  )
)"),"")</f>
      </c>
      <c r="K1143" s="2"/>
      <c r="L1143" s="2"/>
      <c r="M1143" s="2"/>
      <c r="N1143" s="2"/>
      <c r="O1143" s="2"/>
      <c r="P1143" s="2"/>
      <c r="Q1143" s="2"/>
      <c r="R1143" s="2"/>
      <c r="S1143" s="2"/>
      <c r="T1143" s="2"/>
      <c r="U1143" s="2"/>
      <c r="V1143" s="2"/>
      <c r="W1143" s="2"/>
      <c r="X1143" s="2"/>
      <c r="Y1143" s="2"/>
      <c r="Z1143" s="2"/>
      <c r="AA1143" s="2"/>
      <c r="AB1143" s="2"/>
    </row>
    <row r="1144" spans="1:28" customHeight="true">
      <c r="A1144" s="2"/>
      <c r="B1144" s="15">
        <v>45799</v>
      </c>
      <c r="C1144" s="2" t="s">
        <v>1684</v>
      </c>
      <c r="D1144" s="6">
        <v>79.88</v>
      </c>
      <c r="E1144" s="16" t="str">
        <f>IFERROR(__xludf.DUMMYFUNCTION("IFERROR(
  TEXTJOIN(CHAR(10),TRUE,FILTER('SUMMARY DATA'!E:E,'SUMMARY DATA'!$A:$A=$A245,'SUMMARY DATA'!$C:$C=$B245,'SUMMARY DATA'!$B:$B=""GRP"")),
  IF(
    OR(
      ISNUMBER(SEARCH(""CDM CASH DEPOSIT"",$C245)),
      ISNUMBER(SEARCH(""CASH DEPOSIT"",$C24"&amp;"5)),
      COUNTIFS('SUMMARY DATA'!$D:$D,$C245,'SUMMARY DATA'!$B:$B,""GRP"")&lt;&gt;1
    ),
    """",
    IFERROR(TEXTJOIN(CHAR(10),TRUE,FILTER('SUMMARY DATA'!E:E,'SUMMARY DATA'!$D:$D=$C245,'SUMMARY DATA'!$B:$B=""GRP"")),"""")
  )
)"),"")</f>
      </c>
      <c r="F1144" s="17" t="str">
        <f>IFERROR(__xludf.DUMMYFUNCTION("IFERROR(
  TEXTJOIN(CHAR(10),TRUE,FILTER('SUMMARY DATA'!F:F,'SUMMARY DATA'!$A:$A=$A245,'SUMMARY DATA'!$C:$C=$B245,'SUMMARY DATA'!$B:$B=""GRP"")),
  IF(
    OR(
      ISNUMBER(SEARCH(""CDM CASH DEPOSIT"",$C245)),
      ISNUMBER(SEARCH(""CASH DEPOSIT"",$C24"&amp;"5)),
      COUNTIFS('SUMMARY DATA'!$D:$D,$C245,'SUMMARY DATA'!$B:$B,""GRP"")&lt;&gt;1
    ),
    """",
    IFERROR(TEXTJOIN(CHAR(10),TRUE,FILTER('SUMMARY DATA'!F:F,'SUMMARY DATA'!$D:$D=$C245,'SUMMARY DATA'!$B:$B=""GRP"")),"""")
  )
)"),"")</f>
      </c>
      <c r="G1144" s="17" t="str">
        <f>IFERROR(__xludf.DUMMYFUNCTION("IFERROR(
  TEXTJOIN(CHAR(10),TRUE,FILTER('SUMMARY DATA'!G:G,'SUMMARY DATA'!$A:$A=$A1144,'SUMMARY DATA'!$C:$C=$B1144,'SUMMARY DATA'!$B:$B=""RWS"")),
  IF(
    OR(
      ISNUMBER(SEARCH(""CDM CASH DEPOSIT"",$C1144)),
      ISNUMBER(SEARCH(""CASH DEPOSIT"",$"&amp;"C1144)),
      COUNTIFS('SUMMARY DATA'!$D:$D,$C1144,'SUMMARY DATA'!$B:$B,""RWS"")&lt;&gt;1
    ),
    """",
    IFERROR(TEXTJOIN(CHAR(10),TRUE,FILTER('SUMMARY DATA'!G:G,'SUMMARY DATA'!$D:$D=$C1144,'SUMMARY DATA'!$B:$B=""RWS"")),"""")
  )
)"),"")</f>
      </c>
      <c r="H1144" s="18" t="str">
        <f>IFERROR(__xludf.DUMMYFUNCTION("IFERROR(
  TEXTJOIN(CHAR(10),TRUE,FILTER('SUMMARY DATA'!H:H,'SUMMARY DATA'!$A:$A=$A1144,'SUMMARY DATA'!$C:$C=$B1144,'SUMMARY DATA'!$B:$B=""RWS"",'SUMMARY DATA'!$H:$H=$D1144)),
  IF(
    OR(
      ISNUMBER(SEARCH(""CDM CASH DEPOSIT"",$C1144)),
      ISNUMB"&amp;"ER(SEARCH(""CASH DEPOSIT"",$C1144))
    ),
    """",
    IFERROR(TEXTJOIN(CHAR(10),TRUE,FILTER('SUMMARY DATA'!H:H,'SUMMARY DATA'!$D:$D=$C1144,'SUMMARY DATA'!$B:$B=""RWS"",'SUMMARY DATA'!$H:$H=$D1144)),"""")
  )
)"),"")</f>
      </c>
      <c r="I1144" s="18" t="str">
        <f>IFERROR(__xludf.DUMMYFUNCTION("IF(H1144="""","""",
SUM(ARRAYFORMULA(VALUE(SPLIT(H1144,CHAR(10)))))
)"),"")</f>
      </c>
      <c r="J1144" s="17" t="str">
        <f>IFERROR(__xludf.DUMMYFUNCTION("IFERROR(
  TEXTJOIN(CHAR(10),TRUE,FILTER('SUMMARY DATA'!I:I,'SUMMARY DATA'!$A:$A=$A1144,'SUMMARY DATA'!$C:$C=$B1144,'SUMMARY DATA'!$B:$B=""RWS"")),
  IF(
    OR(
      ISNUMBER(SEARCH(""CDM CASH DEPOSIT"",$C1144)),
      ISNUMBER(SEARCH(""CASH DEPOSIT"",$"&amp;"C1144)),
      COUNTIFS('SUMMARY DATA'!$D:$D,$C1144,'SUMMARY DATA'!$B:$B,""RWS"")&lt;&gt;1
    ),
    """",
    IFERROR(TEXTJOIN(CHAR(10),TRUE,FILTER('SUMMARY DATA'!I:I,'SUMMARY DATA'!$D:$D=$C1144,'SUMMARY DATA'!$B:$B=""RWS"")),"""")
  )
)"),"")</f>
      </c>
      <c r="K1144" s="2"/>
      <c r="L1144" s="2"/>
      <c r="M1144" s="2"/>
      <c r="N1144" s="2"/>
      <c r="O1144" s="2"/>
      <c r="P1144" s="2"/>
      <c r="Q1144" s="2"/>
      <c r="R1144" s="2"/>
      <c r="S1144" s="2"/>
      <c r="T1144" s="2"/>
      <c r="U1144" s="2"/>
      <c r="V1144" s="2"/>
      <c r="W1144" s="2"/>
      <c r="X1144" s="2"/>
      <c r="Y1144" s="2"/>
      <c r="Z1144" s="2"/>
      <c r="AA1144" s="2"/>
      <c r="AB1144" s="2"/>
    </row>
    <row r="1145" spans="1:28" customHeight="true">
      <c r="A1145" s="2"/>
      <c r="B1145" s="15">
        <v>45799</v>
      </c>
      <c r="C1145" s="2" t="s">
        <v>1685</v>
      </c>
      <c r="D1145" s="6">
        <v>70</v>
      </c>
      <c r="E1145" s="16" t="str">
        <f>IFERROR(__xludf.DUMMYFUNCTION("IFERROR(
  TEXTJOIN(CHAR(10),TRUE,FILTER('SUMMARY DATA'!E:E,'SUMMARY DATA'!$A:$A=$A246,'SUMMARY DATA'!$C:$C=$B246,'SUMMARY DATA'!$B:$B=""GRP"")),
  IF(
    OR(
      ISNUMBER(SEARCH(""CDM CASH DEPOSIT"",$C246)),
      ISNUMBER(SEARCH(""CASH DEPOSIT"",$C24"&amp;"6)),
      COUNTIFS('SUMMARY DATA'!$D:$D,$C246,'SUMMARY DATA'!$B:$B,""GRP"")&lt;&gt;1
    ),
    """",
    IFERROR(TEXTJOIN(CHAR(10),TRUE,FILTER('SUMMARY DATA'!E:E,'SUMMARY DATA'!$D:$D=$C246,'SUMMARY DATA'!$B:$B=""GRP"")),"""")
  )
)"),"")</f>
      </c>
      <c r="F1145" s="17" t="str">
        <f>IFERROR(__xludf.DUMMYFUNCTION("IFERROR(
  TEXTJOIN(CHAR(10),TRUE,FILTER('SUMMARY DATA'!F:F,'SUMMARY DATA'!$A:$A=$A246,'SUMMARY DATA'!$C:$C=$B246,'SUMMARY DATA'!$B:$B=""GRP"")),
  IF(
    OR(
      ISNUMBER(SEARCH(""CDM CASH DEPOSIT"",$C246)),
      ISNUMBER(SEARCH(""CASH DEPOSIT"",$C24"&amp;"6)),
      COUNTIFS('SUMMARY DATA'!$D:$D,$C246,'SUMMARY DATA'!$B:$B,""GRP"")&lt;&gt;1
    ),
    """",
    IFERROR(TEXTJOIN(CHAR(10),TRUE,FILTER('SUMMARY DATA'!F:F,'SUMMARY DATA'!$D:$D=$C246,'SUMMARY DATA'!$B:$B=""GRP"")),"""")
  )
)"),"")</f>
      </c>
      <c r="G1145" s="17" t="str">
        <f>IFERROR(__xludf.DUMMYFUNCTION("IFERROR(
  TEXTJOIN(CHAR(10),TRUE,FILTER('SUMMARY DATA'!G:G,'SUMMARY DATA'!$A:$A=$A1145,'SUMMARY DATA'!$C:$C=$B1145,'SUMMARY DATA'!$B:$B=""RWS"")),
  IF(
    OR(
      ISNUMBER(SEARCH(""CDM CASH DEPOSIT"",$C1145)),
      ISNUMBER(SEARCH(""CASH DEPOSIT"",$"&amp;"C1145)),
      COUNTIFS('SUMMARY DATA'!$D:$D,$C1145,'SUMMARY DATA'!$B:$B,""RWS"")&lt;&gt;1
    ),
    """",
    IFERROR(TEXTJOIN(CHAR(10),TRUE,FILTER('SUMMARY DATA'!G:G,'SUMMARY DATA'!$D:$D=$C1145,'SUMMARY DATA'!$B:$B=""RWS"")),"""")
  )
)"),"")</f>
      </c>
      <c r="H1145" s="18" t="str">
        <f>IFERROR(__xludf.DUMMYFUNCTION("IFERROR(
  TEXTJOIN(CHAR(10),TRUE,FILTER('SUMMARY DATA'!H:H,'SUMMARY DATA'!$A:$A=$A1145,'SUMMARY DATA'!$C:$C=$B1145,'SUMMARY DATA'!$B:$B=""RWS"",'SUMMARY DATA'!$H:$H=$D1145)),
  IF(
    OR(
      ISNUMBER(SEARCH(""CDM CASH DEPOSIT"",$C1145)),
      ISNUMB"&amp;"ER(SEARCH(""CASH DEPOSIT"",$C1145))
    ),
    """",
    IFERROR(TEXTJOIN(CHAR(10),TRUE,FILTER('SUMMARY DATA'!H:H,'SUMMARY DATA'!$D:$D=$C1145,'SUMMARY DATA'!$B:$B=""RWS"",'SUMMARY DATA'!$H:$H=$D1145)),"""")
  )
)"),"")</f>
      </c>
      <c r="I1145" s="18" t="str">
        <f>IFERROR(__xludf.DUMMYFUNCTION("IF(H1145="""","""",
SUM(ARRAYFORMULA(VALUE(SPLIT(H1145,CHAR(10)))))
)"),"")</f>
      </c>
      <c r="J1145" s="17" t="str">
        <f>IFERROR(__xludf.DUMMYFUNCTION("IFERROR(
  TEXTJOIN(CHAR(10),TRUE,FILTER('SUMMARY DATA'!I:I,'SUMMARY DATA'!$A:$A=$A1145,'SUMMARY DATA'!$C:$C=$B1145,'SUMMARY DATA'!$B:$B=""RWS"")),
  IF(
    OR(
      ISNUMBER(SEARCH(""CDM CASH DEPOSIT"",$C1145)),
      ISNUMBER(SEARCH(""CASH DEPOSIT"",$"&amp;"C1145)),
      COUNTIFS('SUMMARY DATA'!$D:$D,$C1145,'SUMMARY DATA'!$B:$B,""RWS"")&lt;&gt;1
    ),
    """",
    IFERROR(TEXTJOIN(CHAR(10),TRUE,FILTER('SUMMARY DATA'!I:I,'SUMMARY DATA'!$D:$D=$C1145,'SUMMARY DATA'!$B:$B=""RWS"")),"""")
  )
)"),"")</f>
      </c>
      <c r="K1145" s="2"/>
      <c r="L1145" s="2"/>
      <c r="M1145" s="2"/>
      <c r="N1145" s="2"/>
      <c r="O1145" s="2"/>
      <c r="P1145" s="2"/>
      <c r="Q1145" s="2"/>
      <c r="R1145" s="2"/>
      <c r="S1145" s="2"/>
      <c r="T1145" s="2"/>
      <c r="U1145" s="2"/>
      <c r="V1145" s="2"/>
      <c r="W1145" s="2"/>
      <c r="X1145" s="2"/>
      <c r="Y1145" s="2"/>
      <c r="Z1145" s="2"/>
      <c r="AA1145" s="2"/>
      <c r="AB1145" s="2"/>
    </row>
    <row r="1146" spans="1:28" customHeight="true">
      <c r="A1146" s="2"/>
      <c r="B1146" s="15">
        <v>45799</v>
      </c>
      <c r="C1146" s="2" t="s">
        <v>1686</v>
      </c>
      <c r="D1146" s="6">
        <v>64</v>
      </c>
      <c r="E1146" s="16" t="str">
        <f>IFERROR(__xludf.DUMMYFUNCTION("IFERROR(
  TEXTJOIN(CHAR(10),TRUE,FILTER('SUMMARY DATA'!E:E,'SUMMARY DATA'!$A:$A=$A247,'SUMMARY DATA'!$C:$C=$B247,'SUMMARY DATA'!$B:$B=""GRP"")),
  IF(
    OR(
      ISNUMBER(SEARCH(""CDM CASH DEPOSIT"",$C247)),
      ISNUMBER(SEARCH(""CASH DEPOSIT"",$C24"&amp;"7)),
      COUNTIFS('SUMMARY DATA'!$D:$D,$C247,'SUMMARY DATA'!$B:$B,""GRP"")&lt;&gt;1
    ),
    """",
    IFERROR(TEXTJOIN(CHAR(10),TRUE,FILTER('SUMMARY DATA'!E:E,'SUMMARY DATA'!$D:$D=$C247,'SUMMARY DATA'!$B:$B=""GRP"")),"""")
  )
)"),"")</f>
      </c>
      <c r="F1146" s="17" t="str">
        <f>IFERROR(__xludf.DUMMYFUNCTION("IFERROR(
  TEXTJOIN(CHAR(10),TRUE,FILTER('SUMMARY DATA'!F:F,'SUMMARY DATA'!$A:$A=$A247,'SUMMARY DATA'!$C:$C=$B247,'SUMMARY DATA'!$B:$B=""GRP"")),
  IF(
    OR(
      ISNUMBER(SEARCH(""CDM CASH DEPOSIT"",$C247)),
      ISNUMBER(SEARCH(""CASH DEPOSIT"",$C24"&amp;"7)),
      COUNTIFS('SUMMARY DATA'!$D:$D,$C247,'SUMMARY DATA'!$B:$B,""GRP"")&lt;&gt;1
    ),
    """",
    IFERROR(TEXTJOIN(CHAR(10),TRUE,FILTER('SUMMARY DATA'!F:F,'SUMMARY DATA'!$D:$D=$C247,'SUMMARY DATA'!$B:$B=""GRP"")),"""")
  )
)"),"")</f>
      </c>
      <c r="G1146" s="17" t="str">
        <f>IFERROR(__xludf.DUMMYFUNCTION("IFERROR(
  TEXTJOIN(CHAR(10),TRUE,FILTER('SUMMARY DATA'!G:G,'SUMMARY DATA'!$A:$A=$A1146,'SUMMARY DATA'!$C:$C=$B1146,'SUMMARY DATA'!$B:$B=""RWS"")),
  IF(
    OR(
      ISNUMBER(SEARCH(""CDM CASH DEPOSIT"",$C1146)),
      ISNUMBER(SEARCH(""CASH DEPOSIT"",$"&amp;"C1146)),
      COUNTIFS('SUMMARY DATA'!$D:$D,$C1146,'SUMMARY DATA'!$B:$B,""RWS"")&lt;&gt;1
    ),
    """",
    IFERROR(TEXTJOIN(CHAR(10),TRUE,FILTER('SUMMARY DATA'!G:G,'SUMMARY DATA'!$D:$D=$C1146,'SUMMARY DATA'!$B:$B=""RWS"")),"""")
  )
)"),"")</f>
      </c>
      <c r="H1146" s="18" t="str">
        <f>IFERROR(__xludf.DUMMYFUNCTION("IFERROR(
  TEXTJOIN(CHAR(10),TRUE,FILTER('SUMMARY DATA'!H:H,'SUMMARY DATA'!$A:$A=$A1146,'SUMMARY DATA'!$C:$C=$B1146,'SUMMARY DATA'!$B:$B=""RWS"",'SUMMARY DATA'!$H:$H=$D1146)),
  IF(
    OR(
      ISNUMBER(SEARCH(""CDM CASH DEPOSIT"",$C1146)),
      ISNUMB"&amp;"ER(SEARCH(""CASH DEPOSIT"",$C1146))
    ),
    """",
    IFERROR(TEXTJOIN(CHAR(10),TRUE,FILTER('SUMMARY DATA'!H:H,'SUMMARY DATA'!$D:$D=$C1146,'SUMMARY DATA'!$B:$B=""RWS"",'SUMMARY DATA'!$H:$H=$D1146)),"""")
  )
)"),"")</f>
      </c>
      <c r="I1146" s="18" t="str">
        <f>IFERROR(__xludf.DUMMYFUNCTION("IF(H1146="""","""",
SUM(ARRAYFORMULA(VALUE(SPLIT(H1146,CHAR(10)))))
)"),"")</f>
      </c>
      <c r="J1146" s="17" t="str">
        <f>IFERROR(__xludf.DUMMYFUNCTION("IFERROR(
  TEXTJOIN(CHAR(10),TRUE,FILTER('SUMMARY DATA'!I:I,'SUMMARY DATA'!$A:$A=$A1146,'SUMMARY DATA'!$C:$C=$B1146,'SUMMARY DATA'!$B:$B=""RWS"")),
  IF(
    OR(
      ISNUMBER(SEARCH(""CDM CASH DEPOSIT"",$C1146)),
      ISNUMBER(SEARCH(""CASH DEPOSIT"",$"&amp;"C1146)),
      COUNTIFS('SUMMARY DATA'!$D:$D,$C1146,'SUMMARY DATA'!$B:$B,""RWS"")&lt;&gt;1
    ),
    """",
    IFERROR(TEXTJOIN(CHAR(10),TRUE,FILTER('SUMMARY DATA'!I:I,'SUMMARY DATA'!$D:$D=$C1146,'SUMMARY DATA'!$B:$B=""RWS"")),"""")
  )
)"),"")</f>
      </c>
      <c r="K1146" s="2"/>
      <c r="L1146" s="2"/>
      <c r="M1146" s="2"/>
      <c r="N1146" s="2"/>
      <c r="O1146" s="2"/>
      <c r="P1146" s="2"/>
      <c r="Q1146" s="2"/>
      <c r="R1146" s="2"/>
      <c r="S1146" s="2"/>
      <c r="T1146" s="2"/>
      <c r="U1146" s="2"/>
      <c r="V1146" s="2"/>
      <c r="W1146" s="2"/>
      <c r="X1146" s="2"/>
      <c r="Y1146" s="2"/>
      <c r="Z1146" s="2"/>
      <c r="AA1146" s="2"/>
      <c r="AB1146" s="2"/>
    </row>
    <row r="1147" spans="1:28" customHeight="true">
      <c r="A1147" s="2"/>
      <c r="B1147" s="15">
        <v>45799</v>
      </c>
      <c r="C1147" s="2" t="s">
        <v>1687</v>
      </c>
      <c r="D1147" s="6">
        <v>10</v>
      </c>
      <c r="E1147" s="16" t="str">
        <f>IFERROR(__xludf.DUMMYFUNCTION("IFERROR(
  TEXTJOIN(CHAR(10),TRUE,FILTER('SUMMARY DATA'!E:E,'SUMMARY DATA'!$A:$A=$A248,'SUMMARY DATA'!$C:$C=$B248,'SUMMARY DATA'!$B:$B=""GRP"")),
  IF(
    OR(
      ISNUMBER(SEARCH(""CDM CASH DEPOSIT"",$C248)),
      ISNUMBER(SEARCH(""CASH DEPOSIT"",$C24"&amp;"8)),
      COUNTIFS('SUMMARY DATA'!$D:$D,$C248,'SUMMARY DATA'!$B:$B,""GRP"")&lt;&gt;1
    ),
    """",
    IFERROR(TEXTJOIN(CHAR(10),TRUE,FILTER('SUMMARY DATA'!E:E,'SUMMARY DATA'!$D:$D=$C248,'SUMMARY DATA'!$B:$B=""GRP"")),"""")
  )
)"),"")</f>
      </c>
      <c r="F1147" s="17" t="str">
        <f>IFERROR(__xludf.DUMMYFUNCTION("IFERROR(
  TEXTJOIN(CHAR(10),TRUE,FILTER('SUMMARY DATA'!F:F,'SUMMARY DATA'!$A:$A=$A248,'SUMMARY DATA'!$C:$C=$B248,'SUMMARY DATA'!$B:$B=""GRP"")),
  IF(
    OR(
      ISNUMBER(SEARCH(""CDM CASH DEPOSIT"",$C248)),
      ISNUMBER(SEARCH(""CASH DEPOSIT"",$C24"&amp;"8)),
      COUNTIFS('SUMMARY DATA'!$D:$D,$C248,'SUMMARY DATA'!$B:$B,""GRP"")&lt;&gt;1
    ),
    """",
    IFERROR(TEXTJOIN(CHAR(10),TRUE,FILTER('SUMMARY DATA'!F:F,'SUMMARY DATA'!$D:$D=$C248,'SUMMARY DATA'!$B:$B=""GRP"")),"""")
  )
)"),"")</f>
      </c>
      <c r="G1147" s="17" t="str">
        <f>IFERROR(__xludf.DUMMYFUNCTION("IFERROR(
  TEXTJOIN(CHAR(10),TRUE,FILTER('SUMMARY DATA'!G:G,'SUMMARY DATA'!$A:$A=$A1147,'SUMMARY DATA'!$C:$C=$B1147,'SUMMARY DATA'!$B:$B=""RWS"")),
  IF(
    OR(
      ISNUMBER(SEARCH(""CDM CASH DEPOSIT"",$C1147)),
      ISNUMBER(SEARCH(""CASH DEPOSIT"",$"&amp;"C1147)),
      COUNTIFS('SUMMARY DATA'!$D:$D,$C1147,'SUMMARY DATA'!$B:$B,""RWS"")&lt;&gt;1
    ),
    """",
    IFERROR(TEXTJOIN(CHAR(10),TRUE,FILTER('SUMMARY DATA'!G:G,'SUMMARY DATA'!$D:$D=$C1147,'SUMMARY DATA'!$B:$B=""RWS"")),"""")
  )
)"),"")</f>
      </c>
      <c r="H1147" s="18" t="str">
        <f>IFERROR(__xludf.DUMMYFUNCTION("IFERROR(
  TEXTJOIN(CHAR(10),TRUE,FILTER('SUMMARY DATA'!H:H,'SUMMARY DATA'!$A:$A=$A1147,'SUMMARY DATA'!$C:$C=$B1147,'SUMMARY DATA'!$B:$B=""RWS"",'SUMMARY DATA'!$H:$H=$D1147)),
  IF(
    OR(
      ISNUMBER(SEARCH(""CDM CASH DEPOSIT"",$C1147)),
      ISNUMB"&amp;"ER(SEARCH(""CASH DEPOSIT"",$C1147))
    ),
    """",
    IFERROR(TEXTJOIN(CHAR(10),TRUE,FILTER('SUMMARY DATA'!H:H,'SUMMARY DATA'!$D:$D=$C1147,'SUMMARY DATA'!$B:$B=""RWS"",'SUMMARY DATA'!$H:$H=$D1147)),"""")
  )
)"),"")</f>
      </c>
      <c r="I1147" s="18" t="str">
        <f>IFERROR(__xludf.DUMMYFUNCTION("IF(H1147="""","""",
SUM(ARRAYFORMULA(VALUE(SPLIT(H1147,CHAR(10)))))
)"),"")</f>
      </c>
      <c r="J1147" s="17" t="str">
        <f>IFERROR(__xludf.DUMMYFUNCTION("IFERROR(
  TEXTJOIN(CHAR(10),TRUE,FILTER('SUMMARY DATA'!I:I,'SUMMARY DATA'!$A:$A=$A1147,'SUMMARY DATA'!$C:$C=$B1147,'SUMMARY DATA'!$B:$B=""RWS"")),
  IF(
    OR(
      ISNUMBER(SEARCH(""CDM CASH DEPOSIT"",$C1147)),
      ISNUMBER(SEARCH(""CASH DEPOSIT"",$"&amp;"C1147)),
      COUNTIFS('SUMMARY DATA'!$D:$D,$C1147,'SUMMARY DATA'!$B:$B,""RWS"")&lt;&gt;1
    ),
    """",
    IFERROR(TEXTJOIN(CHAR(10),TRUE,FILTER('SUMMARY DATA'!I:I,'SUMMARY DATA'!$D:$D=$C1147,'SUMMARY DATA'!$B:$B=""RWS"")),"""")
  )
)"),"")</f>
      </c>
      <c r="K1147" s="2"/>
      <c r="L1147" s="2"/>
      <c r="M1147" s="2"/>
      <c r="N1147" s="2"/>
      <c r="O1147" s="2"/>
      <c r="P1147" s="2"/>
      <c r="Q1147" s="2"/>
      <c r="R1147" s="2"/>
      <c r="S1147" s="2"/>
      <c r="T1147" s="2"/>
      <c r="U1147" s="2"/>
      <c r="V1147" s="2"/>
      <c r="W1147" s="2"/>
      <c r="X1147" s="2"/>
      <c r="Y1147" s="2"/>
      <c r="Z1147" s="2"/>
      <c r="AA1147" s="2"/>
      <c r="AB1147" s="2"/>
    </row>
    <row r="1148" spans="1:28" customHeight="true">
      <c r="A1148" s="2"/>
      <c r="B1148" s="15">
        <v>45799</v>
      </c>
      <c r="C1148" s="2" t="s">
        <v>1688</v>
      </c>
      <c r="D1148" s="6">
        <v>10</v>
      </c>
      <c r="E1148" s="16" t="str">
        <f>IFERROR(__xludf.DUMMYFUNCTION("IFERROR(
  TEXTJOIN(CHAR(10),TRUE,FILTER('SUMMARY DATA'!E:E,'SUMMARY DATA'!$A:$A=$A249,'SUMMARY DATA'!$C:$C=$B249,'SUMMARY DATA'!$B:$B=""GRP"")),
  IF(
    OR(
      ISNUMBER(SEARCH(""CDM CASH DEPOSIT"",$C249)),
      ISNUMBER(SEARCH(""CASH DEPOSIT"",$C24"&amp;"9)),
      COUNTIFS('SUMMARY DATA'!$D:$D,$C249,'SUMMARY DATA'!$B:$B,""GRP"")&lt;&gt;1
    ),
    """",
    IFERROR(TEXTJOIN(CHAR(10),TRUE,FILTER('SUMMARY DATA'!E:E,'SUMMARY DATA'!$D:$D=$C249,'SUMMARY DATA'!$B:$B=""GRP"")),"""")
  )
)"),"")</f>
      </c>
      <c r="F1148" s="17" t="str">
        <f>IFERROR(__xludf.DUMMYFUNCTION("IFERROR(
  TEXTJOIN(CHAR(10),TRUE,FILTER('SUMMARY DATA'!F:F,'SUMMARY DATA'!$A:$A=$A249,'SUMMARY DATA'!$C:$C=$B249,'SUMMARY DATA'!$B:$B=""GRP"")),
  IF(
    OR(
      ISNUMBER(SEARCH(""CDM CASH DEPOSIT"",$C249)),
      ISNUMBER(SEARCH(""CASH DEPOSIT"",$C24"&amp;"9)),
      COUNTIFS('SUMMARY DATA'!$D:$D,$C249,'SUMMARY DATA'!$B:$B,""GRP"")&lt;&gt;1
    ),
    """",
    IFERROR(TEXTJOIN(CHAR(10),TRUE,FILTER('SUMMARY DATA'!F:F,'SUMMARY DATA'!$D:$D=$C249,'SUMMARY DATA'!$B:$B=""GRP"")),"""")
  )
)"),"")</f>
      </c>
      <c r="G1148" s="17" t="str">
        <f>IFERROR(__xludf.DUMMYFUNCTION("IFERROR(
  TEXTJOIN(CHAR(10),TRUE,FILTER('SUMMARY DATA'!G:G,'SUMMARY DATA'!$A:$A=$A1148,'SUMMARY DATA'!$C:$C=$B1148,'SUMMARY DATA'!$B:$B=""RWS"")),
  IF(
    OR(
      ISNUMBER(SEARCH(""CDM CASH DEPOSIT"",$C1148)),
      ISNUMBER(SEARCH(""CASH DEPOSIT"",$"&amp;"C1148)),
      COUNTIFS('SUMMARY DATA'!$D:$D,$C1148,'SUMMARY DATA'!$B:$B,""RWS"")&lt;&gt;1
    ),
    """",
    IFERROR(TEXTJOIN(CHAR(10),TRUE,FILTER('SUMMARY DATA'!G:G,'SUMMARY DATA'!$D:$D=$C1148,'SUMMARY DATA'!$B:$B=""RWS"")),"""")
  )
)"),"")</f>
      </c>
      <c r="H1148" s="18" t="str">
        <f>IFERROR(__xludf.DUMMYFUNCTION("IFERROR(
  TEXTJOIN(CHAR(10),TRUE,FILTER('SUMMARY DATA'!H:H,'SUMMARY DATA'!$A:$A=$A1148,'SUMMARY DATA'!$C:$C=$B1148,'SUMMARY DATA'!$B:$B=""RWS"",'SUMMARY DATA'!$H:$H=$D1148)),
  IF(
    OR(
      ISNUMBER(SEARCH(""CDM CASH DEPOSIT"",$C1148)),
      ISNUMB"&amp;"ER(SEARCH(""CASH DEPOSIT"",$C1148))
    ),
    """",
    IFERROR(TEXTJOIN(CHAR(10),TRUE,FILTER('SUMMARY DATA'!H:H,'SUMMARY DATA'!$D:$D=$C1148,'SUMMARY DATA'!$B:$B=""RWS"",'SUMMARY DATA'!$H:$H=$D1148)),"""")
  )
)"),"")</f>
      </c>
      <c r="I1148" s="18" t="str">
        <f>IFERROR(__xludf.DUMMYFUNCTION("IF(H1148="""","""",
SUM(ARRAYFORMULA(VALUE(SPLIT(H1148,CHAR(10)))))
)"),"")</f>
      </c>
      <c r="J1148" s="17" t="str">
        <f>IFERROR(__xludf.DUMMYFUNCTION("IFERROR(
  TEXTJOIN(CHAR(10),TRUE,FILTER('SUMMARY DATA'!I:I,'SUMMARY DATA'!$A:$A=$A1148,'SUMMARY DATA'!$C:$C=$B1148,'SUMMARY DATA'!$B:$B=""RWS"")),
  IF(
    OR(
      ISNUMBER(SEARCH(""CDM CASH DEPOSIT"",$C1148)),
      ISNUMBER(SEARCH(""CASH DEPOSIT"",$"&amp;"C1148)),
      COUNTIFS('SUMMARY DATA'!$D:$D,$C1148,'SUMMARY DATA'!$B:$B,""RWS"")&lt;&gt;1
    ),
    """",
    IFERROR(TEXTJOIN(CHAR(10),TRUE,FILTER('SUMMARY DATA'!I:I,'SUMMARY DATA'!$D:$D=$C1148,'SUMMARY DATA'!$B:$B=""RWS"")),"""")
  )
)"),"")</f>
      </c>
      <c r="K1148" s="2"/>
      <c r="L1148" s="2"/>
      <c r="M1148" s="2"/>
      <c r="N1148" s="2"/>
      <c r="O1148" s="2"/>
      <c r="P1148" s="2"/>
      <c r="Q1148" s="2"/>
      <c r="R1148" s="2"/>
      <c r="S1148" s="2"/>
      <c r="T1148" s="2"/>
      <c r="U1148" s="2"/>
      <c r="V1148" s="2"/>
      <c r="W1148" s="2"/>
      <c r="X1148" s="2"/>
      <c r="Y1148" s="2"/>
      <c r="Z1148" s="2"/>
      <c r="AA1148" s="2"/>
      <c r="AB1148" s="2"/>
    </row>
    <row r="1149" spans="1:28" customHeight="true">
      <c r="A1149" s="2"/>
      <c r="B1149" s="15">
        <v>45800</v>
      </c>
      <c r="C1149" s="2" t="s">
        <v>1689</v>
      </c>
      <c r="D1149" s="6">
        <v>257.62</v>
      </c>
      <c r="E1149" s="16" t="str">
        <f>IFERROR(__xludf.DUMMYFUNCTION("IFERROR(
  TEXTJOIN(CHAR(10),TRUE,FILTER('SUMMARY DATA'!E:E,'SUMMARY DATA'!$A:$A=$A250,'SUMMARY DATA'!$C:$C=$B250,'SUMMARY DATA'!$B:$B=""GRP"")),
  IF(
    OR(
      ISNUMBER(SEARCH(""CDM CASH DEPOSIT"",$C250)),
      ISNUMBER(SEARCH(""CASH DEPOSIT"",$C25"&amp;"0)),
      COUNTIFS('SUMMARY DATA'!$D:$D,$C250,'SUMMARY DATA'!$B:$B,""GRP"")&lt;&gt;1
    ),
    """",
    IFERROR(TEXTJOIN(CHAR(10),TRUE,FILTER('SUMMARY DATA'!E:E,'SUMMARY DATA'!$D:$D=$C250,'SUMMARY DATA'!$B:$B=""GRP"")),"""")
  )
)"),"")</f>
      </c>
      <c r="F1149" s="17" t="str">
        <f>IFERROR(__xludf.DUMMYFUNCTION("IFERROR(
  TEXTJOIN(CHAR(10),TRUE,FILTER('SUMMARY DATA'!F:F,'SUMMARY DATA'!$A:$A=$A250,'SUMMARY DATA'!$C:$C=$B250,'SUMMARY DATA'!$B:$B=""GRP"")),
  IF(
    OR(
      ISNUMBER(SEARCH(""CDM CASH DEPOSIT"",$C250)),
      ISNUMBER(SEARCH(""CASH DEPOSIT"",$C25"&amp;"0)),
      COUNTIFS('SUMMARY DATA'!$D:$D,$C250,'SUMMARY DATA'!$B:$B,""GRP"")&lt;&gt;1
    ),
    """",
    IFERROR(TEXTJOIN(CHAR(10),TRUE,FILTER('SUMMARY DATA'!F:F,'SUMMARY DATA'!$D:$D=$C250,'SUMMARY DATA'!$B:$B=""GRP"")),"""")
  )
)"),"")</f>
      </c>
      <c r="G1149" s="17" t="str">
        <f>IFERROR(__xludf.DUMMYFUNCTION("IFERROR(
  TEXTJOIN(CHAR(10),TRUE,FILTER('SUMMARY DATA'!G:G,'SUMMARY DATA'!$A:$A=$A1149,'SUMMARY DATA'!$C:$C=$B1149,'SUMMARY DATA'!$B:$B=""RWS"")),
  IF(
    OR(
      ISNUMBER(SEARCH(""CDM CASH DEPOSIT"",$C1149)),
      ISNUMBER(SEARCH(""CASH DEPOSIT"",$"&amp;"C1149)),
      COUNTIFS('SUMMARY DATA'!$D:$D,$C1149,'SUMMARY DATA'!$B:$B,""RWS"")&lt;&gt;1
    ),
    """",
    IFERROR(TEXTJOIN(CHAR(10),TRUE,FILTER('SUMMARY DATA'!G:G,'SUMMARY DATA'!$D:$D=$C1149,'SUMMARY DATA'!$B:$B=""RWS"")),"""")
  )
)"),"")</f>
      </c>
      <c r="H1149" s="18" t="str">
        <f>IFERROR(__xludf.DUMMYFUNCTION("IFERROR(
  TEXTJOIN(CHAR(10),TRUE,FILTER('SUMMARY DATA'!H:H,'SUMMARY DATA'!$A:$A=$A1149,'SUMMARY DATA'!$C:$C=$B1149,'SUMMARY DATA'!$B:$B=""RWS"",'SUMMARY DATA'!$H:$H=$D1149)),
  IF(
    OR(
      ISNUMBER(SEARCH(""CDM CASH DEPOSIT"",$C1149)),
      ISNUMB"&amp;"ER(SEARCH(""CASH DEPOSIT"",$C1149))
    ),
    """",
    IFERROR(TEXTJOIN(CHAR(10),TRUE,FILTER('SUMMARY DATA'!H:H,'SUMMARY DATA'!$D:$D=$C1149,'SUMMARY DATA'!$B:$B=""RWS"",'SUMMARY DATA'!$H:$H=$D1149)),"""")
  )
)"),"")</f>
      </c>
      <c r="I1149" s="18" t="str">
        <f>IFERROR(__xludf.DUMMYFUNCTION("IF(H1149="""","""",
SUM(ARRAYFORMULA(VALUE(SPLIT(H1149,CHAR(10)))))
)"),"")</f>
      </c>
      <c r="J1149" s="17" t="str">
        <f>IFERROR(__xludf.DUMMYFUNCTION("IFERROR(
  TEXTJOIN(CHAR(10),TRUE,FILTER('SUMMARY DATA'!I:I,'SUMMARY DATA'!$A:$A=$A1149,'SUMMARY DATA'!$C:$C=$B1149,'SUMMARY DATA'!$B:$B=""RWS"")),
  IF(
    OR(
      ISNUMBER(SEARCH(""CDM CASH DEPOSIT"",$C1149)),
      ISNUMBER(SEARCH(""CASH DEPOSIT"",$"&amp;"C1149)),
      COUNTIFS('SUMMARY DATA'!$D:$D,$C1149,'SUMMARY DATA'!$B:$B,""RWS"")&lt;&gt;1
    ),
    """",
    IFERROR(TEXTJOIN(CHAR(10),TRUE,FILTER('SUMMARY DATA'!I:I,'SUMMARY DATA'!$D:$D=$C1149,'SUMMARY DATA'!$B:$B=""RWS"")),"""")
  )
)"),"")</f>
      </c>
      <c r="K1149" s="2"/>
      <c r="L1149" s="2"/>
      <c r="M1149" s="2"/>
      <c r="N1149" s="2"/>
      <c r="O1149" s="2"/>
      <c r="P1149" s="2"/>
      <c r="Q1149" s="2"/>
      <c r="R1149" s="2"/>
      <c r="S1149" s="2"/>
      <c r="T1149" s="2"/>
      <c r="U1149" s="2"/>
      <c r="V1149" s="2"/>
      <c r="W1149" s="2"/>
      <c r="X1149" s="2"/>
      <c r="Y1149" s="2"/>
      <c r="Z1149" s="2"/>
      <c r="AA1149" s="2"/>
      <c r="AB1149" s="2"/>
    </row>
    <row r="1150" spans="1:28" customHeight="true">
      <c r="A1150" s="2"/>
      <c r="B1150" s="15">
        <v>45800</v>
      </c>
      <c r="C1150" s="2" t="s">
        <v>1690</v>
      </c>
      <c r="D1150" s="6">
        <v>39.99</v>
      </c>
      <c r="E1150" s="16" t="str">
        <f>IFERROR(__xludf.DUMMYFUNCTION("IFERROR(
  TEXTJOIN(CHAR(10),TRUE,FILTER('SUMMARY DATA'!E:E,'SUMMARY DATA'!$A:$A=$A251,'SUMMARY DATA'!$C:$C=$B251,'SUMMARY DATA'!$B:$B=""GRP"")),
  IF(
    OR(
      ISNUMBER(SEARCH(""CDM CASH DEPOSIT"",$C251)),
      ISNUMBER(SEARCH(""CASH DEPOSIT"",$C25"&amp;"1)),
      COUNTIFS('SUMMARY DATA'!$D:$D,$C251,'SUMMARY DATA'!$B:$B,""GRP"")&lt;&gt;1
    ),
    """",
    IFERROR(TEXTJOIN(CHAR(10),TRUE,FILTER('SUMMARY DATA'!E:E,'SUMMARY DATA'!$D:$D=$C251,'SUMMARY DATA'!$B:$B=""GRP"")),"""")
  )
)"),"")</f>
      </c>
      <c r="F1150" s="17" t="str">
        <f>IFERROR(__xludf.DUMMYFUNCTION("IFERROR(
  TEXTJOIN(CHAR(10),TRUE,FILTER('SUMMARY DATA'!F:F,'SUMMARY DATA'!$A:$A=$A251,'SUMMARY DATA'!$C:$C=$B251,'SUMMARY DATA'!$B:$B=""GRP"")),
  IF(
    OR(
      ISNUMBER(SEARCH(""CDM CASH DEPOSIT"",$C251)),
      ISNUMBER(SEARCH(""CASH DEPOSIT"",$C25"&amp;"1)),
      COUNTIFS('SUMMARY DATA'!$D:$D,$C251,'SUMMARY DATA'!$B:$B,""GRP"")&lt;&gt;1
    ),
    """",
    IFERROR(TEXTJOIN(CHAR(10),TRUE,FILTER('SUMMARY DATA'!F:F,'SUMMARY DATA'!$D:$D=$C251,'SUMMARY DATA'!$B:$B=""GRP"")),"""")
  )
)"),"")</f>
      </c>
      <c r="G1150" s="17" t="str">
        <f>IFERROR(__xludf.DUMMYFUNCTION("IFERROR(
  TEXTJOIN(CHAR(10),TRUE,FILTER('SUMMARY DATA'!G:G,'SUMMARY DATA'!$A:$A=$A1150,'SUMMARY DATA'!$C:$C=$B1150,'SUMMARY DATA'!$B:$B=""RWS"")),
  IF(
    OR(
      ISNUMBER(SEARCH(""CDM CASH DEPOSIT"",$C1150)),
      ISNUMBER(SEARCH(""CASH DEPOSIT"",$"&amp;"C1150)),
      COUNTIFS('SUMMARY DATA'!$D:$D,$C1150,'SUMMARY DATA'!$B:$B,""RWS"")&lt;&gt;1
    ),
    """",
    IFERROR(TEXTJOIN(CHAR(10),TRUE,FILTER('SUMMARY DATA'!G:G,'SUMMARY DATA'!$D:$D=$C1150,'SUMMARY DATA'!$B:$B=""RWS"")),"""")
  )
)"),"")</f>
      </c>
      <c r="H1150" s="18" t="str">
        <f>IFERROR(__xludf.DUMMYFUNCTION("IFERROR(
  TEXTJOIN(CHAR(10),TRUE,FILTER('SUMMARY DATA'!H:H,'SUMMARY DATA'!$A:$A=$A1150,'SUMMARY DATA'!$C:$C=$B1150,'SUMMARY DATA'!$B:$B=""RWS"",'SUMMARY DATA'!$H:$H=$D1150)),
  IF(
    OR(
      ISNUMBER(SEARCH(""CDM CASH DEPOSIT"",$C1150)),
      ISNUMB"&amp;"ER(SEARCH(""CASH DEPOSIT"",$C1150))
    ),
    """",
    IFERROR(TEXTJOIN(CHAR(10),TRUE,FILTER('SUMMARY DATA'!H:H,'SUMMARY DATA'!$D:$D=$C1150,'SUMMARY DATA'!$B:$B=""RWS"",'SUMMARY DATA'!$H:$H=$D1150)),"""")
  )
)"),"")</f>
      </c>
      <c r="I1150" s="18" t="str">
        <f>IFERROR(__xludf.DUMMYFUNCTION("IF(H1150="""","""",
SUM(ARRAYFORMULA(VALUE(SPLIT(H1150,CHAR(10)))))
)"),"")</f>
      </c>
      <c r="J1150" s="17" t="str">
        <f>IFERROR(__xludf.DUMMYFUNCTION("IFERROR(
  TEXTJOIN(CHAR(10),TRUE,FILTER('SUMMARY DATA'!I:I,'SUMMARY DATA'!$A:$A=$A1150,'SUMMARY DATA'!$C:$C=$B1150,'SUMMARY DATA'!$B:$B=""RWS"")),
  IF(
    OR(
      ISNUMBER(SEARCH(""CDM CASH DEPOSIT"",$C1150)),
      ISNUMBER(SEARCH(""CASH DEPOSIT"",$"&amp;"C1150)),
      COUNTIFS('SUMMARY DATA'!$D:$D,$C1150,'SUMMARY DATA'!$B:$B,""RWS"")&lt;&gt;1
    ),
    """",
    IFERROR(TEXTJOIN(CHAR(10),TRUE,FILTER('SUMMARY DATA'!I:I,'SUMMARY DATA'!$D:$D=$C1150,'SUMMARY DATA'!$B:$B=""RWS"")),"""")
  )
)"),"")</f>
      </c>
      <c r="K1150" s="2"/>
      <c r="L1150" s="2"/>
      <c r="M1150" s="2"/>
      <c r="N1150" s="2"/>
      <c r="O1150" s="2"/>
      <c r="P1150" s="2"/>
      <c r="Q1150" s="2"/>
      <c r="R1150" s="2"/>
      <c r="S1150" s="2"/>
      <c r="T1150" s="2"/>
      <c r="U1150" s="2"/>
      <c r="V1150" s="2"/>
      <c r="W1150" s="2"/>
      <c r="X1150" s="2"/>
      <c r="Y1150" s="2"/>
      <c r="Z1150" s="2"/>
      <c r="AA1150" s="2"/>
      <c r="AB1150" s="2"/>
    </row>
    <row r="1151" spans="1:28" customHeight="true">
      <c r="A1151" s="2"/>
      <c r="B1151" s="15">
        <v>45800</v>
      </c>
      <c r="C1151" s="2" t="s">
        <v>1691</v>
      </c>
      <c r="D1151" s="6">
        <v>28</v>
      </c>
      <c r="E1151" s="16" t="str">
        <f>IFERROR(__xludf.DUMMYFUNCTION("IFERROR(
  TEXTJOIN(CHAR(10),TRUE,FILTER('SUMMARY DATA'!E:E,'SUMMARY DATA'!$A:$A=$A252,'SUMMARY DATA'!$C:$C=$B252,'SUMMARY DATA'!$B:$B=""GRP"")),
  IF(
    OR(
      ISNUMBER(SEARCH(""CDM CASH DEPOSIT"",$C252)),
      ISNUMBER(SEARCH(""CASH DEPOSIT"",$C25"&amp;"2)),
      COUNTIFS('SUMMARY DATA'!$D:$D,$C252,'SUMMARY DATA'!$B:$B,""GRP"")&lt;&gt;1
    ),
    """",
    IFERROR(TEXTJOIN(CHAR(10),TRUE,FILTER('SUMMARY DATA'!E:E,'SUMMARY DATA'!$D:$D=$C252,'SUMMARY DATA'!$B:$B=""GRP"")),"""")
  )
)"),"")</f>
      </c>
      <c r="F1151" s="17" t="str">
        <f>IFERROR(__xludf.DUMMYFUNCTION("IFERROR(
  TEXTJOIN(CHAR(10),TRUE,FILTER('SUMMARY DATA'!F:F,'SUMMARY DATA'!$A:$A=$A252,'SUMMARY DATA'!$C:$C=$B252,'SUMMARY DATA'!$B:$B=""GRP"")),
  IF(
    OR(
      ISNUMBER(SEARCH(""CDM CASH DEPOSIT"",$C252)),
      ISNUMBER(SEARCH(""CASH DEPOSIT"",$C25"&amp;"2)),
      COUNTIFS('SUMMARY DATA'!$D:$D,$C252,'SUMMARY DATA'!$B:$B,""GRP"")&lt;&gt;1
    ),
    """",
    IFERROR(TEXTJOIN(CHAR(10),TRUE,FILTER('SUMMARY DATA'!F:F,'SUMMARY DATA'!$D:$D=$C252,'SUMMARY DATA'!$B:$B=""GRP"")),"""")
  )
)"),"")</f>
      </c>
      <c r="G1151" s="17" t="str">
        <f>IFERROR(__xludf.DUMMYFUNCTION("IFERROR(
  TEXTJOIN(CHAR(10),TRUE,FILTER('SUMMARY DATA'!G:G,'SUMMARY DATA'!$A:$A=$A1151,'SUMMARY DATA'!$C:$C=$B1151,'SUMMARY DATA'!$B:$B=""RWS"")),
  IF(
    OR(
      ISNUMBER(SEARCH(""CDM CASH DEPOSIT"",$C1151)),
      ISNUMBER(SEARCH(""CASH DEPOSIT"",$"&amp;"C1151)),
      COUNTIFS('SUMMARY DATA'!$D:$D,$C1151,'SUMMARY DATA'!$B:$B,""RWS"")&lt;&gt;1
    ),
    """",
    IFERROR(TEXTJOIN(CHAR(10),TRUE,FILTER('SUMMARY DATA'!G:G,'SUMMARY DATA'!$D:$D=$C1151,'SUMMARY DATA'!$B:$B=""RWS"")),"""")
  )
)"),"")</f>
      </c>
      <c r="H1151" s="18" t="str">
        <f>IFERROR(__xludf.DUMMYFUNCTION("IFERROR(
  TEXTJOIN(CHAR(10),TRUE,FILTER('SUMMARY DATA'!H:H,'SUMMARY DATA'!$A:$A=$A1151,'SUMMARY DATA'!$C:$C=$B1151,'SUMMARY DATA'!$B:$B=""RWS"",'SUMMARY DATA'!$H:$H=$D1151)),
  IF(
    OR(
      ISNUMBER(SEARCH(""CDM CASH DEPOSIT"",$C1151)),
      ISNUMB"&amp;"ER(SEARCH(""CASH DEPOSIT"",$C1151))
    ),
    """",
    IFERROR(TEXTJOIN(CHAR(10),TRUE,FILTER('SUMMARY DATA'!H:H,'SUMMARY DATA'!$D:$D=$C1151,'SUMMARY DATA'!$B:$B=""RWS"",'SUMMARY DATA'!$H:$H=$D1151)),"""")
  )
)"),"")</f>
      </c>
      <c r="I1151" s="18" t="str">
        <f>IFERROR(__xludf.DUMMYFUNCTION("IF(H1151="""","""",
SUM(ARRAYFORMULA(VALUE(SPLIT(H1151,CHAR(10)))))
)"),"")</f>
      </c>
      <c r="J1151" s="17" t="str">
        <f>IFERROR(__xludf.DUMMYFUNCTION("IFERROR(
  TEXTJOIN(CHAR(10),TRUE,FILTER('SUMMARY DATA'!I:I,'SUMMARY DATA'!$A:$A=$A1151,'SUMMARY DATA'!$C:$C=$B1151,'SUMMARY DATA'!$B:$B=""RWS"")),
  IF(
    OR(
      ISNUMBER(SEARCH(""CDM CASH DEPOSIT"",$C1151)),
      ISNUMBER(SEARCH(""CASH DEPOSIT"",$"&amp;"C1151)),
      COUNTIFS('SUMMARY DATA'!$D:$D,$C1151,'SUMMARY DATA'!$B:$B,""RWS"")&lt;&gt;1
    ),
    """",
    IFERROR(TEXTJOIN(CHAR(10),TRUE,FILTER('SUMMARY DATA'!I:I,'SUMMARY DATA'!$D:$D=$C1151,'SUMMARY DATA'!$B:$B=""RWS"")),"""")
  )
)"),"")</f>
      </c>
      <c r="K1151" s="2"/>
      <c r="L1151" s="2"/>
      <c r="M1151" s="2"/>
      <c r="N1151" s="2"/>
      <c r="O1151" s="2"/>
      <c r="P1151" s="2"/>
      <c r="Q1151" s="2"/>
      <c r="R1151" s="2"/>
      <c r="S1151" s="2"/>
      <c r="T1151" s="2"/>
      <c r="U1151" s="2"/>
      <c r="V1151" s="2"/>
      <c r="W1151" s="2"/>
      <c r="X1151" s="2"/>
      <c r="Y1151" s="2"/>
      <c r="Z1151" s="2"/>
      <c r="AA1151" s="2"/>
      <c r="AB1151" s="2"/>
    </row>
    <row r="1152" spans="1:28" customHeight="true">
      <c r="A1152" s="2"/>
      <c r="B1152" s="15">
        <v>45800</v>
      </c>
      <c r="C1152" s="2" t="s">
        <v>1692</v>
      </c>
      <c r="D1152" s="6">
        <v>26.88</v>
      </c>
      <c r="E1152" s="16" t="str">
        <f>IFERROR(__xludf.DUMMYFUNCTION("IFERROR(
  TEXTJOIN(CHAR(10),TRUE,FILTER('SUMMARY DATA'!E:E,'SUMMARY DATA'!$A:$A=$A253,'SUMMARY DATA'!$C:$C=$B253,'SUMMARY DATA'!$B:$B=""GRP"")),
  IF(
    OR(
      ISNUMBER(SEARCH(""CDM CASH DEPOSIT"",$C253)),
      ISNUMBER(SEARCH(""CASH DEPOSIT"",$C25"&amp;"3)),
      COUNTIFS('SUMMARY DATA'!$D:$D,$C253,'SUMMARY DATA'!$B:$B,""GRP"")&lt;&gt;1
    ),
    """",
    IFERROR(TEXTJOIN(CHAR(10),TRUE,FILTER('SUMMARY DATA'!E:E,'SUMMARY DATA'!$D:$D=$C253,'SUMMARY DATA'!$B:$B=""GRP"")),"""")
  )
)"),"")</f>
      </c>
      <c r="F1152" s="17" t="str">
        <f>IFERROR(__xludf.DUMMYFUNCTION("IFERROR(
  TEXTJOIN(CHAR(10),TRUE,FILTER('SUMMARY DATA'!F:F,'SUMMARY DATA'!$A:$A=$A253,'SUMMARY DATA'!$C:$C=$B253,'SUMMARY DATA'!$B:$B=""GRP"")),
  IF(
    OR(
      ISNUMBER(SEARCH(""CDM CASH DEPOSIT"",$C253)),
      ISNUMBER(SEARCH(""CASH DEPOSIT"",$C25"&amp;"3)),
      COUNTIFS('SUMMARY DATA'!$D:$D,$C253,'SUMMARY DATA'!$B:$B,""GRP"")&lt;&gt;1
    ),
    """",
    IFERROR(TEXTJOIN(CHAR(10),TRUE,FILTER('SUMMARY DATA'!F:F,'SUMMARY DATA'!$D:$D=$C253,'SUMMARY DATA'!$B:$B=""GRP"")),"""")
  )
)"),"")</f>
      </c>
      <c r="G1152" s="17" t="str">
        <f>IFERROR(__xludf.DUMMYFUNCTION("IFERROR(
  TEXTJOIN(CHAR(10),TRUE,FILTER('SUMMARY DATA'!G:G,'SUMMARY DATA'!$A:$A=$A1152,'SUMMARY DATA'!$C:$C=$B1152,'SUMMARY DATA'!$B:$B=""RWS"")),
  IF(
    OR(
      ISNUMBER(SEARCH(""CDM CASH DEPOSIT"",$C1152)),
      ISNUMBER(SEARCH(""CASH DEPOSIT"",$"&amp;"C1152)),
      COUNTIFS('SUMMARY DATA'!$D:$D,$C1152,'SUMMARY DATA'!$B:$B,""RWS"")&lt;&gt;1
    ),
    """",
    IFERROR(TEXTJOIN(CHAR(10),TRUE,FILTER('SUMMARY DATA'!G:G,'SUMMARY DATA'!$D:$D=$C1152,'SUMMARY DATA'!$B:$B=""RWS"")),"""")
  )
)"),"")</f>
      </c>
      <c r="H1152" s="18" t="str">
        <f>IFERROR(__xludf.DUMMYFUNCTION("IFERROR(
  TEXTJOIN(CHAR(10),TRUE,FILTER('SUMMARY DATA'!H:H,'SUMMARY DATA'!$A:$A=$A1152,'SUMMARY DATA'!$C:$C=$B1152,'SUMMARY DATA'!$B:$B=""RWS"",'SUMMARY DATA'!$H:$H=$D1152)),
  IF(
    OR(
      ISNUMBER(SEARCH(""CDM CASH DEPOSIT"",$C1152)),
      ISNUMB"&amp;"ER(SEARCH(""CASH DEPOSIT"",$C1152))
    ),
    """",
    IFERROR(TEXTJOIN(CHAR(10),TRUE,FILTER('SUMMARY DATA'!H:H,'SUMMARY DATA'!$D:$D=$C1152,'SUMMARY DATA'!$B:$B=""RWS"",'SUMMARY DATA'!$H:$H=$D1152)),"""")
  )
)"),"")</f>
      </c>
      <c r="I1152" s="18" t="str">
        <f>IFERROR(__xludf.DUMMYFUNCTION("IF(H1152="""","""",
SUM(ARRAYFORMULA(VALUE(SPLIT(H1152,CHAR(10)))))
)"),"")</f>
      </c>
      <c r="J1152" s="17" t="str">
        <f>IFERROR(__xludf.DUMMYFUNCTION("IFERROR(
  TEXTJOIN(CHAR(10),TRUE,FILTER('SUMMARY DATA'!I:I,'SUMMARY DATA'!$A:$A=$A1152,'SUMMARY DATA'!$C:$C=$B1152,'SUMMARY DATA'!$B:$B=""RWS"")),
  IF(
    OR(
      ISNUMBER(SEARCH(""CDM CASH DEPOSIT"",$C1152)),
      ISNUMBER(SEARCH(""CASH DEPOSIT"",$"&amp;"C1152)),
      COUNTIFS('SUMMARY DATA'!$D:$D,$C1152,'SUMMARY DATA'!$B:$B,""RWS"")&lt;&gt;1
    ),
    """",
    IFERROR(TEXTJOIN(CHAR(10),TRUE,FILTER('SUMMARY DATA'!I:I,'SUMMARY DATA'!$D:$D=$C1152,'SUMMARY DATA'!$B:$B=""RWS"")),"""")
  )
)"),"")</f>
      </c>
      <c r="K1152" s="2"/>
      <c r="L1152" s="2"/>
      <c r="M1152" s="2"/>
      <c r="N1152" s="2"/>
      <c r="O1152" s="2"/>
      <c r="P1152" s="2"/>
      <c r="Q1152" s="2"/>
      <c r="R1152" s="2"/>
      <c r="S1152" s="2"/>
      <c r="T1152" s="2"/>
      <c r="U1152" s="2"/>
      <c r="V1152" s="2"/>
      <c r="W1152" s="2"/>
      <c r="X1152" s="2"/>
      <c r="Y1152" s="2"/>
      <c r="Z1152" s="2"/>
      <c r="AA1152" s="2"/>
      <c r="AB1152" s="2"/>
    </row>
    <row r="1153" spans="1:28" customHeight="true">
      <c r="A1153" s="2"/>
      <c r="B1153" s="15">
        <v>45800</v>
      </c>
      <c r="C1153" s="2" t="s">
        <v>1692</v>
      </c>
      <c r="D1153" s="6">
        <v>19.9</v>
      </c>
      <c r="E1153" s="16" t="str">
        <f>IFERROR(__xludf.DUMMYFUNCTION("IFERROR(
  TEXTJOIN(CHAR(10),TRUE,FILTER('SUMMARY DATA'!E:E,'SUMMARY DATA'!$A:$A=$A254,'SUMMARY DATA'!$C:$C=$B254,'SUMMARY DATA'!$B:$B=""GRP"")),
  IF(
    OR(
      ISNUMBER(SEARCH(""CDM CASH DEPOSIT"",$C254)),
      ISNUMBER(SEARCH(""CASH DEPOSIT"",$C25"&amp;"4)),
      COUNTIFS('SUMMARY DATA'!$D:$D,$C254,'SUMMARY DATA'!$B:$B,""GRP"")&lt;&gt;1
    ),
    """",
    IFERROR(TEXTJOIN(CHAR(10),TRUE,FILTER('SUMMARY DATA'!E:E,'SUMMARY DATA'!$D:$D=$C254,'SUMMARY DATA'!$B:$B=""GRP"")),"""")
  )
)"),"")</f>
      </c>
      <c r="F1153" s="17" t="str">
        <f>IFERROR(__xludf.DUMMYFUNCTION("IFERROR(
  TEXTJOIN(CHAR(10),TRUE,FILTER('SUMMARY DATA'!F:F,'SUMMARY DATA'!$A:$A=$A254,'SUMMARY DATA'!$C:$C=$B254,'SUMMARY DATA'!$B:$B=""GRP"")),
  IF(
    OR(
      ISNUMBER(SEARCH(""CDM CASH DEPOSIT"",$C254)),
      ISNUMBER(SEARCH(""CASH DEPOSIT"",$C25"&amp;"4)),
      COUNTIFS('SUMMARY DATA'!$D:$D,$C254,'SUMMARY DATA'!$B:$B,""GRP"")&lt;&gt;1
    ),
    """",
    IFERROR(TEXTJOIN(CHAR(10),TRUE,FILTER('SUMMARY DATA'!F:F,'SUMMARY DATA'!$D:$D=$C254,'SUMMARY DATA'!$B:$B=""GRP"")),"""")
  )
)"),"")</f>
      </c>
      <c r="G1153" s="17" t="str">
        <f>IFERROR(__xludf.DUMMYFUNCTION("IFERROR(
  TEXTJOIN(CHAR(10),TRUE,FILTER('SUMMARY DATA'!G:G,'SUMMARY DATA'!$A:$A=$A1153,'SUMMARY DATA'!$C:$C=$B1153,'SUMMARY DATA'!$B:$B=""RWS"")),
  IF(
    OR(
      ISNUMBER(SEARCH(""CDM CASH DEPOSIT"",$C1153)),
      ISNUMBER(SEARCH(""CASH DEPOSIT"",$"&amp;"C1153)),
      COUNTIFS('SUMMARY DATA'!$D:$D,$C1153,'SUMMARY DATA'!$B:$B,""RWS"")&lt;&gt;1
    ),
    """",
    IFERROR(TEXTJOIN(CHAR(10),TRUE,FILTER('SUMMARY DATA'!G:G,'SUMMARY DATA'!$D:$D=$C1153,'SUMMARY DATA'!$B:$B=""RWS"")),"""")
  )
)"),"")</f>
      </c>
      <c r="H1153" s="18" t="str">
        <f>IFERROR(__xludf.DUMMYFUNCTION("IFERROR(
  TEXTJOIN(CHAR(10),TRUE,FILTER('SUMMARY DATA'!H:H,'SUMMARY DATA'!$A:$A=$A1153,'SUMMARY DATA'!$C:$C=$B1153,'SUMMARY DATA'!$B:$B=""RWS"",'SUMMARY DATA'!$H:$H=$D1153)),
  IF(
    OR(
      ISNUMBER(SEARCH(""CDM CASH DEPOSIT"",$C1153)),
      ISNUMB"&amp;"ER(SEARCH(""CASH DEPOSIT"",$C1153))
    ),
    """",
    IFERROR(TEXTJOIN(CHAR(10),TRUE,FILTER('SUMMARY DATA'!H:H,'SUMMARY DATA'!$D:$D=$C1153,'SUMMARY DATA'!$B:$B=""RWS"",'SUMMARY DATA'!$H:$H=$D1153)),"""")
  )
)"),"")</f>
      </c>
      <c r="I1153" s="18" t="str">
        <f>IFERROR(__xludf.DUMMYFUNCTION("IF(H1153="""","""",
SUM(ARRAYFORMULA(VALUE(SPLIT(H1153,CHAR(10)))))
)"),"")</f>
      </c>
      <c r="J1153" s="17" t="str">
        <f>IFERROR(__xludf.DUMMYFUNCTION("IFERROR(
  TEXTJOIN(CHAR(10),TRUE,FILTER('SUMMARY DATA'!I:I,'SUMMARY DATA'!$A:$A=$A1153,'SUMMARY DATA'!$C:$C=$B1153,'SUMMARY DATA'!$B:$B=""RWS"")),
  IF(
    OR(
      ISNUMBER(SEARCH(""CDM CASH DEPOSIT"",$C1153)),
      ISNUMBER(SEARCH(""CASH DEPOSIT"",$"&amp;"C1153)),
      COUNTIFS('SUMMARY DATA'!$D:$D,$C1153,'SUMMARY DATA'!$B:$B,""RWS"")&lt;&gt;1
    ),
    """",
    IFERROR(TEXTJOIN(CHAR(10),TRUE,FILTER('SUMMARY DATA'!I:I,'SUMMARY DATA'!$D:$D=$C1153,'SUMMARY DATA'!$B:$B=""RWS"")),"""")
  )
)"),"")</f>
      </c>
      <c r="K1153" s="2"/>
      <c r="L1153" s="2"/>
      <c r="M1153" s="2"/>
      <c r="N1153" s="2"/>
      <c r="O1153" s="2"/>
      <c r="P1153" s="2"/>
      <c r="Q1153" s="2"/>
      <c r="R1153" s="2"/>
      <c r="S1153" s="2"/>
      <c r="T1153" s="2"/>
      <c r="U1153" s="2"/>
      <c r="V1153" s="2"/>
      <c r="W1153" s="2"/>
      <c r="X1153" s="2"/>
      <c r="Y1153" s="2"/>
      <c r="Z1153" s="2"/>
      <c r="AA1153" s="2"/>
      <c r="AB1153" s="2"/>
    </row>
    <row r="1154" spans="1:28" customHeight="true">
      <c r="A1154" s="2"/>
      <c r="B1154" s="15">
        <v>45800</v>
      </c>
      <c r="C1154" s="2" t="s">
        <v>1693</v>
      </c>
      <c r="D1154" s="6">
        <v>14.45</v>
      </c>
      <c r="E1154" s="16" t="str">
        <f>IFERROR(__xludf.DUMMYFUNCTION("IFERROR(
  TEXTJOIN(CHAR(10),TRUE,FILTER('SUMMARY DATA'!E:E,'SUMMARY DATA'!$A:$A=$A255,'SUMMARY DATA'!$C:$C=$B255,'SUMMARY DATA'!$B:$B=""GRP"")),
  IF(
    OR(
      ISNUMBER(SEARCH(""CDM CASH DEPOSIT"",$C255)),
      ISNUMBER(SEARCH(""CASH DEPOSIT"",$C25"&amp;"5)),
      COUNTIFS('SUMMARY DATA'!$D:$D,$C255,'SUMMARY DATA'!$B:$B,""GRP"")&lt;&gt;1
    ),
    """",
    IFERROR(TEXTJOIN(CHAR(10),TRUE,FILTER('SUMMARY DATA'!E:E,'SUMMARY DATA'!$D:$D=$C255,'SUMMARY DATA'!$B:$B=""GRP"")),"""")
  )
)"),"")</f>
      </c>
      <c r="F1154" s="17" t="str">
        <f>IFERROR(__xludf.DUMMYFUNCTION("IFERROR(
  TEXTJOIN(CHAR(10),TRUE,FILTER('SUMMARY DATA'!F:F,'SUMMARY DATA'!$A:$A=$A255,'SUMMARY DATA'!$C:$C=$B255,'SUMMARY DATA'!$B:$B=""GRP"")),
  IF(
    OR(
      ISNUMBER(SEARCH(""CDM CASH DEPOSIT"",$C255)),
      ISNUMBER(SEARCH(""CASH DEPOSIT"",$C25"&amp;"5)),
      COUNTIFS('SUMMARY DATA'!$D:$D,$C255,'SUMMARY DATA'!$B:$B,""GRP"")&lt;&gt;1
    ),
    """",
    IFERROR(TEXTJOIN(CHAR(10),TRUE,FILTER('SUMMARY DATA'!F:F,'SUMMARY DATA'!$D:$D=$C255,'SUMMARY DATA'!$B:$B=""GRP"")),"""")
  )
)"),"")</f>
      </c>
      <c r="G1154" s="17" t="str">
        <f>IFERROR(__xludf.DUMMYFUNCTION("IFERROR(
  TEXTJOIN(CHAR(10),TRUE,FILTER('SUMMARY DATA'!G:G,'SUMMARY DATA'!$A:$A=$A1154,'SUMMARY DATA'!$C:$C=$B1154,'SUMMARY DATA'!$B:$B=""RWS"")),
  IF(
    OR(
      ISNUMBER(SEARCH(""CDM CASH DEPOSIT"",$C1154)),
      ISNUMBER(SEARCH(""CASH DEPOSIT"",$"&amp;"C1154)),
      COUNTIFS('SUMMARY DATA'!$D:$D,$C1154,'SUMMARY DATA'!$B:$B,""RWS"")&lt;&gt;1
    ),
    """",
    IFERROR(TEXTJOIN(CHAR(10),TRUE,FILTER('SUMMARY DATA'!G:G,'SUMMARY DATA'!$D:$D=$C1154,'SUMMARY DATA'!$B:$B=""RWS"")),"""")
  )
)"),"")</f>
      </c>
      <c r="H1154" s="18" t="str">
        <f>IFERROR(__xludf.DUMMYFUNCTION("IFERROR(
  TEXTJOIN(CHAR(10),TRUE,FILTER('SUMMARY DATA'!H:H,'SUMMARY DATA'!$A:$A=$A1154,'SUMMARY DATA'!$C:$C=$B1154,'SUMMARY DATA'!$B:$B=""RWS"",'SUMMARY DATA'!$H:$H=$D1154)),
  IF(
    OR(
      ISNUMBER(SEARCH(""CDM CASH DEPOSIT"",$C1154)),
      ISNUMB"&amp;"ER(SEARCH(""CASH DEPOSIT"",$C1154))
    ),
    """",
    IFERROR(TEXTJOIN(CHAR(10),TRUE,FILTER('SUMMARY DATA'!H:H,'SUMMARY DATA'!$D:$D=$C1154,'SUMMARY DATA'!$B:$B=""RWS"",'SUMMARY DATA'!$H:$H=$D1154)),"""")
  )
)"),"")</f>
      </c>
      <c r="I1154" s="18" t="str">
        <f>IFERROR(__xludf.DUMMYFUNCTION("IF(H1154="""","""",
SUM(ARRAYFORMULA(VALUE(SPLIT(H1154,CHAR(10)))))
)"),"")</f>
      </c>
      <c r="J1154" s="17" t="str">
        <f>IFERROR(__xludf.DUMMYFUNCTION("IFERROR(
  TEXTJOIN(CHAR(10),TRUE,FILTER('SUMMARY DATA'!I:I,'SUMMARY DATA'!$A:$A=$A1154,'SUMMARY DATA'!$C:$C=$B1154,'SUMMARY DATA'!$B:$B=""RWS"")),
  IF(
    OR(
      ISNUMBER(SEARCH(""CDM CASH DEPOSIT"",$C1154)),
      ISNUMBER(SEARCH(""CASH DEPOSIT"",$"&amp;"C1154)),
      COUNTIFS('SUMMARY DATA'!$D:$D,$C1154,'SUMMARY DATA'!$B:$B,""RWS"")&lt;&gt;1
    ),
    """",
    IFERROR(TEXTJOIN(CHAR(10),TRUE,FILTER('SUMMARY DATA'!I:I,'SUMMARY DATA'!$D:$D=$C1154,'SUMMARY DATA'!$B:$B=""RWS"")),"""")
  )
)"),"")</f>
      </c>
      <c r="K1154" s="2"/>
      <c r="L1154" s="2"/>
      <c r="M1154" s="2"/>
      <c r="N1154" s="2"/>
      <c r="O1154" s="2"/>
      <c r="P1154" s="2"/>
      <c r="Q1154" s="2"/>
      <c r="R1154" s="2"/>
      <c r="S1154" s="2"/>
      <c r="T1154" s="2"/>
      <c r="U1154" s="2"/>
      <c r="V1154" s="2"/>
      <c r="W1154" s="2"/>
      <c r="X1154" s="2"/>
      <c r="Y1154" s="2"/>
      <c r="Z1154" s="2"/>
      <c r="AA1154" s="2"/>
      <c r="AB1154" s="2"/>
    </row>
    <row r="1155" spans="1:28" customHeight="true">
      <c r="A1155" s="2"/>
      <c r="B1155" s="15">
        <v>45800</v>
      </c>
      <c r="C1155" s="2" t="s">
        <v>1694</v>
      </c>
      <c r="D1155" s="6">
        <v>13.98</v>
      </c>
      <c r="E1155" s="16" t="str">
        <f>IFERROR(__xludf.DUMMYFUNCTION("IFERROR(
  TEXTJOIN(CHAR(10),TRUE,FILTER('SUMMARY DATA'!E:E,'SUMMARY DATA'!$A:$A=$A256,'SUMMARY DATA'!$C:$C=$B256,'SUMMARY DATA'!$B:$B=""GRP"")),
  IF(
    OR(
      ISNUMBER(SEARCH(""CDM CASH DEPOSIT"",$C256)),
      ISNUMBER(SEARCH(""CASH DEPOSIT"",$C25"&amp;"6)),
      COUNTIFS('SUMMARY DATA'!$D:$D,$C256,'SUMMARY DATA'!$B:$B,""GRP"")&lt;&gt;1
    ),
    """",
    IFERROR(TEXTJOIN(CHAR(10),TRUE,FILTER('SUMMARY DATA'!E:E,'SUMMARY DATA'!$D:$D=$C256,'SUMMARY DATA'!$B:$B=""GRP"")),"""")
  )
)"),"")</f>
      </c>
      <c r="F1155" s="17" t="str">
        <f>IFERROR(__xludf.DUMMYFUNCTION("IFERROR(
  TEXTJOIN(CHAR(10),TRUE,FILTER('SUMMARY DATA'!F:F,'SUMMARY DATA'!$A:$A=$A256,'SUMMARY DATA'!$C:$C=$B256,'SUMMARY DATA'!$B:$B=""GRP"")),
  IF(
    OR(
      ISNUMBER(SEARCH(""CDM CASH DEPOSIT"",$C256)),
      ISNUMBER(SEARCH(""CASH DEPOSIT"",$C25"&amp;"6)),
      COUNTIFS('SUMMARY DATA'!$D:$D,$C256,'SUMMARY DATA'!$B:$B,""GRP"")&lt;&gt;1
    ),
    """",
    IFERROR(TEXTJOIN(CHAR(10),TRUE,FILTER('SUMMARY DATA'!F:F,'SUMMARY DATA'!$D:$D=$C256,'SUMMARY DATA'!$B:$B=""GRP"")),"""")
  )
)"),"")</f>
      </c>
      <c r="G1155" s="17" t="str">
        <f>IFERROR(__xludf.DUMMYFUNCTION("IFERROR(
  TEXTJOIN(CHAR(10),TRUE,FILTER('SUMMARY DATA'!G:G,'SUMMARY DATA'!$A:$A=$A1155,'SUMMARY DATA'!$C:$C=$B1155,'SUMMARY DATA'!$B:$B=""RWS"")),
  IF(
    OR(
      ISNUMBER(SEARCH(""CDM CASH DEPOSIT"",$C1155)),
      ISNUMBER(SEARCH(""CASH DEPOSIT"",$"&amp;"C1155)),
      COUNTIFS('SUMMARY DATA'!$D:$D,$C1155,'SUMMARY DATA'!$B:$B,""RWS"")&lt;&gt;1
    ),
    """",
    IFERROR(TEXTJOIN(CHAR(10),TRUE,FILTER('SUMMARY DATA'!G:G,'SUMMARY DATA'!$D:$D=$C1155,'SUMMARY DATA'!$B:$B=""RWS"")),"""")
  )
)"),"")</f>
      </c>
      <c r="H1155" s="18" t="str">
        <f>IFERROR(__xludf.DUMMYFUNCTION("IFERROR(
  TEXTJOIN(CHAR(10),TRUE,FILTER('SUMMARY DATA'!H:H,'SUMMARY DATA'!$A:$A=$A1155,'SUMMARY DATA'!$C:$C=$B1155,'SUMMARY DATA'!$B:$B=""RWS"",'SUMMARY DATA'!$H:$H=$D1155)),
  IF(
    OR(
      ISNUMBER(SEARCH(""CDM CASH DEPOSIT"",$C1155)),
      ISNUMB"&amp;"ER(SEARCH(""CASH DEPOSIT"",$C1155))
    ),
    """",
    IFERROR(TEXTJOIN(CHAR(10),TRUE,FILTER('SUMMARY DATA'!H:H,'SUMMARY DATA'!$D:$D=$C1155,'SUMMARY DATA'!$B:$B=""RWS"",'SUMMARY DATA'!$H:$H=$D1155)),"""")
  )
)"),"")</f>
      </c>
      <c r="I1155" s="18" t="str">
        <f>IFERROR(__xludf.DUMMYFUNCTION("IF(H1155="""","""",
SUM(ARRAYFORMULA(VALUE(SPLIT(H1155,CHAR(10)))))
)"),"")</f>
      </c>
      <c r="J1155" s="17" t="str">
        <f>IFERROR(__xludf.DUMMYFUNCTION("IFERROR(
  TEXTJOIN(CHAR(10),TRUE,FILTER('SUMMARY DATA'!I:I,'SUMMARY DATA'!$A:$A=$A1155,'SUMMARY DATA'!$C:$C=$B1155,'SUMMARY DATA'!$B:$B=""RWS"")),
  IF(
    OR(
      ISNUMBER(SEARCH(""CDM CASH DEPOSIT"",$C1155)),
      ISNUMBER(SEARCH(""CASH DEPOSIT"",$"&amp;"C1155)),
      COUNTIFS('SUMMARY DATA'!$D:$D,$C1155,'SUMMARY DATA'!$B:$B,""RWS"")&lt;&gt;1
    ),
    """",
    IFERROR(TEXTJOIN(CHAR(10),TRUE,FILTER('SUMMARY DATA'!I:I,'SUMMARY DATA'!$D:$D=$C1155,'SUMMARY DATA'!$B:$B=""RWS"")),"""")
  )
)"),"")</f>
      </c>
      <c r="K1155" s="2"/>
      <c r="L1155" s="2"/>
      <c r="M1155" s="2"/>
      <c r="N1155" s="2"/>
      <c r="O1155" s="2"/>
      <c r="P1155" s="2"/>
      <c r="Q1155" s="2"/>
      <c r="R1155" s="2"/>
      <c r="S1155" s="2"/>
      <c r="T1155" s="2"/>
      <c r="U1155" s="2"/>
      <c r="V1155" s="2"/>
      <c r="W1155" s="2"/>
      <c r="X1155" s="2"/>
      <c r="Y1155" s="2"/>
      <c r="Z1155" s="2"/>
      <c r="AA1155" s="2"/>
      <c r="AB1155" s="2"/>
    </row>
    <row r="1156" spans="1:28" customHeight="true">
      <c r="A1156" s="2" t="s">
        <v>1695</v>
      </c>
      <c r="B1156" s="15">
        <v>45801</v>
      </c>
      <c r="C1156" s="2" t="s">
        <v>474</v>
      </c>
      <c r="D1156" s="6">
        <v>1147.23</v>
      </c>
      <c r="E1156" s="16" t="str">
        <f>IFERROR(__xludf.DUMMYFUNCTION("IFERROR(
  TEXTJOIN(CHAR(10),TRUE,FILTER('SUMMARY DATA'!E:E,'SUMMARY DATA'!$A:$A=$A257,'SUMMARY DATA'!$C:$C=$B257,'SUMMARY DATA'!$B:$B=""GRP"")),
  IF(
    OR(
      ISNUMBER(SEARCH(""CDM CASH DEPOSIT"",$C257)),
      ISNUMBER(SEARCH(""CASH DEPOSIT"",$C25"&amp;"7)),
      COUNTIFS('SUMMARY DATA'!$D:$D,$C257,'SUMMARY DATA'!$B:$B,""GRP"")&lt;&gt;1
    ),
    """",
    IFERROR(TEXTJOIN(CHAR(10),TRUE,FILTER('SUMMARY DATA'!E:E,'SUMMARY DATA'!$D:$D=$C257,'SUMMARY DATA'!$B:$B=""GRP"")),"""")
  )
)"),"")</f>
      </c>
      <c r="F1156" s="17" t="str">
        <f>IFERROR(__xludf.DUMMYFUNCTION("IFERROR(
  TEXTJOIN(CHAR(10),TRUE,FILTER('SUMMARY DATA'!F:F,'SUMMARY DATA'!$A:$A=$A257,'SUMMARY DATA'!$C:$C=$B257,'SUMMARY DATA'!$B:$B=""GRP"")),
  IF(
    OR(
      ISNUMBER(SEARCH(""CDM CASH DEPOSIT"",$C257)),
      ISNUMBER(SEARCH(""CASH DEPOSIT"",$C25"&amp;"7)),
      COUNTIFS('SUMMARY DATA'!$D:$D,$C257,'SUMMARY DATA'!$B:$B,""GRP"")&lt;&gt;1
    ),
    """",
    IFERROR(TEXTJOIN(CHAR(10),TRUE,FILTER('SUMMARY DATA'!F:F,'SUMMARY DATA'!$D:$D=$C257,'SUMMARY DATA'!$B:$B=""GRP"")),"""")
  )
)"),"")</f>
      </c>
      <c r="G1156" s="17" t="str">
        <f>IFERROR(__xludf.DUMMYFUNCTION("IFERROR(
  TEXTJOIN(CHAR(10),TRUE,FILTER('SUMMARY DATA'!G:G,'SUMMARY DATA'!$A:$A=$A1156,'SUMMARY DATA'!$C:$C=$B1156,'SUMMARY DATA'!$B:$B=""RWS"")),
  IF(
    OR(
      ISNUMBER(SEARCH(""CDM CASH DEPOSIT"",$C1156)),
      ISNUMBER(SEARCH(""CASH DEPOSIT"",$"&amp;"C1156)),
      COUNTIFS('SUMMARY DATA'!$D:$D,$C1156,'SUMMARY DATA'!$B:$B,""RWS"")&lt;&gt;1
    ),
    """",
    IFERROR(TEXTJOIN(CHAR(10),TRUE,FILTER('SUMMARY DATA'!G:G,'SUMMARY DATA'!$D:$D=$C1156,'SUMMARY DATA'!$B:$B=""RWS"")),"""")
  )
)"),"")</f>
      </c>
      <c r="H1156" s="18" t="str">
        <f>IFERROR(__xludf.DUMMYFUNCTION("IFERROR(
  TEXTJOIN(CHAR(10),TRUE,FILTER('SUMMARY DATA'!H:H,'SUMMARY DATA'!$A:$A=$A1156,'SUMMARY DATA'!$C:$C=$B1156,'SUMMARY DATA'!$B:$B=""RWS"",'SUMMARY DATA'!$H:$H=$D1156)),
  IF(
    OR(
      ISNUMBER(SEARCH(""CDM CASH DEPOSIT"",$C1156)),
      ISNUMB"&amp;"ER(SEARCH(""CASH DEPOSIT"",$C1156))
    ),
    """",
    IFERROR(TEXTJOIN(CHAR(10),TRUE,FILTER('SUMMARY DATA'!H:H,'SUMMARY DATA'!$D:$D=$C1156,'SUMMARY DATA'!$B:$B=""RWS"",'SUMMARY DATA'!$H:$H=$D1156)),"""")
  )
)"),"")</f>
      </c>
      <c r="I1156" s="18" t="str">
        <f>IFERROR(__xludf.DUMMYFUNCTION("IF(H1156="""","""",
SUM(ARRAYFORMULA(VALUE(SPLIT(H1156,CHAR(10)))))
)"),"")</f>
      </c>
      <c r="J1156" s="17" t="str">
        <f>IFERROR(__xludf.DUMMYFUNCTION("IFERROR(
  TEXTJOIN(CHAR(10),TRUE,FILTER('SUMMARY DATA'!I:I,'SUMMARY DATA'!$A:$A=$A1156,'SUMMARY DATA'!$C:$C=$B1156,'SUMMARY DATA'!$B:$B=""RWS"")),
  IF(
    OR(
      ISNUMBER(SEARCH(""CDM CASH DEPOSIT"",$C1156)),
      ISNUMBER(SEARCH(""CASH DEPOSIT"",$"&amp;"C1156)),
      COUNTIFS('SUMMARY DATA'!$D:$D,$C1156,'SUMMARY DATA'!$B:$B,""RWS"")&lt;&gt;1
    ),
    """",
    IFERROR(TEXTJOIN(CHAR(10),TRUE,FILTER('SUMMARY DATA'!I:I,'SUMMARY DATA'!$D:$D=$C1156,'SUMMARY DATA'!$B:$B=""RWS"")),"""")
  )
)"),"")</f>
      </c>
      <c r="K1156" s="2"/>
      <c r="L1156" s="2"/>
      <c r="M1156" s="2"/>
      <c r="N1156" s="2"/>
      <c r="O1156" s="2"/>
      <c r="P1156" s="2"/>
      <c r="Q1156" s="2"/>
      <c r="R1156" s="2"/>
      <c r="S1156" s="2"/>
      <c r="T1156" s="2"/>
      <c r="U1156" s="2"/>
      <c r="V1156" s="2"/>
      <c r="W1156" s="2"/>
      <c r="X1156" s="2"/>
      <c r="Y1156" s="2"/>
      <c r="Z1156" s="2"/>
      <c r="AA1156" s="2"/>
      <c r="AB1156" s="2"/>
    </row>
    <row r="1157" spans="1:28" customHeight="true">
      <c r="A1157" s="2"/>
      <c r="B1157" s="15">
        <v>45801</v>
      </c>
      <c r="C1157" s="2" t="s">
        <v>1696</v>
      </c>
      <c r="D1157" s="6">
        <v>89</v>
      </c>
      <c r="E1157" s="16" t="str">
        <f>IFERROR(__xludf.DUMMYFUNCTION("IFERROR(
  TEXTJOIN(CHAR(10),TRUE,FILTER('SUMMARY DATA'!E:E,'SUMMARY DATA'!$A:$A=$A258,'SUMMARY DATA'!$C:$C=$B258,'SUMMARY DATA'!$B:$B=""GRP"")),
  IF(
    OR(
      ISNUMBER(SEARCH(""CDM CASH DEPOSIT"",$C258)),
      ISNUMBER(SEARCH(""CASH DEPOSIT"",$C25"&amp;"8)),
      COUNTIFS('SUMMARY DATA'!$D:$D,$C258,'SUMMARY DATA'!$B:$B,""GRP"")&lt;&gt;1
    ),
    """",
    IFERROR(TEXTJOIN(CHAR(10),TRUE,FILTER('SUMMARY DATA'!E:E,'SUMMARY DATA'!$D:$D=$C258,'SUMMARY DATA'!$B:$B=""GRP"")),"""")
  )
)"),"")</f>
      </c>
      <c r="F1157" s="17" t="str">
        <f>IFERROR(__xludf.DUMMYFUNCTION("IFERROR(
  TEXTJOIN(CHAR(10),TRUE,FILTER('SUMMARY DATA'!F:F,'SUMMARY DATA'!$A:$A=$A258,'SUMMARY DATA'!$C:$C=$B258,'SUMMARY DATA'!$B:$B=""GRP"")),
  IF(
    OR(
      ISNUMBER(SEARCH(""CDM CASH DEPOSIT"",$C258)),
      ISNUMBER(SEARCH(""CASH DEPOSIT"",$C25"&amp;"8)),
      COUNTIFS('SUMMARY DATA'!$D:$D,$C258,'SUMMARY DATA'!$B:$B,""GRP"")&lt;&gt;1
    ),
    """",
    IFERROR(TEXTJOIN(CHAR(10),TRUE,FILTER('SUMMARY DATA'!F:F,'SUMMARY DATA'!$D:$D=$C258,'SUMMARY DATA'!$B:$B=""GRP"")),"""")
  )
)"),"")</f>
      </c>
      <c r="G1157" s="17" t="str">
        <f>IFERROR(__xludf.DUMMYFUNCTION("IFERROR(
  TEXTJOIN(CHAR(10),TRUE,FILTER('SUMMARY DATA'!G:G,'SUMMARY DATA'!$A:$A=$A1157,'SUMMARY DATA'!$C:$C=$B1157,'SUMMARY DATA'!$B:$B=""RWS"")),
  IF(
    OR(
      ISNUMBER(SEARCH(""CDM CASH DEPOSIT"",$C1157)),
      ISNUMBER(SEARCH(""CASH DEPOSIT"",$"&amp;"C1157)),
      COUNTIFS('SUMMARY DATA'!$D:$D,$C1157,'SUMMARY DATA'!$B:$B,""RWS"")&lt;&gt;1
    ),
    """",
    IFERROR(TEXTJOIN(CHAR(10),TRUE,FILTER('SUMMARY DATA'!G:G,'SUMMARY DATA'!$D:$D=$C1157,'SUMMARY DATA'!$B:$B=""RWS"")),"""")
  )
)"),"")</f>
      </c>
      <c r="H1157" s="18" t="str">
        <f>IFERROR(__xludf.DUMMYFUNCTION("IFERROR(
  TEXTJOIN(CHAR(10),TRUE,FILTER('SUMMARY DATA'!H:H,'SUMMARY DATA'!$A:$A=$A1157,'SUMMARY DATA'!$C:$C=$B1157,'SUMMARY DATA'!$B:$B=""RWS"",'SUMMARY DATA'!$H:$H=$D1157)),
  IF(
    OR(
      ISNUMBER(SEARCH(""CDM CASH DEPOSIT"",$C1157)),
      ISNUMB"&amp;"ER(SEARCH(""CASH DEPOSIT"",$C1157))
    ),
    """",
    IFERROR(TEXTJOIN(CHAR(10),TRUE,FILTER('SUMMARY DATA'!H:H,'SUMMARY DATA'!$D:$D=$C1157,'SUMMARY DATA'!$B:$B=""RWS"",'SUMMARY DATA'!$H:$H=$D1157)),"""")
  )
)"),"")</f>
      </c>
      <c r="I1157" s="18" t="str">
        <f>IFERROR(__xludf.DUMMYFUNCTION("IF(H1157="""","""",
SUM(ARRAYFORMULA(VALUE(SPLIT(H1157,CHAR(10)))))
)"),"")</f>
      </c>
      <c r="J1157" s="17" t="str">
        <f>IFERROR(__xludf.DUMMYFUNCTION("IFERROR(
  TEXTJOIN(CHAR(10),TRUE,FILTER('SUMMARY DATA'!I:I,'SUMMARY DATA'!$A:$A=$A1157,'SUMMARY DATA'!$C:$C=$B1157,'SUMMARY DATA'!$B:$B=""RWS"")),
  IF(
    OR(
      ISNUMBER(SEARCH(""CDM CASH DEPOSIT"",$C1157)),
      ISNUMBER(SEARCH(""CASH DEPOSIT"",$"&amp;"C1157)),
      COUNTIFS('SUMMARY DATA'!$D:$D,$C1157,'SUMMARY DATA'!$B:$B,""RWS"")&lt;&gt;1
    ),
    """",
    IFERROR(TEXTJOIN(CHAR(10),TRUE,FILTER('SUMMARY DATA'!I:I,'SUMMARY DATA'!$D:$D=$C1157,'SUMMARY DATA'!$B:$B=""RWS"")),"""")
  )
)"),"")</f>
      </c>
      <c r="K1157" s="2"/>
      <c r="L1157" s="2"/>
      <c r="M1157" s="2"/>
      <c r="N1157" s="2"/>
      <c r="O1157" s="2"/>
      <c r="P1157" s="2"/>
      <c r="Q1157" s="2"/>
      <c r="R1157" s="2"/>
      <c r="S1157" s="2"/>
      <c r="T1157" s="2"/>
      <c r="U1157" s="2"/>
      <c r="V1157" s="2"/>
      <c r="W1157" s="2"/>
      <c r="X1157" s="2"/>
      <c r="Y1157" s="2"/>
      <c r="Z1157" s="2"/>
      <c r="AA1157" s="2"/>
      <c r="AB1157" s="2"/>
    </row>
    <row r="1158" spans="1:28" customHeight="true">
      <c r="A1158" s="2"/>
      <c r="B1158" s="15">
        <v>45801</v>
      </c>
      <c r="C1158" s="2" t="s">
        <v>1697</v>
      </c>
      <c r="D1158" s="6">
        <v>20</v>
      </c>
      <c r="E1158" s="16" t="str">
        <f>IFERROR(__xludf.DUMMYFUNCTION("IFERROR(
  TEXTJOIN(CHAR(10),TRUE,FILTER('SUMMARY DATA'!E:E,'SUMMARY DATA'!$A:$A=$A259,'SUMMARY DATA'!$C:$C=$B259,'SUMMARY DATA'!$B:$B=""GRP"")),
  IF(
    OR(
      ISNUMBER(SEARCH(""CDM CASH DEPOSIT"",$C259)),
      ISNUMBER(SEARCH(""CASH DEPOSIT"",$C25"&amp;"9)),
      COUNTIFS('SUMMARY DATA'!$D:$D,$C259,'SUMMARY DATA'!$B:$B,""GRP"")&lt;&gt;1
    ),
    """",
    IFERROR(TEXTJOIN(CHAR(10),TRUE,FILTER('SUMMARY DATA'!E:E,'SUMMARY DATA'!$D:$D=$C259,'SUMMARY DATA'!$B:$B=""GRP"")),"""")
  )
)"),"")</f>
      </c>
      <c r="F1158" s="17" t="str">
        <f>IFERROR(__xludf.DUMMYFUNCTION("IFERROR(
  TEXTJOIN(CHAR(10),TRUE,FILTER('SUMMARY DATA'!F:F,'SUMMARY DATA'!$A:$A=$A259,'SUMMARY DATA'!$C:$C=$B259,'SUMMARY DATA'!$B:$B=""GRP"")),
  IF(
    OR(
      ISNUMBER(SEARCH(""CDM CASH DEPOSIT"",$C259)),
      ISNUMBER(SEARCH(""CASH DEPOSIT"",$C25"&amp;"9)),
      COUNTIFS('SUMMARY DATA'!$D:$D,$C259,'SUMMARY DATA'!$B:$B,""GRP"")&lt;&gt;1
    ),
    """",
    IFERROR(TEXTJOIN(CHAR(10),TRUE,FILTER('SUMMARY DATA'!F:F,'SUMMARY DATA'!$D:$D=$C259,'SUMMARY DATA'!$B:$B=""GRP"")),"""")
  )
)"),"")</f>
      </c>
      <c r="G1158" s="17" t="str">
        <f>IFERROR(__xludf.DUMMYFUNCTION("IFERROR(
  TEXTJOIN(CHAR(10),TRUE,FILTER('SUMMARY DATA'!G:G,'SUMMARY DATA'!$A:$A=$A1158,'SUMMARY DATA'!$C:$C=$B1158,'SUMMARY DATA'!$B:$B=""RWS"")),
  IF(
    OR(
      ISNUMBER(SEARCH(""CDM CASH DEPOSIT"",$C1158)),
      ISNUMBER(SEARCH(""CASH DEPOSIT"",$"&amp;"C1158)),
      COUNTIFS('SUMMARY DATA'!$D:$D,$C1158,'SUMMARY DATA'!$B:$B,""RWS"")&lt;&gt;1
    ),
    """",
    IFERROR(TEXTJOIN(CHAR(10),TRUE,FILTER('SUMMARY DATA'!G:G,'SUMMARY DATA'!$D:$D=$C1158,'SUMMARY DATA'!$B:$B=""RWS"")),"""")
  )
)"),"")</f>
      </c>
      <c r="H1158" s="18" t="str">
        <f>IFERROR(__xludf.DUMMYFUNCTION("IFERROR(
  TEXTJOIN(CHAR(10),TRUE,FILTER('SUMMARY DATA'!H:H,'SUMMARY DATA'!$A:$A=$A1158,'SUMMARY DATA'!$C:$C=$B1158,'SUMMARY DATA'!$B:$B=""RWS"",'SUMMARY DATA'!$H:$H=$D1158)),
  IF(
    OR(
      ISNUMBER(SEARCH(""CDM CASH DEPOSIT"",$C1158)),
      ISNUMB"&amp;"ER(SEARCH(""CASH DEPOSIT"",$C1158))
    ),
    """",
    IFERROR(TEXTJOIN(CHAR(10),TRUE,FILTER('SUMMARY DATA'!H:H,'SUMMARY DATA'!$D:$D=$C1158,'SUMMARY DATA'!$B:$B=""RWS"",'SUMMARY DATA'!$H:$H=$D1158)),"""")
  )
)"),"")</f>
      </c>
      <c r="I1158" s="18" t="str">
        <f>IFERROR(__xludf.DUMMYFUNCTION("IF(H1158="""","""",
SUM(ARRAYFORMULA(VALUE(SPLIT(H1158,CHAR(10)))))
)"),"")</f>
      </c>
      <c r="J1158" s="17" t="str">
        <f>IFERROR(__xludf.DUMMYFUNCTION("IFERROR(
  TEXTJOIN(CHAR(10),TRUE,FILTER('SUMMARY DATA'!I:I,'SUMMARY DATA'!$A:$A=$A1158,'SUMMARY DATA'!$C:$C=$B1158,'SUMMARY DATA'!$B:$B=""RWS"")),
  IF(
    OR(
      ISNUMBER(SEARCH(""CDM CASH DEPOSIT"",$C1158)),
      ISNUMBER(SEARCH(""CASH DEPOSIT"",$"&amp;"C1158)),
      COUNTIFS('SUMMARY DATA'!$D:$D,$C1158,'SUMMARY DATA'!$B:$B,""RWS"")&lt;&gt;1
    ),
    """",
    IFERROR(TEXTJOIN(CHAR(10),TRUE,FILTER('SUMMARY DATA'!I:I,'SUMMARY DATA'!$D:$D=$C1158,'SUMMARY DATA'!$B:$B=""RWS"")),"""")
  )
)"),"")</f>
      </c>
      <c r="K1158" s="2"/>
      <c r="L1158" s="2"/>
      <c r="M1158" s="2"/>
      <c r="N1158" s="2"/>
      <c r="O1158" s="2"/>
      <c r="P1158" s="2"/>
      <c r="Q1158" s="2"/>
      <c r="R1158" s="2"/>
      <c r="S1158" s="2"/>
      <c r="T1158" s="2"/>
      <c r="U1158" s="2"/>
      <c r="V1158" s="2"/>
      <c r="W1158" s="2"/>
      <c r="X1158" s="2"/>
      <c r="Y1158" s="2"/>
      <c r="Z1158" s="2"/>
      <c r="AA1158" s="2"/>
      <c r="AB1158" s="2"/>
    </row>
    <row r="1159" spans="1:28" customHeight="true">
      <c r="A1159" s="2" t="s">
        <v>1698</v>
      </c>
      <c r="B1159" s="15">
        <v>45802</v>
      </c>
      <c r="C1159" s="2" t="s">
        <v>1699</v>
      </c>
      <c r="D1159" s="6">
        <v>124</v>
      </c>
      <c r="E1159" s="16" t="str">
        <f>IFERROR(__xludf.DUMMYFUNCTION("IFERROR(
  TEXTJOIN(CHAR(10),TRUE,FILTER('SUMMARY DATA'!E:E,'SUMMARY DATA'!$A:$A=$A260,'SUMMARY DATA'!$C:$C=$B260,'SUMMARY DATA'!$B:$B=""GRP"")),
  IF(
    OR(
      ISNUMBER(SEARCH(""CDM CASH DEPOSIT"",$C260)),
      ISNUMBER(SEARCH(""CASH DEPOSIT"",$C26"&amp;"0)),
      COUNTIFS('SUMMARY DATA'!$D:$D,$C260,'SUMMARY DATA'!$B:$B,""GRP"")&lt;&gt;1
    ),
    """",
    IFERROR(TEXTJOIN(CHAR(10),TRUE,FILTER('SUMMARY DATA'!E:E,'SUMMARY DATA'!$D:$D=$C260,'SUMMARY DATA'!$B:$B=""GRP"")),"""")
  )
)"),"")</f>
      </c>
      <c r="F1159" s="17" t="str">
        <f>IFERROR(__xludf.DUMMYFUNCTION("IFERROR(
  TEXTJOIN(CHAR(10),TRUE,FILTER('SUMMARY DATA'!F:F,'SUMMARY DATA'!$A:$A=$A260,'SUMMARY DATA'!$C:$C=$B260,'SUMMARY DATA'!$B:$B=""GRP"")),
  IF(
    OR(
      ISNUMBER(SEARCH(""CDM CASH DEPOSIT"",$C260)),
      ISNUMBER(SEARCH(""CASH DEPOSIT"",$C26"&amp;"0)),
      COUNTIFS('SUMMARY DATA'!$D:$D,$C260,'SUMMARY DATA'!$B:$B,""GRP"")&lt;&gt;1
    ),
    """",
    IFERROR(TEXTJOIN(CHAR(10),TRUE,FILTER('SUMMARY DATA'!F:F,'SUMMARY DATA'!$D:$D=$C260,'SUMMARY DATA'!$B:$B=""GRP"")),"""")
  )
)"),"")</f>
      </c>
      <c r="G1159" s="17" t="str">
        <f>IFERROR(__xludf.DUMMYFUNCTION("IFERROR(
  TEXTJOIN(CHAR(10),TRUE,FILTER('SUMMARY DATA'!G:G,'SUMMARY DATA'!$A:$A=$A1159,'SUMMARY DATA'!$C:$C=$B1159,'SUMMARY DATA'!$B:$B=""RWS"")),
  IF(
    OR(
      ISNUMBER(SEARCH(""CDM CASH DEPOSIT"",$C1159)),
      ISNUMBER(SEARCH(""CASH DEPOSIT"",$"&amp;"C1159)),
      COUNTIFS('SUMMARY DATA'!$D:$D,$C1159,'SUMMARY DATA'!$B:$B,""RWS"")&lt;&gt;1
    ),
    """",
    IFERROR(TEXTJOIN(CHAR(10),TRUE,FILTER('SUMMARY DATA'!G:G,'SUMMARY DATA'!$D:$D=$C1159,'SUMMARY DATA'!$B:$B=""RWS"")),"""")
  )
)"),"")</f>
      </c>
      <c r="H1159" s="18" t="str">
        <f>IFERROR(__xludf.DUMMYFUNCTION("IFERROR(
  TEXTJOIN(CHAR(10),TRUE,FILTER('SUMMARY DATA'!H:H,'SUMMARY DATA'!$A:$A=$A1159,'SUMMARY DATA'!$C:$C=$B1159,'SUMMARY DATA'!$B:$B=""RWS"",'SUMMARY DATA'!$H:$H=$D1159)),
  IF(
    OR(
      ISNUMBER(SEARCH(""CDM CASH DEPOSIT"",$C1159)),
      ISNUMB"&amp;"ER(SEARCH(""CASH DEPOSIT"",$C1159))
    ),
    """",
    IFERROR(TEXTJOIN(CHAR(10),TRUE,FILTER('SUMMARY DATA'!H:H,'SUMMARY DATA'!$D:$D=$C1159,'SUMMARY DATA'!$B:$B=""RWS"",'SUMMARY DATA'!$H:$H=$D1159)),"""")
  )
)"),"")</f>
      </c>
      <c r="I1159" s="18" t="str">
        <f>IFERROR(__xludf.DUMMYFUNCTION("IF(H1159="""","""",
SUM(ARRAYFORMULA(VALUE(SPLIT(H1159,CHAR(10)))))
)"),"")</f>
      </c>
      <c r="J1159" s="17" t="str">
        <f>IFERROR(__xludf.DUMMYFUNCTION("IFERROR(
  TEXTJOIN(CHAR(10),TRUE,FILTER('SUMMARY DATA'!I:I,'SUMMARY DATA'!$A:$A=$A1159,'SUMMARY DATA'!$C:$C=$B1159,'SUMMARY DATA'!$B:$B=""RWS"")),
  IF(
    OR(
      ISNUMBER(SEARCH(""CDM CASH DEPOSIT"",$C1159)),
      ISNUMBER(SEARCH(""CASH DEPOSIT"",$"&amp;"C1159)),
      COUNTIFS('SUMMARY DATA'!$D:$D,$C1159,'SUMMARY DATA'!$B:$B,""RWS"")&lt;&gt;1
    ),
    """",
    IFERROR(TEXTJOIN(CHAR(10),TRUE,FILTER('SUMMARY DATA'!I:I,'SUMMARY DATA'!$D:$D=$C1159,'SUMMARY DATA'!$B:$B=""RWS"")),"""")
  )
)"),"")</f>
      </c>
      <c r="K1159" s="2"/>
      <c r="L1159" s="2"/>
      <c r="M1159" s="2"/>
      <c r="N1159" s="2"/>
      <c r="O1159" s="2"/>
      <c r="P1159" s="2"/>
      <c r="Q1159" s="2"/>
      <c r="R1159" s="2"/>
      <c r="S1159" s="2"/>
      <c r="T1159" s="2"/>
      <c r="U1159" s="2"/>
      <c r="V1159" s="2"/>
      <c r="W1159" s="2"/>
      <c r="X1159" s="2"/>
      <c r="Y1159" s="2"/>
      <c r="Z1159" s="2"/>
      <c r="AA1159" s="2"/>
      <c r="AB1159" s="2"/>
    </row>
    <row r="1160" spans="1:28" customHeight="true">
      <c r="A1160" s="2"/>
      <c r="B1160" s="15">
        <v>45802</v>
      </c>
      <c r="C1160" s="2" t="s">
        <v>1700</v>
      </c>
      <c r="D1160" s="6">
        <v>72.99</v>
      </c>
      <c r="E1160" s="16" t="str">
        <f>IFERROR(__xludf.DUMMYFUNCTION("IFERROR(
  TEXTJOIN(CHAR(10),TRUE,FILTER('SUMMARY DATA'!E:E,'SUMMARY DATA'!$A:$A=$A261,'SUMMARY DATA'!$C:$C=$B261,'SUMMARY DATA'!$B:$B=""GRP"")),
  IF(
    OR(
      ISNUMBER(SEARCH(""CDM CASH DEPOSIT"",$C261)),
      ISNUMBER(SEARCH(""CASH DEPOSIT"",$C26"&amp;"1)),
      COUNTIFS('SUMMARY DATA'!$D:$D,$C261,'SUMMARY DATA'!$B:$B,""GRP"")&lt;&gt;1
    ),
    """",
    IFERROR(TEXTJOIN(CHAR(10),TRUE,FILTER('SUMMARY DATA'!E:E,'SUMMARY DATA'!$D:$D=$C261,'SUMMARY DATA'!$B:$B=""GRP"")),"""")
  )
)"),"")</f>
      </c>
      <c r="F1160" s="17" t="str">
        <f>IFERROR(__xludf.DUMMYFUNCTION("IFERROR(
  TEXTJOIN(CHAR(10),TRUE,FILTER('SUMMARY DATA'!F:F,'SUMMARY DATA'!$A:$A=$A261,'SUMMARY DATA'!$C:$C=$B261,'SUMMARY DATA'!$B:$B=""GRP"")),
  IF(
    OR(
      ISNUMBER(SEARCH(""CDM CASH DEPOSIT"",$C261)),
      ISNUMBER(SEARCH(""CASH DEPOSIT"",$C26"&amp;"1)),
      COUNTIFS('SUMMARY DATA'!$D:$D,$C261,'SUMMARY DATA'!$B:$B,""GRP"")&lt;&gt;1
    ),
    """",
    IFERROR(TEXTJOIN(CHAR(10),TRUE,FILTER('SUMMARY DATA'!F:F,'SUMMARY DATA'!$D:$D=$C261,'SUMMARY DATA'!$B:$B=""GRP"")),"""")
  )
)"),"")</f>
      </c>
      <c r="G1160" s="17" t="str">
        <f>IFERROR(__xludf.DUMMYFUNCTION("IFERROR(
  TEXTJOIN(CHAR(10),TRUE,FILTER('SUMMARY DATA'!G:G,'SUMMARY DATA'!$A:$A=$A1160,'SUMMARY DATA'!$C:$C=$B1160,'SUMMARY DATA'!$B:$B=""RWS"")),
  IF(
    OR(
      ISNUMBER(SEARCH(""CDM CASH DEPOSIT"",$C1160)),
      ISNUMBER(SEARCH(""CASH DEPOSIT"",$"&amp;"C1160)),
      COUNTIFS('SUMMARY DATA'!$D:$D,$C1160,'SUMMARY DATA'!$B:$B,""RWS"")&lt;&gt;1
    ),
    """",
    IFERROR(TEXTJOIN(CHAR(10),TRUE,FILTER('SUMMARY DATA'!G:G,'SUMMARY DATA'!$D:$D=$C1160,'SUMMARY DATA'!$B:$B=""RWS"")),"""")
  )
)"),"")</f>
      </c>
      <c r="H1160" s="18" t="str">
        <f>IFERROR(__xludf.DUMMYFUNCTION("IFERROR(
  TEXTJOIN(CHAR(10),TRUE,FILTER('SUMMARY DATA'!H:H,'SUMMARY DATA'!$A:$A=$A1160,'SUMMARY DATA'!$C:$C=$B1160,'SUMMARY DATA'!$B:$B=""RWS"",'SUMMARY DATA'!$H:$H=$D1160)),
  IF(
    OR(
      ISNUMBER(SEARCH(""CDM CASH DEPOSIT"",$C1160)),
      ISNUMB"&amp;"ER(SEARCH(""CASH DEPOSIT"",$C1160))
    ),
    """",
    IFERROR(TEXTJOIN(CHAR(10),TRUE,FILTER('SUMMARY DATA'!H:H,'SUMMARY DATA'!$D:$D=$C1160,'SUMMARY DATA'!$B:$B=""RWS"",'SUMMARY DATA'!$H:$H=$D1160)),"""")
  )
)"),"")</f>
      </c>
      <c r="I1160" s="18" t="str">
        <f>IFERROR(__xludf.DUMMYFUNCTION("IF(H1160="""","""",
SUM(ARRAYFORMULA(VALUE(SPLIT(H1160,CHAR(10)))))
)"),"")</f>
      </c>
      <c r="J1160" s="17" t="str">
        <f>IFERROR(__xludf.DUMMYFUNCTION("IFERROR(
  TEXTJOIN(CHAR(10),TRUE,FILTER('SUMMARY DATA'!I:I,'SUMMARY DATA'!$A:$A=$A1160,'SUMMARY DATA'!$C:$C=$B1160,'SUMMARY DATA'!$B:$B=""RWS"")),
  IF(
    OR(
      ISNUMBER(SEARCH(""CDM CASH DEPOSIT"",$C1160)),
      ISNUMBER(SEARCH(""CASH DEPOSIT"",$"&amp;"C1160)),
      COUNTIFS('SUMMARY DATA'!$D:$D,$C1160,'SUMMARY DATA'!$B:$B,""RWS"")&lt;&gt;1
    ),
    """",
    IFERROR(TEXTJOIN(CHAR(10),TRUE,FILTER('SUMMARY DATA'!I:I,'SUMMARY DATA'!$D:$D=$C1160,'SUMMARY DATA'!$B:$B=""RWS"")),"""")
  )
)"),"")</f>
      </c>
      <c r="K1160" s="2"/>
      <c r="L1160" s="2"/>
      <c r="M1160" s="2"/>
      <c r="N1160" s="2"/>
      <c r="O1160" s="2"/>
      <c r="P1160" s="2"/>
      <c r="Q1160" s="2"/>
      <c r="R1160" s="2"/>
      <c r="S1160" s="2"/>
      <c r="T1160" s="2"/>
      <c r="U1160" s="2"/>
      <c r="V1160" s="2"/>
      <c r="W1160" s="2"/>
      <c r="X1160" s="2"/>
      <c r="Y1160" s="2"/>
      <c r="Z1160" s="2"/>
      <c r="AA1160" s="2"/>
      <c r="AB1160" s="2"/>
    </row>
    <row r="1161" spans="1:28" customHeight="true">
      <c r="A1161" s="2"/>
      <c r="B1161" s="15">
        <v>45802</v>
      </c>
      <c r="C1161" s="2" t="s">
        <v>1701</v>
      </c>
      <c r="D1161" s="6">
        <v>10</v>
      </c>
      <c r="E1161" s="16" t="str">
        <f>IFERROR(__xludf.DUMMYFUNCTION("IFERROR(
  TEXTJOIN(CHAR(10),TRUE,FILTER('SUMMARY DATA'!E:E,'SUMMARY DATA'!$A:$A=$A262,'SUMMARY DATA'!$C:$C=$B262,'SUMMARY DATA'!$B:$B=""GRP"")),
  IF(
    OR(
      ISNUMBER(SEARCH(""CDM CASH DEPOSIT"",$C262)),
      ISNUMBER(SEARCH(""CASH DEPOSIT"",$C26"&amp;"2)),
      COUNTIFS('SUMMARY DATA'!$D:$D,$C262,'SUMMARY DATA'!$B:$B,""GRP"")&lt;&gt;1
    ),
    """",
    IFERROR(TEXTJOIN(CHAR(10),TRUE,FILTER('SUMMARY DATA'!E:E,'SUMMARY DATA'!$D:$D=$C262,'SUMMARY DATA'!$B:$B=""GRP"")),"""")
  )
)"),"")</f>
      </c>
      <c r="F1161" s="17" t="str">
        <f>IFERROR(__xludf.DUMMYFUNCTION("IFERROR(
  TEXTJOIN(CHAR(10),TRUE,FILTER('SUMMARY DATA'!F:F,'SUMMARY DATA'!$A:$A=$A262,'SUMMARY DATA'!$C:$C=$B262,'SUMMARY DATA'!$B:$B=""GRP"")),
  IF(
    OR(
      ISNUMBER(SEARCH(""CDM CASH DEPOSIT"",$C262)),
      ISNUMBER(SEARCH(""CASH DEPOSIT"",$C26"&amp;"2)),
      COUNTIFS('SUMMARY DATA'!$D:$D,$C262,'SUMMARY DATA'!$B:$B,""GRP"")&lt;&gt;1
    ),
    """",
    IFERROR(TEXTJOIN(CHAR(10),TRUE,FILTER('SUMMARY DATA'!F:F,'SUMMARY DATA'!$D:$D=$C262,'SUMMARY DATA'!$B:$B=""GRP"")),"""")
  )
)"),"")</f>
      </c>
      <c r="G1161" s="17" t="str">
        <f>IFERROR(__xludf.DUMMYFUNCTION("IFERROR(
  TEXTJOIN(CHAR(10),TRUE,FILTER('SUMMARY DATA'!G:G,'SUMMARY DATA'!$A:$A=$A1161,'SUMMARY DATA'!$C:$C=$B1161,'SUMMARY DATA'!$B:$B=""RWS"")),
  IF(
    OR(
      ISNUMBER(SEARCH(""CDM CASH DEPOSIT"",$C1161)),
      ISNUMBER(SEARCH(""CASH DEPOSIT"",$"&amp;"C1161)),
      COUNTIFS('SUMMARY DATA'!$D:$D,$C1161,'SUMMARY DATA'!$B:$B,""RWS"")&lt;&gt;1
    ),
    """",
    IFERROR(TEXTJOIN(CHAR(10),TRUE,FILTER('SUMMARY DATA'!G:G,'SUMMARY DATA'!$D:$D=$C1161,'SUMMARY DATA'!$B:$B=""RWS"")),"""")
  )
)"),"")</f>
      </c>
      <c r="H1161" s="18" t="str">
        <f>IFERROR(__xludf.DUMMYFUNCTION("IFERROR(
  TEXTJOIN(CHAR(10),TRUE,FILTER('SUMMARY DATA'!H:H,'SUMMARY DATA'!$A:$A=$A1161,'SUMMARY DATA'!$C:$C=$B1161,'SUMMARY DATA'!$B:$B=""RWS"",'SUMMARY DATA'!$H:$H=$D1161)),
  IF(
    OR(
      ISNUMBER(SEARCH(""CDM CASH DEPOSIT"",$C1161)),
      ISNUMB"&amp;"ER(SEARCH(""CASH DEPOSIT"",$C1161))
    ),
    """",
    IFERROR(TEXTJOIN(CHAR(10),TRUE,FILTER('SUMMARY DATA'!H:H,'SUMMARY DATA'!$D:$D=$C1161,'SUMMARY DATA'!$B:$B=""RWS"",'SUMMARY DATA'!$H:$H=$D1161)),"""")
  )
)"),"")</f>
      </c>
      <c r="I1161" s="18" t="str">
        <f>IFERROR(__xludf.DUMMYFUNCTION("IF(H1161="""","""",
SUM(ARRAYFORMULA(VALUE(SPLIT(H1161,CHAR(10)))))
)"),"")</f>
      </c>
      <c r="J1161" s="17" t="str">
        <f>IFERROR(__xludf.DUMMYFUNCTION("IFERROR(
  TEXTJOIN(CHAR(10),TRUE,FILTER('SUMMARY DATA'!I:I,'SUMMARY DATA'!$A:$A=$A1161,'SUMMARY DATA'!$C:$C=$B1161,'SUMMARY DATA'!$B:$B=""RWS"")),
  IF(
    OR(
      ISNUMBER(SEARCH(""CDM CASH DEPOSIT"",$C1161)),
      ISNUMBER(SEARCH(""CASH DEPOSIT"",$"&amp;"C1161)),
      COUNTIFS('SUMMARY DATA'!$D:$D,$C1161,'SUMMARY DATA'!$B:$B,""RWS"")&lt;&gt;1
    ),
    """",
    IFERROR(TEXTJOIN(CHAR(10),TRUE,FILTER('SUMMARY DATA'!I:I,'SUMMARY DATA'!$D:$D=$C1161,'SUMMARY DATA'!$B:$B=""RWS"")),"""")
  )
)"),"")</f>
      </c>
      <c r="K1161" s="2"/>
      <c r="L1161" s="2"/>
      <c r="M1161" s="2"/>
      <c r="N1161" s="2"/>
      <c r="O1161" s="2"/>
      <c r="P1161" s="2"/>
      <c r="Q1161" s="2"/>
      <c r="R1161" s="2"/>
      <c r="S1161" s="2"/>
      <c r="T1161" s="2"/>
      <c r="U1161" s="2"/>
      <c r="V1161" s="2"/>
      <c r="W1161" s="2"/>
      <c r="X1161" s="2"/>
      <c r="Y1161" s="2"/>
      <c r="Z1161" s="2"/>
      <c r="AA1161" s="2"/>
      <c r="AB1161" s="2"/>
    </row>
    <row r="1162" spans="1:28" customHeight="true">
      <c r="A1162" s="2"/>
      <c r="B1162" s="15">
        <v>45803</v>
      </c>
      <c r="C1162" s="2" t="s">
        <v>1702</v>
      </c>
      <c r="D1162" s="6">
        <v>148.26</v>
      </c>
      <c r="E1162" s="16" t="str">
        <f>IFERROR(__xludf.DUMMYFUNCTION("IFERROR(
  TEXTJOIN(CHAR(10),TRUE,FILTER('SUMMARY DATA'!E:E,'SUMMARY DATA'!$A:$A=$A263,'SUMMARY DATA'!$C:$C=$B263,'SUMMARY DATA'!$B:$B=""GRP"")),
  IF(
    OR(
      ISNUMBER(SEARCH(""CDM CASH DEPOSIT"",$C263)),
      ISNUMBER(SEARCH(""CASH DEPOSIT"",$C26"&amp;"3)),
      COUNTIFS('SUMMARY DATA'!$D:$D,$C263,'SUMMARY DATA'!$B:$B,""GRP"")&lt;&gt;1
    ),
    """",
    IFERROR(TEXTJOIN(CHAR(10),TRUE,FILTER('SUMMARY DATA'!E:E,'SUMMARY DATA'!$D:$D=$C263,'SUMMARY DATA'!$B:$B=""GRP"")),"""")
  )
)"),"")</f>
      </c>
      <c r="F1162" s="17" t="str">
        <f>IFERROR(__xludf.DUMMYFUNCTION("IFERROR(
  TEXTJOIN(CHAR(10),TRUE,FILTER('SUMMARY DATA'!F:F,'SUMMARY DATA'!$A:$A=$A263,'SUMMARY DATA'!$C:$C=$B263,'SUMMARY DATA'!$B:$B=""GRP"")),
  IF(
    OR(
      ISNUMBER(SEARCH(""CDM CASH DEPOSIT"",$C263)),
      ISNUMBER(SEARCH(""CASH DEPOSIT"",$C26"&amp;"3)),
      COUNTIFS('SUMMARY DATA'!$D:$D,$C263,'SUMMARY DATA'!$B:$B,""GRP"")&lt;&gt;1
    ),
    """",
    IFERROR(TEXTJOIN(CHAR(10),TRUE,FILTER('SUMMARY DATA'!F:F,'SUMMARY DATA'!$D:$D=$C263,'SUMMARY DATA'!$B:$B=""GRP"")),"""")
  )
)"),"")</f>
      </c>
      <c r="G1162" s="17" t="str">
        <f>IFERROR(__xludf.DUMMYFUNCTION("IFERROR(
  TEXTJOIN(CHAR(10),TRUE,FILTER('SUMMARY DATA'!G:G,'SUMMARY DATA'!$A:$A=$A1162,'SUMMARY DATA'!$C:$C=$B1162,'SUMMARY DATA'!$B:$B=""RWS"")),
  IF(
    OR(
      ISNUMBER(SEARCH(""CDM CASH DEPOSIT"",$C1162)),
      ISNUMBER(SEARCH(""CASH DEPOSIT"",$"&amp;"C1162)),
      COUNTIFS('SUMMARY DATA'!$D:$D,$C1162,'SUMMARY DATA'!$B:$B,""RWS"")&lt;&gt;1
    ),
    """",
    IFERROR(TEXTJOIN(CHAR(10),TRUE,FILTER('SUMMARY DATA'!G:G,'SUMMARY DATA'!$D:$D=$C1162,'SUMMARY DATA'!$B:$B=""RWS"")),"""")
  )
)"),"")</f>
      </c>
      <c r="H1162" s="18" t="str">
        <f>IFERROR(__xludf.DUMMYFUNCTION("IFERROR(
  TEXTJOIN(CHAR(10),TRUE,FILTER('SUMMARY DATA'!H:H,'SUMMARY DATA'!$A:$A=$A1162,'SUMMARY DATA'!$C:$C=$B1162,'SUMMARY DATA'!$B:$B=""RWS"",'SUMMARY DATA'!$H:$H=$D1162)),
  IF(
    OR(
      ISNUMBER(SEARCH(""CDM CASH DEPOSIT"",$C1162)),
      ISNUMB"&amp;"ER(SEARCH(""CASH DEPOSIT"",$C1162))
    ),
    """",
    IFERROR(TEXTJOIN(CHAR(10),TRUE,FILTER('SUMMARY DATA'!H:H,'SUMMARY DATA'!$D:$D=$C1162,'SUMMARY DATA'!$B:$B=""RWS"",'SUMMARY DATA'!$H:$H=$D1162)),"""")
  )
)"),"")</f>
      </c>
      <c r="I1162" s="18" t="str">
        <f>IFERROR(__xludf.DUMMYFUNCTION("IF(H1162="""","""",
SUM(ARRAYFORMULA(VALUE(SPLIT(H1162,CHAR(10)))))
)"),"")</f>
      </c>
      <c r="J1162" s="17" t="str">
        <f>IFERROR(__xludf.DUMMYFUNCTION("IFERROR(
  TEXTJOIN(CHAR(10),TRUE,FILTER('SUMMARY DATA'!I:I,'SUMMARY DATA'!$A:$A=$A1162,'SUMMARY DATA'!$C:$C=$B1162,'SUMMARY DATA'!$B:$B=""RWS"")),
  IF(
    OR(
      ISNUMBER(SEARCH(""CDM CASH DEPOSIT"",$C1162)),
      ISNUMBER(SEARCH(""CASH DEPOSIT"",$"&amp;"C1162)),
      COUNTIFS('SUMMARY DATA'!$D:$D,$C1162,'SUMMARY DATA'!$B:$B,""RWS"")&lt;&gt;1
    ),
    """",
    IFERROR(TEXTJOIN(CHAR(10),TRUE,FILTER('SUMMARY DATA'!I:I,'SUMMARY DATA'!$D:$D=$C1162,'SUMMARY DATA'!$B:$B=""RWS"")),"""")
  )
)"),"")</f>
      </c>
      <c r="K1162" s="2"/>
      <c r="L1162" s="2"/>
      <c r="M1162" s="2"/>
      <c r="N1162" s="2"/>
      <c r="O1162" s="2"/>
      <c r="P1162" s="2"/>
      <c r="Q1162" s="2"/>
      <c r="R1162" s="2"/>
      <c r="S1162" s="2"/>
      <c r="T1162" s="2"/>
      <c r="U1162" s="2"/>
      <c r="V1162" s="2"/>
      <c r="W1162" s="2"/>
      <c r="X1162" s="2"/>
      <c r="Y1162" s="2"/>
      <c r="Z1162" s="2"/>
      <c r="AA1162" s="2"/>
      <c r="AB1162" s="2"/>
    </row>
    <row r="1163" spans="1:28" customHeight="true">
      <c r="A1163" s="2"/>
      <c r="B1163" s="15">
        <v>45803</v>
      </c>
      <c r="C1163" s="2" t="s">
        <v>1703</v>
      </c>
      <c r="D1163" s="6">
        <v>30</v>
      </c>
      <c r="E1163" s="16" t="str">
        <f>IFERROR(__xludf.DUMMYFUNCTION("IFERROR(
  TEXTJOIN(CHAR(10),TRUE,FILTER('SUMMARY DATA'!E:E,'SUMMARY DATA'!$A:$A=$A264,'SUMMARY DATA'!$C:$C=$B264,'SUMMARY DATA'!$B:$B=""GRP"")),
  IF(
    OR(
      ISNUMBER(SEARCH(""CDM CASH DEPOSIT"",$C264)),
      ISNUMBER(SEARCH(""CASH DEPOSIT"",$C26"&amp;"4)),
      COUNTIFS('SUMMARY DATA'!$D:$D,$C264,'SUMMARY DATA'!$B:$B,""GRP"")&lt;&gt;1
    ),
    """",
    IFERROR(TEXTJOIN(CHAR(10),TRUE,FILTER('SUMMARY DATA'!E:E,'SUMMARY DATA'!$D:$D=$C264,'SUMMARY DATA'!$B:$B=""GRP"")),"""")
  )
)"),"")</f>
      </c>
      <c r="F1163" s="17" t="str">
        <f>IFERROR(__xludf.DUMMYFUNCTION("IFERROR(
  TEXTJOIN(CHAR(10),TRUE,FILTER('SUMMARY DATA'!F:F,'SUMMARY DATA'!$A:$A=$A264,'SUMMARY DATA'!$C:$C=$B264,'SUMMARY DATA'!$B:$B=""GRP"")),
  IF(
    OR(
      ISNUMBER(SEARCH(""CDM CASH DEPOSIT"",$C264)),
      ISNUMBER(SEARCH(""CASH DEPOSIT"",$C26"&amp;"4)),
      COUNTIFS('SUMMARY DATA'!$D:$D,$C264,'SUMMARY DATA'!$B:$B,""GRP"")&lt;&gt;1
    ),
    """",
    IFERROR(TEXTJOIN(CHAR(10),TRUE,FILTER('SUMMARY DATA'!F:F,'SUMMARY DATA'!$D:$D=$C264,'SUMMARY DATA'!$B:$B=""GRP"")),"""")
  )
)"),"")</f>
      </c>
      <c r="G1163" s="17" t="str">
        <f>IFERROR(__xludf.DUMMYFUNCTION("IFERROR(
  TEXTJOIN(CHAR(10),TRUE,FILTER('SUMMARY DATA'!G:G,'SUMMARY DATA'!$A:$A=$A1163,'SUMMARY DATA'!$C:$C=$B1163,'SUMMARY DATA'!$B:$B=""RWS"")),
  IF(
    OR(
      ISNUMBER(SEARCH(""CDM CASH DEPOSIT"",$C1163)),
      ISNUMBER(SEARCH(""CASH DEPOSIT"",$"&amp;"C1163)),
      COUNTIFS('SUMMARY DATA'!$D:$D,$C1163,'SUMMARY DATA'!$B:$B,""RWS"")&lt;&gt;1
    ),
    """",
    IFERROR(TEXTJOIN(CHAR(10),TRUE,FILTER('SUMMARY DATA'!G:G,'SUMMARY DATA'!$D:$D=$C1163,'SUMMARY DATA'!$B:$B=""RWS"")),"""")
  )
)"),"")</f>
      </c>
      <c r="H1163" s="18" t="str">
        <f>IFERROR(__xludf.DUMMYFUNCTION("IFERROR(
  TEXTJOIN(CHAR(10),TRUE,FILTER('SUMMARY DATA'!H:H,'SUMMARY DATA'!$A:$A=$A1163,'SUMMARY DATA'!$C:$C=$B1163,'SUMMARY DATA'!$B:$B=""RWS"",'SUMMARY DATA'!$H:$H=$D1163)),
  IF(
    OR(
      ISNUMBER(SEARCH(""CDM CASH DEPOSIT"",$C1163)),
      ISNUMB"&amp;"ER(SEARCH(""CASH DEPOSIT"",$C1163))
    ),
    """",
    IFERROR(TEXTJOIN(CHAR(10),TRUE,FILTER('SUMMARY DATA'!H:H,'SUMMARY DATA'!$D:$D=$C1163,'SUMMARY DATA'!$B:$B=""RWS"",'SUMMARY DATA'!$H:$H=$D1163)),"""")
  )
)"),"")</f>
      </c>
      <c r="I1163" s="18" t="str">
        <f>IFERROR(__xludf.DUMMYFUNCTION("IF(H1163="""","""",
SUM(ARRAYFORMULA(VALUE(SPLIT(H1163,CHAR(10)))))
)"),"")</f>
      </c>
      <c r="J1163" s="17" t="str">
        <f>IFERROR(__xludf.DUMMYFUNCTION("IFERROR(
  TEXTJOIN(CHAR(10),TRUE,FILTER('SUMMARY DATA'!I:I,'SUMMARY DATA'!$A:$A=$A1163,'SUMMARY DATA'!$C:$C=$B1163,'SUMMARY DATA'!$B:$B=""RWS"")),
  IF(
    OR(
      ISNUMBER(SEARCH(""CDM CASH DEPOSIT"",$C1163)),
      ISNUMBER(SEARCH(""CASH DEPOSIT"",$"&amp;"C1163)),
      COUNTIFS('SUMMARY DATA'!$D:$D,$C1163,'SUMMARY DATA'!$B:$B,""RWS"")&lt;&gt;1
    ),
    """",
    IFERROR(TEXTJOIN(CHAR(10),TRUE,FILTER('SUMMARY DATA'!I:I,'SUMMARY DATA'!$D:$D=$C1163,'SUMMARY DATA'!$B:$B=""RWS"")),"""")
  )
)"),"")</f>
      </c>
      <c r="K1163" s="2"/>
      <c r="L1163" s="2"/>
      <c r="M1163" s="2"/>
      <c r="N1163" s="2"/>
      <c r="O1163" s="2"/>
      <c r="P1163" s="2"/>
      <c r="Q1163" s="2"/>
      <c r="R1163" s="2"/>
      <c r="S1163" s="2"/>
      <c r="T1163" s="2"/>
      <c r="U1163" s="2"/>
      <c r="V1163" s="2"/>
      <c r="W1163" s="2"/>
      <c r="X1163" s="2"/>
      <c r="Y1163" s="2"/>
      <c r="Z1163" s="2"/>
      <c r="AA1163" s="2"/>
      <c r="AB1163" s="2"/>
    </row>
    <row r="1164" spans="1:28" customHeight="true">
      <c r="A1164" s="2"/>
      <c r="B1164" s="15">
        <v>45803</v>
      </c>
      <c r="C1164" s="2" t="s">
        <v>1704</v>
      </c>
      <c r="D1164" s="6">
        <v>10</v>
      </c>
      <c r="E1164" s="16" t="str">
        <f>IFERROR(__xludf.DUMMYFUNCTION("IFERROR(
  TEXTJOIN(CHAR(10),TRUE,FILTER('SUMMARY DATA'!E:E,'SUMMARY DATA'!$A:$A=$A265,'SUMMARY DATA'!$C:$C=$B265,'SUMMARY DATA'!$B:$B=""GRP"")),
  IF(
    OR(
      ISNUMBER(SEARCH(""CDM CASH DEPOSIT"",$C265)),
      ISNUMBER(SEARCH(""CASH DEPOSIT"",$C26"&amp;"5)),
      COUNTIFS('SUMMARY DATA'!$D:$D,$C265,'SUMMARY DATA'!$B:$B,""GRP"")&lt;&gt;1
    ),
    """",
    IFERROR(TEXTJOIN(CHAR(10),TRUE,FILTER('SUMMARY DATA'!E:E,'SUMMARY DATA'!$D:$D=$C265,'SUMMARY DATA'!$B:$B=""GRP"")),"""")
  )
)"),"")</f>
      </c>
      <c r="F1164" s="17" t="str">
        <f>IFERROR(__xludf.DUMMYFUNCTION("IFERROR(
  TEXTJOIN(CHAR(10),TRUE,FILTER('SUMMARY DATA'!F:F,'SUMMARY DATA'!$A:$A=$A265,'SUMMARY DATA'!$C:$C=$B265,'SUMMARY DATA'!$B:$B=""GRP"")),
  IF(
    OR(
      ISNUMBER(SEARCH(""CDM CASH DEPOSIT"",$C265)),
      ISNUMBER(SEARCH(""CASH DEPOSIT"",$C26"&amp;"5)),
      COUNTIFS('SUMMARY DATA'!$D:$D,$C265,'SUMMARY DATA'!$B:$B,""GRP"")&lt;&gt;1
    ),
    """",
    IFERROR(TEXTJOIN(CHAR(10),TRUE,FILTER('SUMMARY DATA'!F:F,'SUMMARY DATA'!$D:$D=$C265,'SUMMARY DATA'!$B:$B=""GRP"")),"""")
  )
)"),"")</f>
      </c>
      <c r="G1164" s="17" t="str">
        <f>IFERROR(__xludf.DUMMYFUNCTION("IFERROR(
  TEXTJOIN(CHAR(10),TRUE,FILTER('SUMMARY DATA'!G:G,'SUMMARY DATA'!$A:$A=$A1164,'SUMMARY DATA'!$C:$C=$B1164,'SUMMARY DATA'!$B:$B=""RWS"")),
  IF(
    OR(
      ISNUMBER(SEARCH(""CDM CASH DEPOSIT"",$C1164)),
      ISNUMBER(SEARCH(""CASH DEPOSIT"",$"&amp;"C1164)),
      COUNTIFS('SUMMARY DATA'!$D:$D,$C1164,'SUMMARY DATA'!$B:$B,""RWS"")&lt;&gt;1
    ),
    """",
    IFERROR(TEXTJOIN(CHAR(10),TRUE,FILTER('SUMMARY DATA'!G:G,'SUMMARY DATA'!$D:$D=$C1164,'SUMMARY DATA'!$B:$B=""RWS"")),"""")
  )
)"),"")</f>
      </c>
      <c r="H1164" s="18" t="str">
        <f>IFERROR(__xludf.DUMMYFUNCTION("IFERROR(
  TEXTJOIN(CHAR(10),TRUE,FILTER('SUMMARY DATA'!H:H,'SUMMARY DATA'!$A:$A=$A1164,'SUMMARY DATA'!$C:$C=$B1164,'SUMMARY DATA'!$B:$B=""RWS"",'SUMMARY DATA'!$H:$H=$D1164)),
  IF(
    OR(
      ISNUMBER(SEARCH(""CDM CASH DEPOSIT"",$C1164)),
      ISNUMB"&amp;"ER(SEARCH(""CASH DEPOSIT"",$C1164))
    ),
    """",
    IFERROR(TEXTJOIN(CHAR(10),TRUE,FILTER('SUMMARY DATA'!H:H,'SUMMARY DATA'!$D:$D=$C1164,'SUMMARY DATA'!$B:$B=""RWS"",'SUMMARY DATA'!$H:$H=$D1164)),"""")
  )
)"),"")</f>
      </c>
      <c r="I1164" s="18" t="str">
        <f>IFERROR(__xludf.DUMMYFUNCTION("IF(H1164="""","""",
SUM(ARRAYFORMULA(VALUE(SPLIT(H1164,CHAR(10)))))
)"),"")</f>
      </c>
      <c r="J1164" s="17" t="str">
        <f>IFERROR(__xludf.DUMMYFUNCTION("IFERROR(
  TEXTJOIN(CHAR(10),TRUE,FILTER('SUMMARY DATA'!I:I,'SUMMARY DATA'!$A:$A=$A1164,'SUMMARY DATA'!$C:$C=$B1164,'SUMMARY DATA'!$B:$B=""RWS"")),
  IF(
    OR(
      ISNUMBER(SEARCH(""CDM CASH DEPOSIT"",$C1164)),
      ISNUMBER(SEARCH(""CASH DEPOSIT"",$"&amp;"C1164)),
      COUNTIFS('SUMMARY DATA'!$D:$D,$C1164,'SUMMARY DATA'!$B:$B,""RWS"")&lt;&gt;1
    ),
    """",
    IFERROR(TEXTJOIN(CHAR(10),TRUE,FILTER('SUMMARY DATA'!I:I,'SUMMARY DATA'!$D:$D=$C1164,'SUMMARY DATA'!$B:$B=""RWS"")),"""")
  )
)"),"")</f>
      </c>
      <c r="K1164" s="2"/>
      <c r="L1164" s="2"/>
      <c r="M1164" s="2"/>
      <c r="N1164" s="2"/>
      <c r="O1164" s="2"/>
      <c r="P1164" s="2"/>
      <c r="Q1164" s="2"/>
      <c r="R1164" s="2"/>
      <c r="S1164" s="2"/>
      <c r="T1164" s="2"/>
      <c r="U1164" s="2"/>
      <c r="V1164" s="2"/>
      <c r="W1164" s="2"/>
      <c r="X1164" s="2"/>
      <c r="Y1164" s="2"/>
      <c r="Z1164" s="2"/>
      <c r="AA1164" s="2"/>
      <c r="AB1164" s="2"/>
    </row>
    <row r="1165" spans="1:28" customHeight="true">
      <c r="A1165" s="2"/>
      <c r="B1165" s="15">
        <v>45803</v>
      </c>
      <c r="C1165" s="2" t="s">
        <v>1705</v>
      </c>
      <c r="D1165" s="6">
        <v>5.2</v>
      </c>
      <c r="E1165" s="16" t="str">
        <f>IFERROR(__xludf.DUMMYFUNCTION("IFERROR(
  TEXTJOIN(CHAR(10),TRUE,FILTER('SUMMARY DATA'!E:E,'SUMMARY DATA'!$A:$A=$A266,'SUMMARY DATA'!$C:$C=$B266,'SUMMARY DATA'!$B:$B=""GRP"")),
  IF(
    OR(
      ISNUMBER(SEARCH(""CDM CASH DEPOSIT"",$C266)),
      ISNUMBER(SEARCH(""CASH DEPOSIT"",$C26"&amp;"6)),
      COUNTIFS('SUMMARY DATA'!$D:$D,$C266,'SUMMARY DATA'!$B:$B,""GRP"")&lt;&gt;1
    ),
    """",
    IFERROR(TEXTJOIN(CHAR(10),TRUE,FILTER('SUMMARY DATA'!E:E,'SUMMARY DATA'!$D:$D=$C266,'SUMMARY DATA'!$B:$B=""GRP"")),"""")
  )
)"),"")</f>
      </c>
      <c r="F1165" s="17" t="str">
        <f>IFERROR(__xludf.DUMMYFUNCTION("IFERROR(
  TEXTJOIN(CHAR(10),TRUE,FILTER('SUMMARY DATA'!F:F,'SUMMARY DATA'!$A:$A=$A266,'SUMMARY DATA'!$C:$C=$B266,'SUMMARY DATA'!$B:$B=""GRP"")),
  IF(
    OR(
      ISNUMBER(SEARCH(""CDM CASH DEPOSIT"",$C266)),
      ISNUMBER(SEARCH(""CASH DEPOSIT"",$C26"&amp;"6)),
      COUNTIFS('SUMMARY DATA'!$D:$D,$C266,'SUMMARY DATA'!$B:$B,""GRP"")&lt;&gt;1
    ),
    """",
    IFERROR(TEXTJOIN(CHAR(10),TRUE,FILTER('SUMMARY DATA'!F:F,'SUMMARY DATA'!$D:$D=$C266,'SUMMARY DATA'!$B:$B=""GRP"")),"""")
  )
)"),"")</f>
      </c>
      <c r="G1165" s="17" t="str">
        <f>IFERROR(__xludf.DUMMYFUNCTION("IFERROR(
  TEXTJOIN(CHAR(10),TRUE,FILTER('SUMMARY DATA'!G:G,'SUMMARY DATA'!$A:$A=$A1165,'SUMMARY DATA'!$C:$C=$B1165,'SUMMARY DATA'!$B:$B=""RWS"")),
  IF(
    OR(
      ISNUMBER(SEARCH(""CDM CASH DEPOSIT"",$C1165)),
      ISNUMBER(SEARCH(""CASH DEPOSIT"",$"&amp;"C1165)),
      COUNTIFS('SUMMARY DATA'!$D:$D,$C1165,'SUMMARY DATA'!$B:$B,""RWS"")&lt;&gt;1
    ),
    """",
    IFERROR(TEXTJOIN(CHAR(10),TRUE,FILTER('SUMMARY DATA'!G:G,'SUMMARY DATA'!$D:$D=$C1165,'SUMMARY DATA'!$B:$B=""RWS"")),"""")
  )
)"),"")</f>
      </c>
      <c r="H1165" s="18" t="str">
        <f>IFERROR(__xludf.DUMMYFUNCTION("IFERROR(
  TEXTJOIN(CHAR(10),TRUE,FILTER('SUMMARY DATA'!H:H,'SUMMARY DATA'!$A:$A=$A1165,'SUMMARY DATA'!$C:$C=$B1165,'SUMMARY DATA'!$B:$B=""RWS"",'SUMMARY DATA'!$H:$H=$D1165)),
  IF(
    OR(
      ISNUMBER(SEARCH(""CDM CASH DEPOSIT"",$C1165)),
      ISNUMB"&amp;"ER(SEARCH(""CASH DEPOSIT"",$C1165))
    ),
    """",
    IFERROR(TEXTJOIN(CHAR(10),TRUE,FILTER('SUMMARY DATA'!H:H,'SUMMARY DATA'!$D:$D=$C1165,'SUMMARY DATA'!$B:$B=""RWS"",'SUMMARY DATA'!$H:$H=$D1165)),"""")
  )
)"),"")</f>
      </c>
      <c r="I1165" s="18" t="str">
        <f>IFERROR(__xludf.DUMMYFUNCTION("IF(H1165="""","""",
SUM(ARRAYFORMULA(VALUE(SPLIT(H1165,CHAR(10)))))
)"),"")</f>
      </c>
      <c r="J1165" s="17" t="str">
        <f>IFERROR(__xludf.DUMMYFUNCTION("IFERROR(
  TEXTJOIN(CHAR(10),TRUE,FILTER('SUMMARY DATA'!I:I,'SUMMARY DATA'!$A:$A=$A1165,'SUMMARY DATA'!$C:$C=$B1165,'SUMMARY DATA'!$B:$B=""RWS"")),
  IF(
    OR(
      ISNUMBER(SEARCH(""CDM CASH DEPOSIT"",$C1165)),
      ISNUMBER(SEARCH(""CASH DEPOSIT"",$"&amp;"C1165)),
      COUNTIFS('SUMMARY DATA'!$D:$D,$C1165,'SUMMARY DATA'!$B:$B,""RWS"")&lt;&gt;1
    ),
    """",
    IFERROR(TEXTJOIN(CHAR(10),TRUE,FILTER('SUMMARY DATA'!I:I,'SUMMARY DATA'!$D:$D=$C1165,'SUMMARY DATA'!$B:$B=""RWS"")),"""")
  )
)"),"")</f>
      </c>
      <c r="K1165" s="2"/>
      <c r="L1165" s="2"/>
      <c r="M1165" s="2"/>
      <c r="N1165" s="2"/>
      <c r="O1165" s="2"/>
      <c r="P1165" s="2"/>
      <c r="Q1165" s="2"/>
      <c r="R1165" s="2"/>
      <c r="S1165" s="2"/>
      <c r="T1165" s="2"/>
      <c r="U1165" s="2"/>
      <c r="V1165" s="2"/>
      <c r="W1165" s="2"/>
      <c r="X1165" s="2"/>
      <c r="Y1165" s="2"/>
      <c r="Z1165" s="2"/>
      <c r="AA1165" s="2"/>
      <c r="AB1165" s="2"/>
    </row>
    <row r="1166" spans="1:28" customHeight="true">
      <c r="A1166" s="2"/>
      <c r="B1166" s="15">
        <v>45804</v>
      </c>
      <c r="C1166" s="2" t="s">
        <v>1706</v>
      </c>
      <c r="D1166" s="6">
        <v>139</v>
      </c>
      <c r="E1166" s="16" t="str">
        <f>IFERROR(__xludf.DUMMYFUNCTION("IFERROR(
  TEXTJOIN(CHAR(10),TRUE,FILTER('SUMMARY DATA'!E:E,'SUMMARY DATA'!$A:$A=$A267,'SUMMARY DATA'!$C:$C=$B267,'SUMMARY DATA'!$B:$B=""GRP"")),
  IF(
    OR(
      ISNUMBER(SEARCH(""CDM CASH DEPOSIT"",$C267)),
      ISNUMBER(SEARCH(""CASH DEPOSIT"",$C26"&amp;"7)),
      COUNTIFS('SUMMARY DATA'!$D:$D,$C267,'SUMMARY DATA'!$B:$B,""GRP"")&lt;&gt;1
    ),
    """",
    IFERROR(TEXTJOIN(CHAR(10),TRUE,FILTER('SUMMARY DATA'!E:E,'SUMMARY DATA'!$D:$D=$C267,'SUMMARY DATA'!$B:$B=""GRP"")),"""")
  )
)"),"")</f>
      </c>
      <c r="F1166" s="17" t="str">
        <f>IFERROR(__xludf.DUMMYFUNCTION("IFERROR(
  TEXTJOIN(CHAR(10),TRUE,FILTER('SUMMARY DATA'!F:F,'SUMMARY DATA'!$A:$A=$A267,'SUMMARY DATA'!$C:$C=$B267,'SUMMARY DATA'!$B:$B=""GRP"")),
  IF(
    OR(
      ISNUMBER(SEARCH(""CDM CASH DEPOSIT"",$C267)),
      ISNUMBER(SEARCH(""CASH DEPOSIT"",$C26"&amp;"7)),
      COUNTIFS('SUMMARY DATA'!$D:$D,$C267,'SUMMARY DATA'!$B:$B,""GRP"")&lt;&gt;1
    ),
    """",
    IFERROR(TEXTJOIN(CHAR(10),TRUE,FILTER('SUMMARY DATA'!F:F,'SUMMARY DATA'!$D:$D=$C267,'SUMMARY DATA'!$B:$B=""GRP"")),"""")
  )
)"),"")</f>
      </c>
      <c r="G1166" s="17" t="str">
        <f>IFERROR(__xludf.DUMMYFUNCTION("IFERROR(
  TEXTJOIN(CHAR(10),TRUE,FILTER('SUMMARY DATA'!G:G,'SUMMARY DATA'!$A:$A=$A1166,'SUMMARY DATA'!$C:$C=$B1166,'SUMMARY DATA'!$B:$B=""RWS"")),
  IF(
    OR(
      ISNUMBER(SEARCH(""CDM CASH DEPOSIT"",$C1166)),
      ISNUMBER(SEARCH(""CASH DEPOSIT"",$"&amp;"C1166)),
      COUNTIFS('SUMMARY DATA'!$D:$D,$C1166,'SUMMARY DATA'!$B:$B,""RWS"")&lt;&gt;1
    ),
    """",
    IFERROR(TEXTJOIN(CHAR(10),TRUE,FILTER('SUMMARY DATA'!G:G,'SUMMARY DATA'!$D:$D=$C1166,'SUMMARY DATA'!$B:$B=""RWS"")),"""")
  )
)"),"")</f>
      </c>
      <c r="H1166" s="18" t="str">
        <f>IFERROR(__xludf.DUMMYFUNCTION("IFERROR(
  TEXTJOIN(CHAR(10),TRUE,FILTER('SUMMARY DATA'!H:H,'SUMMARY DATA'!$A:$A=$A1166,'SUMMARY DATA'!$C:$C=$B1166,'SUMMARY DATA'!$B:$B=""RWS"",'SUMMARY DATA'!$H:$H=$D1166)),
  IF(
    OR(
      ISNUMBER(SEARCH(""CDM CASH DEPOSIT"",$C1166)),
      ISNUMB"&amp;"ER(SEARCH(""CASH DEPOSIT"",$C1166))
    ),
    """",
    IFERROR(TEXTJOIN(CHAR(10),TRUE,FILTER('SUMMARY DATA'!H:H,'SUMMARY DATA'!$D:$D=$C1166,'SUMMARY DATA'!$B:$B=""RWS"",'SUMMARY DATA'!$H:$H=$D1166)),"""")
  )
)"),"")</f>
      </c>
      <c r="I1166" s="18" t="str">
        <f>IFERROR(__xludf.DUMMYFUNCTION("IF(H1166="""","""",
SUM(ARRAYFORMULA(VALUE(SPLIT(H1166,CHAR(10)))))
)"),"")</f>
      </c>
      <c r="J1166" s="17" t="str">
        <f>IFERROR(__xludf.DUMMYFUNCTION("IFERROR(
  TEXTJOIN(CHAR(10),TRUE,FILTER('SUMMARY DATA'!I:I,'SUMMARY DATA'!$A:$A=$A1166,'SUMMARY DATA'!$C:$C=$B1166,'SUMMARY DATA'!$B:$B=""RWS"")),
  IF(
    OR(
      ISNUMBER(SEARCH(""CDM CASH DEPOSIT"",$C1166)),
      ISNUMBER(SEARCH(""CASH DEPOSIT"",$"&amp;"C1166)),
      COUNTIFS('SUMMARY DATA'!$D:$D,$C1166,'SUMMARY DATA'!$B:$B,""RWS"")&lt;&gt;1
    ),
    """",
    IFERROR(TEXTJOIN(CHAR(10),TRUE,FILTER('SUMMARY DATA'!I:I,'SUMMARY DATA'!$D:$D=$C1166,'SUMMARY DATA'!$B:$B=""RWS"")),"""")
  )
)"),"")</f>
      </c>
      <c r="K1166" s="2"/>
      <c r="L1166" s="2"/>
      <c r="M1166" s="2"/>
      <c r="N1166" s="2"/>
      <c r="O1166" s="2"/>
      <c r="P1166" s="2"/>
      <c r="Q1166" s="2"/>
      <c r="R1166" s="2"/>
      <c r="S1166" s="2"/>
      <c r="T1166" s="2"/>
      <c r="U1166" s="2"/>
      <c r="V1166" s="2"/>
      <c r="W1166" s="2"/>
      <c r="X1166" s="2"/>
      <c r="Y1166" s="2"/>
      <c r="Z1166" s="2"/>
      <c r="AA1166" s="2"/>
      <c r="AB1166" s="2"/>
    </row>
    <row r="1167" spans="1:28" customHeight="true">
      <c r="A1167" s="2"/>
      <c r="B1167" s="15">
        <v>45804</v>
      </c>
      <c r="C1167" s="2" t="s">
        <v>1707</v>
      </c>
      <c r="D1167" s="6">
        <v>100</v>
      </c>
      <c r="E1167" s="16" t="str">
        <f>IFERROR(__xludf.DUMMYFUNCTION("IFERROR(
  TEXTJOIN(CHAR(10),TRUE,FILTER('SUMMARY DATA'!E:E,'SUMMARY DATA'!$A:$A=$A268,'SUMMARY DATA'!$C:$C=$B268,'SUMMARY DATA'!$B:$B=""GRP"")),
  IF(
    OR(
      ISNUMBER(SEARCH(""CDM CASH DEPOSIT"",$C268)),
      ISNUMBER(SEARCH(""CASH DEPOSIT"",$C26"&amp;"8)),
      COUNTIFS('SUMMARY DATA'!$D:$D,$C268,'SUMMARY DATA'!$B:$B,""GRP"")&lt;&gt;1
    ),
    """",
    IFERROR(TEXTJOIN(CHAR(10),TRUE,FILTER('SUMMARY DATA'!E:E,'SUMMARY DATA'!$D:$D=$C268,'SUMMARY DATA'!$B:$B=""GRP"")),"""")
  )
)"),"")</f>
      </c>
      <c r="F1167" s="17" t="str">
        <f>IFERROR(__xludf.DUMMYFUNCTION("IFERROR(
  TEXTJOIN(CHAR(10),TRUE,FILTER('SUMMARY DATA'!F:F,'SUMMARY DATA'!$A:$A=$A268,'SUMMARY DATA'!$C:$C=$B268,'SUMMARY DATA'!$B:$B=""GRP"")),
  IF(
    OR(
      ISNUMBER(SEARCH(""CDM CASH DEPOSIT"",$C268)),
      ISNUMBER(SEARCH(""CASH DEPOSIT"",$C26"&amp;"8)),
      COUNTIFS('SUMMARY DATA'!$D:$D,$C268,'SUMMARY DATA'!$B:$B,""GRP"")&lt;&gt;1
    ),
    """",
    IFERROR(TEXTJOIN(CHAR(10),TRUE,FILTER('SUMMARY DATA'!F:F,'SUMMARY DATA'!$D:$D=$C268,'SUMMARY DATA'!$B:$B=""GRP"")),"""")
  )
)"),"")</f>
      </c>
      <c r="G1167" s="17" t="str">
        <f>IFERROR(__xludf.DUMMYFUNCTION("IFERROR(
  TEXTJOIN(CHAR(10),TRUE,FILTER('SUMMARY DATA'!G:G,'SUMMARY DATA'!$A:$A=$A1167,'SUMMARY DATA'!$C:$C=$B1167,'SUMMARY DATA'!$B:$B=""RWS"")),
  IF(
    OR(
      ISNUMBER(SEARCH(""CDM CASH DEPOSIT"",$C1167)),
      ISNUMBER(SEARCH(""CASH DEPOSIT"",$"&amp;"C1167)),
      COUNTIFS('SUMMARY DATA'!$D:$D,$C1167,'SUMMARY DATA'!$B:$B,""RWS"")&lt;&gt;1
    ),
    """",
    IFERROR(TEXTJOIN(CHAR(10),TRUE,FILTER('SUMMARY DATA'!G:G,'SUMMARY DATA'!$D:$D=$C1167,'SUMMARY DATA'!$B:$B=""RWS"")),"""")
  )
)"),"")</f>
      </c>
      <c r="H1167" s="18" t="str">
        <f>IFERROR(__xludf.DUMMYFUNCTION("IFERROR(
  TEXTJOIN(CHAR(10),TRUE,FILTER('SUMMARY DATA'!H:H,'SUMMARY DATA'!$A:$A=$A1167,'SUMMARY DATA'!$C:$C=$B1167,'SUMMARY DATA'!$B:$B=""RWS"",'SUMMARY DATA'!$H:$H=$D1167)),
  IF(
    OR(
      ISNUMBER(SEARCH(""CDM CASH DEPOSIT"",$C1167)),
      ISNUMB"&amp;"ER(SEARCH(""CASH DEPOSIT"",$C1167))
    ),
    """",
    IFERROR(TEXTJOIN(CHAR(10),TRUE,FILTER('SUMMARY DATA'!H:H,'SUMMARY DATA'!$D:$D=$C1167,'SUMMARY DATA'!$B:$B=""RWS"",'SUMMARY DATA'!$H:$H=$D1167)),"""")
  )
)"),"")</f>
      </c>
      <c r="I1167" s="18" t="str">
        <f>IFERROR(__xludf.DUMMYFUNCTION("IF(H1167="""","""",
SUM(ARRAYFORMULA(VALUE(SPLIT(H1167,CHAR(10)))))
)"),"")</f>
      </c>
      <c r="J1167" s="17" t="str">
        <f>IFERROR(__xludf.DUMMYFUNCTION("IFERROR(
  TEXTJOIN(CHAR(10),TRUE,FILTER('SUMMARY DATA'!I:I,'SUMMARY DATA'!$A:$A=$A1167,'SUMMARY DATA'!$C:$C=$B1167,'SUMMARY DATA'!$B:$B=""RWS"")),
  IF(
    OR(
      ISNUMBER(SEARCH(""CDM CASH DEPOSIT"",$C1167)),
      ISNUMBER(SEARCH(""CASH DEPOSIT"",$"&amp;"C1167)),
      COUNTIFS('SUMMARY DATA'!$D:$D,$C1167,'SUMMARY DATA'!$B:$B,""RWS"")&lt;&gt;1
    ),
    """",
    IFERROR(TEXTJOIN(CHAR(10),TRUE,FILTER('SUMMARY DATA'!I:I,'SUMMARY DATA'!$D:$D=$C1167,'SUMMARY DATA'!$B:$B=""RWS"")),"""")
  )
)"),"")</f>
      </c>
      <c r="K1167" s="2"/>
      <c r="L1167" s="2"/>
      <c r="M1167" s="2"/>
      <c r="N1167" s="2"/>
      <c r="O1167" s="2"/>
      <c r="P1167" s="2"/>
      <c r="Q1167" s="2"/>
      <c r="R1167" s="2"/>
      <c r="S1167" s="2"/>
      <c r="T1167" s="2"/>
      <c r="U1167" s="2"/>
      <c r="V1167" s="2"/>
      <c r="W1167" s="2"/>
      <c r="X1167" s="2"/>
      <c r="Y1167" s="2"/>
      <c r="Z1167" s="2"/>
      <c r="AA1167" s="2"/>
      <c r="AB1167" s="2"/>
    </row>
    <row r="1168" spans="1:28" customHeight="true">
      <c r="A1168" s="2"/>
      <c r="B1168" s="15">
        <v>45804</v>
      </c>
      <c r="C1168" s="2" t="s">
        <v>1708</v>
      </c>
      <c r="D1168" s="6">
        <v>81.97</v>
      </c>
      <c r="E1168" s="16" t="str">
        <f>IFERROR(__xludf.DUMMYFUNCTION("IFERROR(
  TEXTJOIN(CHAR(10),TRUE,FILTER('SUMMARY DATA'!E:E,'SUMMARY DATA'!$A:$A=$A269,'SUMMARY DATA'!$C:$C=$B269,'SUMMARY DATA'!$B:$B=""GRP"")),
  IF(
    OR(
      ISNUMBER(SEARCH(""CDM CASH DEPOSIT"",$C269)),
      ISNUMBER(SEARCH(""CASH DEPOSIT"",$C26"&amp;"9)),
      COUNTIFS('SUMMARY DATA'!$D:$D,$C269,'SUMMARY DATA'!$B:$B,""GRP"")&lt;&gt;1
    ),
    """",
    IFERROR(TEXTJOIN(CHAR(10),TRUE,FILTER('SUMMARY DATA'!E:E,'SUMMARY DATA'!$D:$D=$C269,'SUMMARY DATA'!$B:$B=""GRP"")),"""")
  )
)"),"")</f>
      </c>
      <c r="F1168" s="17" t="str">
        <f>IFERROR(__xludf.DUMMYFUNCTION("IFERROR(
  TEXTJOIN(CHAR(10),TRUE,FILTER('SUMMARY DATA'!F:F,'SUMMARY DATA'!$A:$A=$A269,'SUMMARY DATA'!$C:$C=$B269,'SUMMARY DATA'!$B:$B=""GRP"")),
  IF(
    OR(
      ISNUMBER(SEARCH(""CDM CASH DEPOSIT"",$C269)),
      ISNUMBER(SEARCH(""CASH DEPOSIT"",$C26"&amp;"9)),
      COUNTIFS('SUMMARY DATA'!$D:$D,$C269,'SUMMARY DATA'!$B:$B,""GRP"")&lt;&gt;1
    ),
    """",
    IFERROR(TEXTJOIN(CHAR(10),TRUE,FILTER('SUMMARY DATA'!F:F,'SUMMARY DATA'!$D:$D=$C269,'SUMMARY DATA'!$B:$B=""GRP"")),"""")
  )
)"),"")</f>
      </c>
      <c r="G1168" s="17" t="str">
        <f>IFERROR(__xludf.DUMMYFUNCTION("IFERROR(
  TEXTJOIN(CHAR(10),TRUE,FILTER('SUMMARY DATA'!G:G,'SUMMARY DATA'!$A:$A=$A1168,'SUMMARY DATA'!$C:$C=$B1168,'SUMMARY DATA'!$B:$B=""RWS"")),
  IF(
    OR(
      ISNUMBER(SEARCH(""CDM CASH DEPOSIT"",$C1168)),
      ISNUMBER(SEARCH(""CASH DEPOSIT"",$"&amp;"C1168)),
      COUNTIFS('SUMMARY DATA'!$D:$D,$C1168,'SUMMARY DATA'!$B:$B,""RWS"")&lt;&gt;1
    ),
    """",
    IFERROR(TEXTJOIN(CHAR(10),TRUE,FILTER('SUMMARY DATA'!G:G,'SUMMARY DATA'!$D:$D=$C1168,'SUMMARY DATA'!$B:$B=""RWS"")),"""")
  )
)"),"")</f>
      </c>
      <c r="H1168" s="18" t="str">
        <f>IFERROR(__xludf.DUMMYFUNCTION("IFERROR(
  TEXTJOIN(CHAR(10),TRUE,FILTER('SUMMARY DATA'!H:H,'SUMMARY DATA'!$A:$A=$A1168,'SUMMARY DATA'!$C:$C=$B1168,'SUMMARY DATA'!$B:$B=""RWS"",'SUMMARY DATA'!$H:$H=$D1168)),
  IF(
    OR(
      ISNUMBER(SEARCH(""CDM CASH DEPOSIT"",$C1168)),
      ISNUMB"&amp;"ER(SEARCH(""CASH DEPOSIT"",$C1168))
    ),
    """",
    IFERROR(TEXTJOIN(CHAR(10),TRUE,FILTER('SUMMARY DATA'!H:H,'SUMMARY DATA'!$D:$D=$C1168,'SUMMARY DATA'!$B:$B=""RWS"",'SUMMARY DATA'!$H:$H=$D1168)),"""")
  )
)"),"")</f>
      </c>
      <c r="I1168" s="18" t="str">
        <f>IFERROR(__xludf.DUMMYFUNCTION("IF(H1168="""","""",
SUM(ARRAYFORMULA(VALUE(SPLIT(H1168,CHAR(10)))))
)"),"")</f>
      </c>
      <c r="J1168" s="17" t="str">
        <f>IFERROR(__xludf.DUMMYFUNCTION("IFERROR(
  TEXTJOIN(CHAR(10),TRUE,FILTER('SUMMARY DATA'!I:I,'SUMMARY DATA'!$A:$A=$A1168,'SUMMARY DATA'!$C:$C=$B1168,'SUMMARY DATA'!$B:$B=""RWS"")),
  IF(
    OR(
      ISNUMBER(SEARCH(""CDM CASH DEPOSIT"",$C1168)),
      ISNUMBER(SEARCH(""CASH DEPOSIT"",$"&amp;"C1168)),
      COUNTIFS('SUMMARY DATA'!$D:$D,$C1168,'SUMMARY DATA'!$B:$B,""RWS"")&lt;&gt;1
    ),
    """",
    IFERROR(TEXTJOIN(CHAR(10),TRUE,FILTER('SUMMARY DATA'!I:I,'SUMMARY DATA'!$D:$D=$C1168,'SUMMARY DATA'!$B:$B=""RWS"")),"""")
  )
)"),"")</f>
      </c>
      <c r="K1168" s="2"/>
      <c r="L1168" s="2"/>
      <c r="M1168" s="2"/>
      <c r="N1168" s="2"/>
      <c r="O1168" s="2"/>
      <c r="P1168" s="2"/>
      <c r="Q1168" s="2"/>
      <c r="R1168" s="2"/>
      <c r="S1168" s="2"/>
      <c r="T1168" s="2"/>
      <c r="U1168" s="2"/>
      <c r="V1168" s="2"/>
      <c r="W1168" s="2"/>
      <c r="X1168" s="2"/>
      <c r="Y1168" s="2"/>
      <c r="Z1168" s="2"/>
      <c r="AA1168" s="2"/>
      <c r="AB1168" s="2"/>
    </row>
    <row r="1169" spans="1:28" customHeight="true">
      <c r="A1169" s="2" t="s">
        <v>1709</v>
      </c>
      <c r="B1169" s="15">
        <v>45804</v>
      </c>
      <c r="C1169" s="2" t="s">
        <v>1710</v>
      </c>
      <c r="D1169" s="6">
        <v>74.62</v>
      </c>
      <c r="E1169" s="16" t="str">
        <f>IFERROR(__xludf.DUMMYFUNCTION("IFERROR(
  TEXTJOIN(CHAR(10),TRUE,FILTER('SUMMARY DATA'!E:E,'SUMMARY DATA'!$A:$A=$A270,'SUMMARY DATA'!$C:$C=$B270,'SUMMARY DATA'!$B:$B=""GRP"")),
  IF(
    OR(
      ISNUMBER(SEARCH(""CDM CASH DEPOSIT"",$C270)),
      ISNUMBER(SEARCH(""CASH DEPOSIT"",$C27"&amp;"0)),
      COUNTIFS('SUMMARY DATA'!$D:$D,$C270,'SUMMARY DATA'!$B:$B,""GRP"")&lt;&gt;1
    ),
    """",
    IFERROR(TEXTJOIN(CHAR(10),TRUE,FILTER('SUMMARY DATA'!E:E,'SUMMARY DATA'!$D:$D=$C270,'SUMMARY DATA'!$B:$B=""GRP"")),"""")
  )
)"),"")</f>
      </c>
      <c r="F1169" s="17" t="str">
        <f>IFERROR(__xludf.DUMMYFUNCTION("IFERROR(
  TEXTJOIN(CHAR(10),TRUE,FILTER('SUMMARY DATA'!F:F,'SUMMARY DATA'!$A:$A=$A270,'SUMMARY DATA'!$C:$C=$B270,'SUMMARY DATA'!$B:$B=""GRP"")),
  IF(
    OR(
      ISNUMBER(SEARCH(""CDM CASH DEPOSIT"",$C270)),
      ISNUMBER(SEARCH(""CASH DEPOSIT"",$C27"&amp;"0)),
      COUNTIFS('SUMMARY DATA'!$D:$D,$C270,'SUMMARY DATA'!$B:$B,""GRP"")&lt;&gt;1
    ),
    """",
    IFERROR(TEXTJOIN(CHAR(10),TRUE,FILTER('SUMMARY DATA'!F:F,'SUMMARY DATA'!$D:$D=$C270,'SUMMARY DATA'!$B:$B=""GRP"")),"""")
  )
)"),"")</f>
      </c>
      <c r="G1169" s="17" t="str">
        <f>IFERROR(__xludf.DUMMYFUNCTION("IFERROR(
  TEXTJOIN(CHAR(10),TRUE,FILTER('SUMMARY DATA'!G:G,'SUMMARY DATA'!$A:$A=$A1169,'SUMMARY DATA'!$C:$C=$B1169,'SUMMARY DATA'!$B:$B=""RWS"")),
  IF(
    OR(
      ISNUMBER(SEARCH(""CDM CASH DEPOSIT"",$C1169)),
      ISNUMBER(SEARCH(""CASH DEPOSIT"",$"&amp;"C1169)),
      COUNTIFS('SUMMARY DATA'!$D:$D,$C1169,'SUMMARY DATA'!$B:$B,""RWS"")&lt;&gt;1
    ),
    """",
    IFERROR(TEXTJOIN(CHAR(10),TRUE,FILTER('SUMMARY DATA'!G:G,'SUMMARY DATA'!$D:$D=$C1169,'SUMMARY DATA'!$B:$B=""RWS"")),"""")
  )
)"),"")</f>
      </c>
      <c r="H1169" s="18" t="str">
        <f>IFERROR(__xludf.DUMMYFUNCTION("IFERROR(
  TEXTJOIN(CHAR(10),TRUE,FILTER('SUMMARY DATA'!H:H,'SUMMARY DATA'!$A:$A=$A1169,'SUMMARY DATA'!$C:$C=$B1169,'SUMMARY DATA'!$B:$B=""RWS"",'SUMMARY DATA'!$H:$H=$D1169)),
  IF(
    OR(
      ISNUMBER(SEARCH(""CDM CASH DEPOSIT"",$C1169)),
      ISNUMB"&amp;"ER(SEARCH(""CASH DEPOSIT"",$C1169))
    ),
    """",
    IFERROR(TEXTJOIN(CHAR(10),TRUE,FILTER('SUMMARY DATA'!H:H,'SUMMARY DATA'!$D:$D=$C1169,'SUMMARY DATA'!$B:$B=""RWS"",'SUMMARY DATA'!$H:$H=$D1169)),"""")
  )
)"),"")</f>
      </c>
      <c r="I1169" s="18" t="str">
        <f>IFERROR(__xludf.DUMMYFUNCTION("IF(H1169="""","""",
SUM(ARRAYFORMULA(VALUE(SPLIT(H1169,CHAR(10)))))
)"),"")</f>
      </c>
      <c r="J1169" s="17" t="str">
        <f>IFERROR(__xludf.DUMMYFUNCTION("IFERROR(
  TEXTJOIN(CHAR(10),TRUE,FILTER('SUMMARY DATA'!I:I,'SUMMARY DATA'!$A:$A=$A1169,'SUMMARY DATA'!$C:$C=$B1169,'SUMMARY DATA'!$B:$B=""RWS"")),
  IF(
    OR(
      ISNUMBER(SEARCH(""CDM CASH DEPOSIT"",$C1169)),
      ISNUMBER(SEARCH(""CASH DEPOSIT"",$"&amp;"C1169)),
      COUNTIFS('SUMMARY DATA'!$D:$D,$C1169,'SUMMARY DATA'!$B:$B,""RWS"")&lt;&gt;1
    ),
    """",
    IFERROR(TEXTJOIN(CHAR(10),TRUE,FILTER('SUMMARY DATA'!I:I,'SUMMARY DATA'!$D:$D=$C1169,'SUMMARY DATA'!$B:$B=""RWS"")),"""")
  )
)"),"")</f>
      </c>
      <c r="K1169" s="2"/>
      <c r="L1169" s="2"/>
      <c r="M1169" s="2"/>
      <c r="N1169" s="2"/>
      <c r="O1169" s="2"/>
      <c r="P1169" s="2"/>
      <c r="Q1169" s="2"/>
      <c r="R1169" s="2"/>
      <c r="S1169" s="2"/>
      <c r="T1169" s="2"/>
      <c r="U1169" s="2"/>
      <c r="V1169" s="2"/>
      <c r="W1169" s="2"/>
      <c r="X1169" s="2"/>
      <c r="Y1169" s="2"/>
      <c r="Z1169" s="2"/>
      <c r="AA1169" s="2"/>
      <c r="AB1169" s="2"/>
    </row>
    <row r="1170" spans="1:28" customHeight="true">
      <c r="A1170" s="19"/>
      <c r="B1170" s="20">
        <v>45804</v>
      </c>
      <c r="C1170" s="19" t="s">
        <v>1711</v>
      </c>
      <c r="D1170" s="32">
        <v>30</v>
      </c>
      <c r="E1170" s="22" t="str">
        <f>IFERROR(__xludf.DUMMYFUNCTION("IFERROR(
  TEXTJOIN(CHAR(10),TRUE,FILTER('SUMMARY DATA'!E:E,'SUMMARY DATA'!$A:$A=$A271,'SUMMARY DATA'!$C:$C=$B271,'SUMMARY DATA'!$B:$B=""GRP"")),
  IF(
    OR(
      ISNUMBER(SEARCH(""CDM CASH DEPOSIT"",$C271)),
      ISNUMBER(SEARCH(""CASH DEPOSIT"",$C27"&amp;"1)),
      COUNTIFS('SUMMARY DATA'!$D:$D,$C271,'SUMMARY DATA'!$B:$B,""GRP"")&lt;&gt;1
    ),
    """",
    IFERROR(TEXTJOIN(CHAR(10),TRUE,FILTER('SUMMARY DATA'!E:E,'SUMMARY DATA'!$D:$D=$C271,'SUMMARY DATA'!$B:$B=""GRP"")),"""")
  )
)"),"")</f>
      </c>
      <c r="F1170" s="23" t="str">
        <f>IFERROR(__xludf.DUMMYFUNCTION("IFERROR(
  TEXTJOIN(CHAR(10),TRUE,FILTER('SUMMARY DATA'!F:F,'SUMMARY DATA'!$A:$A=$A271,'SUMMARY DATA'!$C:$C=$B271,'SUMMARY DATA'!$B:$B=""GRP"")),
  IF(
    OR(
      ISNUMBER(SEARCH(""CDM CASH DEPOSIT"",$C271)),
      ISNUMBER(SEARCH(""CASH DEPOSIT"",$C27"&amp;"1)),
      COUNTIFS('SUMMARY DATA'!$D:$D,$C271,'SUMMARY DATA'!$B:$B,""GRP"")&lt;&gt;1
    ),
    """",
    IFERROR(TEXTJOIN(CHAR(10),TRUE,FILTER('SUMMARY DATA'!F:F,'SUMMARY DATA'!$D:$D=$C271,'SUMMARY DATA'!$B:$B=""GRP"")),"""")
  )
)"),"")</f>
      </c>
      <c r="G1170" s="17" t="str">
        <f>IFERROR(__xludf.DUMMYFUNCTION("IFERROR(
  TEXTJOIN(CHAR(10),TRUE,FILTER('SUMMARY DATA'!G:G,'SUMMARY DATA'!$A:$A=$A1170,'SUMMARY DATA'!$C:$C=$B1170,'SUMMARY DATA'!$B:$B=""RWS"")),
  IF(
    OR(
      ISNUMBER(SEARCH(""CDM CASH DEPOSIT"",$C1170)),
      ISNUMBER(SEARCH(""CASH DEPOSIT"",$"&amp;"C1170)),
      COUNTIFS('SUMMARY DATA'!$D:$D,$C1170,'SUMMARY DATA'!$B:$B,""RWS"")&lt;&gt;1
    ),
    """",
    IFERROR(TEXTJOIN(CHAR(10),TRUE,FILTER('SUMMARY DATA'!G:G,'SUMMARY DATA'!$D:$D=$C1170,'SUMMARY DATA'!$B:$B=""RWS"")),"""")
  )
)"),"")</f>
      </c>
      <c r="H1170" s="18" t="str">
        <f>IFERROR(__xludf.DUMMYFUNCTION("IFERROR(
  TEXTJOIN(CHAR(10),TRUE,FILTER('SUMMARY DATA'!H:H,'SUMMARY DATA'!$A:$A=$A1170,'SUMMARY DATA'!$C:$C=$B1170,'SUMMARY DATA'!$B:$B=""RWS"",'SUMMARY DATA'!$H:$H=$D1170)),
  IF(
    OR(
      ISNUMBER(SEARCH(""CDM CASH DEPOSIT"",$C1170)),
      ISNUMB"&amp;"ER(SEARCH(""CASH DEPOSIT"",$C1170))
    ),
    """",
    IFERROR(TEXTJOIN(CHAR(10),TRUE,FILTER('SUMMARY DATA'!H:H,'SUMMARY DATA'!$D:$D=$C1170,'SUMMARY DATA'!$B:$B=""RWS"",'SUMMARY DATA'!$H:$H=$D1170)),"""")
  )
)"),"")</f>
      </c>
      <c r="I1170" s="18" t="str">
        <f>IFERROR(__xludf.DUMMYFUNCTION("IF(H1170="""","""",
SUM(ARRAYFORMULA(VALUE(SPLIT(H1170,CHAR(10)))))
)"),"")</f>
      </c>
      <c r="J1170" s="17" t="str">
        <f>IFERROR(__xludf.DUMMYFUNCTION("IFERROR(
  TEXTJOIN(CHAR(10),TRUE,FILTER('SUMMARY DATA'!I:I,'SUMMARY DATA'!$A:$A=$A1170,'SUMMARY DATA'!$C:$C=$B1170,'SUMMARY DATA'!$B:$B=""RWS"")),
  IF(
    OR(
      ISNUMBER(SEARCH(""CDM CASH DEPOSIT"",$C1170)),
      ISNUMBER(SEARCH(""CASH DEPOSIT"",$"&amp;"C1170)),
      COUNTIFS('SUMMARY DATA'!$D:$D,$C1170,'SUMMARY DATA'!$B:$B,""RWS"")&lt;&gt;1
    ),
    """",
    IFERROR(TEXTJOIN(CHAR(10),TRUE,FILTER('SUMMARY DATA'!I:I,'SUMMARY DATA'!$D:$D=$C1170,'SUMMARY DATA'!$B:$B=""RWS"")),"""")
  )
)"),"")</f>
      </c>
      <c r="K1170" s="2"/>
      <c r="L1170" s="2"/>
      <c r="M1170" s="2"/>
      <c r="N1170" s="2"/>
      <c r="O1170" s="2"/>
      <c r="P1170" s="2"/>
      <c r="Q1170" s="2"/>
      <c r="R1170" s="2"/>
      <c r="S1170" s="2"/>
      <c r="T1170" s="2"/>
      <c r="U1170" s="2"/>
      <c r="V1170" s="2"/>
      <c r="W1170" s="2"/>
      <c r="X1170" s="2"/>
      <c r="Y1170" s="2"/>
      <c r="Z1170" s="2"/>
      <c r="AA1170" s="2"/>
      <c r="AB1170" s="2"/>
    </row>
    <row r="1171" spans="1:28" customHeight="true">
      <c r="A1171" s="25"/>
      <c r="B1171" s="26">
        <v>45804</v>
      </c>
      <c r="C1171" s="25" t="s">
        <v>1528</v>
      </c>
      <c r="D1171" s="33">
        <v>25</v>
      </c>
      <c r="E1171" s="28" t="str">
        <f>IFERROR(__xludf.DUMMYFUNCTION("IFERROR(
  TEXTJOIN(CHAR(10),TRUE,FILTER('SUMMARY DATA'!E:E,'SUMMARY DATA'!$A:$A=$A272,'SUMMARY DATA'!$C:$C=$B272,'SUMMARY DATA'!$B:$B=""GRP"")),
  IF(
    OR(
      ISNUMBER(SEARCH(""CDM CASH DEPOSIT"",$C272)),
      ISNUMBER(SEARCH(""CASH DEPOSIT"",$C27"&amp;"2)),
      COUNTIFS('SUMMARY DATA'!$D:$D,$C272,'SUMMARY DATA'!$B:$B,""GRP"")&lt;&gt;1
    ),
    """",
    IFERROR(TEXTJOIN(CHAR(10),TRUE,FILTER('SUMMARY DATA'!E:E,'SUMMARY DATA'!$D:$D=$C272,'SUMMARY DATA'!$B:$B=""GRP"")),"""")
  )
)"),"")</f>
      </c>
      <c r="F1171" s="29" t="str">
        <f>IFERROR(__xludf.DUMMYFUNCTION("IFERROR(
  TEXTJOIN(CHAR(10),TRUE,FILTER('SUMMARY DATA'!F:F,'SUMMARY DATA'!$A:$A=$A272,'SUMMARY DATA'!$C:$C=$B272,'SUMMARY DATA'!$B:$B=""GRP"")),
  IF(
    OR(
      ISNUMBER(SEARCH(""CDM CASH DEPOSIT"",$C272)),
      ISNUMBER(SEARCH(""CASH DEPOSIT"",$C27"&amp;"2)),
      COUNTIFS('SUMMARY DATA'!$D:$D,$C272,'SUMMARY DATA'!$B:$B,""GRP"")&lt;&gt;1
    ),
    """",
    IFERROR(TEXTJOIN(CHAR(10),TRUE,FILTER('SUMMARY DATA'!F:F,'SUMMARY DATA'!$D:$D=$C272,'SUMMARY DATA'!$B:$B=""GRP"")),"""")
  )
)"),"")</f>
      </c>
      <c r="G1171" s="17" t="str">
        <f>IFERROR(__xludf.DUMMYFUNCTION("IFERROR(
  TEXTJOIN(CHAR(10),TRUE,FILTER('SUMMARY DATA'!G:G,'SUMMARY DATA'!$A:$A=$A1171,'SUMMARY DATA'!$C:$C=$B1171,'SUMMARY DATA'!$B:$B=""RWS"")),
  IF(
    OR(
      ISNUMBER(SEARCH(""CDM CASH DEPOSIT"",$C1171)),
      ISNUMBER(SEARCH(""CASH DEPOSIT"",$"&amp;"C1171)),
      COUNTIFS('SUMMARY DATA'!$D:$D,$C1171,'SUMMARY DATA'!$B:$B,""RWS"")&lt;&gt;1
    ),
    """",
    IFERROR(TEXTJOIN(CHAR(10),TRUE,FILTER('SUMMARY DATA'!G:G,'SUMMARY DATA'!$D:$D=$C1171,'SUMMARY DATA'!$B:$B=""RWS"")),"""")
  )
)"),"")</f>
      </c>
      <c r="H1171" s="18" t="str">
        <f>IFERROR(__xludf.DUMMYFUNCTION("IFERROR(
  TEXTJOIN(CHAR(10),TRUE,FILTER('SUMMARY DATA'!H:H,'SUMMARY DATA'!$A:$A=$A1171,'SUMMARY DATA'!$C:$C=$B1171,'SUMMARY DATA'!$B:$B=""RWS"",'SUMMARY DATA'!$H:$H=$D1171)),
  IF(
    OR(
      ISNUMBER(SEARCH(""CDM CASH DEPOSIT"",$C1171)),
      ISNUMB"&amp;"ER(SEARCH(""CASH DEPOSIT"",$C1171))
    ),
    """",
    IFERROR(TEXTJOIN(CHAR(10),TRUE,FILTER('SUMMARY DATA'!H:H,'SUMMARY DATA'!$D:$D=$C1171,'SUMMARY DATA'!$B:$B=""RWS"",'SUMMARY DATA'!$H:$H=$D1171)),"""")
  )
)"),"")</f>
      </c>
      <c r="I1171" s="18" t="str">
        <f>IFERROR(__xludf.DUMMYFUNCTION("IF(H1171="""","""",
SUM(ARRAYFORMULA(VALUE(SPLIT(H1171,CHAR(10)))))
)"),"")</f>
      </c>
      <c r="J1171" s="17" t="str">
        <f>IFERROR(__xludf.DUMMYFUNCTION("IFERROR(
  TEXTJOIN(CHAR(10),TRUE,FILTER('SUMMARY DATA'!I:I,'SUMMARY DATA'!$A:$A=$A1171,'SUMMARY DATA'!$C:$C=$B1171,'SUMMARY DATA'!$B:$B=""RWS"")),
  IF(
    OR(
      ISNUMBER(SEARCH(""CDM CASH DEPOSIT"",$C1171)),
      ISNUMBER(SEARCH(""CASH DEPOSIT"",$"&amp;"C1171)),
      COUNTIFS('SUMMARY DATA'!$D:$D,$C1171,'SUMMARY DATA'!$B:$B,""RWS"")&lt;&gt;1
    ),
    """",
    IFERROR(TEXTJOIN(CHAR(10),TRUE,FILTER('SUMMARY DATA'!I:I,'SUMMARY DATA'!$D:$D=$C1171,'SUMMARY DATA'!$B:$B=""RWS"")),"""")
  )
)"),"")</f>
      </c>
      <c r="K1171" s="2"/>
      <c r="L1171" s="2"/>
      <c r="M1171" s="2"/>
      <c r="N1171" s="2"/>
      <c r="O1171" s="2"/>
      <c r="P1171" s="2"/>
      <c r="Q1171" s="2"/>
      <c r="R1171" s="2"/>
      <c r="S1171" s="2"/>
      <c r="T1171" s="2"/>
      <c r="U1171" s="2"/>
      <c r="V1171" s="2"/>
      <c r="W1171" s="2"/>
      <c r="X1171" s="2"/>
      <c r="Y1171" s="2"/>
      <c r="Z1171" s="2"/>
      <c r="AA1171" s="2"/>
      <c r="AB1171" s="2"/>
    </row>
    <row r="1172" spans="1:28" customHeight="true">
      <c r="A1172" s="2"/>
      <c r="B1172" s="15">
        <v>45804</v>
      </c>
      <c r="C1172" s="2" t="s">
        <v>1663</v>
      </c>
      <c r="D1172" s="6">
        <v>10</v>
      </c>
      <c r="E1172" s="16" t="str">
        <f>IFERROR(__xludf.DUMMYFUNCTION("IFERROR(
  TEXTJOIN(CHAR(10),TRUE,FILTER('SUMMARY DATA'!E:E,'SUMMARY DATA'!$A:$A=$A273,'SUMMARY DATA'!$C:$C=$B273,'SUMMARY DATA'!$B:$B=""GRP"")),
  IF(
    OR(
      ISNUMBER(SEARCH(""CDM CASH DEPOSIT"",$C273)),
      ISNUMBER(SEARCH(""CASH DEPOSIT"",$C27"&amp;"3)),
      COUNTIFS('SUMMARY DATA'!$D:$D,$C273,'SUMMARY DATA'!$B:$B,""GRP"")&lt;&gt;1
    ),
    """",
    IFERROR(TEXTJOIN(CHAR(10),TRUE,FILTER('SUMMARY DATA'!E:E,'SUMMARY DATA'!$D:$D=$C273,'SUMMARY DATA'!$B:$B=""GRP"")),"""")
  )
)"),"")</f>
      </c>
      <c r="F1172" s="17" t="str">
        <f>IFERROR(__xludf.DUMMYFUNCTION("IFERROR(
  TEXTJOIN(CHAR(10),TRUE,FILTER('SUMMARY DATA'!F:F,'SUMMARY DATA'!$A:$A=$A273,'SUMMARY DATA'!$C:$C=$B273,'SUMMARY DATA'!$B:$B=""GRP"")),
  IF(
    OR(
      ISNUMBER(SEARCH(""CDM CASH DEPOSIT"",$C273)),
      ISNUMBER(SEARCH(""CASH DEPOSIT"",$C27"&amp;"3)),
      COUNTIFS('SUMMARY DATA'!$D:$D,$C273,'SUMMARY DATA'!$B:$B,""GRP"")&lt;&gt;1
    ),
    """",
    IFERROR(TEXTJOIN(CHAR(10),TRUE,FILTER('SUMMARY DATA'!F:F,'SUMMARY DATA'!$D:$D=$C273,'SUMMARY DATA'!$B:$B=""GRP"")),"""")
  )
)"),"")</f>
      </c>
      <c r="G1172" s="17" t="str">
        <f>IFERROR(__xludf.DUMMYFUNCTION("IFERROR(
  TEXTJOIN(CHAR(10),TRUE,FILTER('SUMMARY DATA'!G:G,'SUMMARY DATA'!$A:$A=$A1172,'SUMMARY DATA'!$C:$C=$B1172,'SUMMARY DATA'!$B:$B=""RWS"")),
  IF(
    OR(
      ISNUMBER(SEARCH(""CDM CASH DEPOSIT"",$C1172)),
      ISNUMBER(SEARCH(""CASH DEPOSIT"",$"&amp;"C1172)),
      COUNTIFS('SUMMARY DATA'!$D:$D,$C1172,'SUMMARY DATA'!$B:$B,""RWS"")&lt;&gt;1
    ),
    """",
    IFERROR(TEXTJOIN(CHAR(10),TRUE,FILTER('SUMMARY DATA'!G:G,'SUMMARY DATA'!$D:$D=$C1172,'SUMMARY DATA'!$B:$B=""RWS"")),"""")
  )
)"),"")</f>
      </c>
      <c r="H1172" s="18" t="str">
        <f>IFERROR(__xludf.DUMMYFUNCTION("IFERROR(
  TEXTJOIN(CHAR(10),TRUE,FILTER('SUMMARY DATA'!H:H,'SUMMARY DATA'!$A:$A=$A1172,'SUMMARY DATA'!$C:$C=$B1172,'SUMMARY DATA'!$B:$B=""RWS"",'SUMMARY DATA'!$H:$H=$D1172)),
  IF(
    OR(
      ISNUMBER(SEARCH(""CDM CASH DEPOSIT"",$C1172)),
      ISNUMB"&amp;"ER(SEARCH(""CASH DEPOSIT"",$C1172))
    ),
    """",
    IFERROR(TEXTJOIN(CHAR(10),TRUE,FILTER('SUMMARY DATA'!H:H,'SUMMARY DATA'!$D:$D=$C1172,'SUMMARY DATA'!$B:$B=""RWS"",'SUMMARY DATA'!$H:$H=$D1172)),"""")
  )
)"),"")</f>
      </c>
      <c r="I1172" s="18" t="str">
        <f>IFERROR(__xludf.DUMMYFUNCTION("IF(H1172="""","""",
SUM(ARRAYFORMULA(VALUE(SPLIT(H1172,CHAR(10)))))
)"),"")</f>
      </c>
      <c r="J1172" s="17" t="str">
        <f>IFERROR(__xludf.DUMMYFUNCTION("IFERROR(
  TEXTJOIN(CHAR(10),TRUE,FILTER('SUMMARY DATA'!I:I,'SUMMARY DATA'!$A:$A=$A1172,'SUMMARY DATA'!$C:$C=$B1172,'SUMMARY DATA'!$B:$B=""RWS"")),
  IF(
    OR(
      ISNUMBER(SEARCH(""CDM CASH DEPOSIT"",$C1172)),
      ISNUMBER(SEARCH(""CASH DEPOSIT"",$"&amp;"C1172)),
      COUNTIFS('SUMMARY DATA'!$D:$D,$C1172,'SUMMARY DATA'!$B:$B,""RWS"")&lt;&gt;1
    ),
    """",
    IFERROR(TEXTJOIN(CHAR(10),TRUE,FILTER('SUMMARY DATA'!I:I,'SUMMARY DATA'!$D:$D=$C1172,'SUMMARY DATA'!$B:$B=""RWS"")),"""")
  )
)"),"")</f>
      </c>
      <c r="K1172" s="2"/>
      <c r="L1172" s="2"/>
      <c r="M1172" s="2"/>
      <c r="N1172" s="2"/>
      <c r="O1172" s="2"/>
      <c r="P1172" s="2"/>
      <c r="Q1172" s="2"/>
      <c r="R1172" s="2"/>
      <c r="S1172" s="2"/>
      <c r="T1172" s="2"/>
      <c r="U1172" s="2"/>
      <c r="V1172" s="2"/>
      <c r="W1172" s="2"/>
      <c r="X1172" s="2"/>
      <c r="Y1172" s="2"/>
      <c r="Z1172" s="2"/>
      <c r="AA1172" s="2"/>
      <c r="AB1172" s="2"/>
    </row>
    <row r="1173" spans="1:28" customHeight="true">
      <c r="A1173" s="2" t="s">
        <v>1712</v>
      </c>
      <c r="B1173" s="15">
        <v>45804</v>
      </c>
      <c r="C1173" s="2" t="s">
        <v>1713</v>
      </c>
      <c r="D1173" s="6">
        <v>10</v>
      </c>
      <c r="E1173" s="16" t="str">
        <f>IFERROR(__xludf.DUMMYFUNCTION("IFERROR(
  TEXTJOIN(CHAR(10),TRUE,FILTER('SUMMARY DATA'!E:E,'SUMMARY DATA'!$A:$A=$A274,'SUMMARY DATA'!$C:$C=$B274,'SUMMARY DATA'!$B:$B=""GRP"")),
  IF(
    OR(
      ISNUMBER(SEARCH(""CDM CASH DEPOSIT"",$C274)),
      ISNUMBER(SEARCH(""CASH DEPOSIT"",$C27"&amp;"4)),
      COUNTIFS('SUMMARY DATA'!$D:$D,$C274,'SUMMARY DATA'!$B:$B,""GRP"")&lt;&gt;1
    ),
    """",
    IFERROR(TEXTJOIN(CHAR(10),TRUE,FILTER('SUMMARY DATA'!E:E,'SUMMARY DATA'!$D:$D=$C274,'SUMMARY DATA'!$B:$B=""GRP"")),"""")
  )
)"),"")</f>
      </c>
      <c r="F1173" s="17" t="str">
        <f>IFERROR(__xludf.DUMMYFUNCTION("IFERROR(
  TEXTJOIN(CHAR(10),TRUE,FILTER('SUMMARY DATA'!F:F,'SUMMARY DATA'!$A:$A=$A274,'SUMMARY DATA'!$C:$C=$B274,'SUMMARY DATA'!$B:$B=""GRP"")),
  IF(
    OR(
      ISNUMBER(SEARCH(""CDM CASH DEPOSIT"",$C274)),
      ISNUMBER(SEARCH(""CASH DEPOSIT"",$C27"&amp;"4)),
      COUNTIFS('SUMMARY DATA'!$D:$D,$C274,'SUMMARY DATA'!$B:$B,""GRP"")&lt;&gt;1
    ),
    """",
    IFERROR(TEXTJOIN(CHAR(10),TRUE,FILTER('SUMMARY DATA'!F:F,'SUMMARY DATA'!$D:$D=$C274,'SUMMARY DATA'!$B:$B=""GRP"")),"""")
  )
)"),"")</f>
      </c>
      <c r="G1173" s="17" t="str">
        <f>IFERROR(__xludf.DUMMYFUNCTION("IFERROR(
  TEXTJOIN(CHAR(10),TRUE,FILTER('SUMMARY DATA'!G:G,'SUMMARY DATA'!$A:$A=$A1173,'SUMMARY DATA'!$C:$C=$B1173,'SUMMARY DATA'!$B:$B=""RWS"")),
  IF(
    OR(
      ISNUMBER(SEARCH(""CDM CASH DEPOSIT"",$C1173)),
      ISNUMBER(SEARCH(""CASH DEPOSIT"",$"&amp;"C1173)),
      COUNTIFS('SUMMARY DATA'!$D:$D,$C1173,'SUMMARY DATA'!$B:$B,""RWS"")&lt;&gt;1
    ),
    """",
    IFERROR(TEXTJOIN(CHAR(10),TRUE,FILTER('SUMMARY DATA'!G:G,'SUMMARY DATA'!$D:$D=$C1173,'SUMMARY DATA'!$B:$B=""RWS"")),"""")
  )
)"),"")</f>
      </c>
      <c r="H1173" s="18" t="str">
        <f>IFERROR(__xludf.DUMMYFUNCTION("IFERROR(
  TEXTJOIN(CHAR(10),TRUE,FILTER('SUMMARY DATA'!H:H,'SUMMARY DATA'!$A:$A=$A1173,'SUMMARY DATA'!$C:$C=$B1173,'SUMMARY DATA'!$B:$B=""RWS"",'SUMMARY DATA'!$H:$H=$D1173)),
  IF(
    OR(
      ISNUMBER(SEARCH(""CDM CASH DEPOSIT"",$C1173)),
      ISNUMB"&amp;"ER(SEARCH(""CASH DEPOSIT"",$C1173))
    ),
    """",
    IFERROR(TEXTJOIN(CHAR(10),TRUE,FILTER('SUMMARY DATA'!H:H,'SUMMARY DATA'!$D:$D=$C1173,'SUMMARY DATA'!$B:$B=""RWS"",'SUMMARY DATA'!$H:$H=$D1173)),"""")
  )
)"),"")</f>
      </c>
      <c r="I1173" s="18" t="str">
        <f>IFERROR(__xludf.DUMMYFUNCTION("IF(H1173="""","""",
SUM(ARRAYFORMULA(VALUE(SPLIT(H1173,CHAR(10)))))
)"),"")</f>
      </c>
      <c r="J1173" s="17" t="str">
        <f>IFERROR(__xludf.DUMMYFUNCTION("IFERROR(
  TEXTJOIN(CHAR(10),TRUE,FILTER('SUMMARY DATA'!I:I,'SUMMARY DATA'!$A:$A=$A1173,'SUMMARY DATA'!$C:$C=$B1173,'SUMMARY DATA'!$B:$B=""RWS"")),
  IF(
    OR(
      ISNUMBER(SEARCH(""CDM CASH DEPOSIT"",$C1173)),
      ISNUMBER(SEARCH(""CASH DEPOSIT"",$"&amp;"C1173)),
      COUNTIFS('SUMMARY DATA'!$D:$D,$C1173,'SUMMARY DATA'!$B:$B,""RWS"")&lt;&gt;1
    ),
    """",
    IFERROR(TEXTJOIN(CHAR(10),TRUE,FILTER('SUMMARY DATA'!I:I,'SUMMARY DATA'!$D:$D=$C1173,'SUMMARY DATA'!$B:$B=""RWS"")),"""")
  )
)"),"")</f>
      </c>
      <c r="K1173" s="2"/>
      <c r="L1173" s="2"/>
      <c r="M1173" s="2"/>
      <c r="N1173" s="2"/>
      <c r="O1173" s="2"/>
      <c r="P1173" s="2"/>
      <c r="Q1173" s="2"/>
      <c r="R1173" s="2"/>
      <c r="S1173" s="2"/>
      <c r="T1173" s="2"/>
      <c r="U1173" s="2"/>
      <c r="V1173" s="2"/>
      <c r="W1173" s="2"/>
      <c r="X1173" s="2"/>
      <c r="Y1173" s="2"/>
      <c r="Z1173" s="2"/>
      <c r="AA1173" s="2"/>
      <c r="AB1173" s="2"/>
    </row>
    <row r="1174" spans="1:28" customHeight="true">
      <c r="A1174" s="2"/>
      <c r="B1174" s="15">
        <v>45804</v>
      </c>
      <c r="C1174" s="2" t="s">
        <v>1714</v>
      </c>
      <c r="D1174" s="6">
        <v>4.45</v>
      </c>
      <c r="E1174" s="16" t="str">
        <f>IFERROR(__xludf.DUMMYFUNCTION("IFERROR(
  TEXTJOIN(CHAR(10),TRUE,FILTER('SUMMARY DATA'!E:E,'SUMMARY DATA'!$A:$A=$A275,'SUMMARY DATA'!$C:$C=$B275,'SUMMARY DATA'!$B:$B=""GRP"")),
  IF(
    OR(
      ISNUMBER(SEARCH(""CDM CASH DEPOSIT"",$C275)),
      ISNUMBER(SEARCH(""CASH DEPOSIT"",$C27"&amp;"5)),
      COUNTIFS('SUMMARY DATA'!$D:$D,$C275,'SUMMARY DATA'!$B:$B,""GRP"")&lt;&gt;1
    ),
    """",
    IFERROR(TEXTJOIN(CHAR(10),TRUE,FILTER('SUMMARY DATA'!E:E,'SUMMARY DATA'!$D:$D=$C275,'SUMMARY DATA'!$B:$B=""GRP"")),"""")
  )
)"),"")</f>
      </c>
      <c r="F1174" s="17" t="str">
        <f>IFERROR(__xludf.DUMMYFUNCTION("IFERROR(
  TEXTJOIN(CHAR(10),TRUE,FILTER('SUMMARY DATA'!F:F,'SUMMARY DATA'!$A:$A=$A275,'SUMMARY DATA'!$C:$C=$B275,'SUMMARY DATA'!$B:$B=""GRP"")),
  IF(
    OR(
      ISNUMBER(SEARCH(""CDM CASH DEPOSIT"",$C275)),
      ISNUMBER(SEARCH(""CASH DEPOSIT"",$C27"&amp;"5)),
      COUNTIFS('SUMMARY DATA'!$D:$D,$C275,'SUMMARY DATA'!$B:$B,""GRP"")&lt;&gt;1
    ),
    """",
    IFERROR(TEXTJOIN(CHAR(10),TRUE,FILTER('SUMMARY DATA'!F:F,'SUMMARY DATA'!$D:$D=$C275,'SUMMARY DATA'!$B:$B=""GRP"")),"""")
  )
)"),"")</f>
      </c>
      <c r="G1174" s="17" t="str">
        <f>IFERROR(__xludf.DUMMYFUNCTION("IFERROR(
  TEXTJOIN(CHAR(10),TRUE,FILTER('SUMMARY DATA'!G:G,'SUMMARY DATA'!$A:$A=$A1174,'SUMMARY DATA'!$C:$C=$B1174,'SUMMARY DATA'!$B:$B=""RWS"")),
  IF(
    OR(
      ISNUMBER(SEARCH(""CDM CASH DEPOSIT"",$C1174)),
      ISNUMBER(SEARCH(""CASH DEPOSIT"",$"&amp;"C1174)),
      COUNTIFS('SUMMARY DATA'!$D:$D,$C1174,'SUMMARY DATA'!$B:$B,""RWS"")&lt;&gt;1
    ),
    """",
    IFERROR(TEXTJOIN(CHAR(10),TRUE,FILTER('SUMMARY DATA'!G:G,'SUMMARY DATA'!$D:$D=$C1174,'SUMMARY DATA'!$B:$B=""RWS"")),"""")
  )
)"),"")</f>
      </c>
      <c r="H1174" s="18" t="str">
        <f>IFERROR(__xludf.DUMMYFUNCTION("IFERROR(
  TEXTJOIN(CHAR(10),TRUE,FILTER('SUMMARY DATA'!H:H,'SUMMARY DATA'!$A:$A=$A1174,'SUMMARY DATA'!$C:$C=$B1174,'SUMMARY DATA'!$B:$B=""RWS"",'SUMMARY DATA'!$H:$H=$D1174)),
  IF(
    OR(
      ISNUMBER(SEARCH(""CDM CASH DEPOSIT"",$C1174)),
      ISNUMB"&amp;"ER(SEARCH(""CASH DEPOSIT"",$C1174))
    ),
    """",
    IFERROR(TEXTJOIN(CHAR(10),TRUE,FILTER('SUMMARY DATA'!H:H,'SUMMARY DATA'!$D:$D=$C1174,'SUMMARY DATA'!$B:$B=""RWS"",'SUMMARY DATA'!$H:$H=$D1174)),"""")
  )
)"),"")</f>
      </c>
      <c r="I1174" s="18" t="str">
        <f>IFERROR(__xludf.DUMMYFUNCTION("IF(H1174="""","""",
SUM(ARRAYFORMULA(VALUE(SPLIT(H1174,CHAR(10)))))
)"),"")</f>
      </c>
      <c r="J1174" s="17" t="str">
        <f>IFERROR(__xludf.DUMMYFUNCTION("IFERROR(
  TEXTJOIN(CHAR(10),TRUE,FILTER('SUMMARY DATA'!I:I,'SUMMARY DATA'!$A:$A=$A1174,'SUMMARY DATA'!$C:$C=$B1174,'SUMMARY DATA'!$B:$B=""RWS"")),
  IF(
    OR(
      ISNUMBER(SEARCH(""CDM CASH DEPOSIT"",$C1174)),
      ISNUMBER(SEARCH(""CASH DEPOSIT"",$"&amp;"C1174)),
      COUNTIFS('SUMMARY DATA'!$D:$D,$C1174,'SUMMARY DATA'!$B:$B,""RWS"")&lt;&gt;1
    ),
    """",
    IFERROR(TEXTJOIN(CHAR(10),TRUE,FILTER('SUMMARY DATA'!I:I,'SUMMARY DATA'!$D:$D=$C1174,'SUMMARY DATA'!$B:$B=""RWS"")),"""")
  )
)"),"")</f>
      </c>
      <c r="K1174" s="2"/>
      <c r="L1174" s="2"/>
      <c r="M1174" s="2"/>
      <c r="N1174" s="2"/>
      <c r="O1174" s="2"/>
      <c r="P1174" s="2"/>
      <c r="Q1174" s="2"/>
      <c r="R1174" s="2"/>
      <c r="S1174" s="2"/>
      <c r="T1174" s="2"/>
      <c r="U1174" s="2"/>
      <c r="V1174" s="2"/>
      <c r="W1174" s="2"/>
      <c r="X1174" s="2"/>
      <c r="Y1174" s="2"/>
      <c r="Z1174" s="2"/>
      <c r="AA1174" s="2"/>
      <c r="AB1174" s="2"/>
    </row>
    <row r="1175" spans="1:28" customHeight="true">
      <c r="A1175" s="2"/>
      <c r="B1175" s="15">
        <v>45805</v>
      </c>
      <c r="C1175" s="2" t="s">
        <v>1715</v>
      </c>
      <c r="D1175" s="6">
        <v>333.9</v>
      </c>
      <c r="E1175" s="16" t="str">
        <f>IFERROR(__xludf.DUMMYFUNCTION("IFERROR(
  TEXTJOIN(CHAR(10),TRUE,FILTER('SUMMARY DATA'!E:E,'SUMMARY DATA'!$A:$A=$A276,'SUMMARY DATA'!$C:$C=$B276,'SUMMARY DATA'!$B:$B=""GRP"")),
  IF(
    OR(
      ISNUMBER(SEARCH(""CDM CASH DEPOSIT"",$C276)),
      ISNUMBER(SEARCH(""CASH DEPOSIT"",$C27"&amp;"6)),
      COUNTIFS('SUMMARY DATA'!$D:$D,$C276,'SUMMARY DATA'!$B:$B,""GRP"")&lt;&gt;1
    ),
    """",
    IFERROR(TEXTJOIN(CHAR(10),TRUE,FILTER('SUMMARY DATA'!E:E,'SUMMARY DATA'!$D:$D=$C276,'SUMMARY DATA'!$B:$B=""GRP"")),"""")
  )
)"),"")</f>
      </c>
      <c r="F1175" s="17" t="str">
        <f>IFERROR(__xludf.DUMMYFUNCTION("IFERROR(
  TEXTJOIN(CHAR(10),TRUE,FILTER('SUMMARY DATA'!F:F,'SUMMARY DATA'!$A:$A=$A276,'SUMMARY DATA'!$C:$C=$B276,'SUMMARY DATA'!$B:$B=""GRP"")),
  IF(
    OR(
      ISNUMBER(SEARCH(""CDM CASH DEPOSIT"",$C276)),
      ISNUMBER(SEARCH(""CASH DEPOSIT"",$C27"&amp;"6)),
      COUNTIFS('SUMMARY DATA'!$D:$D,$C276,'SUMMARY DATA'!$B:$B,""GRP"")&lt;&gt;1
    ),
    """",
    IFERROR(TEXTJOIN(CHAR(10),TRUE,FILTER('SUMMARY DATA'!F:F,'SUMMARY DATA'!$D:$D=$C276,'SUMMARY DATA'!$B:$B=""GRP"")),"""")
  )
)"),"")</f>
      </c>
      <c r="G1175" s="17" t="str">
        <f>IFERROR(__xludf.DUMMYFUNCTION("IFERROR(
  TEXTJOIN(CHAR(10),TRUE,FILTER('SUMMARY DATA'!G:G,'SUMMARY DATA'!$A:$A=$A1175,'SUMMARY DATA'!$C:$C=$B1175,'SUMMARY DATA'!$B:$B=""RWS"")),
  IF(
    OR(
      ISNUMBER(SEARCH(""CDM CASH DEPOSIT"",$C1175)),
      ISNUMBER(SEARCH(""CASH DEPOSIT"",$"&amp;"C1175)),
      COUNTIFS('SUMMARY DATA'!$D:$D,$C1175,'SUMMARY DATA'!$B:$B,""RWS"")&lt;&gt;1
    ),
    """",
    IFERROR(TEXTJOIN(CHAR(10),TRUE,FILTER('SUMMARY DATA'!G:G,'SUMMARY DATA'!$D:$D=$C1175,'SUMMARY DATA'!$B:$B=""RWS"")),"""")
  )
)"),"")</f>
      </c>
      <c r="H1175" s="18" t="str">
        <f>IFERROR(__xludf.DUMMYFUNCTION("IFERROR(
  TEXTJOIN(CHAR(10),TRUE,FILTER('SUMMARY DATA'!H:H,'SUMMARY DATA'!$A:$A=$A1175,'SUMMARY DATA'!$C:$C=$B1175,'SUMMARY DATA'!$B:$B=""RWS"",'SUMMARY DATA'!$H:$H=$D1175)),
  IF(
    OR(
      ISNUMBER(SEARCH(""CDM CASH DEPOSIT"",$C1175)),
      ISNUMB"&amp;"ER(SEARCH(""CASH DEPOSIT"",$C1175))
    ),
    """",
    IFERROR(TEXTJOIN(CHAR(10),TRUE,FILTER('SUMMARY DATA'!H:H,'SUMMARY DATA'!$D:$D=$C1175,'SUMMARY DATA'!$B:$B=""RWS"",'SUMMARY DATA'!$H:$H=$D1175)),"""")
  )
)"),"")</f>
      </c>
      <c r="I1175" s="18" t="str">
        <f>IFERROR(__xludf.DUMMYFUNCTION("IF(H1175="""","""",
SUM(ARRAYFORMULA(VALUE(SPLIT(H1175,CHAR(10)))))
)"),"")</f>
      </c>
      <c r="J1175" s="17" t="str">
        <f>IFERROR(__xludf.DUMMYFUNCTION("IFERROR(
  TEXTJOIN(CHAR(10),TRUE,FILTER('SUMMARY DATA'!I:I,'SUMMARY DATA'!$A:$A=$A1175,'SUMMARY DATA'!$C:$C=$B1175,'SUMMARY DATA'!$B:$B=""RWS"")),
  IF(
    OR(
      ISNUMBER(SEARCH(""CDM CASH DEPOSIT"",$C1175)),
      ISNUMBER(SEARCH(""CASH DEPOSIT"",$"&amp;"C1175)),
      COUNTIFS('SUMMARY DATA'!$D:$D,$C1175,'SUMMARY DATA'!$B:$B,""RWS"")&lt;&gt;1
    ),
    """",
    IFERROR(TEXTJOIN(CHAR(10),TRUE,FILTER('SUMMARY DATA'!I:I,'SUMMARY DATA'!$D:$D=$C1175,'SUMMARY DATA'!$B:$B=""RWS"")),"""")
  )
)"),"")</f>
      </c>
      <c r="K1175" s="2"/>
      <c r="L1175" s="2"/>
      <c r="M1175" s="2"/>
      <c r="N1175" s="2"/>
      <c r="O1175" s="2"/>
      <c r="P1175" s="2"/>
      <c r="Q1175" s="2"/>
      <c r="R1175" s="2"/>
      <c r="S1175" s="2"/>
      <c r="T1175" s="2"/>
      <c r="U1175" s="2"/>
      <c r="V1175" s="2"/>
      <c r="W1175" s="2"/>
      <c r="X1175" s="2"/>
      <c r="Y1175" s="2"/>
      <c r="Z1175" s="2"/>
      <c r="AA1175" s="2"/>
      <c r="AB1175" s="2"/>
    </row>
    <row r="1176" spans="1:28" customHeight="true">
      <c r="A1176" s="2"/>
      <c r="B1176" s="15">
        <v>45805</v>
      </c>
      <c r="C1176" s="2" t="s">
        <v>1716</v>
      </c>
      <c r="D1176" s="6">
        <v>236.82</v>
      </c>
      <c r="E1176" s="16" t="str">
        <f>IFERROR(__xludf.DUMMYFUNCTION("IFERROR(
  TEXTJOIN(CHAR(10),TRUE,FILTER('SUMMARY DATA'!E:E,'SUMMARY DATA'!$A:$A=$A277,'SUMMARY DATA'!$C:$C=$B277,'SUMMARY DATA'!$B:$B=""GRP"")),
  IF(
    OR(
      ISNUMBER(SEARCH(""CDM CASH DEPOSIT"",$C277)),
      ISNUMBER(SEARCH(""CASH DEPOSIT"",$C27"&amp;"7)),
      COUNTIFS('SUMMARY DATA'!$D:$D,$C277,'SUMMARY DATA'!$B:$B,""GRP"")&lt;&gt;1
    ),
    """",
    IFERROR(TEXTJOIN(CHAR(10),TRUE,FILTER('SUMMARY DATA'!E:E,'SUMMARY DATA'!$D:$D=$C277,'SUMMARY DATA'!$B:$B=""GRP"")),"""")
  )
)"),"")</f>
      </c>
      <c r="F1176" s="17" t="str">
        <f>IFERROR(__xludf.DUMMYFUNCTION("IFERROR(
  TEXTJOIN(CHAR(10),TRUE,FILTER('SUMMARY DATA'!F:F,'SUMMARY DATA'!$A:$A=$A277,'SUMMARY DATA'!$C:$C=$B277,'SUMMARY DATA'!$B:$B=""GRP"")),
  IF(
    OR(
      ISNUMBER(SEARCH(""CDM CASH DEPOSIT"",$C277)),
      ISNUMBER(SEARCH(""CASH DEPOSIT"",$C27"&amp;"7)),
      COUNTIFS('SUMMARY DATA'!$D:$D,$C277,'SUMMARY DATA'!$B:$B,""GRP"")&lt;&gt;1
    ),
    """",
    IFERROR(TEXTJOIN(CHAR(10),TRUE,FILTER('SUMMARY DATA'!F:F,'SUMMARY DATA'!$D:$D=$C277,'SUMMARY DATA'!$B:$B=""GRP"")),"""")
  )
)"),"")</f>
      </c>
      <c r="G1176" s="17" t="str">
        <f>IFERROR(__xludf.DUMMYFUNCTION("IFERROR(
  TEXTJOIN(CHAR(10),TRUE,FILTER('SUMMARY DATA'!G:G,'SUMMARY DATA'!$A:$A=$A1176,'SUMMARY DATA'!$C:$C=$B1176,'SUMMARY DATA'!$B:$B=""RWS"")),
  IF(
    OR(
      ISNUMBER(SEARCH(""CDM CASH DEPOSIT"",$C1176)),
      ISNUMBER(SEARCH(""CASH DEPOSIT"",$"&amp;"C1176)),
      COUNTIFS('SUMMARY DATA'!$D:$D,$C1176,'SUMMARY DATA'!$B:$B,""RWS"")&lt;&gt;1
    ),
    """",
    IFERROR(TEXTJOIN(CHAR(10),TRUE,FILTER('SUMMARY DATA'!G:G,'SUMMARY DATA'!$D:$D=$C1176,'SUMMARY DATA'!$B:$B=""RWS"")),"""")
  )
)"),"")</f>
      </c>
      <c r="H1176" s="18" t="str">
        <f>IFERROR(__xludf.DUMMYFUNCTION("IFERROR(
  TEXTJOIN(CHAR(10),TRUE,FILTER('SUMMARY DATA'!H:H,'SUMMARY DATA'!$A:$A=$A1176,'SUMMARY DATA'!$C:$C=$B1176,'SUMMARY DATA'!$B:$B=""RWS"",'SUMMARY DATA'!$H:$H=$D1176)),
  IF(
    OR(
      ISNUMBER(SEARCH(""CDM CASH DEPOSIT"",$C1176)),
      ISNUMB"&amp;"ER(SEARCH(""CASH DEPOSIT"",$C1176))
    ),
    """",
    IFERROR(TEXTJOIN(CHAR(10),TRUE,FILTER('SUMMARY DATA'!H:H,'SUMMARY DATA'!$D:$D=$C1176,'SUMMARY DATA'!$B:$B=""RWS"",'SUMMARY DATA'!$H:$H=$D1176)),"""")
  )
)"),"")</f>
      </c>
      <c r="I1176" s="18" t="str">
        <f>IFERROR(__xludf.DUMMYFUNCTION("IF(H1176="""","""",
SUM(ARRAYFORMULA(VALUE(SPLIT(H1176,CHAR(10)))))
)"),"")</f>
      </c>
      <c r="J1176" s="17" t="str">
        <f>IFERROR(__xludf.DUMMYFUNCTION("IFERROR(
  TEXTJOIN(CHAR(10),TRUE,FILTER('SUMMARY DATA'!I:I,'SUMMARY DATA'!$A:$A=$A1176,'SUMMARY DATA'!$C:$C=$B1176,'SUMMARY DATA'!$B:$B=""RWS"")),
  IF(
    OR(
      ISNUMBER(SEARCH(""CDM CASH DEPOSIT"",$C1176)),
      ISNUMBER(SEARCH(""CASH DEPOSIT"",$"&amp;"C1176)),
      COUNTIFS('SUMMARY DATA'!$D:$D,$C1176,'SUMMARY DATA'!$B:$B,""RWS"")&lt;&gt;1
    ),
    """",
    IFERROR(TEXTJOIN(CHAR(10),TRUE,FILTER('SUMMARY DATA'!I:I,'SUMMARY DATA'!$D:$D=$C1176,'SUMMARY DATA'!$B:$B=""RWS"")),"""")
  )
)"),"")</f>
      </c>
      <c r="K1176" s="2"/>
      <c r="L1176" s="2"/>
      <c r="M1176" s="2"/>
      <c r="N1176" s="2"/>
      <c r="O1176" s="2"/>
      <c r="P1176" s="2"/>
      <c r="Q1176" s="2"/>
      <c r="R1176" s="2"/>
      <c r="S1176" s="2"/>
      <c r="T1176" s="2"/>
      <c r="U1176" s="2"/>
      <c r="V1176" s="2"/>
      <c r="W1176" s="2"/>
      <c r="X1176" s="2"/>
      <c r="Y1176" s="2"/>
      <c r="Z1176" s="2"/>
      <c r="AA1176" s="2"/>
      <c r="AB1176" s="2"/>
    </row>
    <row r="1177" spans="1:28" customHeight="true">
      <c r="A1177" s="2" t="s">
        <v>1717</v>
      </c>
      <c r="B1177" s="15">
        <v>45805</v>
      </c>
      <c r="C1177" s="2" t="s">
        <v>1718</v>
      </c>
      <c r="D1177" s="6">
        <v>207.58</v>
      </c>
      <c r="E1177" s="16" t="s">
        <v>2411</v>
      </c>
      <c r="F1177" s="17" t="s">
        <v>2718</v>
      </c>
      <c r="G1177" s="17" t="s">
        <v>2393</v>
      </c>
      <c r="H1177" s="18">
        <v>207.58</v>
      </c>
      <c r="I1177" s="18">
        <v>207.58</v>
      </c>
      <c r="J1177" s="17" t="s">
        <v>2394</v>
      </c>
      <c r="K1177" s="2" t="s">
        <v>2719</v>
      </c>
      <c r="L1177" s="2"/>
      <c r="M1177" s="2"/>
      <c r="N1177" s="2"/>
      <c r="O1177" s="2"/>
      <c r="P1177" s="2"/>
      <c r="Q1177" s="2"/>
      <c r="R1177" s="2"/>
      <c r="S1177" s="2"/>
      <c r="T1177" s="2"/>
      <c r="U1177" s="2"/>
      <c r="V1177" s="2"/>
      <c r="W1177" s="2"/>
      <c r="X1177" s="2"/>
      <c r="Y1177" s="2"/>
      <c r="Z1177" s="2"/>
      <c r="AA1177" s="2"/>
      <c r="AB1177" s="2"/>
    </row>
    <row r="1178" spans="1:28" customHeight="true">
      <c r="A1178" s="2" t="s">
        <v>1719</v>
      </c>
      <c r="B1178" s="15">
        <v>45805</v>
      </c>
      <c r="C1178" s="2" t="s">
        <v>1720</v>
      </c>
      <c r="D1178" s="6">
        <v>10</v>
      </c>
      <c r="E1178" s="16" t="str">
        <f>IFERROR(__xludf.DUMMYFUNCTION("IFERROR(
  TEXTJOIN(CHAR(10),TRUE,FILTER('SUMMARY DATA'!E:E,'SUMMARY DATA'!$A:$A=$A279,'SUMMARY DATA'!$C:$C=$B279,'SUMMARY DATA'!$B:$B=""GRP"")),
  IF(
    OR(
      ISNUMBER(SEARCH(""CDM CASH DEPOSIT"",$C279)),
      ISNUMBER(SEARCH(""CASH DEPOSIT"",$C27"&amp;"9)),
      COUNTIFS('SUMMARY DATA'!$D:$D,$C279,'SUMMARY DATA'!$B:$B,""GRP"")&lt;&gt;1
    ),
    """",
    IFERROR(TEXTJOIN(CHAR(10),TRUE,FILTER('SUMMARY DATA'!E:E,'SUMMARY DATA'!$D:$D=$C279,'SUMMARY DATA'!$B:$B=""GRP"")),"""")
  )
)"),"")</f>
      </c>
      <c r="F1178" s="17" t="str">
        <f>IFERROR(__xludf.DUMMYFUNCTION("IFERROR(
  TEXTJOIN(CHAR(10),TRUE,FILTER('SUMMARY DATA'!F:F,'SUMMARY DATA'!$A:$A=$A279,'SUMMARY DATA'!$C:$C=$B279,'SUMMARY DATA'!$B:$B=""GRP"")),
  IF(
    OR(
      ISNUMBER(SEARCH(""CDM CASH DEPOSIT"",$C279)),
      ISNUMBER(SEARCH(""CASH DEPOSIT"",$C27"&amp;"9)),
      COUNTIFS('SUMMARY DATA'!$D:$D,$C279,'SUMMARY DATA'!$B:$B,""GRP"")&lt;&gt;1
    ),
    """",
    IFERROR(TEXTJOIN(CHAR(10),TRUE,FILTER('SUMMARY DATA'!F:F,'SUMMARY DATA'!$D:$D=$C279,'SUMMARY DATA'!$B:$B=""GRP"")),"""")
  )
)"),"")</f>
      </c>
      <c r="G1178" s="17" t="str">
        <f>IFERROR(__xludf.DUMMYFUNCTION("IFERROR(
  TEXTJOIN(CHAR(10),TRUE,FILTER('SUMMARY DATA'!G:G,'SUMMARY DATA'!$A:$A=$A1178,'SUMMARY DATA'!$C:$C=$B1178,'SUMMARY DATA'!$B:$B=""RWS"")),
  IF(
    OR(
      ISNUMBER(SEARCH(""CDM CASH DEPOSIT"",$C1178)),
      ISNUMBER(SEARCH(""CASH DEPOSIT"",$"&amp;"C1178)),
      COUNTIFS('SUMMARY DATA'!$D:$D,$C1178,'SUMMARY DATA'!$B:$B,""RWS"")&lt;&gt;1
    ),
    """",
    IFERROR(TEXTJOIN(CHAR(10),TRUE,FILTER('SUMMARY DATA'!G:G,'SUMMARY DATA'!$D:$D=$C1178,'SUMMARY DATA'!$B:$B=""RWS"")),"""")
  )
)"),"")</f>
      </c>
      <c r="H1178" s="18" t="str">
        <f>IFERROR(__xludf.DUMMYFUNCTION("IFERROR(
  TEXTJOIN(CHAR(10),TRUE,FILTER('SUMMARY DATA'!H:H,'SUMMARY DATA'!$A:$A=$A1178,'SUMMARY DATA'!$C:$C=$B1178,'SUMMARY DATA'!$B:$B=""RWS"",'SUMMARY DATA'!$H:$H=$D1178)),
  IF(
    OR(
      ISNUMBER(SEARCH(""CDM CASH DEPOSIT"",$C1178)),
      ISNUMB"&amp;"ER(SEARCH(""CASH DEPOSIT"",$C1178))
    ),
    """",
    IFERROR(TEXTJOIN(CHAR(10),TRUE,FILTER('SUMMARY DATA'!H:H,'SUMMARY DATA'!$D:$D=$C1178,'SUMMARY DATA'!$B:$B=""RWS"",'SUMMARY DATA'!$H:$H=$D1178)),"""")
  )
)"),"")</f>
      </c>
      <c r="I1178" s="18" t="str">
        <f>IFERROR(__xludf.DUMMYFUNCTION("IF(H1178="""","""",
SUM(ARRAYFORMULA(VALUE(SPLIT(H1178,CHAR(10)))))
)"),"")</f>
      </c>
      <c r="J1178" s="17" t="str">
        <f>IFERROR(__xludf.DUMMYFUNCTION("IFERROR(
  TEXTJOIN(CHAR(10),TRUE,FILTER('SUMMARY DATA'!I:I,'SUMMARY DATA'!$A:$A=$A1178,'SUMMARY DATA'!$C:$C=$B1178,'SUMMARY DATA'!$B:$B=""RWS"")),
  IF(
    OR(
      ISNUMBER(SEARCH(""CDM CASH DEPOSIT"",$C1178)),
      ISNUMBER(SEARCH(""CASH DEPOSIT"",$"&amp;"C1178)),
      COUNTIFS('SUMMARY DATA'!$D:$D,$C1178,'SUMMARY DATA'!$B:$B,""RWS"")&lt;&gt;1
    ),
    """",
    IFERROR(TEXTJOIN(CHAR(10),TRUE,FILTER('SUMMARY DATA'!I:I,'SUMMARY DATA'!$D:$D=$C1178,'SUMMARY DATA'!$B:$B=""RWS"")),"""")
  )
)"),"")</f>
      </c>
      <c r="K1178" s="2"/>
      <c r="L1178" s="2"/>
      <c r="M1178" s="2"/>
      <c r="N1178" s="2"/>
      <c r="O1178" s="2"/>
      <c r="P1178" s="2"/>
      <c r="Q1178" s="2"/>
      <c r="R1178" s="2"/>
      <c r="S1178" s="2"/>
      <c r="T1178" s="2"/>
      <c r="U1178" s="2"/>
      <c r="V1178" s="2"/>
      <c r="W1178" s="2"/>
      <c r="X1178" s="2"/>
      <c r="Y1178" s="2"/>
      <c r="Z1178" s="2"/>
      <c r="AA1178" s="2"/>
      <c r="AB1178" s="2"/>
    </row>
    <row r="1179" spans="1:28" customHeight="true">
      <c r="A1179" s="2"/>
      <c r="B1179" s="15">
        <v>45805</v>
      </c>
      <c r="C1179" s="2" t="s">
        <v>1721</v>
      </c>
      <c r="D1179" s="6">
        <v>10</v>
      </c>
      <c r="E1179" s="16" t="str">
        <f>IFERROR(__xludf.DUMMYFUNCTION("IFERROR(
  TEXTJOIN(CHAR(10),TRUE,FILTER('SUMMARY DATA'!E:E,'SUMMARY DATA'!$A:$A=$A280,'SUMMARY DATA'!$C:$C=$B280,'SUMMARY DATA'!$B:$B=""GRP"")),
  IF(
    OR(
      ISNUMBER(SEARCH(""CDM CASH DEPOSIT"",$C280)),
      ISNUMBER(SEARCH(""CASH DEPOSIT"",$C28"&amp;"0)),
      COUNTIFS('SUMMARY DATA'!$D:$D,$C280,'SUMMARY DATA'!$B:$B,""GRP"")&lt;&gt;1
    ),
    """",
    IFERROR(TEXTJOIN(CHAR(10),TRUE,FILTER('SUMMARY DATA'!E:E,'SUMMARY DATA'!$D:$D=$C280,'SUMMARY DATA'!$B:$B=""GRP"")),"""")
  )
)"),"")</f>
      </c>
      <c r="F1179" s="17" t="str">
        <f>IFERROR(__xludf.DUMMYFUNCTION("IFERROR(
  TEXTJOIN(CHAR(10),TRUE,FILTER('SUMMARY DATA'!F:F,'SUMMARY DATA'!$A:$A=$A280,'SUMMARY DATA'!$C:$C=$B280,'SUMMARY DATA'!$B:$B=""GRP"")),
  IF(
    OR(
      ISNUMBER(SEARCH(""CDM CASH DEPOSIT"",$C280)),
      ISNUMBER(SEARCH(""CASH DEPOSIT"",$C28"&amp;"0)),
      COUNTIFS('SUMMARY DATA'!$D:$D,$C280,'SUMMARY DATA'!$B:$B,""GRP"")&lt;&gt;1
    ),
    """",
    IFERROR(TEXTJOIN(CHAR(10),TRUE,FILTER('SUMMARY DATA'!F:F,'SUMMARY DATA'!$D:$D=$C280,'SUMMARY DATA'!$B:$B=""GRP"")),"""")
  )
)"),"")</f>
      </c>
      <c r="G1179" s="17" t="str">
        <f>IFERROR(__xludf.DUMMYFUNCTION("IFERROR(
  TEXTJOIN(CHAR(10),TRUE,FILTER('SUMMARY DATA'!G:G,'SUMMARY DATA'!$A:$A=$A1179,'SUMMARY DATA'!$C:$C=$B1179,'SUMMARY DATA'!$B:$B=""RWS"")),
  IF(
    OR(
      ISNUMBER(SEARCH(""CDM CASH DEPOSIT"",$C1179)),
      ISNUMBER(SEARCH(""CASH DEPOSIT"",$"&amp;"C1179)),
      COUNTIFS('SUMMARY DATA'!$D:$D,$C1179,'SUMMARY DATA'!$B:$B,""RWS"")&lt;&gt;1
    ),
    """",
    IFERROR(TEXTJOIN(CHAR(10),TRUE,FILTER('SUMMARY DATA'!G:G,'SUMMARY DATA'!$D:$D=$C1179,'SUMMARY DATA'!$B:$B=""RWS"")),"""")
  )
)"),"")</f>
      </c>
      <c r="H1179" s="18" t="str">
        <f>IFERROR(__xludf.DUMMYFUNCTION("IFERROR(
  TEXTJOIN(CHAR(10),TRUE,FILTER('SUMMARY DATA'!H:H,'SUMMARY DATA'!$A:$A=$A1179,'SUMMARY DATA'!$C:$C=$B1179,'SUMMARY DATA'!$B:$B=""RWS"",'SUMMARY DATA'!$H:$H=$D1179)),
  IF(
    OR(
      ISNUMBER(SEARCH(""CDM CASH DEPOSIT"",$C1179)),
      ISNUMB"&amp;"ER(SEARCH(""CASH DEPOSIT"",$C1179))
    ),
    """",
    IFERROR(TEXTJOIN(CHAR(10),TRUE,FILTER('SUMMARY DATA'!H:H,'SUMMARY DATA'!$D:$D=$C1179,'SUMMARY DATA'!$B:$B=""RWS"",'SUMMARY DATA'!$H:$H=$D1179)),"""")
  )
)"),"")</f>
      </c>
      <c r="I1179" s="18" t="str">
        <f>IFERROR(__xludf.DUMMYFUNCTION("IF(H1179="""","""",
SUM(ARRAYFORMULA(VALUE(SPLIT(H1179,CHAR(10)))))
)"),"")</f>
      </c>
      <c r="J1179" s="17" t="str">
        <f>IFERROR(__xludf.DUMMYFUNCTION("IFERROR(
  TEXTJOIN(CHAR(10),TRUE,FILTER('SUMMARY DATA'!I:I,'SUMMARY DATA'!$A:$A=$A1179,'SUMMARY DATA'!$C:$C=$B1179,'SUMMARY DATA'!$B:$B=""RWS"")),
  IF(
    OR(
      ISNUMBER(SEARCH(""CDM CASH DEPOSIT"",$C1179)),
      ISNUMBER(SEARCH(""CASH DEPOSIT"",$"&amp;"C1179)),
      COUNTIFS('SUMMARY DATA'!$D:$D,$C1179,'SUMMARY DATA'!$B:$B,""RWS"")&lt;&gt;1
    ),
    """",
    IFERROR(TEXTJOIN(CHAR(10),TRUE,FILTER('SUMMARY DATA'!I:I,'SUMMARY DATA'!$D:$D=$C1179,'SUMMARY DATA'!$B:$B=""RWS"")),"""")
  )
)"),"")</f>
      </c>
      <c r="K1179" s="2"/>
      <c r="L1179" s="2"/>
      <c r="M1179" s="2"/>
      <c r="N1179" s="2"/>
      <c r="O1179" s="2"/>
      <c r="P1179" s="2"/>
      <c r="Q1179" s="2"/>
      <c r="R1179" s="2"/>
      <c r="S1179" s="2"/>
      <c r="T1179" s="2"/>
      <c r="U1179" s="2"/>
      <c r="V1179" s="2"/>
      <c r="W1179" s="2"/>
      <c r="X1179" s="2"/>
      <c r="Y1179" s="2"/>
      <c r="Z1179" s="2"/>
      <c r="AA1179" s="2"/>
      <c r="AB1179" s="2"/>
    </row>
    <row r="1180" spans="1:28" customHeight="true">
      <c r="A1180" s="2"/>
      <c r="B1180" s="15">
        <v>45806</v>
      </c>
      <c r="C1180" s="2" t="s">
        <v>1722</v>
      </c>
      <c r="D1180" s="6">
        <v>49</v>
      </c>
      <c r="E1180" s="16" t="str">
        <f>IFERROR(__xludf.DUMMYFUNCTION("IFERROR(
  TEXTJOIN(CHAR(10),TRUE,FILTER('SUMMARY DATA'!E:E,'SUMMARY DATA'!$A:$A=$A281,'SUMMARY DATA'!$C:$C=$B281,'SUMMARY DATA'!$B:$B=""GRP"")),
  IF(
    OR(
      ISNUMBER(SEARCH(""CDM CASH DEPOSIT"",$C281)),
      ISNUMBER(SEARCH(""CASH DEPOSIT"",$C28"&amp;"1)),
      COUNTIFS('SUMMARY DATA'!$D:$D,$C281,'SUMMARY DATA'!$B:$B,""GRP"")&lt;&gt;1
    ),
    """",
    IFERROR(TEXTJOIN(CHAR(10),TRUE,FILTER('SUMMARY DATA'!E:E,'SUMMARY DATA'!$D:$D=$C281,'SUMMARY DATA'!$B:$B=""GRP"")),"""")
  )
)"),"")</f>
      </c>
      <c r="F1180" s="17" t="str">
        <f>IFERROR(__xludf.DUMMYFUNCTION("IFERROR(
  TEXTJOIN(CHAR(10),TRUE,FILTER('SUMMARY DATA'!F:F,'SUMMARY DATA'!$A:$A=$A281,'SUMMARY DATA'!$C:$C=$B281,'SUMMARY DATA'!$B:$B=""GRP"")),
  IF(
    OR(
      ISNUMBER(SEARCH(""CDM CASH DEPOSIT"",$C281)),
      ISNUMBER(SEARCH(""CASH DEPOSIT"",$C28"&amp;"1)),
      COUNTIFS('SUMMARY DATA'!$D:$D,$C281,'SUMMARY DATA'!$B:$B,""GRP"")&lt;&gt;1
    ),
    """",
    IFERROR(TEXTJOIN(CHAR(10),TRUE,FILTER('SUMMARY DATA'!F:F,'SUMMARY DATA'!$D:$D=$C281,'SUMMARY DATA'!$B:$B=""GRP"")),"""")
  )
)"),"")</f>
      </c>
      <c r="G1180" s="17" t="str">
        <f>IFERROR(__xludf.DUMMYFUNCTION("IFERROR(
  TEXTJOIN(CHAR(10),TRUE,FILTER('SUMMARY DATA'!G:G,'SUMMARY DATA'!$A:$A=$A1180,'SUMMARY DATA'!$C:$C=$B1180,'SUMMARY DATA'!$B:$B=""RWS"")),
  IF(
    OR(
      ISNUMBER(SEARCH(""CDM CASH DEPOSIT"",$C1180)),
      ISNUMBER(SEARCH(""CASH DEPOSIT"",$"&amp;"C1180)),
      COUNTIFS('SUMMARY DATA'!$D:$D,$C1180,'SUMMARY DATA'!$B:$B,""RWS"")&lt;&gt;1
    ),
    """",
    IFERROR(TEXTJOIN(CHAR(10),TRUE,FILTER('SUMMARY DATA'!G:G,'SUMMARY DATA'!$D:$D=$C1180,'SUMMARY DATA'!$B:$B=""RWS"")),"""")
  )
)"),"")</f>
      </c>
      <c r="H1180" s="18" t="str">
        <f>IFERROR(__xludf.DUMMYFUNCTION("IFERROR(
  TEXTJOIN(CHAR(10),TRUE,FILTER('SUMMARY DATA'!H:H,'SUMMARY DATA'!$A:$A=$A1180,'SUMMARY DATA'!$C:$C=$B1180,'SUMMARY DATA'!$B:$B=""RWS"",'SUMMARY DATA'!$H:$H=$D1180)),
  IF(
    OR(
      ISNUMBER(SEARCH(""CDM CASH DEPOSIT"",$C1180)),
      ISNUMB"&amp;"ER(SEARCH(""CASH DEPOSIT"",$C1180))
    ),
    """",
    IFERROR(TEXTJOIN(CHAR(10),TRUE,FILTER('SUMMARY DATA'!H:H,'SUMMARY DATA'!$D:$D=$C1180,'SUMMARY DATA'!$B:$B=""RWS"",'SUMMARY DATA'!$H:$H=$D1180)),"""")
  )
)"),"")</f>
      </c>
      <c r="I1180" s="18" t="str">
        <f>IFERROR(__xludf.DUMMYFUNCTION("IF(H1180="""","""",
SUM(ARRAYFORMULA(VALUE(SPLIT(H1180,CHAR(10)))))
)"),"")</f>
      </c>
      <c r="J1180" s="17" t="str">
        <f>IFERROR(__xludf.DUMMYFUNCTION("IFERROR(
  TEXTJOIN(CHAR(10),TRUE,FILTER('SUMMARY DATA'!I:I,'SUMMARY DATA'!$A:$A=$A1180,'SUMMARY DATA'!$C:$C=$B1180,'SUMMARY DATA'!$B:$B=""RWS"")),
  IF(
    OR(
      ISNUMBER(SEARCH(""CDM CASH DEPOSIT"",$C1180)),
      ISNUMBER(SEARCH(""CASH DEPOSIT"",$"&amp;"C1180)),
      COUNTIFS('SUMMARY DATA'!$D:$D,$C1180,'SUMMARY DATA'!$B:$B,""RWS"")&lt;&gt;1
    ),
    """",
    IFERROR(TEXTJOIN(CHAR(10),TRUE,FILTER('SUMMARY DATA'!I:I,'SUMMARY DATA'!$D:$D=$C1180,'SUMMARY DATA'!$B:$B=""RWS"")),"""")
  )
)"),"")</f>
      </c>
      <c r="K1180" s="2"/>
      <c r="L1180" s="2"/>
      <c r="M1180" s="2"/>
      <c r="N1180" s="2"/>
      <c r="O1180" s="2"/>
      <c r="P1180" s="2"/>
      <c r="Q1180" s="2"/>
      <c r="R1180" s="2"/>
      <c r="S1180" s="2"/>
      <c r="T1180" s="2"/>
      <c r="U1180" s="2"/>
      <c r="V1180" s="2"/>
      <c r="W1180" s="2"/>
      <c r="X1180" s="2"/>
      <c r="Y1180" s="2"/>
      <c r="Z1180" s="2"/>
      <c r="AA1180" s="2"/>
      <c r="AB1180" s="2"/>
    </row>
    <row r="1181" spans="1:28" customHeight="true">
      <c r="A1181" s="2"/>
      <c r="B1181" s="15">
        <v>45806</v>
      </c>
      <c r="C1181" s="2" t="s">
        <v>1723</v>
      </c>
      <c r="D1181" s="6">
        <v>43.93</v>
      </c>
      <c r="E1181" s="16" t="str">
        <f>IFERROR(__xludf.DUMMYFUNCTION("IFERROR(
  TEXTJOIN(CHAR(10),TRUE,FILTER('SUMMARY DATA'!E:E,'SUMMARY DATA'!$A:$A=$A282,'SUMMARY DATA'!$C:$C=$B282,'SUMMARY DATA'!$B:$B=""GRP"")),
  IF(
    OR(
      ISNUMBER(SEARCH(""CDM CASH DEPOSIT"",$C282)),
      ISNUMBER(SEARCH(""CASH DEPOSIT"",$C28"&amp;"2)),
      COUNTIFS('SUMMARY DATA'!$D:$D,$C282,'SUMMARY DATA'!$B:$B,""GRP"")&lt;&gt;1
    ),
    """",
    IFERROR(TEXTJOIN(CHAR(10),TRUE,FILTER('SUMMARY DATA'!E:E,'SUMMARY DATA'!$D:$D=$C282,'SUMMARY DATA'!$B:$B=""GRP"")),"""")
  )
)"),"")</f>
      </c>
      <c r="F1181" s="17" t="str">
        <f>IFERROR(__xludf.DUMMYFUNCTION("IFERROR(
  TEXTJOIN(CHAR(10),TRUE,FILTER('SUMMARY DATA'!F:F,'SUMMARY DATA'!$A:$A=$A282,'SUMMARY DATA'!$C:$C=$B282,'SUMMARY DATA'!$B:$B=""GRP"")),
  IF(
    OR(
      ISNUMBER(SEARCH(""CDM CASH DEPOSIT"",$C282)),
      ISNUMBER(SEARCH(""CASH DEPOSIT"",$C28"&amp;"2)),
      COUNTIFS('SUMMARY DATA'!$D:$D,$C282,'SUMMARY DATA'!$B:$B,""GRP"")&lt;&gt;1
    ),
    """",
    IFERROR(TEXTJOIN(CHAR(10),TRUE,FILTER('SUMMARY DATA'!F:F,'SUMMARY DATA'!$D:$D=$C282,'SUMMARY DATA'!$B:$B=""GRP"")),"""")
  )
)"),"")</f>
      </c>
      <c r="G1181" s="17" t="str">
        <f>IFERROR(__xludf.DUMMYFUNCTION("IFERROR(
  TEXTJOIN(CHAR(10),TRUE,FILTER('SUMMARY DATA'!G:G,'SUMMARY DATA'!$A:$A=$A1181,'SUMMARY DATA'!$C:$C=$B1181,'SUMMARY DATA'!$B:$B=""RWS"")),
  IF(
    OR(
      ISNUMBER(SEARCH(""CDM CASH DEPOSIT"",$C1181)),
      ISNUMBER(SEARCH(""CASH DEPOSIT"",$"&amp;"C1181)),
      COUNTIFS('SUMMARY DATA'!$D:$D,$C1181,'SUMMARY DATA'!$B:$B,""RWS"")&lt;&gt;1
    ),
    """",
    IFERROR(TEXTJOIN(CHAR(10),TRUE,FILTER('SUMMARY DATA'!G:G,'SUMMARY DATA'!$D:$D=$C1181,'SUMMARY DATA'!$B:$B=""RWS"")),"""")
  )
)"),"")</f>
      </c>
      <c r="H1181" s="18" t="str">
        <f>IFERROR(__xludf.DUMMYFUNCTION("IFERROR(
  TEXTJOIN(CHAR(10),TRUE,FILTER('SUMMARY DATA'!H:H,'SUMMARY DATA'!$A:$A=$A1181,'SUMMARY DATA'!$C:$C=$B1181,'SUMMARY DATA'!$B:$B=""RWS"",'SUMMARY DATA'!$H:$H=$D1181)),
  IF(
    OR(
      ISNUMBER(SEARCH(""CDM CASH DEPOSIT"",$C1181)),
      ISNUMB"&amp;"ER(SEARCH(""CASH DEPOSIT"",$C1181))
    ),
    """",
    IFERROR(TEXTJOIN(CHAR(10),TRUE,FILTER('SUMMARY DATA'!H:H,'SUMMARY DATA'!$D:$D=$C1181,'SUMMARY DATA'!$B:$B=""RWS"",'SUMMARY DATA'!$H:$H=$D1181)),"""")
  )
)"),"")</f>
      </c>
      <c r="I1181" s="18" t="str">
        <f>IFERROR(__xludf.DUMMYFUNCTION("IF(H1181="""","""",
SUM(ARRAYFORMULA(VALUE(SPLIT(H1181,CHAR(10)))))
)"),"")</f>
      </c>
      <c r="J1181" s="17" t="str">
        <f>IFERROR(__xludf.DUMMYFUNCTION("IFERROR(
  TEXTJOIN(CHAR(10),TRUE,FILTER('SUMMARY DATA'!I:I,'SUMMARY DATA'!$A:$A=$A1181,'SUMMARY DATA'!$C:$C=$B1181,'SUMMARY DATA'!$B:$B=""RWS"")),
  IF(
    OR(
      ISNUMBER(SEARCH(""CDM CASH DEPOSIT"",$C1181)),
      ISNUMBER(SEARCH(""CASH DEPOSIT"",$"&amp;"C1181)),
      COUNTIFS('SUMMARY DATA'!$D:$D,$C1181,'SUMMARY DATA'!$B:$B,""RWS"")&lt;&gt;1
    ),
    """",
    IFERROR(TEXTJOIN(CHAR(10),TRUE,FILTER('SUMMARY DATA'!I:I,'SUMMARY DATA'!$D:$D=$C1181,'SUMMARY DATA'!$B:$B=""RWS"")),"""")
  )
)"),"")</f>
      </c>
      <c r="K1181" s="2"/>
      <c r="L1181" s="2"/>
      <c r="M1181" s="2"/>
      <c r="N1181" s="2"/>
      <c r="O1181" s="2"/>
      <c r="P1181" s="2"/>
      <c r="Q1181" s="2"/>
      <c r="R1181" s="2"/>
      <c r="S1181" s="2"/>
      <c r="T1181" s="2"/>
      <c r="U1181" s="2"/>
      <c r="V1181" s="2"/>
      <c r="W1181" s="2"/>
      <c r="X1181" s="2"/>
      <c r="Y1181" s="2"/>
      <c r="Z1181" s="2"/>
      <c r="AA1181" s="2"/>
      <c r="AB1181" s="2"/>
    </row>
    <row r="1182" spans="1:28" customHeight="true">
      <c r="A1182" s="2"/>
      <c r="B1182" s="15">
        <v>45806</v>
      </c>
      <c r="C1182" s="2" t="s">
        <v>1723</v>
      </c>
      <c r="D1182" s="6">
        <v>9.99</v>
      </c>
      <c r="E1182" s="16" t="str">
        <f>IFERROR(__xludf.DUMMYFUNCTION("IFERROR(
  TEXTJOIN(CHAR(10),TRUE,FILTER('SUMMARY DATA'!E:E,'SUMMARY DATA'!$A:$A=$A283,'SUMMARY DATA'!$C:$C=$B283,'SUMMARY DATA'!$B:$B=""GRP"")),
  IF(
    OR(
      ISNUMBER(SEARCH(""CDM CASH DEPOSIT"",$C283)),
      ISNUMBER(SEARCH(""CASH DEPOSIT"",$C28"&amp;"3)),
      COUNTIFS('SUMMARY DATA'!$D:$D,$C283,'SUMMARY DATA'!$B:$B,""GRP"")&lt;&gt;1
    ),
    """",
    IFERROR(TEXTJOIN(CHAR(10),TRUE,FILTER('SUMMARY DATA'!E:E,'SUMMARY DATA'!$D:$D=$C283,'SUMMARY DATA'!$B:$B=""GRP"")),"""")
  )
)"),"")</f>
      </c>
      <c r="F1182" s="17" t="str">
        <f>IFERROR(__xludf.DUMMYFUNCTION("IFERROR(
  TEXTJOIN(CHAR(10),TRUE,FILTER('SUMMARY DATA'!F:F,'SUMMARY DATA'!$A:$A=$A283,'SUMMARY DATA'!$C:$C=$B283,'SUMMARY DATA'!$B:$B=""GRP"")),
  IF(
    OR(
      ISNUMBER(SEARCH(""CDM CASH DEPOSIT"",$C283)),
      ISNUMBER(SEARCH(""CASH DEPOSIT"",$C28"&amp;"3)),
      COUNTIFS('SUMMARY DATA'!$D:$D,$C283,'SUMMARY DATA'!$B:$B,""GRP"")&lt;&gt;1
    ),
    """",
    IFERROR(TEXTJOIN(CHAR(10),TRUE,FILTER('SUMMARY DATA'!F:F,'SUMMARY DATA'!$D:$D=$C283,'SUMMARY DATA'!$B:$B=""GRP"")),"""")
  )
)"),"")</f>
      </c>
      <c r="G1182" s="17" t="str">
        <f>IFERROR(__xludf.DUMMYFUNCTION("IFERROR(
  TEXTJOIN(CHAR(10),TRUE,FILTER('SUMMARY DATA'!G:G,'SUMMARY DATA'!$A:$A=$A1182,'SUMMARY DATA'!$C:$C=$B1182,'SUMMARY DATA'!$B:$B=""RWS"")),
  IF(
    OR(
      ISNUMBER(SEARCH(""CDM CASH DEPOSIT"",$C1182)),
      ISNUMBER(SEARCH(""CASH DEPOSIT"",$"&amp;"C1182)),
      COUNTIFS('SUMMARY DATA'!$D:$D,$C1182,'SUMMARY DATA'!$B:$B,""RWS"")&lt;&gt;1
    ),
    """",
    IFERROR(TEXTJOIN(CHAR(10),TRUE,FILTER('SUMMARY DATA'!G:G,'SUMMARY DATA'!$D:$D=$C1182,'SUMMARY DATA'!$B:$B=""RWS"")),"""")
  )
)"),"")</f>
      </c>
      <c r="H1182" s="18" t="str">
        <f>IFERROR(__xludf.DUMMYFUNCTION("IFERROR(
  TEXTJOIN(CHAR(10),TRUE,FILTER('SUMMARY DATA'!H:H,'SUMMARY DATA'!$A:$A=$A1182,'SUMMARY DATA'!$C:$C=$B1182,'SUMMARY DATA'!$B:$B=""RWS"",'SUMMARY DATA'!$H:$H=$D1182)),
  IF(
    OR(
      ISNUMBER(SEARCH(""CDM CASH DEPOSIT"",$C1182)),
      ISNUMB"&amp;"ER(SEARCH(""CASH DEPOSIT"",$C1182))
    ),
    """",
    IFERROR(TEXTJOIN(CHAR(10),TRUE,FILTER('SUMMARY DATA'!H:H,'SUMMARY DATA'!$D:$D=$C1182,'SUMMARY DATA'!$B:$B=""RWS"",'SUMMARY DATA'!$H:$H=$D1182)),"""")
  )
)"),"")</f>
      </c>
      <c r="I1182" s="18" t="str">
        <f>IFERROR(__xludf.DUMMYFUNCTION("IF(H1182="""","""",
SUM(ARRAYFORMULA(VALUE(SPLIT(H1182,CHAR(10)))))
)"),"")</f>
      </c>
      <c r="J1182" s="17" t="str">
        <f>IFERROR(__xludf.DUMMYFUNCTION("IFERROR(
  TEXTJOIN(CHAR(10),TRUE,FILTER('SUMMARY DATA'!I:I,'SUMMARY DATA'!$A:$A=$A1182,'SUMMARY DATA'!$C:$C=$B1182,'SUMMARY DATA'!$B:$B=""RWS"")),
  IF(
    OR(
      ISNUMBER(SEARCH(""CDM CASH DEPOSIT"",$C1182)),
      ISNUMBER(SEARCH(""CASH DEPOSIT"",$"&amp;"C1182)),
      COUNTIFS('SUMMARY DATA'!$D:$D,$C1182,'SUMMARY DATA'!$B:$B,""RWS"")&lt;&gt;1
    ),
    """",
    IFERROR(TEXTJOIN(CHAR(10),TRUE,FILTER('SUMMARY DATA'!I:I,'SUMMARY DATA'!$D:$D=$C1182,'SUMMARY DATA'!$B:$B=""RWS"")),"""")
  )
)"),"")</f>
      </c>
      <c r="K1182" s="2"/>
      <c r="L1182" s="2"/>
      <c r="M1182" s="2"/>
      <c r="N1182" s="2"/>
      <c r="O1182" s="2"/>
      <c r="P1182" s="2"/>
      <c r="Q1182" s="2"/>
      <c r="R1182" s="2"/>
      <c r="S1182" s="2"/>
      <c r="T1182" s="2"/>
      <c r="U1182" s="2"/>
      <c r="V1182" s="2"/>
      <c r="W1182" s="2"/>
      <c r="X1182" s="2"/>
      <c r="Y1182" s="2"/>
      <c r="Z1182" s="2"/>
      <c r="AA1182" s="2"/>
      <c r="AB1182" s="2"/>
    </row>
    <row r="1183" spans="1:28" customHeight="true">
      <c r="A1183" s="2"/>
      <c r="B1183" s="15">
        <v>45808</v>
      </c>
      <c r="C1183" s="2" t="s">
        <v>1724</v>
      </c>
      <c r="D1183" s="6">
        <v>151.35</v>
      </c>
      <c r="E1183" s="16" t="str">
        <f>IFERROR(__xludf.DUMMYFUNCTION("IFERROR(
  TEXTJOIN(CHAR(10),TRUE,FILTER('SUMMARY DATA'!E:E,'SUMMARY DATA'!$A:$A=$A284,'SUMMARY DATA'!$C:$C=$B284,'SUMMARY DATA'!$B:$B=""GRP"")),
  IF(
    OR(
      ISNUMBER(SEARCH(""CDM CASH DEPOSIT"",$C284)),
      ISNUMBER(SEARCH(""CASH DEPOSIT"",$C28"&amp;"4)),
      COUNTIFS('SUMMARY DATA'!$D:$D,$C284,'SUMMARY DATA'!$B:$B,""GRP"")&lt;&gt;1
    ),
    """",
    IFERROR(TEXTJOIN(CHAR(10),TRUE,FILTER('SUMMARY DATA'!E:E,'SUMMARY DATA'!$D:$D=$C284,'SUMMARY DATA'!$B:$B=""GRP"")),"""")
  )
)"),"")</f>
      </c>
      <c r="F1183" s="17" t="str">
        <f>IFERROR(__xludf.DUMMYFUNCTION("IFERROR(
  TEXTJOIN(CHAR(10),TRUE,FILTER('SUMMARY DATA'!F:F,'SUMMARY DATA'!$A:$A=$A284,'SUMMARY DATA'!$C:$C=$B284,'SUMMARY DATA'!$B:$B=""GRP"")),
  IF(
    OR(
      ISNUMBER(SEARCH(""CDM CASH DEPOSIT"",$C284)),
      ISNUMBER(SEARCH(""CASH DEPOSIT"",$C28"&amp;"4)),
      COUNTIFS('SUMMARY DATA'!$D:$D,$C284,'SUMMARY DATA'!$B:$B,""GRP"")&lt;&gt;1
    ),
    """",
    IFERROR(TEXTJOIN(CHAR(10),TRUE,FILTER('SUMMARY DATA'!F:F,'SUMMARY DATA'!$D:$D=$C284,'SUMMARY DATA'!$B:$B=""GRP"")),"""")
  )
)"),"")</f>
      </c>
      <c r="G1183" s="17" t="str">
        <f>IFERROR(__xludf.DUMMYFUNCTION("IFERROR(
  TEXTJOIN(CHAR(10),TRUE,FILTER('SUMMARY DATA'!G:G,'SUMMARY DATA'!$A:$A=$A1183,'SUMMARY DATA'!$C:$C=$B1183,'SUMMARY DATA'!$B:$B=""RWS"")),
  IF(
    OR(
      ISNUMBER(SEARCH(""CDM CASH DEPOSIT"",$C1183)),
      ISNUMBER(SEARCH(""CASH DEPOSIT"",$"&amp;"C1183)),
      COUNTIFS('SUMMARY DATA'!$D:$D,$C1183,'SUMMARY DATA'!$B:$B,""RWS"")&lt;&gt;1
    ),
    """",
    IFERROR(TEXTJOIN(CHAR(10),TRUE,FILTER('SUMMARY DATA'!G:G,'SUMMARY DATA'!$D:$D=$C1183,'SUMMARY DATA'!$B:$B=""RWS"")),"""")
  )
)"),"")</f>
      </c>
      <c r="H1183" s="18" t="str">
        <f>IFERROR(__xludf.DUMMYFUNCTION("IFERROR(
  TEXTJOIN(CHAR(10),TRUE,FILTER('SUMMARY DATA'!H:H,'SUMMARY DATA'!$A:$A=$A1183,'SUMMARY DATA'!$C:$C=$B1183,'SUMMARY DATA'!$B:$B=""RWS"",'SUMMARY DATA'!$H:$H=$D1183)),
  IF(
    OR(
      ISNUMBER(SEARCH(""CDM CASH DEPOSIT"",$C1183)),
      ISNUMB"&amp;"ER(SEARCH(""CASH DEPOSIT"",$C1183))
    ),
    """",
    IFERROR(TEXTJOIN(CHAR(10),TRUE,FILTER('SUMMARY DATA'!H:H,'SUMMARY DATA'!$D:$D=$C1183,'SUMMARY DATA'!$B:$B=""RWS"",'SUMMARY DATA'!$H:$H=$D1183)),"""")
  )
)"),"")</f>
      </c>
      <c r="I1183" s="18" t="str">
        <f>IFERROR(__xludf.DUMMYFUNCTION("IF(H1183="""","""",
SUM(ARRAYFORMULA(VALUE(SPLIT(H1183,CHAR(10)))))
)"),"")</f>
      </c>
      <c r="J1183" s="17" t="str">
        <f>IFERROR(__xludf.DUMMYFUNCTION("IFERROR(
  TEXTJOIN(CHAR(10),TRUE,FILTER('SUMMARY DATA'!I:I,'SUMMARY DATA'!$A:$A=$A1183,'SUMMARY DATA'!$C:$C=$B1183,'SUMMARY DATA'!$B:$B=""RWS"")),
  IF(
    OR(
      ISNUMBER(SEARCH(""CDM CASH DEPOSIT"",$C1183)),
      ISNUMBER(SEARCH(""CASH DEPOSIT"",$"&amp;"C1183)),
      COUNTIFS('SUMMARY DATA'!$D:$D,$C1183,'SUMMARY DATA'!$B:$B,""RWS"")&lt;&gt;1
    ),
    """",
    IFERROR(TEXTJOIN(CHAR(10),TRUE,FILTER('SUMMARY DATA'!I:I,'SUMMARY DATA'!$D:$D=$C1183,'SUMMARY DATA'!$B:$B=""RWS"")),"""")
  )
)"),"")</f>
      </c>
      <c r="K1183" s="2"/>
      <c r="L1183" s="2"/>
      <c r="M1183" s="2"/>
      <c r="N1183" s="2"/>
      <c r="O1183" s="2"/>
      <c r="P1183" s="2"/>
      <c r="Q1183" s="2"/>
      <c r="R1183" s="2"/>
      <c r="S1183" s="2"/>
      <c r="T1183" s="2"/>
      <c r="U1183" s="2"/>
      <c r="V1183" s="2"/>
      <c r="W1183" s="2"/>
      <c r="X1183" s="2"/>
      <c r="Y1183" s="2"/>
      <c r="Z1183" s="2"/>
      <c r="AA1183" s="2"/>
      <c r="AB1183" s="2"/>
    </row>
    <row r="1184" spans="1:28" customHeight="true">
      <c r="A1184" s="2"/>
      <c r="B1184" s="15">
        <v>45808</v>
      </c>
      <c r="C1184" s="2" t="s">
        <v>1725</v>
      </c>
      <c r="D1184" s="6">
        <v>145.6</v>
      </c>
      <c r="E1184" s="16" t="str">
        <f>IFERROR(__xludf.DUMMYFUNCTION("IFERROR(
  TEXTJOIN(CHAR(10),TRUE,FILTER('SUMMARY DATA'!E:E,'SUMMARY DATA'!$A:$A=$A285,'SUMMARY DATA'!$C:$C=$B285,'SUMMARY DATA'!$B:$B=""GRP"")),
  IF(
    OR(
      ISNUMBER(SEARCH(""CDM CASH DEPOSIT"",$C285)),
      ISNUMBER(SEARCH(""CASH DEPOSIT"",$C28"&amp;"5)),
      COUNTIFS('SUMMARY DATA'!$D:$D,$C285,'SUMMARY DATA'!$B:$B,""GRP"")&lt;&gt;1
    ),
    """",
    IFERROR(TEXTJOIN(CHAR(10),TRUE,FILTER('SUMMARY DATA'!E:E,'SUMMARY DATA'!$D:$D=$C285,'SUMMARY DATA'!$B:$B=""GRP"")),"""")
  )
)"),"")</f>
      </c>
      <c r="F1184" s="17" t="str">
        <f>IFERROR(__xludf.DUMMYFUNCTION("IFERROR(
  TEXTJOIN(CHAR(10),TRUE,FILTER('SUMMARY DATA'!F:F,'SUMMARY DATA'!$A:$A=$A285,'SUMMARY DATA'!$C:$C=$B285,'SUMMARY DATA'!$B:$B=""GRP"")),
  IF(
    OR(
      ISNUMBER(SEARCH(""CDM CASH DEPOSIT"",$C285)),
      ISNUMBER(SEARCH(""CASH DEPOSIT"",$C28"&amp;"5)),
      COUNTIFS('SUMMARY DATA'!$D:$D,$C285,'SUMMARY DATA'!$B:$B,""GRP"")&lt;&gt;1
    ),
    """",
    IFERROR(TEXTJOIN(CHAR(10),TRUE,FILTER('SUMMARY DATA'!F:F,'SUMMARY DATA'!$D:$D=$C285,'SUMMARY DATA'!$B:$B=""GRP"")),"""")
  )
)"),"")</f>
      </c>
      <c r="G1184" s="17" t="str">
        <f>IFERROR(__xludf.DUMMYFUNCTION("IFERROR(
  TEXTJOIN(CHAR(10),TRUE,FILTER('SUMMARY DATA'!G:G,'SUMMARY DATA'!$A:$A=$A1184,'SUMMARY DATA'!$C:$C=$B1184,'SUMMARY DATA'!$B:$B=""RWS"")),
  IF(
    OR(
      ISNUMBER(SEARCH(""CDM CASH DEPOSIT"",$C1184)),
      ISNUMBER(SEARCH(""CASH DEPOSIT"",$"&amp;"C1184)),
      COUNTIFS('SUMMARY DATA'!$D:$D,$C1184,'SUMMARY DATA'!$B:$B,""RWS"")&lt;&gt;1
    ),
    """",
    IFERROR(TEXTJOIN(CHAR(10),TRUE,FILTER('SUMMARY DATA'!G:G,'SUMMARY DATA'!$D:$D=$C1184,'SUMMARY DATA'!$B:$B=""RWS"")),"""")
  )
)"),"")</f>
      </c>
      <c r="H1184" s="18" t="str">
        <f>IFERROR(__xludf.DUMMYFUNCTION("IFERROR(
  TEXTJOIN(CHAR(10),TRUE,FILTER('SUMMARY DATA'!H:H,'SUMMARY DATA'!$A:$A=$A1184,'SUMMARY DATA'!$C:$C=$B1184,'SUMMARY DATA'!$B:$B=""RWS"",'SUMMARY DATA'!$H:$H=$D1184)),
  IF(
    OR(
      ISNUMBER(SEARCH(""CDM CASH DEPOSIT"",$C1184)),
      ISNUMB"&amp;"ER(SEARCH(""CASH DEPOSIT"",$C1184))
    ),
    """",
    IFERROR(TEXTJOIN(CHAR(10),TRUE,FILTER('SUMMARY DATA'!H:H,'SUMMARY DATA'!$D:$D=$C1184,'SUMMARY DATA'!$B:$B=""RWS"",'SUMMARY DATA'!$H:$H=$D1184)),"""")
  )
)"),"")</f>
      </c>
      <c r="I1184" s="18" t="str">
        <f>IFERROR(__xludf.DUMMYFUNCTION("IF(H1184="""","""",
SUM(ARRAYFORMULA(VALUE(SPLIT(H1184,CHAR(10)))))
)"),"")</f>
      </c>
      <c r="J1184" s="17" t="str">
        <f>IFERROR(__xludf.DUMMYFUNCTION("IFERROR(
  TEXTJOIN(CHAR(10),TRUE,FILTER('SUMMARY DATA'!I:I,'SUMMARY DATA'!$A:$A=$A1184,'SUMMARY DATA'!$C:$C=$B1184,'SUMMARY DATA'!$B:$B=""RWS"")),
  IF(
    OR(
      ISNUMBER(SEARCH(""CDM CASH DEPOSIT"",$C1184)),
      ISNUMBER(SEARCH(""CASH DEPOSIT"",$"&amp;"C1184)),
      COUNTIFS('SUMMARY DATA'!$D:$D,$C1184,'SUMMARY DATA'!$B:$B,""RWS"")&lt;&gt;1
    ),
    """",
    IFERROR(TEXTJOIN(CHAR(10),TRUE,FILTER('SUMMARY DATA'!I:I,'SUMMARY DATA'!$D:$D=$C1184,'SUMMARY DATA'!$B:$B=""RWS"")),"""")
  )
)"),"")</f>
      </c>
      <c r="K1184" s="2"/>
      <c r="L1184" s="2"/>
      <c r="M1184" s="2"/>
      <c r="N1184" s="2"/>
      <c r="O1184" s="2"/>
      <c r="P1184" s="2"/>
      <c r="Q1184" s="2"/>
      <c r="R1184" s="2"/>
      <c r="S1184" s="2"/>
      <c r="T1184" s="2"/>
      <c r="U1184" s="2"/>
      <c r="V1184" s="2"/>
      <c r="W1184" s="2"/>
      <c r="X1184" s="2"/>
      <c r="Y1184" s="2"/>
      <c r="Z1184" s="2"/>
      <c r="AA1184" s="2"/>
      <c r="AB1184" s="2"/>
    </row>
    <row r="1185" spans="1:28" customHeight="true">
      <c r="A1185" s="2"/>
      <c r="B1185" s="15">
        <v>45808</v>
      </c>
      <c r="C1185" s="2" t="s">
        <v>1726</v>
      </c>
      <c r="D1185" s="6">
        <v>103.66</v>
      </c>
      <c r="E1185" s="16" t="str">
        <f>IFERROR(__xludf.DUMMYFUNCTION("IFERROR(
  TEXTJOIN(CHAR(10),TRUE,FILTER('SUMMARY DATA'!E:E,'SUMMARY DATA'!$A:$A=$A286,'SUMMARY DATA'!$C:$C=$B286,'SUMMARY DATA'!$B:$B=""GRP"")),
  IF(
    OR(
      ISNUMBER(SEARCH(""CDM CASH DEPOSIT"",$C286)),
      ISNUMBER(SEARCH(""CASH DEPOSIT"",$C28"&amp;"6)),
      COUNTIFS('SUMMARY DATA'!$D:$D,$C286,'SUMMARY DATA'!$B:$B,""GRP"")&lt;&gt;1
    ),
    """",
    IFERROR(TEXTJOIN(CHAR(10),TRUE,FILTER('SUMMARY DATA'!E:E,'SUMMARY DATA'!$D:$D=$C286,'SUMMARY DATA'!$B:$B=""GRP"")),"""")
  )
)"),"")</f>
      </c>
      <c r="F1185" s="17" t="str">
        <f>IFERROR(__xludf.DUMMYFUNCTION("IFERROR(
  TEXTJOIN(CHAR(10),TRUE,FILTER('SUMMARY DATA'!F:F,'SUMMARY DATA'!$A:$A=$A286,'SUMMARY DATA'!$C:$C=$B286,'SUMMARY DATA'!$B:$B=""GRP"")),
  IF(
    OR(
      ISNUMBER(SEARCH(""CDM CASH DEPOSIT"",$C286)),
      ISNUMBER(SEARCH(""CASH DEPOSIT"",$C28"&amp;"6)),
      COUNTIFS('SUMMARY DATA'!$D:$D,$C286,'SUMMARY DATA'!$B:$B,""GRP"")&lt;&gt;1
    ),
    """",
    IFERROR(TEXTJOIN(CHAR(10),TRUE,FILTER('SUMMARY DATA'!F:F,'SUMMARY DATA'!$D:$D=$C286,'SUMMARY DATA'!$B:$B=""GRP"")),"""")
  )
)"),"")</f>
      </c>
      <c r="G1185" s="17" t="str">
        <f>IFERROR(__xludf.DUMMYFUNCTION("IFERROR(
  TEXTJOIN(CHAR(10),TRUE,FILTER('SUMMARY DATA'!G:G,'SUMMARY DATA'!$A:$A=$A1185,'SUMMARY DATA'!$C:$C=$B1185,'SUMMARY DATA'!$B:$B=""RWS"")),
  IF(
    OR(
      ISNUMBER(SEARCH(""CDM CASH DEPOSIT"",$C1185)),
      ISNUMBER(SEARCH(""CASH DEPOSIT"",$"&amp;"C1185)),
      COUNTIFS('SUMMARY DATA'!$D:$D,$C1185,'SUMMARY DATA'!$B:$B,""RWS"")&lt;&gt;1
    ),
    """",
    IFERROR(TEXTJOIN(CHAR(10),TRUE,FILTER('SUMMARY DATA'!G:G,'SUMMARY DATA'!$D:$D=$C1185,'SUMMARY DATA'!$B:$B=""RWS"")),"""")
  )
)"),"")</f>
      </c>
      <c r="H1185" s="18" t="str">
        <f>IFERROR(__xludf.DUMMYFUNCTION("IFERROR(
  TEXTJOIN(CHAR(10),TRUE,FILTER('SUMMARY DATA'!H:H,'SUMMARY DATA'!$A:$A=$A1185,'SUMMARY DATA'!$C:$C=$B1185,'SUMMARY DATA'!$B:$B=""RWS"",'SUMMARY DATA'!$H:$H=$D1185)),
  IF(
    OR(
      ISNUMBER(SEARCH(""CDM CASH DEPOSIT"",$C1185)),
      ISNUMB"&amp;"ER(SEARCH(""CASH DEPOSIT"",$C1185))
    ),
    """",
    IFERROR(TEXTJOIN(CHAR(10),TRUE,FILTER('SUMMARY DATA'!H:H,'SUMMARY DATA'!$D:$D=$C1185,'SUMMARY DATA'!$B:$B=""RWS"",'SUMMARY DATA'!$H:$H=$D1185)),"""")
  )
)"),"")</f>
      </c>
      <c r="I1185" s="18" t="str">
        <f>IFERROR(__xludf.DUMMYFUNCTION("IF(H1185="""","""",
SUM(ARRAYFORMULA(VALUE(SPLIT(H1185,CHAR(10)))))
)"),"")</f>
      </c>
      <c r="J1185" s="17" t="str">
        <f>IFERROR(__xludf.DUMMYFUNCTION("IFERROR(
  TEXTJOIN(CHAR(10),TRUE,FILTER('SUMMARY DATA'!I:I,'SUMMARY DATA'!$A:$A=$A1185,'SUMMARY DATA'!$C:$C=$B1185,'SUMMARY DATA'!$B:$B=""RWS"")),
  IF(
    OR(
      ISNUMBER(SEARCH(""CDM CASH DEPOSIT"",$C1185)),
      ISNUMBER(SEARCH(""CASH DEPOSIT"",$"&amp;"C1185)),
      COUNTIFS('SUMMARY DATA'!$D:$D,$C1185,'SUMMARY DATA'!$B:$B,""RWS"")&lt;&gt;1
    ),
    """",
    IFERROR(TEXTJOIN(CHAR(10),TRUE,FILTER('SUMMARY DATA'!I:I,'SUMMARY DATA'!$D:$D=$C1185,'SUMMARY DATA'!$B:$B=""RWS"")),"""")
  )
)"),"")</f>
      </c>
      <c r="K1185" s="2"/>
      <c r="L1185" s="2"/>
      <c r="M1185" s="2"/>
      <c r="N1185" s="2"/>
      <c r="O1185" s="2"/>
      <c r="P1185" s="2"/>
      <c r="Q1185" s="2"/>
      <c r="R1185" s="2"/>
      <c r="S1185" s="2"/>
      <c r="T1185" s="2"/>
      <c r="U1185" s="2"/>
      <c r="V1185" s="2"/>
      <c r="W1185" s="2"/>
      <c r="X1185" s="2"/>
      <c r="Y1185" s="2"/>
      <c r="Z1185" s="2"/>
      <c r="AA1185" s="2"/>
      <c r="AB1185" s="2"/>
    </row>
    <row r="1186" spans="1:28" customHeight="true">
      <c r="A1186" s="2"/>
      <c r="B1186" s="15">
        <v>45808</v>
      </c>
      <c r="C1186" s="2" t="s">
        <v>1727</v>
      </c>
      <c r="D1186" s="6">
        <v>10</v>
      </c>
      <c r="E1186" s="16" t="str">
        <f>IFERROR(__xludf.DUMMYFUNCTION("IFERROR(
  TEXTJOIN(CHAR(10),TRUE,FILTER('SUMMARY DATA'!E:E,'SUMMARY DATA'!$A:$A=$A287,'SUMMARY DATA'!$C:$C=$B287,'SUMMARY DATA'!$B:$B=""GRP"")),
  IF(
    OR(
      ISNUMBER(SEARCH(""CDM CASH DEPOSIT"",$C287)),
      ISNUMBER(SEARCH(""CASH DEPOSIT"",$C28"&amp;"7)),
      COUNTIFS('SUMMARY DATA'!$D:$D,$C287,'SUMMARY DATA'!$B:$B,""GRP"")&lt;&gt;1
    ),
    """",
    IFERROR(TEXTJOIN(CHAR(10),TRUE,FILTER('SUMMARY DATA'!E:E,'SUMMARY DATA'!$D:$D=$C287,'SUMMARY DATA'!$B:$B=""GRP"")),"""")
  )
)"),"")</f>
      </c>
      <c r="F1186" s="17" t="str">
        <f>IFERROR(__xludf.DUMMYFUNCTION("IFERROR(
  TEXTJOIN(CHAR(10),TRUE,FILTER('SUMMARY DATA'!F:F,'SUMMARY DATA'!$A:$A=$A287,'SUMMARY DATA'!$C:$C=$B287,'SUMMARY DATA'!$B:$B=""GRP"")),
  IF(
    OR(
      ISNUMBER(SEARCH(""CDM CASH DEPOSIT"",$C287)),
      ISNUMBER(SEARCH(""CASH DEPOSIT"",$C28"&amp;"7)),
      COUNTIFS('SUMMARY DATA'!$D:$D,$C287,'SUMMARY DATA'!$B:$B,""GRP"")&lt;&gt;1
    ),
    """",
    IFERROR(TEXTJOIN(CHAR(10),TRUE,FILTER('SUMMARY DATA'!F:F,'SUMMARY DATA'!$D:$D=$C287,'SUMMARY DATA'!$B:$B=""GRP"")),"""")
  )
)"),"")</f>
      </c>
      <c r="G1186" s="17" t="str">
        <f>IFERROR(__xludf.DUMMYFUNCTION("IFERROR(
  TEXTJOIN(CHAR(10),TRUE,FILTER('SUMMARY DATA'!G:G,'SUMMARY DATA'!$A:$A=$A1186,'SUMMARY DATA'!$C:$C=$B1186,'SUMMARY DATA'!$B:$B=""RWS"")),
  IF(
    OR(
      ISNUMBER(SEARCH(""CDM CASH DEPOSIT"",$C1186)),
      ISNUMBER(SEARCH(""CASH DEPOSIT"",$"&amp;"C1186)),
      COUNTIFS('SUMMARY DATA'!$D:$D,$C1186,'SUMMARY DATA'!$B:$B,""RWS"")&lt;&gt;1
    ),
    """",
    IFERROR(TEXTJOIN(CHAR(10),TRUE,FILTER('SUMMARY DATA'!G:G,'SUMMARY DATA'!$D:$D=$C1186,'SUMMARY DATA'!$B:$B=""RWS"")),"""")
  )
)"),"")</f>
      </c>
      <c r="H1186" s="18" t="str">
        <f>IFERROR(__xludf.DUMMYFUNCTION("IFERROR(
  TEXTJOIN(CHAR(10),TRUE,FILTER('SUMMARY DATA'!H:H,'SUMMARY DATA'!$A:$A=$A1186,'SUMMARY DATA'!$C:$C=$B1186,'SUMMARY DATA'!$B:$B=""RWS"",'SUMMARY DATA'!$H:$H=$D1186)),
  IF(
    OR(
      ISNUMBER(SEARCH(""CDM CASH DEPOSIT"",$C1186)),
      ISNUMB"&amp;"ER(SEARCH(""CASH DEPOSIT"",$C1186))
    ),
    """",
    IFERROR(TEXTJOIN(CHAR(10),TRUE,FILTER('SUMMARY DATA'!H:H,'SUMMARY DATA'!$D:$D=$C1186,'SUMMARY DATA'!$B:$B=""RWS"",'SUMMARY DATA'!$H:$H=$D1186)),"""")
  )
)"),"")</f>
      </c>
      <c r="I1186" s="18" t="str">
        <f>IFERROR(__xludf.DUMMYFUNCTION("IF(H1186="""","""",
SUM(ARRAYFORMULA(VALUE(SPLIT(H1186,CHAR(10)))))
)"),"")</f>
      </c>
      <c r="J1186" s="17" t="str">
        <f>IFERROR(__xludf.DUMMYFUNCTION("IFERROR(
  TEXTJOIN(CHAR(10),TRUE,FILTER('SUMMARY DATA'!I:I,'SUMMARY DATA'!$A:$A=$A1186,'SUMMARY DATA'!$C:$C=$B1186,'SUMMARY DATA'!$B:$B=""RWS"")),
  IF(
    OR(
      ISNUMBER(SEARCH(""CDM CASH DEPOSIT"",$C1186)),
      ISNUMBER(SEARCH(""CASH DEPOSIT"",$"&amp;"C1186)),
      COUNTIFS('SUMMARY DATA'!$D:$D,$C1186,'SUMMARY DATA'!$B:$B,""RWS"")&lt;&gt;1
    ),
    """",
    IFERROR(TEXTJOIN(CHAR(10),TRUE,FILTER('SUMMARY DATA'!I:I,'SUMMARY DATA'!$D:$D=$C1186,'SUMMARY DATA'!$B:$B=""RWS"")),"""")
  )
)"),"")</f>
      </c>
      <c r="K1186" s="2"/>
      <c r="L1186" s="2"/>
      <c r="M1186" s="2"/>
      <c r="N1186" s="2"/>
      <c r="O1186" s="2"/>
      <c r="P1186" s="2"/>
      <c r="Q1186" s="2"/>
      <c r="R1186" s="2"/>
      <c r="S1186" s="2"/>
      <c r="T1186" s="2"/>
      <c r="U1186" s="2"/>
      <c r="V1186" s="2"/>
      <c r="W1186" s="2"/>
      <c r="X1186" s="2"/>
      <c r="Y1186" s="2"/>
      <c r="Z1186" s="2"/>
      <c r="AA1186" s="2"/>
      <c r="AB1186" s="2"/>
    </row>
    <row r="1187" spans="1:28" customHeight="true">
      <c r="A1187" s="2"/>
      <c r="B1187" s="15">
        <v>45810</v>
      </c>
      <c r="C1187" s="2" t="s">
        <v>1728</v>
      </c>
      <c r="D1187" s="6">
        <v>1023.5</v>
      </c>
      <c r="E1187" s="16" t="str">
        <f>IFERROR(__xludf.DUMMYFUNCTION("IFERROR(
  TEXTJOIN(CHAR(10),TRUE,FILTER('SUMMARY DATA'!E:E,'SUMMARY DATA'!$A:$A=$A288,'SUMMARY DATA'!$C:$C=$B288,'SUMMARY DATA'!$B:$B=""GRP"")),
  IF(
    OR(
      ISNUMBER(SEARCH(""CDM CASH DEPOSIT"",$C288)),
      ISNUMBER(SEARCH(""CASH DEPOSIT"",$C28"&amp;"8)),
      COUNTIFS('SUMMARY DATA'!$D:$D,$C288,'SUMMARY DATA'!$B:$B,""GRP"")&lt;&gt;1
    ),
    """",
    IFERROR(TEXTJOIN(CHAR(10),TRUE,FILTER('SUMMARY DATA'!E:E,'SUMMARY DATA'!$D:$D=$C288,'SUMMARY DATA'!$B:$B=""GRP"")),"""")
  )
)"),"")</f>
      </c>
      <c r="F1187" s="17" t="str">
        <f>IFERROR(__xludf.DUMMYFUNCTION("IFERROR(
  TEXTJOIN(CHAR(10),TRUE,FILTER('SUMMARY DATA'!F:F,'SUMMARY DATA'!$A:$A=$A288,'SUMMARY DATA'!$C:$C=$B288,'SUMMARY DATA'!$B:$B=""GRP"")),
  IF(
    OR(
      ISNUMBER(SEARCH(""CDM CASH DEPOSIT"",$C288)),
      ISNUMBER(SEARCH(""CASH DEPOSIT"",$C28"&amp;"8)),
      COUNTIFS('SUMMARY DATA'!$D:$D,$C288,'SUMMARY DATA'!$B:$B,""GRP"")&lt;&gt;1
    ),
    """",
    IFERROR(TEXTJOIN(CHAR(10),TRUE,FILTER('SUMMARY DATA'!F:F,'SUMMARY DATA'!$D:$D=$C288,'SUMMARY DATA'!$B:$B=""GRP"")),"""")
  )
)"),"")</f>
      </c>
      <c r="G1187" s="17" t="str">
        <f>IFERROR(__xludf.DUMMYFUNCTION("IFERROR(
  TEXTJOIN(CHAR(10),TRUE,FILTER('SUMMARY DATA'!G:G,'SUMMARY DATA'!$A:$A=$A1187,'SUMMARY DATA'!$C:$C=$B1187,'SUMMARY DATA'!$B:$B=""RWS"")),
  IF(
    OR(
      ISNUMBER(SEARCH(""CDM CASH DEPOSIT"",$C1187)),
      ISNUMBER(SEARCH(""CASH DEPOSIT"",$"&amp;"C1187)),
      COUNTIFS('SUMMARY DATA'!$D:$D,$C1187,'SUMMARY DATA'!$B:$B,""RWS"")&lt;&gt;1
    ),
    """",
    IFERROR(TEXTJOIN(CHAR(10),TRUE,FILTER('SUMMARY DATA'!G:G,'SUMMARY DATA'!$D:$D=$C1187,'SUMMARY DATA'!$B:$B=""RWS"")),"""")
  )
)"),"")</f>
      </c>
      <c r="H1187" s="18" t="str">
        <f>IFERROR(__xludf.DUMMYFUNCTION("IFERROR(
  TEXTJOIN(CHAR(10),TRUE,FILTER('SUMMARY DATA'!H:H,'SUMMARY DATA'!$A:$A=$A1187,'SUMMARY DATA'!$C:$C=$B1187,'SUMMARY DATA'!$B:$B=""RWS"",'SUMMARY DATA'!$H:$H=$D1187)),
  IF(
    OR(
      ISNUMBER(SEARCH(""CDM CASH DEPOSIT"",$C1187)),
      ISNUMB"&amp;"ER(SEARCH(""CASH DEPOSIT"",$C1187))
    ),
    """",
    IFERROR(TEXTJOIN(CHAR(10),TRUE,FILTER('SUMMARY DATA'!H:H,'SUMMARY DATA'!$D:$D=$C1187,'SUMMARY DATA'!$B:$B=""RWS"",'SUMMARY DATA'!$H:$H=$D1187)),"""")
  )
)"),"")</f>
      </c>
      <c r="I1187" s="18" t="str">
        <f>IFERROR(__xludf.DUMMYFUNCTION("IF(H1187="""","""",
SUM(ARRAYFORMULA(VALUE(SPLIT(H1187,CHAR(10)))))
)"),"")</f>
      </c>
      <c r="J1187" s="17" t="str">
        <f>IFERROR(__xludf.DUMMYFUNCTION("IFERROR(
  TEXTJOIN(CHAR(10),TRUE,FILTER('SUMMARY DATA'!I:I,'SUMMARY DATA'!$A:$A=$A1187,'SUMMARY DATA'!$C:$C=$B1187,'SUMMARY DATA'!$B:$B=""RWS"")),
  IF(
    OR(
      ISNUMBER(SEARCH(""CDM CASH DEPOSIT"",$C1187)),
      ISNUMBER(SEARCH(""CASH DEPOSIT"",$"&amp;"C1187)),
      COUNTIFS('SUMMARY DATA'!$D:$D,$C1187,'SUMMARY DATA'!$B:$B,""RWS"")&lt;&gt;1
    ),
    """",
    IFERROR(TEXTJOIN(CHAR(10),TRUE,FILTER('SUMMARY DATA'!I:I,'SUMMARY DATA'!$D:$D=$C1187,'SUMMARY DATA'!$B:$B=""RWS"")),"""")
  )
)"),"")</f>
      </c>
      <c r="K1187" s="2"/>
      <c r="L1187" s="2"/>
      <c r="M1187" s="2"/>
      <c r="N1187" s="2"/>
      <c r="O1187" s="2"/>
      <c r="P1187" s="2"/>
      <c r="Q1187" s="2"/>
      <c r="R1187" s="2"/>
      <c r="S1187" s="2"/>
      <c r="T1187" s="2"/>
      <c r="U1187" s="2"/>
      <c r="V1187" s="2"/>
      <c r="W1187" s="2"/>
      <c r="X1187" s="2"/>
      <c r="Y1187" s="2"/>
      <c r="Z1187" s="2"/>
      <c r="AA1187" s="2"/>
      <c r="AB1187" s="2"/>
    </row>
    <row r="1188" spans="1:28" customHeight="true">
      <c r="A1188" s="2"/>
      <c r="B1188" s="15">
        <v>45811</v>
      </c>
      <c r="C1188" s="2" t="s">
        <v>1729</v>
      </c>
      <c r="D1188" s="6">
        <v>502.15</v>
      </c>
      <c r="E1188" s="16" t="str">
        <f>IFERROR(__xludf.DUMMYFUNCTION("IFERROR(
  TEXTJOIN(CHAR(10),TRUE,FILTER('SUMMARY DATA'!E:E,'SUMMARY DATA'!$A:$A=$A289,'SUMMARY DATA'!$C:$C=$B289,'SUMMARY DATA'!$B:$B=""GRP"")),
  IF(
    OR(
      ISNUMBER(SEARCH(""CDM CASH DEPOSIT"",$C289)),
      ISNUMBER(SEARCH(""CASH DEPOSIT"",$C28"&amp;"9)),
      COUNTIFS('SUMMARY DATA'!$D:$D,$C289,'SUMMARY DATA'!$B:$B,""GRP"")&lt;&gt;1
    ),
    """",
    IFERROR(TEXTJOIN(CHAR(10),TRUE,FILTER('SUMMARY DATA'!E:E,'SUMMARY DATA'!$D:$D=$C289,'SUMMARY DATA'!$B:$B=""GRP"")),"""")
  )
)"),"")</f>
      </c>
      <c r="F1188" s="17" t="str">
        <f>IFERROR(__xludf.DUMMYFUNCTION("IFERROR(
  TEXTJOIN(CHAR(10),TRUE,FILTER('SUMMARY DATA'!F:F,'SUMMARY DATA'!$A:$A=$A289,'SUMMARY DATA'!$C:$C=$B289,'SUMMARY DATA'!$B:$B=""GRP"")),
  IF(
    OR(
      ISNUMBER(SEARCH(""CDM CASH DEPOSIT"",$C289)),
      ISNUMBER(SEARCH(""CASH DEPOSIT"",$C28"&amp;"9)),
      COUNTIFS('SUMMARY DATA'!$D:$D,$C289,'SUMMARY DATA'!$B:$B,""GRP"")&lt;&gt;1
    ),
    """",
    IFERROR(TEXTJOIN(CHAR(10),TRUE,FILTER('SUMMARY DATA'!F:F,'SUMMARY DATA'!$D:$D=$C289,'SUMMARY DATA'!$B:$B=""GRP"")),"""")
  )
)"),"")</f>
      </c>
      <c r="G1188" s="17" t="str">
        <f>IFERROR(__xludf.DUMMYFUNCTION("IFERROR(
  TEXTJOIN(CHAR(10),TRUE,FILTER('SUMMARY DATA'!G:G,'SUMMARY DATA'!$A:$A=$A1188,'SUMMARY DATA'!$C:$C=$B1188,'SUMMARY DATA'!$B:$B=""RWS"")),
  IF(
    OR(
      ISNUMBER(SEARCH(""CDM CASH DEPOSIT"",$C1188)),
      ISNUMBER(SEARCH(""CASH DEPOSIT"",$"&amp;"C1188)),
      COUNTIFS('SUMMARY DATA'!$D:$D,$C1188,'SUMMARY DATA'!$B:$B,""RWS"")&lt;&gt;1
    ),
    """",
    IFERROR(TEXTJOIN(CHAR(10),TRUE,FILTER('SUMMARY DATA'!G:G,'SUMMARY DATA'!$D:$D=$C1188,'SUMMARY DATA'!$B:$B=""RWS"")),"""")
  )
)"),"")</f>
      </c>
      <c r="H1188" s="18" t="str">
        <f>IFERROR(__xludf.DUMMYFUNCTION("IFERROR(
  TEXTJOIN(CHAR(10),TRUE,FILTER('SUMMARY DATA'!H:H,'SUMMARY DATA'!$A:$A=$A1188,'SUMMARY DATA'!$C:$C=$B1188,'SUMMARY DATA'!$B:$B=""RWS"",'SUMMARY DATA'!$H:$H=$D1188)),
  IF(
    OR(
      ISNUMBER(SEARCH(""CDM CASH DEPOSIT"",$C1188)),
      ISNUMB"&amp;"ER(SEARCH(""CASH DEPOSIT"",$C1188))
    ),
    """",
    IFERROR(TEXTJOIN(CHAR(10),TRUE,FILTER('SUMMARY DATA'!H:H,'SUMMARY DATA'!$D:$D=$C1188,'SUMMARY DATA'!$B:$B=""RWS"",'SUMMARY DATA'!$H:$H=$D1188)),"""")
  )
)"),"")</f>
      </c>
      <c r="I1188" s="18" t="str">
        <f>IFERROR(__xludf.DUMMYFUNCTION("IF(H1188="""","""",
SUM(ARRAYFORMULA(VALUE(SPLIT(H1188,CHAR(10)))))
)"),"")</f>
      </c>
      <c r="J1188" s="17" t="str">
        <f>IFERROR(__xludf.DUMMYFUNCTION("IFERROR(
  TEXTJOIN(CHAR(10),TRUE,FILTER('SUMMARY DATA'!I:I,'SUMMARY DATA'!$A:$A=$A1188,'SUMMARY DATA'!$C:$C=$B1188,'SUMMARY DATA'!$B:$B=""RWS"")),
  IF(
    OR(
      ISNUMBER(SEARCH(""CDM CASH DEPOSIT"",$C1188)),
      ISNUMBER(SEARCH(""CASH DEPOSIT"",$"&amp;"C1188)),
      COUNTIFS('SUMMARY DATA'!$D:$D,$C1188,'SUMMARY DATA'!$B:$B,""RWS"")&lt;&gt;1
    ),
    """",
    IFERROR(TEXTJOIN(CHAR(10),TRUE,FILTER('SUMMARY DATA'!I:I,'SUMMARY DATA'!$D:$D=$C1188,'SUMMARY DATA'!$B:$B=""RWS"")),"""")
  )
)"),"")</f>
      </c>
      <c r="K1188" s="2"/>
      <c r="L1188" s="2"/>
      <c r="M1188" s="2"/>
      <c r="N1188" s="2"/>
      <c r="O1188" s="2"/>
      <c r="P1188" s="2"/>
      <c r="Q1188" s="2"/>
      <c r="R1188" s="2"/>
      <c r="S1188" s="2"/>
      <c r="T1188" s="2"/>
      <c r="U1188" s="2"/>
      <c r="V1188" s="2"/>
      <c r="W1188" s="2"/>
      <c r="X1188" s="2"/>
      <c r="Y1188" s="2"/>
      <c r="Z1188" s="2"/>
      <c r="AA1188" s="2"/>
      <c r="AB1188" s="2"/>
    </row>
    <row r="1189" spans="1:28" customHeight="true">
      <c r="A1189" s="2"/>
      <c r="B1189" s="15">
        <v>45811</v>
      </c>
      <c r="C1189" s="2" t="s">
        <v>1730</v>
      </c>
      <c r="D1189" s="6">
        <v>54.94</v>
      </c>
      <c r="E1189" s="16" t="str">
        <f>IFERROR(__xludf.DUMMYFUNCTION("IFERROR(
  TEXTJOIN(CHAR(10),TRUE,FILTER('SUMMARY DATA'!E:E,'SUMMARY DATA'!$A:$A=$A290,'SUMMARY DATA'!$C:$C=$B290,'SUMMARY DATA'!$B:$B=""GRP"")),
  IF(
    OR(
      ISNUMBER(SEARCH(""CDM CASH DEPOSIT"",$C290)),
      ISNUMBER(SEARCH(""CASH DEPOSIT"",$C29"&amp;"0)),
      COUNTIFS('SUMMARY DATA'!$D:$D,$C290,'SUMMARY DATA'!$B:$B,""GRP"")&lt;&gt;1
    ),
    """",
    IFERROR(TEXTJOIN(CHAR(10),TRUE,FILTER('SUMMARY DATA'!E:E,'SUMMARY DATA'!$D:$D=$C290,'SUMMARY DATA'!$B:$B=""GRP"")),"""")
  )
)"),"")</f>
      </c>
      <c r="F1189" s="17" t="str">
        <f>IFERROR(__xludf.DUMMYFUNCTION("IFERROR(
  TEXTJOIN(CHAR(10),TRUE,FILTER('SUMMARY DATA'!F:F,'SUMMARY DATA'!$A:$A=$A290,'SUMMARY DATA'!$C:$C=$B290,'SUMMARY DATA'!$B:$B=""GRP"")),
  IF(
    OR(
      ISNUMBER(SEARCH(""CDM CASH DEPOSIT"",$C290)),
      ISNUMBER(SEARCH(""CASH DEPOSIT"",$C29"&amp;"0)),
      COUNTIFS('SUMMARY DATA'!$D:$D,$C290,'SUMMARY DATA'!$B:$B,""GRP"")&lt;&gt;1
    ),
    """",
    IFERROR(TEXTJOIN(CHAR(10),TRUE,FILTER('SUMMARY DATA'!F:F,'SUMMARY DATA'!$D:$D=$C290,'SUMMARY DATA'!$B:$B=""GRP"")),"""")
  )
)"),"")</f>
      </c>
      <c r="G1189" s="17" t="str">
        <f>IFERROR(__xludf.DUMMYFUNCTION("IFERROR(
  TEXTJOIN(CHAR(10),TRUE,FILTER('SUMMARY DATA'!G:G,'SUMMARY DATA'!$A:$A=$A1189,'SUMMARY DATA'!$C:$C=$B1189,'SUMMARY DATA'!$B:$B=""RWS"")),
  IF(
    OR(
      ISNUMBER(SEARCH(""CDM CASH DEPOSIT"",$C1189)),
      ISNUMBER(SEARCH(""CASH DEPOSIT"",$"&amp;"C1189)),
      COUNTIFS('SUMMARY DATA'!$D:$D,$C1189,'SUMMARY DATA'!$B:$B,""RWS"")&lt;&gt;1
    ),
    """",
    IFERROR(TEXTJOIN(CHAR(10),TRUE,FILTER('SUMMARY DATA'!G:G,'SUMMARY DATA'!$D:$D=$C1189,'SUMMARY DATA'!$B:$B=""RWS"")),"""")
  )
)"),"")</f>
      </c>
      <c r="H1189" s="18" t="str">
        <f>IFERROR(__xludf.DUMMYFUNCTION("IFERROR(
  TEXTJOIN(CHAR(10),TRUE,FILTER('SUMMARY DATA'!H:H,'SUMMARY DATA'!$A:$A=$A1189,'SUMMARY DATA'!$C:$C=$B1189,'SUMMARY DATA'!$B:$B=""RWS"",'SUMMARY DATA'!$H:$H=$D1189)),
  IF(
    OR(
      ISNUMBER(SEARCH(""CDM CASH DEPOSIT"",$C1189)),
      ISNUMB"&amp;"ER(SEARCH(""CASH DEPOSIT"",$C1189))
    ),
    """",
    IFERROR(TEXTJOIN(CHAR(10),TRUE,FILTER('SUMMARY DATA'!H:H,'SUMMARY DATA'!$D:$D=$C1189,'SUMMARY DATA'!$B:$B=""RWS"",'SUMMARY DATA'!$H:$H=$D1189)),"""")
  )
)"),"")</f>
      </c>
      <c r="I1189" s="18" t="str">
        <f>IFERROR(__xludf.DUMMYFUNCTION("IF(H1189="""","""",
SUM(ARRAYFORMULA(VALUE(SPLIT(H1189,CHAR(10)))))
)"),"")</f>
      </c>
      <c r="J1189" s="17" t="str">
        <f>IFERROR(__xludf.DUMMYFUNCTION("IFERROR(
  TEXTJOIN(CHAR(10),TRUE,FILTER('SUMMARY DATA'!I:I,'SUMMARY DATA'!$A:$A=$A1189,'SUMMARY DATA'!$C:$C=$B1189,'SUMMARY DATA'!$B:$B=""RWS"")),
  IF(
    OR(
      ISNUMBER(SEARCH(""CDM CASH DEPOSIT"",$C1189)),
      ISNUMBER(SEARCH(""CASH DEPOSIT"",$"&amp;"C1189)),
      COUNTIFS('SUMMARY DATA'!$D:$D,$C1189,'SUMMARY DATA'!$B:$B,""RWS"")&lt;&gt;1
    ),
    """",
    IFERROR(TEXTJOIN(CHAR(10),TRUE,FILTER('SUMMARY DATA'!I:I,'SUMMARY DATA'!$D:$D=$C1189,'SUMMARY DATA'!$B:$B=""RWS"")),"""")
  )
)"),"")</f>
      </c>
      <c r="K1189" s="2"/>
      <c r="L1189" s="2"/>
      <c r="M1189" s="2"/>
      <c r="N1189" s="2"/>
      <c r="O1189" s="2"/>
      <c r="P1189" s="2"/>
      <c r="Q1189" s="2"/>
      <c r="R1189" s="2"/>
      <c r="S1189" s="2"/>
      <c r="T1189" s="2"/>
      <c r="U1189" s="2"/>
      <c r="V1189" s="2"/>
      <c r="W1189" s="2"/>
      <c r="X1189" s="2"/>
      <c r="Y1189" s="2"/>
      <c r="Z1189" s="2"/>
      <c r="AA1189" s="2"/>
      <c r="AB1189" s="2"/>
    </row>
    <row r="1190" spans="1:28" customHeight="true">
      <c r="A1190" s="2"/>
      <c r="B1190" s="15">
        <v>45811</v>
      </c>
      <c r="C1190" s="2" t="s">
        <v>1730</v>
      </c>
      <c r="D1190" s="6">
        <v>46.97</v>
      </c>
      <c r="E1190" s="16" t="str">
        <f>IFERROR(__xludf.DUMMYFUNCTION("IFERROR(
  TEXTJOIN(CHAR(10),TRUE,FILTER('SUMMARY DATA'!E:E,'SUMMARY DATA'!$A:$A=$A291,'SUMMARY DATA'!$C:$C=$B291,'SUMMARY DATA'!$B:$B=""GRP"")),
  IF(
    OR(
      ISNUMBER(SEARCH(""CDM CASH DEPOSIT"",$C291)),
      ISNUMBER(SEARCH(""CASH DEPOSIT"",$C29"&amp;"1)),
      COUNTIFS('SUMMARY DATA'!$D:$D,$C291,'SUMMARY DATA'!$B:$B,""GRP"")&lt;&gt;1
    ),
    """",
    IFERROR(TEXTJOIN(CHAR(10),TRUE,FILTER('SUMMARY DATA'!E:E,'SUMMARY DATA'!$D:$D=$C291,'SUMMARY DATA'!$B:$B=""GRP"")),"""")
  )
)"),"")</f>
      </c>
      <c r="F1190" s="17" t="str">
        <f>IFERROR(__xludf.DUMMYFUNCTION("IFERROR(
  TEXTJOIN(CHAR(10),TRUE,FILTER('SUMMARY DATA'!F:F,'SUMMARY DATA'!$A:$A=$A291,'SUMMARY DATA'!$C:$C=$B291,'SUMMARY DATA'!$B:$B=""GRP"")),
  IF(
    OR(
      ISNUMBER(SEARCH(""CDM CASH DEPOSIT"",$C291)),
      ISNUMBER(SEARCH(""CASH DEPOSIT"",$C29"&amp;"1)),
      COUNTIFS('SUMMARY DATA'!$D:$D,$C291,'SUMMARY DATA'!$B:$B,""GRP"")&lt;&gt;1
    ),
    """",
    IFERROR(TEXTJOIN(CHAR(10),TRUE,FILTER('SUMMARY DATA'!F:F,'SUMMARY DATA'!$D:$D=$C291,'SUMMARY DATA'!$B:$B=""GRP"")),"""")
  )
)"),"")</f>
      </c>
      <c r="G1190" s="17" t="str">
        <f>IFERROR(__xludf.DUMMYFUNCTION("IFERROR(
  TEXTJOIN(CHAR(10),TRUE,FILTER('SUMMARY DATA'!G:G,'SUMMARY DATA'!$A:$A=$A1190,'SUMMARY DATA'!$C:$C=$B1190,'SUMMARY DATA'!$B:$B=""RWS"")),
  IF(
    OR(
      ISNUMBER(SEARCH(""CDM CASH DEPOSIT"",$C1190)),
      ISNUMBER(SEARCH(""CASH DEPOSIT"",$"&amp;"C1190)),
      COUNTIFS('SUMMARY DATA'!$D:$D,$C1190,'SUMMARY DATA'!$B:$B,""RWS"")&lt;&gt;1
    ),
    """",
    IFERROR(TEXTJOIN(CHAR(10),TRUE,FILTER('SUMMARY DATA'!G:G,'SUMMARY DATA'!$D:$D=$C1190,'SUMMARY DATA'!$B:$B=""RWS"")),"""")
  )
)"),"")</f>
      </c>
      <c r="H1190" s="18" t="str">
        <f>IFERROR(__xludf.DUMMYFUNCTION("IFERROR(
  TEXTJOIN(CHAR(10),TRUE,FILTER('SUMMARY DATA'!H:H,'SUMMARY DATA'!$A:$A=$A1190,'SUMMARY DATA'!$C:$C=$B1190,'SUMMARY DATA'!$B:$B=""RWS"",'SUMMARY DATA'!$H:$H=$D1190)),
  IF(
    OR(
      ISNUMBER(SEARCH(""CDM CASH DEPOSIT"",$C1190)),
      ISNUMB"&amp;"ER(SEARCH(""CASH DEPOSIT"",$C1190))
    ),
    """",
    IFERROR(TEXTJOIN(CHAR(10),TRUE,FILTER('SUMMARY DATA'!H:H,'SUMMARY DATA'!$D:$D=$C1190,'SUMMARY DATA'!$B:$B=""RWS"",'SUMMARY DATA'!$H:$H=$D1190)),"""")
  )
)"),"")</f>
      </c>
      <c r="I1190" s="18" t="str">
        <f>IFERROR(__xludf.DUMMYFUNCTION("IF(H1190="""","""",
SUM(ARRAYFORMULA(VALUE(SPLIT(H1190,CHAR(10)))))
)"),"")</f>
      </c>
      <c r="J1190" s="17" t="str">
        <f>IFERROR(__xludf.DUMMYFUNCTION("IFERROR(
  TEXTJOIN(CHAR(10),TRUE,FILTER('SUMMARY DATA'!I:I,'SUMMARY DATA'!$A:$A=$A1190,'SUMMARY DATA'!$C:$C=$B1190,'SUMMARY DATA'!$B:$B=""RWS"")),
  IF(
    OR(
      ISNUMBER(SEARCH(""CDM CASH DEPOSIT"",$C1190)),
      ISNUMBER(SEARCH(""CASH DEPOSIT"",$"&amp;"C1190)),
      COUNTIFS('SUMMARY DATA'!$D:$D,$C1190,'SUMMARY DATA'!$B:$B,""RWS"")&lt;&gt;1
    ),
    """",
    IFERROR(TEXTJOIN(CHAR(10),TRUE,FILTER('SUMMARY DATA'!I:I,'SUMMARY DATA'!$D:$D=$C1190,'SUMMARY DATA'!$B:$B=""RWS"")),"""")
  )
)"),"")</f>
      </c>
      <c r="K1190" s="2"/>
      <c r="L1190" s="2"/>
      <c r="M1190" s="2"/>
      <c r="N1190" s="2"/>
      <c r="O1190" s="2"/>
      <c r="P1190" s="2"/>
      <c r="Q1190" s="2"/>
      <c r="R1190" s="2"/>
      <c r="S1190" s="2"/>
      <c r="T1190" s="2"/>
      <c r="U1190" s="2"/>
      <c r="V1190" s="2"/>
      <c r="W1190" s="2"/>
      <c r="X1190" s="2"/>
      <c r="Y1190" s="2"/>
      <c r="Z1190" s="2"/>
      <c r="AA1190" s="2"/>
      <c r="AB1190" s="2"/>
    </row>
    <row r="1191" spans="1:28" customHeight="true">
      <c r="A1191" s="2" t="s">
        <v>73</v>
      </c>
      <c r="B1191" s="15">
        <v>45811</v>
      </c>
      <c r="C1191" s="2" t="s">
        <v>74</v>
      </c>
      <c r="D1191" s="6">
        <v>4</v>
      </c>
      <c r="E1191" s="16" t="str">
        <f>IFERROR(__xludf.DUMMYFUNCTION("IFERROR(
  TEXTJOIN(CHAR(10),TRUE,FILTER('SUMMARY DATA'!E:E,'SUMMARY DATA'!$A:$A=$A292,'SUMMARY DATA'!$C:$C=$B292,'SUMMARY DATA'!$B:$B=""GRP"")),
  IF(
    OR(
      ISNUMBER(SEARCH(""CDM CASH DEPOSIT"",$C292)),
      ISNUMBER(SEARCH(""CASH DEPOSIT"",$C29"&amp;"2)),
      COUNTIFS('SUMMARY DATA'!$D:$D,$C292,'SUMMARY DATA'!$B:$B,""GRP"")&lt;&gt;1
    ),
    """",
    IFERROR(TEXTJOIN(CHAR(10),TRUE,FILTER('SUMMARY DATA'!E:E,'SUMMARY DATA'!$D:$D=$C292,'SUMMARY DATA'!$B:$B=""GRP"")),"""")
  )
)"),"")</f>
      </c>
      <c r="F1191" s="17" t="str">
        <f>IFERROR(__xludf.DUMMYFUNCTION("IFERROR(
  TEXTJOIN(CHAR(10),TRUE,FILTER('SUMMARY DATA'!F:F,'SUMMARY DATA'!$A:$A=$A292,'SUMMARY DATA'!$C:$C=$B292,'SUMMARY DATA'!$B:$B=""GRP"")),
  IF(
    OR(
      ISNUMBER(SEARCH(""CDM CASH DEPOSIT"",$C292)),
      ISNUMBER(SEARCH(""CASH DEPOSIT"",$C29"&amp;"2)),
      COUNTIFS('SUMMARY DATA'!$D:$D,$C292,'SUMMARY DATA'!$B:$B,""GRP"")&lt;&gt;1
    ),
    """",
    IFERROR(TEXTJOIN(CHAR(10),TRUE,FILTER('SUMMARY DATA'!F:F,'SUMMARY DATA'!$D:$D=$C292,'SUMMARY DATA'!$B:$B=""GRP"")),"""")
  )
)"),"")</f>
      </c>
      <c r="G1191" s="17" t="str">
        <f>IFERROR(__xludf.DUMMYFUNCTION("IFERROR(
  TEXTJOIN(CHAR(10),TRUE,FILTER('SUMMARY DATA'!G:G,'SUMMARY DATA'!$A:$A=$A1191,'SUMMARY DATA'!$C:$C=$B1191,'SUMMARY DATA'!$B:$B=""RWS"")),
  IF(
    OR(
      ISNUMBER(SEARCH(""CDM CASH DEPOSIT"",$C1191)),
      ISNUMBER(SEARCH(""CASH DEPOSIT"",$"&amp;"C1191)),
      COUNTIFS('SUMMARY DATA'!$D:$D,$C1191,'SUMMARY DATA'!$B:$B,""RWS"")&lt;&gt;1
    ),
    """",
    IFERROR(TEXTJOIN(CHAR(10),TRUE,FILTER('SUMMARY DATA'!G:G,'SUMMARY DATA'!$D:$D=$C1191,'SUMMARY DATA'!$B:$B=""RWS"")),"""")
  )
)"),"")</f>
      </c>
      <c r="H1191" s="18" t="str">
        <f>IFERROR(__xludf.DUMMYFUNCTION("IFERROR(
  TEXTJOIN(CHAR(10),TRUE,FILTER('SUMMARY DATA'!H:H,'SUMMARY DATA'!$A:$A=$A1191,'SUMMARY DATA'!$C:$C=$B1191,'SUMMARY DATA'!$B:$B=""RWS"",'SUMMARY DATA'!$H:$H=$D1191)),
  IF(
    OR(
      ISNUMBER(SEARCH(""CDM CASH DEPOSIT"",$C1191)),
      ISNUMB"&amp;"ER(SEARCH(""CASH DEPOSIT"",$C1191))
    ),
    """",
    IFERROR(TEXTJOIN(CHAR(10),TRUE,FILTER('SUMMARY DATA'!H:H,'SUMMARY DATA'!$D:$D=$C1191,'SUMMARY DATA'!$B:$B=""RWS"",'SUMMARY DATA'!$H:$H=$D1191)),"""")
  )
)"),"")</f>
      </c>
      <c r="I1191" s="18" t="str">
        <f>IFERROR(__xludf.DUMMYFUNCTION("IF(H1191="""","""",
SUM(ARRAYFORMULA(VALUE(SPLIT(H1191,CHAR(10)))))
)"),"")</f>
      </c>
      <c r="J1191" s="17" t="str">
        <f>IFERROR(__xludf.DUMMYFUNCTION("IFERROR(
  TEXTJOIN(CHAR(10),TRUE,FILTER('SUMMARY DATA'!I:I,'SUMMARY DATA'!$A:$A=$A1191,'SUMMARY DATA'!$C:$C=$B1191,'SUMMARY DATA'!$B:$B=""RWS"")),
  IF(
    OR(
      ISNUMBER(SEARCH(""CDM CASH DEPOSIT"",$C1191)),
      ISNUMBER(SEARCH(""CASH DEPOSIT"",$"&amp;"C1191)),
      COUNTIFS('SUMMARY DATA'!$D:$D,$C1191,'SUMMARY DATA'!$B:$B,""RWS"")&lt;&gt;1
    ),
    """",
    IFERROR(TEXTJOIN(CHAR(10),TRUE,FILTER('SUMMARY DATA'!I:I,'SUMMARY DATA'!$D:$D=$C1191,'SUMMARY DATA'!$B:$B=""RWS"")),"""")
  )
)"),"")</f>
      </c>
      <c r="K1191" s="2"/>
      <c r="L1191" s="2"/>
      <c r="M1191" s="2"/>
      <c r="N1191" s="2"/>
      <c r="O1191" s="2"/>
      <c r="P1191" s="2"/>
      <c r="Q1191" s="2"/>
      <c r="R1191" s="2"/>
      <c r="S1191" s="2"/>
      <c r="T1191" s="2"/>
      <c r="U1191" s="2"/>
      <c r="V1191" s="2"/>
      <c r="W1191" s="2"/>
      <c r="X1191" s="2"/>
      <c r="Y1191" s="2"/>
      <c r="Z1191" s="2"/>
      <c r="AA1191" s="2"/>
      <c r="AB1191" s="2"/>
    </row>
    <row r="1192" spans="1:28" customHeight="true">
      <c r="A1192" s="2" t="s">
        <v>1446</v>
      </c>
      <c r="B1192" s="15">
        <v>45812</v>
      </c>
      <c r="C1192" s="2" t="s">
        <v>1731</v>
      </c>
      <c r="D1192" s="6">
        <v>96</v>
      </c>
      <c r="E1192" s="16" t="str">
        <f>IFERROR(__xludf.DUMMYFUNCTION("IFERROR(
  TEXTJOIN(CHAR(10),TRUE,FILTER('SUMMARY DATA'!E:E,'SUMMARY DATA'!$A:$A=$A293,'SUMMARY DATA'!$C:$C=$B293,'SUMMARY DATA'!$B:$B=""GRP"")),
  IF(
    OR(
      ISNUMBER(SEARCH(""CDM CASH DEPOSIT"",$C293)),
      ISNUMBER(SEARCH(""CASH DEPOSIT"",$C29"&amp;"3)),
      COUNTIFS('SUMMARY DATA'!$D:$D,$C293,'SUMMARY DATA'!$B:$B,""GRP"")&lt;&gt;1
    ),
    """",
    IFERROR(TEXTJOIN(CHAR(10),TRUE,FILTER('SUMMARY DATA'!E:E,'SUMMARY DATA'!$D:$D=$C293,'SUMMARY DATA'!$B:$B=""GRP"")),"""")
  )
)"),"")</f>
      </c>
      <c r="F1192" s="17" t="str">
        <f>IFERROR(__xludf.DUMMYFUNCTION("IFERROR(
  TEXTJOIN(CHAR(10),TRUE,FILTER('SUMMARY DATA'!F:F,'SUMMARY DATA'!$A:$A=$A293,'SUMMARY DATA'!$C:$C=$B293,'SUMMARY DATA'!$B:$B=""GRP"")),
  IF(
    OR(
      ISNUMBER(SEARCH(""CDM CASH DEPOSIT"",$C293)),
      ISNUMBER(SEARCH(""CASH DEPOSIT"",$C29"&amp;"3)),
      COUNTIFS('SUMMARY DATA'!$D:$D,$C293,'SUMMARY DATA'!$B:$B,""GRP"")&lt;&gt;1
    ),
    """",
    IFERROR(TEXTJOIN(CHAR(10),TRUE,FILTER('SUMMARY DATA'!F:F,'SUMMARY DATA'!$D:$D=$C293,'SUMMARY DATA'!$B:$B=""GRP"")),"""")
  )
)"),"")</f>
      </c>
      <c r="G1192" s="17" t="str">
        <f>IFERROR(__xludf.DUMMYFUNCTION("IFERROR(
  TEXTJOIN(CHAR(10),TRUE,FILTER('SUMMARY DATA'!G:G,'SUMMARY DATA'!$A:$A=$A1192,'SUMMARY DATA'!$C:$C=$B1192,'SUMMARY DATA'!$B:$B=""RWS"")),
  IF(
    OR(
      ISNUMBER(SEARCH(""CDM CASH DEPOSIT"",$C1192)),
      ISNUMBER(SEARCH(""CASH DEPOSIT"",$"&amp;"C1192)),
      COUNTIFS('SUMMARY DATA'!$D:$D,$C1192,'SUMMARY DATA'!$B:$B,""RWS"")&lt;&gt;1
    ),
    """",
    IFERROR(TEXTJOIN(CHAR(10),TRUE,FILTER('SUMMARY DATA'!G:G,'SUMMARY DATA'!$D:$D=$C1192,'SUMMARY DATA'!$B:$B=""RWS"")),"""")
  )
)"),"")</f>
      </c>
      <c r="H1192" s="18" t="str">
        <f>IFERROR(__xludf.DUMMYFUNCTION("IFERROR(
  TEXTJOIN(CHAR(10),TRUE,FILTER('SUMMARY DATA'!H:H,'SUMMARY DATA'!$A:$A=$A1192,'SUMMARY DATA'!$C:$C=$B1192,'SUMMARY DATA'!$B:$B=""RWS"",'SUMMARY DATA'!$H:$H=$D1192)),
  IF(
    OR(
      ISNUMBER(SEARCH(""CDM CASH DEPOSIT"",$C1192)),
      ISNUMB"&amp;"ER(SEARCH(""CASH DEPOSIT"",$C1192))
    ),
    """",
    IFERROR(TEXTJOIN(CHAR(10),TRUE,FILTER('SUMMARY DATA'!H:H,'SUMMARY DATA'!$D:$D=$C1192,'SUMMARY DATA'!$B:$B=""RWS"",'SUMMARY DATA'!$H:$H=$D1192)),"""")
  )
)"),"")</f>
      </c>
      <c r="I1192" s="18" t="str">
        <f>IFERROR(__xludf.DUMMYFUNCTION("IF(H1192="""","""",
SUM(ARRAYFORMULA(VALUE(SPLIT(H1192,CHAR(10)))))
)"),"")</f>
      </c>
      <c r="J1192" s="17" t="str">
        <f>IFERROR(__xludf.DUMMYFUNCTION("IFERROR(
  TEXTJOIN(CHAR(10),TRUE,FILTER('SUMMARY DATA'!I:I,'SUMMARY DATA'!$A:$A=$A1192,'SUMMARY DATA'!$C:$C=$B1192,'SUMMARY DATA'!$B:$B=""RWS"")),
  IF(
    OR(
      ISNUMBER(SEARCH(""CDM CASH DEPOSIT"",$C1192)),
      ISNUMBER(SEARCH(""CASH DEPOSIT"",$"&amp;"C1192)),
      COUNTIFS('SUMMARY DATA'!$D:$D,$C1192,'SUMMARY DATA'!$B:$B,""RWS"")&lt;&gt;1
    ),
    """",
    IFERROR(TEXTJOIN(CHAR(10),TRUE,FILTER('SUMMARY DATA'!I:I,'SUMMARY DATA'!$D:$D=$C1192,'SUMMARY DATA'!$B:$B=""RWS"")),"""")
  )
)"),"")</f>
      </c>
      <c r="K1192" s="2"/>
      <c r="L1192" s="2"/>
      <c r="M1192" s="2"/>
      <c r="N1192" s="2"/>
      <c r="O1192" s="2"/>
      <c r="P1192" s="2"/>
      <c r="Q1192" s="2"/>
      <c r="R1192" s="2"/>
      <c r="S1192" s="2"/>
      <c r="T1192" s="2"/>
      <c r="U1192" s="2"/>
      <c r="V1192" s="2"/>
      <c r="W1192" s="2"/>
      <c r="X1192" s="2"/>
      <c r="Y1192" s="2"/>
      <c r="Z1192" s="2"/>
      <c r="AA1192" s="2"/>
      <c r="AB1192" s="2"/>
    </row>
    <row r="1193" spans="1:28" customHeight="true">
      <c r="A1193" s="2"/>
      <c r="B1193" s="15">
        <v>45812</v>
      </c>
      <c r="C1193" s="2" t="s">
        <v>1729</v>
      </c>
      <c r="D1193" s="6">
        <v>56</v>
      </c>
      <c r="E1193" s="16" t="str">
        <f>IFERROR(__xludf.DUMMYFUNCTION("IFERROR(
  TEXTJOIN(CHAR(10),TRUE,FILTER('SUMMARY DATA'!E:E,'SUMMARY DATA'!$A:$A=$A294,'SUMMARY DATA'!$C:$C=$B294,'SUMMARY DATA'!$B:$B=""GRP"")),
  IF(
    OR(
      ISNUMBER(SEARCH(""CDM CASH DEPOSIT"",$C294)),
      ISNUMBER(SEARCH(""CASH DEPOSIT"",$C29"&amp;"4)),
      COUNTIFS('SUMMARY DATA'!$D:$D,$C294,'SUMMARY DATA'!$B:$B,""GRP"")&lt;&gt;1
    ),
    """",
    IFERROR(TEXTJOIN(CHAR(10),TRUE,FILTER('SUMMARY DATA'!E:E,'SUMMARY DATA'!$D:$D=$C294,'SUMMARY DATA'!$B:$B=""GRP"")),"""")
  )
)"),"")</f>
      </c>
      <c r="F1193" s="17" t="str">
        <f>IFERROR(__xludf.DUMMYFUNCTION("IFERROR(
  TEXTJOIN(CHAR(10),TRUE,FILTER('SUMMARY DATA'!F:F,'SUMMARY DATA'!$A:$A=$A294,'SUMMARY DATA'!$C:$C=$B294,'SUMMARY DATA'!$B:$B=""GRP"")),
  IF(
    OR(
      ISNUMBER(SEARCH(""CDM CASH DEPOSIT"",$C294)),
      ISNUMBER(SEARCH(""CASH DEPOSIT"",$C29"&amp;"4)),
      COUNTIFS('SUMMARY DATA'!$D:$D,$C294,'SUMMARY DATA'!$B:$B,""GRP"")&lt;&gt;1
    ),
    """",
    IFERROR(TEXTJOIN(CHAR(10),TRUE,FILTER('SUMMARY DATA'!F:F,'SUMMARY DATA'!$D:$D=$C294,'SUMMARY DATA'!$B:$B=""GRP"")),"""")
  )
)"),"")</f>
      </c>
      <c r="G1193" s="17" t="str">
        <f>IFERROR(__xludf.DUMMYFUNCTION("IFERROR(
  TEXTJOIN(CHAR(10),TRUE,FILTER('SUMMARY DATA'!G:G,'SUMMARY DATA'!$A:$A=$A1193,'SUMMARY DATA'!$C:$C=$B1193,'SUMMARY DATA'!$B:$B=""RWS"")),
  IF(
    OR(
      ISNUMBER(SEARCH(""CDM CASH DEPOSIT"",$C1193)),
      ISNUMBER(SEARCH(""CASH DEPOSIT"",$"&amp;"C1193)),
      COUNTIFS('SUMMARY DATA'!$D:$D,$C1193,'SUMMARY DATA'!$B:$B,""RWS"")&lt;&gt;1
    ),
    """",
    IFERROR(TEXTJOIN(CHAR(10),TRUE,FILTER('SUMMARY DATA'!G:G,'SUMMARY DATA'!$D:$D=$C1193,'SUMMARY DATA'!$B:$B=""RWS"")),"""")
  )
)"),"")</f>
      </c>
      <c r="H1193" s="18" t="str">
        <f>IFERROR(__xludf.DUMMYFUNCTION("IFERROR(
  TEXTJOIN(CHAR(10),TRUE,FILTER('SUMMARY DATA'!H:H,'SUMMARY DATA'!$A:$A=$A1193,'SUMMARY DATA'!$C:$C=$B1193,'SUMMARY DATA'!$B:$B=""RWS"",'SUMMARY DATA'!$H:$H=$D1193)),
  IF(
    OR(
      ISNUMBER(SEARCH(""CDM CASH DEPOSIT"",$C1193)),
      ISNUMB"&amp;"ER(SEARCH(""CASH DEPOSIT"",$C1193))
    ),
    """",
    IFERROR(TEXTJOIN(CHAR(10),TRUE,FILTER('SUMMARY DATA'!H:H,'SUMMARY DATA'!$D:$D=$C1193,'SUMMARY DATA'!$B:$B=""RWS"",'SUMMARY DATA'!$H:$H=$D1193)),"""")
  )
)"),"")</f>
      </c>
      <c r="I1193" s="18" t="str">
        <f>IFERROR(__xludf.DUMMYFUNCTION("IF(H1193="""","""",
SUM(ARRAYFORMULA(VALUE(SPLIT(H1193,CHAR(10)))))
)"),"")</f>
      </c>
      <c r="J1193" s="17" t="str">
        <f>IFERROR(__xludf.DUMMYFUNCTION("IFERROR(
  TEXTJOIN(CHAR(10),TRUE,FILTER('SUMMARY DATA'!I:I,'SUMMARY DATA'!$A:$A=$A1193,'SUMMARY DATA'!$C:$C=$B1193,'SUMMARY DATA'!$B:$B=""RWS"")),
  IF(
    OR(
      ISNUMBER(SEARCH(""CDM CASH DEPOSIT"",$C1193)),
      ISNUMBER(SEARCH(""CASH DEPOSIT"",$"&amp;"C1193)),
      COUNTIFS('SUMMARY DATA'!$D:$D,$C1193,'SUMMARY DATA'!$B:$B,""RWS"")&lt;&gt;1
    ),
    """",
    IFERROR(TEXTJOIN(CHAR(10),TRUE,FILTER('SUMMARY DATA'!I:I,'SUMMARY DATA'!$D:$D=$C1193,'SUMMARY DATA'!$B:$B=""RWS"")),"""")
  )
)"),"")</f>
      </c>
      <c r="K1193" s="2"/>
      <c r="L1193" s="2"/>
      <c r="M1193" s="2"/>
      <c r="N1193" s="2"/>
      <c r="O1193" s="2"/>
      <c r="P1193" s="2"/>
      <c r="Q1193" s="2"/>
      <c r="R1193" s="2"/>
      <c r="S1193" s="2"/>
      <c r="T1193" s="2"/>
      <c r="U1193" s="2"/>
      <c r="V1193" s="2"/>
      <c r="W1193" s="2"/>
      <c r="X1193" s="2"/>
      <c r="Y1193" s="2"/>
      <c r="Z1193" s="2"/>
      <c r="AA1193" s="2"/>
      <c r="AB1193" s="2"/>
    </row>
    <row r="1194" spans="1:28" customHeight="true">
      <c r="A1194" s="2"/>
      <c r="B1194" s="15">
        <v>45812</v>
      </c>
      <c r="C1194" s="2" t="s">
        <v>1534</v>
      </c>
      <c r="D1194" s="6">
        <v>10</v>
      </c>
      <c r="E1194" s="16" t="str">
        <f>IFERROR(__xludf.DUMMYFUNCTION("IFERROR(
  TEXTJOIN(CHAR(10),TRUE,FILTER('SUMMARY DATA'!E:E,'SUMMARY DATA'!$A:$A=$A295,'SUMMARY DATA'!$C:$C=$B295,'SUMMARY DATA'!$B:$B=""GRP"")),
  IF(
    OR(
      ISNUMBER(SEARCH(""CDM CASH DEPOSIT"",$C295)),
      ISNUMBER(SEARCH(""CASH DEPOSIT"",$C29"&amp;"5)),
      COUNTIFS('SUMMARY DATA'!$D:$D,$C295,'SUMMARY DATA'!$B:$B,""GRP"")&lt;&gt;1
    ),
    """",
    IFERROR(TEXTJOIN(CHAR(10),TRUE,FILTER('SUMMARY DATA'!E:E,'SUMMARY DATA'!$D:$D=$C295,'SUMMARY DATA'!$B:$B=""GRP"")),"""")
  )
)"),"")</f>
      </c>
      <c r="F1194" s="17" t="str">
        <f>IFERROR(__xludf.DUMMYFUNCTION("IFERROR(
  TEXTJOIN(CHAR(10),TRUE,FILTER('SUMMARY DATA'!F:F,'SUMMARY DATA'!$A:$A=$A295,'SUMMARY DATA'!$C:$C=$B295,'SUMMARY DATA'!$B:$B=""GRP"")),
  IF(
    OR(
      ISNUMBER(SEARCH(""CDM CASH DEPOSIT"",$C295)),
      ISNUMBER(SEARCH(""CASH DEPOSIT"",$C29"&amp;"5)),
      COUNTIFS('SUMMARY DATA'!$D:$D,$C295,'SUMMARY DATA'!$B:$B,""GRP"")&lt;&gt;1
    ),
    """",
    IFERROR(TEXTJOIN(CHAR(10),TRUE,FILTER('SUMMARY DATA'!F:F,'SUMMARY DATA'!$D:$D=$C295,'SUMMARY DATA'!$B:$B=""GRP"")),"""")
  )
)"),"")</f>
      </c>
      <c r="G1194" s="17" t="str">
        <f>IFERROR(__xludf.DUMMYFUNCTION("IFERROR(
  TEXTJOIN(CHAR(10),TRUE,FILTER('SUMMARY DATA'!G:G,'SUMMARY DATA'!$A:$A=$A1194,'SUMMARY DATA'!$C:$C=$B1194,'SUMMARY DATA'!$B:$B=""RWS"")),
  IF(
    OR(
      ISNUMBER(SEARCH(""CDM CASH DEPOSIT"",$C1194)),
      ISNUMBER(SEARCH(""CASH DEPOSIT"",$"&amp;"C1194)),
      COUNTIFS('SUMMARY DATA'!$D:$D,$C1194,'SUMMARY DATA'!$B:$B,""RWS"")&lt;&gt;1
    ),
    """",
    IFERROR(TEXTJOIN(CHAR(10),TRUE,FILTER('SUMMARY DATA'!G:G,'SUMMARY DATA'!$D:$D=$C1194,'SUMMARY DATA'!$B:$B=""RWS"")),"""")
  )
)"),"")</f>
      </c>
      <c r="H1194" s="18" t="str">
        <f>IFERROR(__xludf.DUMMYFUNCTION("IFERROR(
  TEXTJOIN(CHAR(10),TRUE,FILTER('SUMMARY DATA'!H:H,'SUMMARY DATA'!$A:$A=$A1194,'SUMMARY DATA'!$C:$C=$B1194,'SUMMARY DATA'!$B:$B=""RWS"",'SUMMARY DATA'!$H:$H=$D1194)),
  IF(
    OR(
      ISNUMBER(SEARCH(""CDM CASH DEPOSIT"",$C1194)),
      ISNUMB"&amp;"ER(SEARCH(""CASH DEPOSIT"",$C1194))
    ),
    """",
    IFERROR(TEXTJOIN(CHAR(10),TRUE,FILTER('SUMMARY DATA'!H:H,'SUMMARY DATA'!$D:$D=$C1194,'SUMMARY DATA'!$B:$B=""RWS"",'SUMMARY DATA'!$H:$H=$D1194)),"""")
  )
)"),"")</f>
      </c>
      <c r="I1194" s="18" t="str">
        <f>IFERROR(__xludf.DUMMYFUNCTION("IF(H1194="""","""",
SUM(ARRAYFORMULA(VALUE(SPLIT(H1194,CHAR(10)))))
)"),"")</f>
      </c>
      <c r="J1194" s="17" t="str">
        <f>IFERROR(__xludf.DUMMYFUNCTION("IFERROR(
  TEXTJOIN(CHAR(10),TRUE,FILTER('SUMMARY DATA'!I:I,'SUMMARY DATA'!$A:$A=$A1194,'SUMMARY DATA'!$C:$C=$B1194,'SUMMARY DATA'!$B:$B=""RWS"")),
  IF(
    OR(
      ISNUMBER(SEARCH(""CDM CASH DEPOSIT"",$C1194)),
      ISNUMBER(SEARCH(""CASH DEPOSIT"",$"&amp;"C1194)),
      COUNTIFS('SUMMARY DATA'!$D:$D,$C1194,'SUMMARY DATA'!$B:$B,""RWS"")&lt;&gt;1
    ),
    """",
    IFERROR(TEXTJOIN(CHAR(10),TRUE,FILTER('SUMMARY DATA'!I:I,'SUMMARY DATA'!$D:$D=$C1194,'SUMMARY DATA'!$B:$B=""RWS"")),"""")
  )
)"),"")</f>
      </c>
      <c r="K1194" s="2"/>
      <c r="L1194" s="2"/>
      <c r="M1194" s="2"/>
      <c r="N1194" s="2"/>
      <c r="O1194" s="2"/>
      <c r="P1194" s="2"/>
      <c r="Q1194" s="2"/>
      <c r="R1194" s="2"/>
      <c r="S1194" s="2"/>
      <c r="T1194" s="2"/>
      <c r="U1194" s="2"/>
      <c r="V1194" s="2"/>
      <c r="W1194" s="2"/>
      <c r="X1194" s="2"/>
      <c r="Y1194" s="2"/>
      <c r="Z1194" s="2"/>
      <c r="AA1194" s="2"/>
      <c r="AB1194" s="2"/>
    </row>
    <row r="1195" spans="1:28" customHeight="true">
      <c r="A1195" s="2"/>
      <c r="B1195" s="15">
        <v>45812</v>
      </c>
      <c r="C1195" s="2" t="s">
        <v>1732</v>
      </c>
      <c r="D1195" s="6">
        <v>10</v>
      </c>
      <c r="E1195" s="16" t="str">
        <f>IFERROR(__xludf.DUMMYFUNCTION("IFERROR(
  TEXTJOIN(CHAR(10),TRUE,FILTER('SUMMARY DATA'!E:E,'SUMMARY DATA'!$A:$A=$A296,'SUMMARY DATA'!$C:$C=$B296,'SUMMARY DATA'!$B:$B=""GRP"")),
  IF(
    OR(
      ISNUMBER(SEARCH(""CDM CASH DEPOSIT"",$C296)),
      ISNUMBER(SEARCH(""CASH DEPOSIT"",$C29"&amp;"6)),
      COUNTIFS('SUMMARY DATA'!$D:$D,$C296,'SUMMARY DATA'!$B:$B,""GRP"")&lt;&gt;1
    ),
    """",
    IFERROR(TEXTJOIN(CHAR(10),TRUE,FILTER('SUMMARY DATA'!E:E,'SUMMARY DATA'!$D:$D=$C296,'SUMMARY DATA'!$B:$B=""GRP"")),"""")
  )
)"),"")</f>
      </c>
      <c r="F1195" s="17" t="str">
        <f>IFERROR(__xludf.DUMMYFUNCTION("IFERROR(
  TEXTJOIN(CHAR(10),TRUE,FILTER('SUMMARY DATA'!F:F,'SUMMARY DATA'!$A:$A=$A296,'SUMMARY DATA'!$C:$C=$B296,'SUMMARY DATA'!$B:$B=""GRP"")),
  IF(
    OR(
      ISNUMBER(SEARCH(""CDM CASH DEPOSIT"",$C296)),
      ISNUMBER(SEARCH(""CASH DEPOSIT"",$C29"&amp;"6)),
      COUNTIFS('SUMMARY DATA'!$D:$D,$C296,'SUMMARY DATA'!$B:$B,""GRP"")&lt;&gt;1
    ),
    """",
    IFERROR(TEXTJOIN(CHAR(10),TRUE,FILTER('SUMMARY DATA'!F:F,'SUMMARY DATA'!$D:$D=$C296,'SUMMARY DATA'!$B:$B=""GRP"")),"""")
  )
)"),"")</f>
      </c>
      <c r="G1195" s="17" t="str">
        <f>IFERROR(__xludf.DUMMYFUNCTION("IFERROR(
  TEXTJOIN(CHAR(10),TRUE,FILTER('SUMMARY DATA'!G:G,'SUMMARY DATA'!$A:$A=$A1195,'SUMMARY DATA'!$C:$C=$B1195,'SUMMARY DATA'!$B:$B=""RWS"")),
  IF(
    OR(
      ISNUMBER(SEARCH(""CDM CASH DEPOSIT"",$C1195)),
      ISNUMBER(SEARCH(""CASH DEPOSIT"",$"&amp;"C1195)),
      COUNTIFS('SUMMARY DATA'!$D:$D,$C1195,'SUMMARY DATA'!$B:$B,""RWS"")&lt;&gt;1
    ),
    """",
    IFERROR(TEXTJOIN(CHAR(10),TRUE,FILTER('SUMMARY DATA'!G:G,'SUMMARY DATA'!$D:$D=$C1195,'SUMMARY DATA'!$B:$B=""RWS"")),"""")
  )
)"),"")</f>
      </c>
      <c r="H1195" s="18" t="str">
        <f>IFERROR(__xludf.DUMMYFUNCTION("IFERROR(
  TEXTJOIN(CHAR(10),TRUE,FILTER('SUMMARY DATA'!H:H,'SUMMARY DATA'!$A:$A=$A1195,'SUMMARY DATA'!$C:$C=$B1195,'SUMMARY DATA'!$B:$B=""RWS"",'SUMMARY DATA'!$H:$H=$D1195)),
  IF(
    OR(
      ISNUMBER(SEARCH(""CDM CASH DEPOSIT"",$C1195)),
      ISNUMB"&amp;"ER(SEARCH(""CASH DEPOSIT"",$C1195))
    ),
    """",
    IFERROR(TEXTJOIN(CHAR(10),TRUE,FILTER('SUMMARY DATA'!H:H,'SUMMARY DATA'!$D:$D=$C1195,'SUMMARY DATA'!$B:$B=""RWS"",'SUMMARY DATA'!$H:$H=$D1195)),"""")
  )
)"),"")</f>
      </c>
      <c r="I1195" s="18" t="str">
        <f>IFERROR(__xludf.DUMMYFUNCTION("IF(H1195="""","""",
SUM(ARRAYFORMULA(VALUE(SPLIT(H1195,CHAR(10)))))
)"),"")</f>
      </c>
      <c r="J1195" s="17" t="str">
        <f>IFERROR(__xludf.DUMMYFUNCTION("IFERROR(
  TEXTJOIN(CHAR(10),TRUE,FILTER('SUMMARY DATA'!I:I,'SUMMARY DATA'!$A:$A=$A1195,'SUMMARY DATA'!$C:$C=$B1195,'SUMMARY DATA'!$B:$B=""RWS"")),
  IF(
    OR(
      ISNUMBER(SEARCH(""CDM CASH DEPOSIT"",$C1195)),
      ISNUMBER(SEARCH(""CASH DEPOSIT"",$"&amp;"C1195)),
      COUNTIFS('SUMMARY DATA'!$D:$D,$C1195,'SUMMARY DATA'!$B:$B,""RWS"")&lt;&gt;1
    ),
    """",
    IFERROR(TEXTJOIN(CHAR(10),TRUE,FILTER('SUMMARY DATA'!I:I,'SUMMARY DATA'!$D:$D=$C1195,'SUMMARY DATA'!$B:$B=""RWS"")),"""")
  )
)"),"")</f>
      </c>
      <c r="K1195" s="2"/>
      <c r="L1195" s="2"/>
      <c r="M1195" s="2"/>
      <c r="N1195" s="2"/>
      <c r="O1195" s="2"/>
      <c r="P1195" s="2"/>
      <c r="Q1195" s="2"/>
      <c r="R1195" s="2"/>
      <c r="S1195" s="2"/>
      <c r="T1195" s="2"/>
      <c r="U1195" s="2"/>
      <c r="V1195" s="2"/>
      <c r="W1195" s="2"/>
      <c r="X1195" s="2"/>
      <c r="Y1195" s="2"/>
      <c r="Z1195" s="2"/>
      <c r="AA1195" s="2"/>
      <c r="AB1195" s="2"/>
    </row>
    <row r="1196" spans="1:28" customHeight="true">
      <c r="A1196" s="2"/>
      <c r="B1196" s="15">
        <v>45813</v>
      </c>
      <c r="C1196" s="2" t="s">
        <v>1733</v>
      </c>
      <c r="D1196" s="6">
        <v>1197</v>
      </c>
      <c r="E1196" s="16" t="str">
        <f>IFERROR(__xludf.DUMMYFUNCTION("IFERROR(
  TEXTJOIN(CHAR(10),TRUE,FILTER('SUMMARY DATA'!E:E,'SUMMARY DATA'!$A:$A=$A297,'SUMMARY DATA'!$C:$C=$B297,'SUMMARY DATA'!$B:$B=""GRP"")),
  IF(
    OR(
      ISNUMBER(SEARCH(""CDM CASH DEPOSIT"",$C297)),
      ISNUMBER(SEARCH(""CASH DEPOSIT"",$C29"&amp;"7)),
      COUNTIFS('SUMMARY DATA'!$D:$D,$C297,'SUMMARY DATA'!$B:$B,""GRP"")&lt;&gt;1
    ),
    """",
    IFERROR(TEXTJOIN(CHAR(10),TRUE,FILTER('SUMMARY DATA'!E:E,'SUMMARY DATA'!$D:$D=$C297,'SUMMARY DATA'!$B:$B=""GRP"")),"""")
  )
)"),"")</f>
      </c>
      <c r="F1196" s="17" t="str">
        <f>IFERROR(__xludf.DUMMYFUNCTION("IFERROR(
  TEXTJOIN(CHAR(10),TRUE,FILTER('SUMMARY DATA'!F:F,'SUMMARY DATA'!$A:$A=$A297,'SUMMARY DATA'!$C:$C=$B297,'SUMMARY DATA'!$B:$B=""GRP"")),
  IF(
    OR(
      ISNUMBER(SEARCH(""CDM CASH DEPOSIT"",$C297)),
      ISNUMBER(SEARCH(""CASH DEPOSIT"",$C29"&amp;"7)),
      COUNTIFS('SUMMARY DATA'!$D:$D,$C297,'SUMMARY DATA'!$B:$B,""GRP"")&lt;&gt;1
    ),
    """",
    IFERROR(TEXTJOIN(CHAR(10),TRUE,FILTER('SUMMARY DATA'!F:F,'SUMMARY DATA'!$D:$D=$C297,'SUMMARY DATA'!$B:$B=""GRP"")),"""")
  )
)"),"")</f>
      </c>
      <c r="G1196" s="17" t="str">
        <f>IFERROR(__xludf.DUMMYFUNCTION("IFERROR(
  TEXTJOIN(CHAR(10),TRUE,FILTER('SUMMARY DATA'!G:G,'SUMMARY DATA'!$A:$A=$A1196,'SUMMARY DATA'!$C:$C=$B1196,'SUMMARY DATA'!$B:$B=""RWS"")),
  IF(
    OR(
      ISNUMBER(SEARCH(""CDM CASH DEPOSIT"",$C1196)),
      ISNUMBER(SEARCH(""CASH DEPOSIT"",$"&amp;"C1196)),
      COUNTIFS('SUMMARY DATA'!$D:$D,$C1196,'SUMMARY DATA'!$B:$B,""RWS"")&lt;&gt;1
    ),
    """",
    IFERROR(TEXTJOIN(CHAR(10),TRUE,FILTER('SUMMARY DATA'!G:G,'SUMMARY DATA'!$D:$D=$C1196,'SUMMARY DATA'!$B:$B=""RWS"")),"""")
  )
)"),"")</f>
      </c>
      <c r="H1196" s="18" t="str">
        <f>IFERROR(__xludf.DUMMYFUNCTION("IFERROR(
  TEXTJOIN(CHAR(10),TRUE,FILTER('SUMMARY DATA'!H:H,'SUMMARY DATA'!$A:$A=$A1196,'SUMMARY DATA'!$C:$C=$B1196,'SUMMARY DATA'!$B:$B=""RWS"",'SUMMARY DATA'!$H:$H=$D1196)),
  IF(
    OR(
      ISNUMBER(SEARCH(""CDM CASH DEPOSIT"",$C1196)),
      ISNUMB"&amp;"ER(SEARCH(""CASH DEPOSIT"",$C1196))
    ),
    """",
    IFERROR(TEXTJOIN(CHAR(10),TRUE,FILTER('SUMMARY DATA'!H:H,'SUMMARY DATA'!$D:$D=$C1196,'SUMMARY DATA'!$B:$B=""RWS"",'SUMMARY DATA'!$H:$H=$D1196)),"""")
  )
)"),"")</f>
      </c>
      <c r="I1196" s="18" t="str">
        <f>IFERROR(__xludf.DUMMYFUNCTION("IF(H1196="""","""",
SUM(ARRAYFORMULA(VALUE(SPLIT(H1196,CHAR(10)))))
)"),"")</f>
      </c>
      <c r="J1196" s="17" t="str">
        <f>IFERROR(__xludf.DUMMYFUNCTION("IFERROR(
  TEXTJOIN(CHAR(10),TRUE,FILTER('SUMMARY DATA'!I:I,'SUMMARY DATA'!$A:$A=$A1196,'SUMMARY DATA'!$C:$C=$B1196,'SUMMARY DATA'!$B:$B=""RWS"")),
  IF(
    OR(
      ISNUMBER(SEARCH(""CDM CASH DEPOSIT"",$C1196)),
      ISNUMBER(SEARCH(""CASH DEPOSIT"",$"&amp;"C1196)),
      COUNTIFS('SUMMARY DATA'!$D:$D,$C1196,'SUMMARY DATA'!$B:$B,""RWS"")&lt;&gt;1
    ),
    """",
    IFERROR(TEXTJOIN(CHAR(10),TRUE,FILTER('SUMMARY DATA'!I:I,'SUMMARY DATA'!$D:$D=$C1196,'SUMMARY DATA'!$B:$B=""RWS"")),"""")
  )
)"),"")</f>
      </c>
      <c r="K1196" s="2"/>
      <c r="L1196" s="2"/>
      <c r="M1196" s="2"/>
      <c r="N1196" s="2"/>
      <c r="O1196" s="2"/>
      <c r="P1196" s="2"/>
      <c r="Q1196" s="2"/>
      <c r="R1196" s="2"/>
      <c r="S1196" s="2"/>
      <c r="T1196" s="2"/>
      <c r="U1196" s="2"/>
      <c r="V1196" s="2"/>
      <c r="W1196" s="2"/>
      <c r="X1196" s="2"/>
      <c r="Y1196" s="2"/>
      <c r="Z1196" s="2"/>
      <c r="AA1196" s="2"/>
      <c r="AB1196" s="2"/>
    </row>
    <row r="1197" spans="1:28" customHeight="true">
      <c r="A1197" s="2"/>
      <c r="B1197" s="15">
        <v>45813</v>
      </c>
      <c r="C1197" s="2" t="s">
        <v>1734</v>
      </c>
      <c r="D1197" s="6">
        <v>534.88</v>
      </c>
      <c r="E1197" s="16" t="str">
        <f>IFERROR(__xludf.DUMMYFUNCTION("IFERROR(
  TEXTJOIN(CHAR(10),TRUE,FILTER('SUMMARY DATA'!E:E,'SUMMARY DATA'!$A:$A=$A298,'SUMMARY DATA'!$C:$C=$B298,'SUMMARY DATA'!$B:$B=""GRP"")),
  IF(
    OR(
      ISNUMBER(SEARCH(""CDM CASH DEPOSIT"",$C298)),
      ISNUMBER(SEARCH(""CASH DEPOSIT"",$C29"&amp;"8)),
      COUNTIFS('SUMMARY DATA'!$D:$D,$C298,'SUMMARY DATA'!$B:$B,""GRP"")&lt;&gt;1
    ),
    """",
    IFERROR(TEXTJOIN(CHAR(10),TRUE,FILTER('SUMMARY DATA'!E:E,'SUMMARY DATA'!$D:$D=$C298,'SUMMARY DATA'!$B:$B=""GRP"")),"""")
  )
)"),"")</f>
      </c>
      <c r="F1197" s="17" t="str">
        <f>IFERROR(__xludf.DUMMYFUNCTION("IFERROR(
  TEXTJOIN(CHAR(10),TRUE,FILTER('SUMMARY DATA'!F:F,'SUMMARY DATA'!$A:$A=$A298,'SUMMARY DATA'!$C:$C=$B298,'SUMMARY DATA'!$B:$B=""GRP"")),
  IF(
    OR(
      ISNUMBER(SEARCH(""CDM CASH DEPOSIT"",$C298)),
      ISNUMBER(SEARCH(""CASH DEPOSIT"",$C29"&amp;"8)),
      COUNTIFS('SUMMARY DATA'!$D:$D,$C298,'SUMMARY DATA'!$B:$B,""GRP"")&lt;&gt;1
    ),
    """",
    IFERROR(TEXTJOIN(CHAR(10),TRUE,FILTER('SUMMARY DATA'!F:F,'SUMMARY DATA'!$D:$D=$C298,'SUMMARY DATA'!$B:$B=""GRP"")),"""")
  )
)"),"")</f>
      </c>
      <c r="G1197" s="17" t="str">
        <f>IFERROR(__xludf.DUMMYFUNCTION("IFERROR(
  TEXTJOIN(CHAR(10),TRUE,FILTER('SUMMARY DATA'!G:G,'SUMMARY DATA'!$A:$A=$A1197,'SUMMARY DATA'!$C:$C=$B1197,'SUMMARY DATA'!$B:$B=""RWS"")),
  IF(
    OR(
      ISNUMBER(SEARCH(""CDM CASH DEPOSIT"",$C1197)),
      ISNUMBER(SEARCH(""CASH DEPOSIT"",$"&amp;"C1197)),
      COUNTIFS('SUMMARY DATA'!$D:$D,$C1197,'SUMMARY DATA'!$B:$B,""RWS"")&lt;&gt;1
    ),
    """",
    IFERROR(TEXTJOIN(CHAR(10),TRUE,FILTER('SUMMARY DATA'!G:G,'SUMMARY DATA'!$D:$D=$C1197,'SUMMARY DATA'!$B:$B=""RWS"")),"""")
  )
)"),"")</f>
      </c>
      <c r="H1197" s="18" t="str">
        <f>IFERROR(__xludf.DUMMYFUNCTION("IFERROR(
  TEXTJOIN(CHAR(10),TRUE,FILTER('SUMMARY DATA'!H:H,'SUMMARY DATA'!$A:$A=$A1197,'SUMMARY DATA'!$C:$C=$B1197,'SUMMARY DATA'!$B:$B=""RWS"",'SUMMARY DATA'!$H:$H=$D1197)),
  IF(
    OR(
      ISNUMBER(SEARCH(""CDM CASH DEPOSIT"",$C1197)),
      ISNUMB"&amp;"ER(SEARCH(""CASH DEPOSIT"",$C1197))
    ),
    """",
    IFERROR(TEXTJOIN(CHAR(10),TRUE,FILTER('SUMMARY DATA'!H:H,'SUMMARY DATA'!$D:$D=$C1197,'SUMMARY DATA'!$B:$B=""RWS"",'SUMMARY DATA'!$H:$H=$D1197)),"""")
  )
)"),"")</f>
      </c>
      <c r="I1197" s="18" t="str">
        <f>IFERROR(__xludf.DUMMYFUNCTION("IF(H1197="""","""",
SUM(ARRAYFORMULA(VALUE(SPLIT(H1197,CHAR(10)))))
)"),"")</f>
      </c>
      <c r="J1197" s="17" t="str">
        <f>IFERROR(__xludf.DUMMYFUNCTION("IFERROR(
  TEXTJOIN(CHAR(10),TRUE,FILTER('SUMMARY DATA'!I:I,'SUMMARY DATA'!$A:$A=$A1197,'SUMMARY DATA'!$C:$C=$B1197,'SUMMARY DATA'!$B:$B=""RWS"")),
  IF(
    OR(
      ISNUMBER(SEARCH(""CDM CASH DEPOSIT"",$C1197)),
      ISNUMBER(SEARCH(""CASH DEPOSIT"",$"&amp;"C1197)),
      COUNTIFS('SUMMARY DATA'!$D:$D,$C1197,'SUMMARY DATA'!$B:$B,""RWS"")&lt;&gt;1
    ),
    """",
    IFERROR(TEXTJOIN(CHAR(10),TRUE,FILTER('SUMMARY DATA'!I:I,'SUMMARY DATA'!$D:$D=$C1197,'SUMMARY DATA'!$B:$B=""RWS"")),"""")
  )
)"),"")</f>
      </c>
      <c r="K1197" s="2"/>
      <c r="L1197" s="2"/>
      <c r="M1197" s="2"/>
      <c r="N1197" s="2"/>
      <c r="O1197" s="2"/>
      <c r="P1197" s="2"/>
      <c r="Q1197" s="2"/>
      <c r="R1197" s="2"/>
      <c r="S1197" s="2"/>
      <c r="T1197" s="2"/>
      <c r="U1197" s="2"/>
      <c r="V1197" s="2"/>
      <c r="W1197" s="2"/>
      <c r="X1197" s="2"/>
      <c r="Y1197" s="2"/>
      <c r="Z1197" s="2"/>
      <c r="AA1197" s="2"/>
      <c r="AB1197" s="2"/>
    </row>
    <row r="1198" spans="1:28" customHeight="true">
      <c r="A1198" s="2"/>
      <c r="B1198" s="15">
        <v>45813</v>
      </c>
      <c r="C1198" s="2" t="s">
        <v>1735</v>
      </c>
      <c r="D1198" s="6">
        <v>235.94</v>
      </c>
      <c r="E1198" s="16" t="str">
        <f>IFERROR(__xludf.DUMMYFUNCTION("IFERROR(
  TEXTJOIN(CHAR(10),TRUE,FILTER('SUMMARY DATA'!E:E,'SUMMARY DATA'!$A:$A=$A299,'SUMMARY DATA'!$C:$C=$B299,'SUMMARY DATA'!$B:$B=""GRP"")),
  IF(
    OR(
      ISNUMBER(SEARCH(""CDM CASH DEPOSIT"",$C299)),
      ISNUMBER(SEARCH(""CASH DEPOSIT"",$C29"&amp;"9)),
      COUNTIFS('SUMMARY DATA'!$D:$D,$C299,'SUMMARY DATA'!$B:$B,""GRP"")&lt;&gt;1
    ),
    """",
    IFERROR(TEXTJOIN(CHAR(10),TRUE,FILTER('SUMMARY DATA'!E:E,'SUMMARY DATA'!$D:$D=$C299,'SUMMARY DATA'!$B:$B=""GRP"")),"""")
  )
)"),"")</f>
      </c>
      <c r="F1198" s="17" t="str">
        <f>IFERROR(__xludf.DUMMYFUNCTION("IFERROR(
  TEXTJOIN(CHAR(10),TRUE,FILTER('SUMMARY DATA'!F:F,'SUMMARY DATA'!$A:$A=$A299,'SUMMARY DATA'!$C:$C=$B299,'SUMMARY DATA'!$B:$B=""GRP"")),
  IF(
    OR(
      ISNUMBER(SEARCH(""CDM CASH DEPOSIT"",$C299)),
      ISNUMBER(SEARCH(""CASH DEPOSIT"",$C29"&amp;"9)),
      COUNTIFS('SUMMARY DATA'!$D:$D,$C299,'SUMMARY DATA'!$B:$B,""GRP"")&lt;&gt;1
    ),
    """",
    IFERROR(TEXTJOIN(CHAR(10),TRUE,FILTER('SUMMARY DATA'!F:F,'SUMMARY DATA'!$D:$D=$C299,'SUMMARY DATA'!$B:$B=""GRP"")),"""")
  )
)"),"")</f>
      </c>
      <c r="G1198" s="17" t="str">
        <f>IFERROR(__xludf.DUMMYFUNCTION("IFERROR(
  TEXTJOIN(CHAR(10),TRUE,FILTER('SUMMARY DATA'!G:G,'SUMMARY DATA'!$A:$A=$A1198,'SUMMARY DATA'!$C:$C=$B1198,'SUMMARY DATA'!$B:$B=""RWS"")),
  IF(
    OR(
      ISNUMBER(SEARCH(""CDM CASH DEPOSIT"",$C1198)),
      ISNUMBER(SEARCH(""CASH DEPOSIT"",$"&amp;"C1198)),
      COUNTIFS('SUMMARY DATA'!$D:$D,$C1198,'SUMMARY DATA'!$B:$B,""RWS"")&lt;&gt;1
    ),
    """",
    IFERROR(TEXTJOIN(CHAR(10),TRUE,FILTER('SUMMARY DATA'!G:G,'SUMMARY DATA'!$D:$D=$C1198,'SUMMARY DATA'!$B:$B=""RWS"")),"""")
  )
)"),"")</f>
      </c>
      <c r="H1198" s="18" t="str">
        <f>IFERROR(__xludf.DUMMYFUNCTION("IFERROR(
  TEXTJOIN(CHAR(10),TRUE,FILTER('SUMMARY DATA'!H:H,'SUMMARY DATA'!$A:$A=$A1198,'SUMMARY DATA'!$C:$C=$B1198,'SUMMARY DATA'!$B:$B=""RWS"",'SUMMARY DATA'!$H:$H=$D1198)),
  IF(
    OR(
      ISNUMBER(SEARCH(""CDM CASH DEPOSIT"",$C1198)),
      ISNUMB"&amp;"ER(SEARCH(""CASH DEPOSIT"",$C1198))
    ),
    """",
    IFERROR(TEXTJOIN(CHAR(10),TRUE,FILTER('SUMMARY DATA'!H:H,'SUMMARY DATA'!$D:$D=$C1198,'SUMMARY DATA'!$B:$B=""RWS"",'SUMMARY DATA'!$H:$H=$D1198)),"""")
  )
)"),"")</f>
      </c>
      <c r="I1198" s="18" t="str">
        <f>IFERROR(__xludf.DUMMYFUNCTION("IF(H1198="""","""",
SUM(ARRAYFORMULA(VALUE(SPLIT(H1198,CHAR(10)))))
)"),"")</f>
      </c>
      <c r="J1198" s="17" t="str">
        <f>IFERROR(__xludf.DUMMYFUNCTION("IFERROR(
  TEXTJOIN(CHAR(10),TRUE,FILTER('SUMMARY DATA'!I:I,'SUMMARY DATA'!$A:$A=$A1198,'SUMMARY DATA'!$C:$C=$B1198,'SUMMARY DATA'!$B:$B=""RWS"")),
  IF(
    OR(
      ISNUMBER(SEARCH(""CDM CASH DEPOSIT"",$C1198)),
      ISNUMBER(SEARCH(""CASH DEPOSIT"",$"&amp;"C1198)),
      COUNTIFS('SUMMARY DATA'!$D:$D,$C1198,'SUMMARY DATA'!$B:$B,""RWS"")&lt;&gt;1
    ),
    """",
    IFERROR(TEXTJOIN(CHAR(10),TRUE,FILTER('SUMMARY DATA'!I:I,'SUMMARY DATA'!$D:$D=$C1198,'SUMMARY DATA'!$B:$B=""RWS"")),"""")
  )
)"),"")</f>
      </c>
      <c r="K1198" s="2"/>
      <c r="L1198" s="2"/>
      <c r="M1198" s="2"/>
      <c r="N1198" s="2"/>
      <c r="O1198" s="2"/>
      <c r="P1198" s="2"/>
      <c r="Q1198" s="2"/>
      <c r="R1198" s="2"/>
      <c r="S1198" s="2"/>
      <c r="T1198" s="2"/>
      <c r="U1198" s="2"/>
      <c r="V1198" s="2"/>
      <c r="W1198" s="2"/>
      <c r="X1198" s="2"/>
      <c r="Y1198" s="2"/>
      <c r="Z1198" s="2"/>
      <c r="AA1198" s="2"/>
      <c r="AB1198" s="2"/>
    </row>
    <row r="1199" spans="1:28" customHeight="true">
      <c r="A1199" s="2" t="s">
        <v>1736</v>
      </c>
      <c r="B1199" s="15">
        <v>45813</v>
      </c>
      <c r="C1199" s="2" t="s">
        <v>1737</v>
      </c>
      <c r="D1199" s="6">
        <v>54.9</v>
      </c>
      <c r="E1199" s="16" t="str">
        <f>IFERROR(__xludf.DUMMYFUNCTION("IFERROR(
  TEXTJOIN(CHAR(10),TRUE,FILTER('SUMMARY DATA'!E:E,'SUMMARY DATA'!$A:$A=$A300,'SUMMARY DATA'!$C:$C=$B300,'SUMMARY DATA'!$B:$B=""GRP"")),
  IF(
    OR(
      ISNUMBER(SEARCH(""CDM CASH DEPOSIT"",$C300)),
      ISNUMBER(SEARCH(""CASH DEPOSIT"",$C30"&amp;"0)),
      COUNTIFS('SUMMARY DATA'!$D:$D,$C300,'SUMMARY DATA'!$B:$B,""GRP"")&lt;&gt;1
    ),
    """",
    IFERROR(TEXTJOIN(CHAR(10),TRUE,FILTER('SUMMARY DATA'!E:E,'SUMMARY DATA'!$D:$D=$C300,'SUMMARY DATA'!$B:$B=""GRP"")),"""")
  )
)"),"")</f>
      </c>
      <c r="F1199" s="17" t="str">
        <f>IFERROR(__xludf.DUMMYFUNCTION("IFERROR(
  TEXTJOIN(CHAR(10),TRUE,FILTER('SUMMARY DATA'!F:F,'SUMMARY DATA'!$A:$A=$A300,'SUMMARY DATA'!$C:$C=$B300,'SUMMARY DATA'!$B:$B=""GRP"")),
  IF(
    OR(
      ISNUMBER(SEARCH(""CDM CASH DEPOSIT"",$C300)),
      ISNUMBER(SEARCH(""CASH DEPOSIT"",$C30"&amp;"0)),
      COUNTIFS('SUMMARY DATA'!$D:$D,$C300,'SUMMARY DATA'!$B:$B,""GRP"")&lt;&gt;1
    ),
    """",
    IFERROR(TEXTJOIN(CHAR(10),TRUE,FILTER('SUMMARY DATA'!F:F,'SUMMARY DATA'!$D:$D=$C300,'SUMMARY DATA'!$B:$B=""GRP"")),"""")
  )
)"),"")</f>
      </c>
      <c r="G1199" s="17" t="str">
        <f>IFERROR(__xludf.DUMMYFUNCTION("IFERROR(
  TEXTJOIN(CHAR(10),TRUE,FILTER('SUMMARY DATA'!G:G,'SUMMARY DATA'!$A:$A=$A1199,'SUMMARY DATA'!$C:$C=$B1199,'SUMMARY DATA'!$B:$B=""RWS"")),
  IF(
    OR(
      ISNUMBER(SEARCH(""CDM CASH DEPOSIT"",$C1199)),
      ISNUMBER(SEARCH(""CASH DEPOSIT"",$"&amp;"C1199)),
      COUNTIFS('SUMMARY DATA'!$D:$D,$C1199,'SUMMARY DATA'!$B:$B,""RWS"")&lt;&gt;1
    ),
    """",
    IFERROR(TEXTJOIN(CHAR(10),TRUE,FILTER('SUMMARY DATA'!G:G,'SUMMARY DATA'!$D:$D=$C1199,'SUMMARY DATA'!$B:$B=""RWS"")),"""")
  )
)"),"")</f>
      </c>
      <c r="H1199" s="18" t="str">
        <f>IFERROR(__xludf.DUMMYFUNCTION("IFERROR(
  TEXTJOIN(CHAR(10),TRUE,FILTER('SUMMARY DATA'!H:H,'SUMMARY DATA'!$A:$A=$A1199,'SUMMARY DATA'!$C:$C=$B1199,'SUMMARY DATA'!$B:$B=""RWS"",'SUMMARY DATA'!$H:$H=$D1199)),
  IF(
    OR(
      ISNUMBER(SEARCH(""CDM CASH DEPOSIT"",$C1199)),
      ISNUMB"&amp;"ER(SEARCH(""CASH DEPOSIT"",$C1199))
    ),
    """",
    IFERROR(TEXTJOIN(CHAR(10),TRUE,FILTER('SUMMARY DATA'!H:H,'SUMMARY DATA'!$D:$D=$C1199,'SUMMARY DATA'!$B:$B=""RWS"",'SUMMARY DATA'!$H:$H=$D1199)),"""")
  )
)"),"")</f>
      </c>
      <c r="I1199" s="18" t="str">
        <f>IFERROR(__xludf.DUMMYFUNCTION("IF(H1199="""","""",
SUM(ARRAYFORMULA(VALUE(SPLIT(H1199,CHAR(10)))))
)"),"")</f>
      </c>
      <c r="J1199" s="17" t="str">
        <f>IFERROR(__xludf.DUMMYFUNCTION("IFERROR(
  TEXTJOIN(CHAR(10),TRUE,FILTER('SUMMARY DATA'!I:I,'SUMMARY DATA'!$A:$A=$A1199,'SUMMARY DATA'!$C:$C=$B1199,'SUMMARY DATA'!$B:$B=""RWS"")),
  IF(
    OR(
      ISNUMBER(SEARCH(""CDM CASH DEPOSIT"",$C1199)),
      ISNUMBER(SEARCH(""CASH DEPOSIT"",$"&amp;"C1199)),
      COUNTIFS('SUMMARY DATA'!$D:$D,$C1199,'SUMMARY DATA'!$B:$B,""RWS"")&lt;&gt;1
    ),
    """",
    IFERROR(TEXTJOIN(CHAR(10),TRUE,FILTER('SUMMARY DATA'!I:I,'SUMMARY DATA'!$D:$D=$C1199,'SUMMARY DATA'!$B:$B=""RWS"")),"""")
  )
)"),"")</f>
      </c>
      <c r="K1199" s="2"/>
      <c r="L1199" s="2"/>
      <c r="M1199" s="2"/>
      <c r="N1199" s="2"/>
      <c r="O1199" s="2"/>
      <c r="P1199" s="2"/>
      <c r="Q1199" s="2"/>
      <c r="R1199" s="2"/>
      <c r="S1199" s="2"/>
      <c r="T1199" s="2"/>
      <c r="U1199" s="2"/>
      <c r="V1199" s="2"/>
      <c r="W1199" s="2"/>
      <c r="X1199" s="2"/>
      <c r="Y1199" s="2"/>
      <c r="Z1199" s="2"/>
      <c r="AA1199" s="2"/>
      <c r="AB1199" s="2"/>
    </row>
    <row r="1200" spans="1:28" customHeight="true">
      <c r="A1200" s="2"/>
      <c r="B1200" s="15">
        <v>45813</v>
      </c>
      <c r="C1200" s="2" t="s">
        <v>1738</v>
      </c>
      <c r="D1200" s="6">
        <v>35</v>
      </c>
      <c r="E1200" s="16" t="str">
        <f>IFERROR(__xludf.DUMMYFUNCTION("IFERROR(
  TEXTJOIN(CHAR(10),TRUE,FILTER('SUMMARY DATA'!E:E,'SUMMARY DATA'!$A:$A=$A301,'SUMMARY DATA'!$C:$C=$B301,'SUMMARY DATA'!$B:$B=""GRP"")),
  IF(
    OR(
      ISNUMBER(SEARCH(""CDM CASH DEPOSIT"",$C301)),
      ISNUMBER(SEARCH(""CASH DEPOSIT"",$C30"&amp;"1)),
      COUNTIFS('SUMMARY DATA'!$D:$D,$C301,'SUMMARY DATA'!$B:$B,""GRP"")&lt;&gt;1
    ),
    """",
    IFERROR(TEXTJOIN(CHAR(10),TRUE,FILTER('SUMMARY DATA'!E:E,'SUMMARY DATA'!$D:$D=$C301,'SUMMARY DATA'!$B:$B=""GRP"")),"""")
  )
)"),"")</f>
      </c>
      <c r="F1200" s="17" t="str">
        <f>IFERROR(__xludf.DUMMYFUNCTION("IFERROR(
  TEXTJOIN(CHAR(10),TRUE,FILTER('SUMMARY DATA'!F:F,'SUMMARY DATA'!$A:$A=$A301,'SUMMARY DATA'!$C:$C=$B301,'SUMMARY DATA'!$B:$B=""GRP"")),
  IF(
    OR(
      ISNUMBER(SEARCH(""CDM CASH DEPOSIT"",$C301)),
      ISNUMBER(SEARCH(""CASH DEPOSIT"",$C30"&amp;"1)),
      COUNTIFS('SUMMARY DATA'!$D:$D,$C301,'SUMMARY DATA'!$B:$B,""GRP"")&lt;&gt;1
    ),
    """",
    IFERROR(TEXTJOIN(CHAR(10),TRUE,FILTER('SUMMARY DATA'!F:F,'SUMMARY DATA'!$D:$D=$C301,'SUMMARY DATA'!$B:$B=""GRP"")),"""")
  )
)"),"")</f>
      </c>
      <c r="G1200" s="17" t="str">
        <f>IFERROR(__xludf.DUMMYFUNCTION("IFERROR(
  TEXTJOIN(CHAR(10),TRUE,FILTER('SUMMARY DATA'!G:G,'SUMMARY DATA'!$A:$A=$A1200,'SUMMARY DATA'!$C:$C=$B1200,'SUMMARY DATA'!$B:$B=""RWS"")),
  IF(
    OR(
      ISNUMBER(SEARCH(""CDM CASH DEPOSIT"",$C1200)),
      ISNUMBER(SEARCH(""CASH DEPOSIT"",$"&amp;"C1200)),
      COUNTIFS('SUMMARY DATA'!$D:$D,$C1200,'SUMMARY DATA'!$B:$B,""RWS"")&lt;&gt;1
    ),
    """",
    IFERROR(TEXTJOIN(CHAR(10),TRUE,FILTER('SUMMARY DATA'!G:G,'SUMMARY DATA'!$D:$D=$C1200,'SUMMARY DATA'!$B:$B=""RWS"")),"""")
  )
)"),"")</f>
      </c>
      <c r="H1200" s="18" t="str">
        <f>IFERROR(__xludf.DUMMYFUNCTION("IFERROR(
  TEXTJOIN(CHAR(10),TRUE,FILTER('SUMMARY DATA'!H:H,'SUMMARY DATA'!$A:$A=$A1200,'SUMMARY DATA'!$C:$C=$B1200,'SUMMARY DATA'!$B:$B=""RWS"",'SUMMARY DATA'!$H:$H=$D1200)),
  IF(
    OR(
      ISNUMBER(SEARCH(""CDM CASH DEPOSIT"",$C1200)),
      ISNUMB"&amp;"ER(SEARCH(""CASH DEPOSIT"",$C1200))
    ),
    """",
    IFERROR(TEXTJOIN(CHAR(10),TRUE,FILTER('SUMMARY DATA'!H:H,'SUMMARY DATA'!$D:$D=$C1200,'SUMMARY DATA'!$B:$B=""RWS"",'SUMMARY DATA'!$H:$H=$D1200)),"""")
  )
)"),"")</f>
      </c>
      <c r="I1200" s="18" t="str">
        <f>IFERROR(__xludf.DUMMYFUNCTION("IF(H1200="""","""",
SUM(ARRAYFORMULA(VALUE(SPLIT(H1200,CHAR(10)))))
)"),"")</f>
      </c>
      <c r="J1200" s="17" t="str">
        <f>IFERROR(__xludf.DUMMYFUNCTION("IFERROR(
  TEXTJOIN(CHAR(10),TRUE,FILTER('SUMMARY DATA'!I:I,'SUMMARY DATA'!$A:$A=$A1200,'SUMMARY DATA'!$C:$C=$B1200,'SUMMARY DATA'!$B:$B=""RWS"")),
  IF(
    OR(
      ISNUMBER(SEARCH(""CDM CASH DEPOSIT"",$C1200)),
      ISNUMBER(SEARCH(""CASH DEPOSIT"",$"&amp;"C1200)),
      COUNTIFS('SUMMARY DATA'!$D:$D,$C1200,'SUMMARY DATA'!$B:$B,""RWS"")&lt;&gt;1
    ),
    """",
    IFERROR(TEXTJOIN(CHAR(10),TRUE,FILTER('SUMMARY DATA'!I:I,'SUMMARY DATA'!$D:$D=$C1200,'SUMMARY DATA'!$B:$B=""RWS"")),"""")
  )
)"),"")</f>
      </c>
      <c r="K1200" s="2"/>
      <c r="L1200" s="2"/>
      <c r="M1200" s="2"/>
      <c r="N1200" s="2"/>
      <c r="O1200" s="2"/>
      <c r="P1200" s="2"/>
      <c r="Q1200" s="2"/>
      <c r="R1200" s="2"/>
      <c r="S1200" s="2"/>
      <c r="T1200" s="2"/>
      <c r="U1200" s="2"/>
      <c r="V1200" s="2"/>
      <c r="W1200" s="2"/>
      <c r="X1200" s="2"/>
      <c r="Y1200" s="2"/>
      <c r="Z1200" s="2"/>
      <c r="AA1200" s="2"/>
      <c r="AB1200" s="2"/>
    </row>
    <row r="1201" spans="1:28" customHeight="true">
      <c r="A1201" s="2"/>
      <c r="B1201" s="15">
        <v>45814</v>
      </c>
      <c r="C1201" s="2" t="s">
        <v>1739</v>
      </c>
      <c r="D1201" s="6">
        <v>239.98</v>
      </c>
      <c r="E1201" s="16" t="str">
        <f>IFERROR(__xludf.DUMMYFUNCTION("IFERROR(
  TEXTJOIN(CHAR(10),TRUE,FILTER('SUMMARY DATA'!E:E,'SUMMARY DATA'!$A:$A=$A302,'SUMMARY DATA'!$C:$C=$B302,'SUMMARY DATA'!$B:$B=""GRP"")),
  IF(
    OR(
      ISNUMBER(SEARCH(""CDM CASH DEPOSIT"",$C302)),
      ISNUMBER(SEARCH(""CASH DEPOSIT"",$C30"&amp;"2)),
      COUNTIFS('SUMMARY DATA'!$D:$D,$C302,'SUMMARY DATA'!$B:$B,""GRP"")&lt;&gt;1
    ),
    """",
    IFERROR(TEXTJOIN(CHAR(10),TRUE,FILTER('SUMMARY DATA'!E:E,'SUMMARY DATA'!$D:$D=$C302,'SUMMARY DATA'!$B:$B=""GRP"")),"""")
  )
)"),"")</f>
      </c>
      <c r="F1201" s="17" t="str">
        <f>IFERROR(__xludf.DUMMYFUNCTION("IFERROR(
  TEXTJOIN(CHAR(10),TRUE,FILTER('SUMMARY DATA'!F:F,'SUMMARY DATA'!$A:$A=$A302,'SUMMARY DATA'!$C:$C=$B302,'SUMMARY DATA'!$B:$B=""GRP"")),
  IF(
    OR(
      ISNUMBER(SEARCH(""CDM CASH DEPOSIT"",$C302)),
      ISNUMBER(SEARCH(""CASH DEPOSIT"",$C30"&amp;"2)),
      COUNTIFS('SUMMARY DATA'!$D:$D,$C302,'SUMMARY DATA'!$B:$B,""GRP"")&lt;&gt;1
    ),
    """",
    IFERROR(TEXTJOIN(CHAR(10),TRUE,FILTER('SUMMARY DATA'!F:F,'SUMMARY DATA'!$D:$D=$C302,'SUMMARY DATA'!$B:$B=""GRP"")),"""")
  )
)"),"")</f>
      </c>
      <c r="G1201" s="17" t="str">
        <f>IFERROR(__xludf.DUMMYFUNCTION("IFERROR(
  TEXTJOIN(CHAR(10),TRUE,FILTER('SUMMARY DATA'!G:G,'SUMMARY DATA'!$A:$A=$A1201,'SUMMARY DATA'!$C:$C=$B1201,'SUMMARY DATA'!$B:$B=""RWS"")),
  IF(
    OR(
      ISNUMBER(SEARCH(""CDM CASH DEPOSIT"",$C1201)),
      ISNUMBER(SEARCH(""CASH DEPOSIT"",$"&amp;"C1201)),
      COUNTIFS('SUMMARY DATA'!$D:$D,$C1201,'SUMMARY DATA'!$B:$B,""RWS"")&lt;&gt;1
    ),
    """",
    IFERROR(TEXTJOIN(CHAR(10),TRUE,FILTER('SUMMARY DATA'!G:G,'SUMMARY DATA'!$D:$D=$C1201,'SUMMARY DATA'!$B:$B=""RWS"")),"""")
  )
)"),"")</f>
      </c>
      <c r="H1201" s="18" t="str">
        <f>IFERROR(__xludf.DUMMYFUNCTION("IFERROR(
  TEXTJOIN(CHAR(10),TRUE,FILTER('SUMMARY DATA'!H:H,'SUMMARY DATA'!$A:$A=$A1201,'SUMMARY DATA'!$C:$C=$B1201,'SUMMARY DATA'!$B:$B=""RWS"",'SUMMARY DATA'!$H:$H=$D1201)),
  IF(
    OR(
      ISNUMBER(SEARCH(""CDM CASH DEPOSIT"",$C1201)),
      ISNUMB"&amp;"ER(SEARCH(""CASH DEPOSIT"",$C1201))
    ),
    """",
    IFERROR(TEXTJOIN(CHAR(10),TRUE,FILTER('SUMMARY DATA'!H:H,'SUMMARY DATA'!$D:$D=$C1201,'SUMMARY DATA'!$B:$B=""RWS"",'SUMMARY DATA'!$H:$H=$D1201)),"""")
  )
)"),"")</f>
      </c>
      <c r="I1201" s="18" t="str">
        <f>IFERROR(__xludf.DUMMYFUNCTION("IF(H1201="""","""",
SUM(ARRAYFORMULA(VALUE(SPLIT(H1201,CHAR(10)))))
)"),"")</f>
      </c>
      <c r="J1201" s="17" t="str">
        <f>IFERROR(__xludf.DUMMYFUNCTION("IFERROR(
  TEXTJOIN(CHAR(10),TRUE,FILTER('SUMMARY DATA'!I:I,'SUMMARY DATA'!$A:$A=$A1201,'SUMMARY DATA'!$C:$C=$B1201,'SUMMARY DATA'!$B:$B=""RWS"")),
  IF(
    OR(
      ISNUMBER(SEARCH(""CDM CASH DEPOSIT"",$C1201)),
      ISNUMBER(SEARCH(""CASH DEPOSIT"",$"&amp;"C1201)),
      COUNTIFS('SUMMARY DATA'!$D:$D,$C1201,'SUMMARY DATA'!$B:$B,""RWS"")&lt;&gt;1
    ),
    """",
    IFERROR(TEXTJOIN(CHAR(10),TRUE,FILTER('SUMMARY DATA'!I:I,'SUMMARY DATA'!$D:$D=$C1201,'SUMMARY DATA'!$B:$B=""RWS"")),"""")
  )
)"),"")</f>
      </c>
      <c r="K1201" s="2"/>
      <c r="L1201" s="2"/>
      <c r="M1201" s="2"/>
      <c r="N1201" s="2"/>
      <c r="O1201" s="2"/>
      <c r="P1201" s="2"/>
      <c r="Q1201" s="2"/>
      <c r="R1201" s="2"/>
      <c r="S1201" s="2"/>
      <c r="T1201" s="2"/>
      <c r="U1201" s="2"/>
      <c r="V1201" s="2"/>
      <c r="W1201" s="2"/>
      <c r="X1201" s="2"/>
      <c r="Y1201" s="2"/>
      <c r="Z1201" s="2"/>
      <c r="AA1201" s="2"/>
      <c r="AB1201" s="2"/>
    </row>
    <row r="1202" spans="1:28" customHeight="true">
      <c r="A1202" s="2"/>
      <c r="B1202" s="15">
        <v>45814</v>
      </c>
      <c r="C1202" s="2" t="s">
        <v>1740</v>
      </c>
      <c r="D1202" s="6">
        <v>198</v>
      </c>
      <c r="E1202" s="16" t="str">
        <f>IFERROR(__xludf.DUMMYFUNCTION("IFERROR(
  TEXTJOIN(CHAR(10),TRUE,FILTER('SUMMARY DATA'!E:E,'SUMMARY DATA'!$A:$A=$A303,'SUMMARY DATA'!$C:$C=$B303,'SUMMARY DATA'!$B:$B=""GRP"")),
  IF(
    OR(
      ISNUMBER(SEARCH(""CDM CASH DEPOSIT"",$C303)),
      ISNUMBER(SEARCH(""CASH DEPOSIT"",$C30"&amp;"3)),
      COUNTIFS('SUMMARY DATA'!$D:$D,$C303,'SUMMARY DATA'!$B:$B,""GRP"")&lt;&gt;1
    ),
    """",
    IFERROR(TEXTJOIN(CHAR(10),TRUE,FILTER('SUMMARY DATA'!E:E,'SUMMARY DATA'!$D:$D=$C303,'SUMMARY DATA'!$B:$B=""GRP"")),"""")
  )
)"),"")</f>
      </c>
      <c r="F1202" s="17" t="str">
        <f>IFERROR(__xludf.DUMMYFUNCTION("IFERROR(
  TEXTJOIN(CHAR(10),TRUE,FILTER('SUMMARY DATA'!F:F,'SUMMARY DATA'!$A:$A=$A303,'SUMMARY DATA'!$C:$C=$B303,'SUMMARY DATA'!$B:$B=""GRP"")),
  IF(
    OR(
      ISNUMBER(SEARCH(""CDM CASH DEPOSIT"",$C303)),
      ISNUMBER(SEARCH(""CASH DEPOSIT"",$C30"&amp;"3)),
      COUNTIFS('SUMMARY DATA'!$D:$D,$C303,'SUMMARY DATA'!$B:$B,""GRP"")&lt;&gt;1
    ),
    """",
    IFERROR(TEXTJOIN(CHAR(10),TRUE,FILTER('SUMMARY DATA'!F:F,'SUMMARY DATA'!$D:$D=$C303,'SUMMARY DATA'!$B:$B=""GRP"")),"""")
  )
)"),"")</f>
      </c>
      <c r="G1202" s="17" t="str">
        <f>IFERROR(__xludf.DUMMYFUNCTION("IFERROR(
  TEXTJOIN(CHAR(10),TRUE,FILTER('SUMMARY DATA'!G:G,'SUMMARY DATA'!$A:$A=$A1202,'SUMMARY DATA'!$C:$C=$B1202,'SUMMARY DATA'!$B:$B=""RWS"")),
  IF(
    OR(
      ISNUMBER(SEARCH(""CDM CASH DEPOSIT"",$C1202)),
      ISNUMBER(SEARCH(""CASH DEPOSIT"",$"&amp;"C1202)),
      COUNTIFS('SUMMARY DATA'!$D:$D,$C1202,'SUMMARY DATA'!$B:$B,""RWS"")&lt;&gt;1
    ),
    """",
    IFERROR(TEXTJOIN(CHAR(10),TRUE,FILTER('SUMMARY DATA'!G:G,'SUMMARY DATA'!$D:$D=$C1202,'SUMMARY DATA'!$B:$B=""RWS"")),"""")
  )
)"),"")</f>
      </c>
      <c r="H1202" s="18" t="str">
        <f>IFERROR(__xludf.DUMMYFUNCTION("IFERROR(
  TEXTJOIN(CHAR(10),TRUE,FILTER('SUMMARY DATA'!H:H,'SUMMARY DATA'!$A:$A=$A1202,'SUMMARY DATA'!$C:$C=$B1202,'SUMMARY DATA'!$B:$B=""RWS"",'SUMMARY DATA'!$H:$H=$D1202)),
  IF(
    OR(
      ISNUMBER(SEARCH(""CDM CASH DEPOSIT"",$C1202)),
      ISNUMB"&amp;"ER(SEARCH(""CASH DEPOSIT"",$C1202))
    ),
    """",
    IFERROR(TEXTJOIN(CHAR(10),TRUE,FILTER('SUMMARY DATA'!H:H,'SUMMARY DATA'!$D:$D=$C1202,'SUMMARY DATA'!$B:$B=""RWS"",'SUMMARY DATA'!$H:$H=$D1202)),"""")
  )
)"),"")</f>
      </c>
      <c r="I1202" s="18" t="str">
        <f>IFERROR(__xludf.DUMMYFUNCTION("IF(H1202="""","""",
SUM(ARRAYFORMULA(VALUE(SPLIT(H1202,CHAR(10)))))
)"),"")</f>
      </c>
      <c r="J1202" s="17" t="str">
        <f>IFERROR(__xludf.DUMMYFUNCTION("IFERROR(
  TEXTJOIN(CHAR(10),TRUE,FILTER('SUMMARY DATA'!I:I,'SUMMARY DATA'!$A:$A=$A1202,'SUMMARY DATA'!$C:$C=$B1202,'SUMMARY DATA'!$B:$B=""RWS"")),
  IF(
    OR(
      ISNUMBER(SEARCH(""CDM CASH DEPOSIT"",$C1202)),
      ISNUMBER(SEARCH(""CASH DEPOSIT"",$"&amp;"C1202)),
      COUNTIFS('SUMMARY DATA'!$D:$D,$C1202,'SUMMARY DATA'!$B:$B,""RWS"")&lt;&gt;1
    ),
    """",
    IFERROR(TEXTJOIN(CHAR(10),TRUE,FILTER('SUMMARY DATA'!I:I,'SUMMARY DATA'!$D:$D=$C1202,'SUMMARY DATA'!$B:$B=""RWS"")),"""")
  )
)"),"")</f>
      </c>
      <c r="K1202" s="2"/>
      <c r="L1202" s="2"/>
      <c r="M1202" s="2"/>
      <c r="N1202" s="2"/>
      <c r="O1202" s="2"/>
      <c r="P1202" s="2"/>
      <c r="Q1202" s="2"/>
      <c r="R1202" s="2"/>
      <c r="S1202" s="2"/>
      <c r="T1202" s="2"/>
      <c r="U1202" s="2"/>
      <c r="V1202" s="2"/>
      <c r="W1202" s="2"/>
      <c r="X1202" s="2"/>
      <c r="Y1202" s="2"/>
      <c r="Z1202" s="2"/>
      <c r="AA1202" s="2"/>
      <c r="AB1202" s="2"/>
    </row>
    <row r="1203" spans="1:28" customHeight="true">
      <c r="A1203" s="2"/>
      <c r="B1203" s="15">
        <v>45814</v>
      </c>
      <c r="C1203" s="2" t="s">
        <v>1741</v>
      </c>
      <c r="D1203" s="6">
        <v>158</v>
      </c>
      <c r="E1203" s="16" t="str">
        <f>IFERROR(__xludf.DUMMYFUNCTION("IFERROR(
  TEXTJOIN(CHAR(10),TRUE,FILTER('SUMMARY DATA'!E:E,'SUMMARY DATA'!$A:$A=$A304,'SUMMARY DATA'!$C:$C=$B304,'SUMMARY DATA'!$B:$B=""GRP"")),
  IF(
    OR(
      ISNUMBER(SEARCH(""CDM CASH DEPOSIT"",$C304)),
      ISNUMBER(SEARCH(""CASH DEPOSIT"",$C30"&amp;"4)),
      COUNTIFS('SUMMARY DATA'!$D:$D,$C304,'SUMMARY DATA'!$B:$B,""GRP"")&lt;&gt;1
    ),
    """",
    IFERROR(TEXTJOIN(CHAR(10),TRUE,FILTER('SUMMARY DATA'!E:E,'SUMMARY DATA'!$D:$D=$C304,'SUMMARY DATA'!$B:$B=""GRP"")),"""")
  )
)"),"")</f>
      </c>
      <c r="F1203" s="17" t="str">
        <f>IFERROR(__xludf.DUMMYFUNCTION("IFERROR(
  TEXTJOIN(CHAR(10),TRUE,FILTER('SUMMARY DATA'!F:F,'SUMMARY DATA'!$A:$A=$A304,'SUMMARY DATA'!$C:$C=$B304,'SUMMARY DATA'!$B:$B=""GRP"")),
  IF(
    OR(
      ISNUMBER(SEARCH(""CDM CASH DEPOSIT"",$C304)),
      ISNUMBER(SEARCH(""CASH DEPOSIT"",$C30"&amp;"4)),
      COUNTIFS('SUMMARY DATA'!$D:$D,$C304,'SUMMARY DATA'!$B:$B,""GRP"")&lt;&gt;1
    ),
    """",
    IFERROR(TEXTJOIN(CHAR(10),TRUE,FILTER('SUMMARY DATA'!F:F,'SUMMARY DATA'!$D:$D=$C304,'SUMMARY DATA'!$B:$B=""GRP"")),"""")
  )
)"),"")</f>
      </c>
      <c r="G1203" s="17" t="str">
        <f>IFERROR(__xludf.DUMMYFUNCTION("IFERROR(
  TEXTJOIN(CHAR(10),TRUE,FILTER('SUMMARY DATA'!G:G,'SUMMARY DATA'!$A:$A=$A1203,'SUMMARY DATA'!$C:$C=$B1203,'SUMMARY DATA'!$B:$B=""RWS"")),
  IF(
    OR(
      ISNUMBER(SEARCH(""CDM CASH DEPOSIT"",$C1203)),
      ISNUMBER(SEARCH(""CASH DEPOSIT"",$"&amp;"C1203)),
      COUNTIFS('SUMMARY DATA'!$D:$D,$C1203,'SUMMARY DATA'!$B:$B,""RWS"")&lt;&gt;1
    ),
    """",
    IFERROR(TEXTJOIN(CHAR(10),TRUE,FILTER('SUMMARY DATA'!G:G,'SUMMARY DATA'!$D:$D=$C1203,'SUMMARY DATA'!$B:$B=""RWS"")),"""")
  )
)"),"")</f>
      </c>
      <c r="H1203" s="18" t="str">
        <f>IFERROR(__xludf.DUMMYFUNCTION("IFERROR(
  TEXTJOIN(CHAR(10),TRUE,FILTER('SUMMARY DATA'!H:H,'SUMMARY DATA'!$A:$A=$A1203,'SUMMARY DATA'!$C:$C=$B1203,'SUMMARY DATA'!$B:$B=""RWS"",'SUMMARY DATA'!$H:$H=$D1203)),
  IF(
    OR(
      ISNUMBER(SEARCH(""CDM CASH DEPOSIT"",$C1203)),
      ISNUMB"&amp;"ER(SEARCH(""CASH DEPOSIT"",$C1203))
    ),
    """",
    IFERROR(TEXTJOIN(CHAR(10),TRUE,FILTER('SUMMARY DATA'!H:H,'SUMMARY DATA'!$D:$D=$C1203,'SUMMARY DATA'!$B:$B=""RWS"",'SUMMARY DATA'!$H:$H=$D1203)),"""")
  )
)"),"")</f>
      </c>
      <c r="I1203" s="18" t="str">
        <f>IFERROR(__xludf.DUMMYFUNCTION("IF(H1203="""","""",
SUM(ARRAYFORMULA(VALUE(SPLIT(H1203,CHAR(10)))))
)"),"")</f>
      </c>
      <c r="J1203" s="17" t="str">
        <f>IFERROR(__xludf.DUMMYFUNCTION("IFERROR(
  TEXTJOIN(CHAR(10),TRUE,FILTER('SUMMARY DATA'!I:I,'SUMMARY DATA'!$A:$A=$A1203,'SUMMARY DATA'!$C:$C=$B1203,'SUMMARY DATA'!$B:$B=""RWS"")),
  IF(
    OR(
      ISNUMBER(SEARCH(""CDM CASH DEPOSIT"",$C1203)),
      ISNUMBER(SEARCH(""CASH DEPOSIT"",$"&amp;"C1203)),
      COUNTIFS('SUMMARY DATA'!$D:$D,$C1203,'SUMMARY DATA'!$B:$B,""RWS"")&lt;&gt;1
    ),
    """",
    IFERROR(TEXTJOIN(CHAR(10),TRUE,FILTER('SUMMARY DATA'!I:I,'SUMMARY DATA'!$D:$D=$C1203,'SUMMARY DATA'!$B:$B=""RWS"")),"""")
  )
)"),"")</f>
      </c>
      <c r="K1203" s="2"/>
      <c r="L1203" s="2"/>
      <c r="M1203" s="2"/>
      <c r="N1203" s="2"/>
      <c r="O1203" s="2"/>
      <c r="P1203" s="2"/>
      <c r="Q1203" s="2"/>
      <c r="R1203" s="2"/>
      <c r="S1203" s="2"/>
      <c r="T1203" s="2"/>
      <c r="U1203" s="2"/>
      <c r="V1203" s="2"/>
      <c r="W1203" s="2"/>
      <c r="X1203" s="2"/>
      <c r="Y1203" s="2"/>
      <c r="Z1203" s="2"/>
      <c r="AA1203" s="2"/>
      <c r="AB1203" s="2"/>
    </row>
    <row r="1204" spans="1:28" customHeight="true">
      <c r="A1204" s="2" t="s">
        <v>1742</v>
      </c>
      <c r="B1204" s="15">
        <v>45814</v>
      </c>
      <c r="C1204" s="2" t="s">
        <v>1743</v>
      </c>
      <c r="D1204" s="6">
        <v>100</v>
      </c>
      <c r="E1204" s="16" t="str">
        <f>IFERROR(__xludf.DUMMYFUNCTION("IFERROR(
  TEXTJOIN(CHAR(10),TRUE,FILTER('SUMMARY DATA'!E:E,'SUMMARY DATA'!$A:$A=$A305,'SUMMARY DATA'!$C:$C=$B305,'SUMMARY DATA'!$B:$B=""GRP"")),
  IF(
    OR(
      ISNUMBER(SEARCH(""CDM CASH DEPOSIT"",$C305)),
      ISNUMBER(SEARCH(""CASH DEPOSIT"",$C30"&amp;"5)),
      COUNTIFS('SUMMARY DATA'!$D:$D,$C305,'SUMMARY DATA'!$B:$B,""GRP"")&lt;&gt;1
    ),
    """",
    IFERROR(TEXTJOIN(CHAR(10),TRUE,FILTER('SUMMARY DATA'!E:E,'SUMMARY DATA'!$D:$D=$C305,'SUMMARY DATA'!$B:$B=""GRP"")),"""")
  )
)"),"")</f>
      </c>
      <c r="F1204" s="17" t="str">
        <f>IFERROR(__xludf.DUMMYFUNCTION("IFERROR(
  TEXTJOIN(CHAR(10),TRUE,FILTER('SUMMARY DATA'!F:F,'SUMMARY DATA'!$A:$A=$A305,'SUMMARY DATA'!$C:$C=$B305,'SUMMARY DATA'!$B:$B=""GRP"")),
  IF(
    OR(
      ISNUMBER(SEARCH(""CDM CASH DEPOSIT"",$C305)),
      ISNUMBER(SEARCH(""CASH DEPOSIT"",$C30"&amp;"5)),
      COUNTIFS('SUMMARY DATA'!$D:$D,$C305,'SUMMARY DATA'!$B:$B,""GRP"")&lt;&gt;1
    ),
    """",
    IFERROR(TEXTJOIN(CHAR(10),TRUE,FILTER('SUMMARY DATA'!F:F,'SUMMARY DATA'!$D:$D=$C305,'SUMMARY DATA'!$B:$B=""GRP"")),"""")
  )
)"),"")</f>
      </c>
      <c r="G1204" s="17" t="str">
        <f>IFERROR(__xludf.DUMMYFUNCTION("IFERROR(
  TEXTJOIN(CHAR(10),TRUE,FILTER('SUMMARY DATA'!G:G,'SUMMARY DATA'!$A:$A=$A1204,'SUMMARY DATA'!$C:$C=$B1204,'SUMMARY DATA'!$B:$B=""RWS"")),
  IF(
    OR(
      ISNUMBER(SEARCH(""CDM CASH DEPOSIT"",$C1204)),
      ISNUMBER(SEARCH(""CASH DEPOSIT"",$"&amp;"C1204)),
      COUNTIFS('SUMMARY DATA'!$D:$D,$C1204,'SUMMARY DATA'!$B:$B,""RWS"")&lt;&gt;1
    ),
    """",
    IFERROR(TEXTJOIN(CHAR(10),TRUE,FILTER('SUMMARY DATA'!G:G,'SUMMARY DATA'!$D:$D=$C1204,'SUMMARY DATA'!$B:$B=""RWS"")),"""")
  )
)"),"")</f>
      </c>
      <c r="H1204" s="18" t="str">
        <f>IFERROR(__xludf.DUMMYFUNCTION("IFERROR(
  TEXTJOIN(CHAR(10),TRUE,FILTER('SUMMARY DATA'!H:H,'SUMMARY DATA'!$A:$A=$A1204,'SUMMARY DATA'!$C:$C=$B1204,'SUMMARY DATA'!$B:$B=""RWS"",'SUMMARY DATA'!$H:$H=$D1204)),
  IF(
    OR(
      ISNUMBER(SEARCH(""CDM CASH DEPOSIT"",$C1204)),
      ISNUMB"&amp;"ER(SEARCH(""CASH DEPOSIT"",$C1204))
    ),
    """",
    IFERROR(TEXTJOIN(CHAR(10),TRUE,FILTER('SUMMARY DATA'!H:H,'SUMMARY DATA'!$D:$D=$C1204,'SUMMARY DATA'!$B:$B=""RWS"",'SUMMARY DATA'!$H:$H=$D1204)),"""")
  )
)"),"")</f>
      </c>
      <c r="I1204" s="18" t="str">
        <f>IFERROR(__xludf.DUMMYFUNCTION("IF(H1204="""","""",
SUM(ARRAYFORMULA(VALUE(SPLIT(H1204,CHAR(10)))))
)"),"")</f>
      </c>
      <c r="J1204" s="17" t="str">
        <f>IFERROR(__xludf.DUMMYFUNCTION("IFERROR(
  TEXTJOIN(CHAR(10),TRUE,FILTER('SUMMARY DATA'!I:I,'SUMMARY DATA'!$A:$A=$A1204,'SUMMARY DATA'!$C:$C=$B1204,'SUMMARY DATA'!$B:$B=""RWS"")),
  IF(
    OR(
      ISNUMBER(SEARCH(""CDM CASH DEPOSIT"",$C1204)),
      ISNUMBER(SEARCH(""CASH DEPOSIT"",$"&amp;"C1204)),
      COUNTIFS('SUMMARY DATA'!$D:$D,$C1204,'SUMMARY DATA'!$B:$B,""RWS"")&lt;&gt;1
    ),
    """",
    IFERROR(TEXTJOIN(CHAR(10),TRUE,FILTER('SUMMARY DATA'!I:I,'SUMMARY DATA'!$D:$D=$C1204,'SUMMARY DATA'!$B:$B=""RWS"")),"""")
  )
)"),"")</f>
      </c>
      <c r="K1204" s="2"/>
      <c r="L1204" s="2"/>
      <c r="M1204" s="2"/>
      <c r="N1204" s="2"/>
      <c r="O1204" s="2"/>
      <c r="P1204" s="2"/>
      <c r="Q1204" s="2"/>
      <c r="R1204" s="2"/>
      <c r="S1204" s="2"/>
      <c r="T1204" s="2"/>
      <c r="U1204" s="2"/>
      <c r="V1204" s="2"/>
      <c r="W1204" s="2"/>
      <c r="X1204" s="2"/>
      <c r="Y1204" s="2"/>
      <c r="Z1204" s="2"/>
      <c r="AA1204" s="2"/>
      <c r="AB1204" s="2"/>
    </row>
    <row r="1205" spans="1:28" customHeight="true">
      <c r="A1205" s="2"/>
      <c r="B1205" s="15">
        <v>45814</v>
      </c>
      <c r="C1205" s="2" t="s">
        <v>1744</v>
      </c>
      <c r="D1205" s="6">
        <v>99.98</v>
      </c>
      <c r="E1205" s="16" t="str">
        <f>IFERROR(__xludf.DUMMYFUNCTION("IFERROR(
  TEXTJOIN(CHAR(10),TRUE,FILTER('SUMMARY DATA'!E:E,'SUMMARY DATA'!$A:$A=$A306,'SUMMARY DATA'!$C:$C=$B306,'SUMMARY DATA'!$B:$B=""GRP"")),
  IF(
    OR(
      ISNUMBER(SEARCH(""CDM CASH DEPOSIT"",$C306)),
      ISNUMBER(SEARCH(""CASH DEPOSIT"",$C30"&amp;"6)),
      COUNTIFS('SUMMARY DATA'!$D:$D,$C306,'SUMMARY DATA'!$B:$B,""GRP"")&lt;&gt;1
    ),
    """",
    IFERROR(TEXTJOIN(CHAR(10),TRUE,FILTER('SUMMARY DATA'!E:E,'SUMMARY DATA'!$D:$D=$C306,'SUMMARY DATA'!$B:$B=""GRP"")),"""")
  )
)"),"")</f>
      </c>
      <c r="F1205" s="17" t="str">
        <f>IFERROR(__xludf.DUMMYFUNCTION("IFERROR(
  TEXTJOIN(CHAR(10),TRUE,FILTER('SUMMARY DATA'!F:F,'SUMMARY DATA'!$A:$A=$A306,'SUMMARY DATA'!$C:$C=$B306,'SUMMARY DATA'!$B:$B=""GRP"")),
  IF(
    OR(
      ISNUMBER(SEARCH(""CDM CASH DEPOSIT"",$C306)),
      ISNUMBER(SEARCH(""CASH DEPOSIT"",$C30"&amp;"6)),
      COUNTIFS('SUMMARY DATA'!$D:$D,$C306,'SUMMARY DATA'!$B:$B,""GRP"")&lt;&gt;1
    ),
    """",
    IFERROR(TEXTJOIN(CHAR(10),TRUE,FILTER('SUMMARY DATA'!F:F,'SUMMARY DATA'!$D:$D=$C306,'SUMMARY DATA'!$B:$B=""GRP"")),"""")
  )
)"),"")</f>
      </c>
      <c r="G1205" s="17" t="str">
        <f>IFERROR(__xludf.DUMMYFUNCTION("IFERROR(
  TEXTJOIN(CHAR(10),TRUE,FILTER('SUMMARY DATA'!G:G,'SUMMARY DATA'!$A:$A=$A1205,'SUMMARY DATA'!$C:$C=$B1205,'SUMMARY DATA'!$B:$B=""RWS"")),
  IF(
    OR(
      ISNUMBER(SEARCH(""CDM CASH DEPOSIT"",$C1205)),
      ISNUMBER(SEARCH(""CASH DEPOSIT"",$"&amp;"C1205)),
      COUNTIFS('SUMMARY DATA'!$D:$D,$C1205,'SUMMARY DATA'!$B:$B,""RWS"")&lt;&gt;1
    ),
    """",
    IFERROR(TEXTJOIN(CHAR(10),TRUE,FILTER('SUMMARY DATA'!G:G,'SUMMARY DATA'!$D:$D=$C1205,'SUMMARY DATA'!$B:$B=""RWS"")),"""")
  )
)"),"")</f>
      </c>
      <c r="H1205" s="18" t="str">
        <f>IFERROR(__xludf.DUMMYFUNCTION("IFERROR(
  TEXTJOIN(CHAR(10),TRUE,FILTER('SUMMARY DATA'!H:H,'SUMMARY DATA'!$A:$A=$A1205,'SUMMARY DATA'!$C:$C=$B1205,'SUMMARY DATA'!$B:$B=""RWS"",'SUMMARY DATA'!$H:$H=$D1205)),
  IF(
    OR(
      ISNUMBER(SEARCH(""CDM CASH DEPOSIT"",$C1205)),
      ISNUMB"&amp;"ER(SEARCH(""CASH DEPOSIT"",$C1205))
    ),
    """",
    IFERROR(TEXTJOIN(CHAR(10),TRUE,FILTER('SUMMARY DATA'!H:H,'SUMMARY DATA'!$D:$D=$C1205,'SUMMARY DATA'!$B:$B=""RWS"",'SUMMARY DATA'!$H:$H=$D1205)),"""")
  )
)"),"")</f>
      </c>
      <c r="I1205" s="18" t="str">
        <f>IFERROR(__xludf.DUMMYFUNCTION("IF(H1205="""","""",
SUM(ARRAYFORMULA(VALUE(SPLIT(H1205,CHAR(10)))))
)"),"")</f>
      </c>
      <c r="J1205" s="17" t="str">
        <f>IFERROR(__xludf.DUMMYFUNCTION("IFERROR(
  TEXTJOIN(CHAR(10),TRUE,FILTER('SUMMARY DATA'!I:I,'SUMMARY DATA'!$A:$A=$A1205,'SUMMARY DATA'!$C:$C=$B1205,'SUMMARY DATA'!$B:$B=""RWS"")),
  IF(
    OR(
      ISNUMBER(SEARCH(""CDM CASH DEPOSIT"",$C1205)),
      ISNUMBER(SEARCH(""CASH DEPOSIT"",$"&amp;"C1205)),
      COUNTIFS('SUMMARY DATA'!$D:$D,$C1205,'SUMMARY DATA'!$B:$B,""RWS"")&lt;&gt;1
    ),
    """",
    IFERROR(TEXTJOIN(CHAR(10),TRUE,FILTER('SUMMARY DATA'!I:I,'SUMMARY DATA'!$D:$D=$C1205,'SUMMARY DATA'!$B:$B=""RWS"")),"""")
  )
)"),"")</f>
      </c>
      <c r="K1205" s="2"/>
      <c r="L1205" s="2"/>
      <c r="M1205" s="2"/>
      <c r="N1205" s="2"/>
      <c r="O1205" s="2"/>
      <c r="P1205" s="2"/>
      <c r="Q1205" s="2"/>
      <c r="R1205" s="2"/>
      <c r="S1205" s="2"/>
      <c r="T1205" s="2"/>
      <c r="U1205" s="2"/>
      <c r="V1205" s="2"/>
      <c r="W1205" s="2"/>
      <c r="X1205" s="2"/>
      <c r="Y1205" s="2"/>
      <c r="Z1205" s="2"/>
      <c r="AA1205" s="2"/>
      <c r="AB1205" s="2"/>
    </row>
    <row r="1206" spans="1:28" customHeight="true">
      <c r="A1206" s="2"/>
      <c r="B1206" s="15">
        <v>45814</v>
      </c>
      <c r="C1206" s="2" t="s">
        <v>1745</v>
      </c>
      <c r="D1206" s="6">
        <v>87.3</v>
      </c>
      <c r="E1206" s="16" t="str">
        <f>IFERROR(__xludf.DUMMYFUNCTION("IFERROR(
  TEXTJOIN(CHAR(10),TRUE,FILTER('SUMMARY DATA'!E:E,'SUMMARY DATA'!$A:$A=$A307,'SUMMARY DATA'!$C:$C=$B307,'SUMMARY DATA'!$B:$B=""GRP"")),
  IF(
    OR(
      ISNUMBER(SEARCH(""CDM CASH DEPOSIT"",$C307)),
      ISNUMBER(SEARCH(""CASH DEPOSIT"",$C30"&amp;"7)),
      COUNTIFS('SUMMARY DATA'!$D:$D,$C307,'SUMMARY DATA'!$B:$B,""GRP"")&lt;&gt;1
    ),
    """",
    IFERROR(TEXTJOIN(CHAR(10),TRUE,FILTER('SUMMARY DATA'!E:E,'SUMMARY DATA'!$D:$D=$C307,'SUMMARY DATA'!$B:$B=""GRP"")),"""")
  )
)"),"")</f>
      </c>
      <c r="F1206" s="17" t="str">
        <f>IFERROR(__xludf.DUMMYFUNCTION("IFERROR(
  TEXTJOIN(CHAR(10),TRUE,FILTER('SUMMARY DATA'!F:F,'SUMMARY DATA'!$A:$A=$A307,'SUMMARY DATA'!$C:$C=$B307,'SUMMARY DATA'!$B:$B=""GRP"")),
  IF(
    OR(
      ISNUMBER(SEARCH(""CDM CASH DEPOSIT"",$C307)),
      ISNUMBER(SEARCH(""CASH DEPOSIT"",$C30"&amp;"7)),
      COUNTIFS('SUMMARY DATA'!$D:$D,$C307,'SUMMARY DATA'!$B:$B,""GRP"")&lt;&gt;1
    ),
    """",
    IFERROR(TEXTJOIN(CHAR(10),TRUE,FILTER('SUMMARY DATA'!F:F,'SUMMARY DATA'!$D:$D=$C307,'SUMMARY DATA'!$B:$B=""GRP"")),"""")
  )
)"),"")</f>
      </c>
      <c r="G1206" s="17" t="str">
        <f>IFERROR(__xludf.DUMMYFUNCTION("IFERROR(
  TEXTJOIN(CHAR(10),TRUE,FILTER('SUMMARY DATA'!G:G,'SUMMARY DATA'!$A:$A=$A1206,'SUMMARY DATA'!$C:$C=$B1206,'SUMMARY DATA'!$B:$B=""RWS"")),
  IF(
    OR(
      ISNUMBER(SEARCH(""CDM CASH DEPOSIT"",$C1206)),
      ISNUMBER(SEARCH(""CASH DEPOSIT"",$"&amp;"C1206)),
      COUNTIFS('SUMMARY DATA'!$D:$D,$C1206,'SUMMARY DATA'!$B:$B,""RWS"")&lt;&gt;1
    ),
    """",
    IFERROR(TEXTJOIN(CHAR(10),TRUE,FILTER('SUMMARY DATA'!G:G,'SUMMARY DATA'!$D:$D=$C1206,'SUMMARY DATA'!$B:$B=""RWS"")),"""")
  )
)"),"")</f>
      </c>
      <c r="H1206" s="18" t="str">
        <f>IFERROR(__xludf.DUMMYFUNCTION("IFERROR(
  TEXTJOIN(CHAR(10),TRUE,FILTER('SUMMARY DATA'!H:H,'SUMMARY DATA'!$A:$A=$A1206,'SUMMARY DATA'!$C:$C=$B1206,'SUMMARY DATA'!$B:$B=""RWS"",'SUMMARY DATA'!$H:$H=$D1206)),
  IF(
    OR(
      ISNUMBER(SEARCH(""CDM CASH DEPOSIT"",$C1206)),
      ISNUMB"&amp;"ER(SEARCH(""CASH DEPOSIT"",$C1206))
    ),
    """",
    IFERROR(TEXTJOIN(CHAR(10),TRUE,FILTER('SUMMARY DATA'!H:H,'SUMMARY DATA'!$D:$D=$C1206,'SUMMARY DATA'!$B:$B=""RWS"",'SUMMARY DATA'!$H:$H=$D1206)),"""")
  )
)"),"")</f>
      </c>
      <c r="I1206" s="18" t="str">
        <f>IFERROR(__xludf.DUMMYFUNCTION("IF(H1206="""","""",
SUM(ARRAYFORMULA(VALUE(SPLIT(H1206,CHAR(10)))))
)"),"")</f>
      </c>
      <c r="J1206" s="17" t="str">
        <f>IFERROR(__xludf.DUMMYFUNCTION("IFERROR(
  TEXTJOIN(CHAR(10),TRUE,FILTER('SUMMARY DATA'!I:I,'SUMMARY DATA'!$A:$A=$A1206,'SUMMARY DATA'!$C:$C=$B1206,'SUMMARY DATA'!$B:$B=""RWS"")),
  IF(
    OR(
      ISNUMBER(SEARCH(""CDM CASH DEPOSIT"",$C1206)),
      ISNUMBER(SEARCH(""CASH DEPOSIT"",$"&amp;"C1206)),
      COUNTIFS('SUMMARY DATA'!$D:$D,$C1206,'SUMMARY DATA'!$B:$B,""RWS"")&lt;&gt;1
    ),
    """",
    IFERROR(TEXTJOIN(CHAR(10),TRUE,FILTER('SUMMARY DATA'!I:I,'SUMMARY DATA'!$D:$D=$C1206,'SUMMARY DATA'!$B:$B=""RWS"")),"""")
  )
)"),"")</f>
      </c>
      <c r="K1206" s="2"/>
      <c r="L1206" s="2"/>
      <c r="M1206" s="2"/>
      <c r="N1206" s="2"/>
      <c r="O1206" s="2"/>
      <c r="P1206" s="2"/>
      <c r="Q1206" s="2"/>
      <c r="R1206" s="2"/>
      <c r="S1206" s="2"/>
      <c r="T1206" s="2"/>
      <c r="U1206" s="2"/>
      <c r="V1206" s="2"/>
      <c r="W1206" s="2"/>
      <c r="X1206" s="2"/>
      <c r="Y1206" s="2"/>
      <c r="Z1206" s="2"/>
      <c r="AA1206" s="2"/>
      <c r="AB1206" s="2"/>
    </row>
    <row r="1207" spans="1:28" customHeight="true">
      <c r="A1207" s="2"/>
      <c r="B1207" s="15">
        <v>45814</v>
      </c>
      <c r="C1207" s="2" t="s">
        <v>1746</v>
      </c>
      <c r="D1207" s="6">
        <v>75</v>
      </c>
      <c r="E1207" s="16" t="str">
        <f>IFERROR(__xludf.DUMMYFUNCTION("IFERROR(
  TEXTJOIN(CHAR(10),TRUE,FILTER('SUMMARY DATA'!E:E,'SUMMARY DATA'!$A:$A=$A308,'SUMMARY DATA'!$C:$C=$B308,'SUMMARY DATA'!$B:$B=""GRP"")),
  IF(
    OR(
      ISNUMBER(SEARCH(""CDM CASH DEPOSIT"",$C308)),
      ISNUMBER(SEARCH(""CASH DEPOSIT"",$C30"&amp;"8)),
      COUNTIFS('SUMMARY DATA'!$D:$D,$C308,'SUMMARY DATA'!$B:$B,""GRP"")&lt;&gt;1
    ),
    """",
    IFERROR(TEXTJOIN(CHAR(10),TRUE,FILTER('SUMMARY DATA'!E:E,'SUMMARY DATA'!$D:$D=$C308,'SUMMARY DATA'!$B:$B=""GRP"")),"""")
  )
)"),"")</f>
      </c>
      <c r="F1207" s="17" t="str">
        <f>IFERROR(__xludf.DUMMYFUNCTION("IFERROR(
  TEXTJOIN(CHAR(10),TRUE,FILTER('SUMMARY DATA'!F:F,'SUMMARY DATA'!$A:$A=$A308,'SUMMARY DATA'!$C:$C=$B308,'SUMMARY DATA'!$B:$B=""GRP"")),
  IF(
    OR(
      ISNUMBER(SEARCH(""CDM CASH DEPOSIT"",$C308)),
      ISNUMBER(SEARCH(""CASH DEPOSIT"",$C30"&amp;"8)),
      COUNTIFS('SUMMARY DATA'!$D:$D,$C308,'SUMMARY DATA'!$B:$B,""GRP"")&lt;&gt;1
    ),
    """",
    IFERROR(TEXTJOIN(CHAR(10),TRUE,FILTER('SUMMARY DATA'!F:F,'SUMMARY DATA'!$D:$D=$C308,'SUMMARY DATA'!$B:$B=""GRP"")),"""")
  )
)"),"")</f>
      </c>
      <c r="G1207" s="17" t="str">
        <f>IFERROR(__xludf.DUMMYFUNCTION("IFERROR(
  TEXTJOIN(CHAR(10),TRUE,FILTER('SUMMARY DATA'!G:G,'SUMMARY DATA'!$A:$A=$A1207,'SUMMARY DATA'!$C:$C=$B1207,'SUMMARY DATA'!$B:$B=""RWS"")),
  IF(
    OR(
      ISNUMBER(SEARCH(""CDM CASH DEPOSIT"",$C1207)),
      ISNUMBER(SEARCH(""CASH DEPOSIT"",$"&amp;"C1207)),
      COUNTIFS('SUMMARY DATA'!$D:$D,$C1207,'SUMMARY DATA'!$B:$B,""RWS"")&lt;&gt;1
    ),
    """",
    IFERROR(TEXTJOIN(CHAR(10),TRUE,FILTER('SUMMARY DATA'!G:G,'SUMMARY DATA'!$D:$D=$C1207,'SUMMARY DATA'!$B:$B=""RWS"")),"""")
  )
)"),"")</f>
      </c>
      <c r="H1207" s="18" t="str">
        <f>IFERROR(__xludf.DUMMYFUNCTION("IFERROR(
  TEXTJOIN(CHAR(10),TRUE,FILTER('SUMMARY DATA'!H:H,'SUMMARY DATA'!$A:$A=$A1207,'SUMMARY DATA'!$C:$C=$B1207,'SUMMARY DATA'!$B:$B=""RWS"",'SUMMARY DATA'!$H:$H=$D1207)),
  IF(
    OR(
      ISNUMBER(SEARCH(""CDM CASH DEPOSIT"",$C1207)),
      ISNUMB"&amp;"ER(SEARCH(""CASH DEPOSIT"",$C1207))
    ),
    """",
    IFERROR(TEXTJOIN(CHAR(10),TRUE,FILTER('SUMMARY DATA'!H:H,'SUMMARY DATA'!$D:$D=$C1207,'SUMMARY DATA'!$B:$B=""RWS"",'SUMMARY DATA'!$H:$H=$D1207)),"""")
  )
)"),"")</f>
      </c>
      <c r="I1207" s="18" t="str">
        <f>IFERROR(__xludf.DUMMYFUNCTION("IF(H1207="""","""",
SUM(ARRAYFORMULA(VALUE(SPLIT(H1207,CHAR(10)))))
)"),"")</f>
      </c>
      <c r="J1207" s="17" t="str">
        <f>IFERROR(__xludf.DUMMYFUNCTION("IFERROR(
  TEXTJOIN(CHAR(10),TRUE,FILTER('SUMMARY DATA'!I:I,'SUMMARY DATA'!$A:$A=$A1207,'SUMMARY DATA'!$C:$C=$B1207,'SUMMARY DATA'!$B:$B=""RWS"")),
  IF(
    OR(
      ISNUMBER(SEARCH(""CDM CASH DEPOSIT"",$C1207)),
      ISNUMBER(SEARCH(""CASH DEPOSIT"",$"&amp;"C1207)),
      COUNTIFS('SUMMARY DATA'!$D:$D,$C1207,'SUMMARY DATA'!$B:$B,""RWS"")&lt;&gt;1
    ),
    """",
    IFERROR(TEXTJOIN(CHAR(10),TRUE,FILTER('SUMMARY DATA'!I:I,'SUMMARY DATA'!$D:$D=$C1207,'SUMMARY DATA'!$B:$B=""RWS"")),"""")
  )
)"),"")</f>
      </c>
      <c r="K1207" s="2"/>
      <c r="L1207" s="2"/>
      <c r="M1207" s="2"/>
      <c r="N1207" s="2"/>
      <c r="O1207" s="2"/>
      <c r="P1207" s="2"/>
      <c r="Q1207" s="2"/>
      <c r="R1207" s="2"/>
      <c r="S1207" s="2"/>
      <c r="T1207" s="2"/>
      <c r="U1207" s="2"/>
      <c r="V1207" s="2"/>
      <c r="W1207" s="2"/>
      <c r="X1207" s="2"/>
      <c r="Y1207" s="2"/>
      <c r="Z1207" s="2"/>
      <c r="AA1207" s="2"/>
      <c r="AB1207" s="2"/>
    </row>
    <row r="1208" spans="1:28" customHeight="true">
      <c r="A1208" s="2"/>
      <c r="B1208" s="15">
        <v>45815</v>
      </c>
      <c r="C1208" s="2" t="s">
        <v>1539</v>
      </c>
      <c r="D1208" s="6">
        <v>10</v>
      </c>
      <c r="E1208" s="16" t="str">
        <f>IFERROR(__xludf.DUMMYFUNCTION("IFERROR(
  TEXTJOIN(CHAR(10),TRUE,FILTER('SUMMARY DATA'!E:E,'SUMMARY DATA'!$A:$A=$A309,'SUMMARY DATA'!$C:$C=$B309,'SUMMARY DATA'!$B:$B=""GRP"")),
  IF(
    OR(
      ISNUMBER(SEARCH(""CDM CASH DEPOSIT"",$C309)),
      ISNUMBER(SEARCH(""CASH DEPOSIT"",$C30"&amp;"9)),
      COUNTIFS('SUMMARY DATA'!$D:$D,$C309,'SUMMARY DATA'!$B:$B,""GRP"")&lt;&gt;1
    ),
    """",
    IFERROR(TEXTJOIN(CHAR(10),TRUE,FILTER('SUMMARY DATA'!E:E,'SUMMARY DATA'!$D:$D=$C309,'SUMMARY DATA'!$B:$B=""GRP"")),"""")
  )
)"),"")</f>
      </c>
      <c r="F1208" s="17" t="str">
        <f>IFERROR(__xludf.DUMMYFUNCTION("IFERROR(
  TEXTJOIN(CHAR(10),TRUE,FILTER('SUMMARY DATA'!F:F,'SUMMARY DATA'!$A:$A=$A309,'SUMMARY DATA'!$C:$C=$B309,'SUMMARY DATA'!$B:$B=""GRP"")),
  IF(
    OR(
      ISNUMBER(SEARCH(""CDM CASH DEPOSIT"",$C309)),
      ISNUMBER(SEARCH(""CASH DEPOSIT"",$C30"&amp;"9)),
      COUNTIFS('SUMMARY DATA'!$D:$D,$C309,'SUMMARY DATA'!$B:$B,""GRP"")&lt;&gt;1
    ),
    """",
    IFERROR(TEXTJOIN(CHAR(10),TRUE,FILTER('SUMMARY DATA'!F:F,'SUMMARY DATA'!$D:$D=$C309,'SUMMARY DATA'!$B:$B=""GRP"")),"""")
  )
)"),"")</f>
      </c>
      <c r="G1208" s="17" t="str">
        <f>IFERROR(__xludf.DUMMYFUNCTION("IFERROR(
  TEXTJOIN(CHAR(10),TRUE,FILTER('SUMMARY DATA'!G:G,'SUMMARY DATA'!$A:$A=$A1208,'SUMMARY DATA'!$C:$C=$B1208,'SUMMARY DATA'!$B:$B=""RWS"")),
  IF(
    OR(
      ISNUMBER(SEARCH(""CDM CASH DEPOSIT"",$C1208)),
      ISNUMBER(SEARCH(""CASH DEPOSIT"",$"&amp;"C1208)),
      COUNTIFS('SUMMARY DATA'!$D:$D,$C1208,'SUMMARY DATA'!$B:$B,""RWS"")&lt;&gt;1
    ),
    """",
    IFERROR(TEXTJOIN(CHAR(10),TRUE,FILTER('SUMMARY DATA'!G:G,'SUMMARY DATA'!$D:$D=$C1208,'SUMMARY DATA'!$B:$B=""RWS"")),"""")
  )
)"),"")</f>
      </c>
      <c r="H1208" s="18" t="str">
        <f>IFERROR(__xludf.DUMMYFUNCTION("IFERROR(
  TEXTJOIN(CHAR(10),TRUE,FILTER('SUMMARY DATA'!H:H,'SUMMARY DATA'!$A:$A=$A1208,'SUMMARY DATA'!$C:$C=$B1208,'SUMMARY DATA'!$B:$B=""RWS"",'SUMMARY DATA'!$H:$H=$D1208)),
  IF(
    OR(
      ISNUMBER(SEARCH(""CDM CASH DEPOSIT"",$C1208)),
      ISNUMB"&amp;"ER(SEARCH(""CASH DEPOSIT"",$C1208))
    ),
    """",
    IFERROR(TEXTJOIN(CHAR(10),TRUE,FILTER('SUMMARY DATA'!H:H,'SUMMARY DATA'!$D:$D=$C1208,'SUMMARY DATA'!$B:$B=""RWS"",'SUMMARY DATA'!$H:$H=$D1208)),"""")
  )
)"),"")</f>
      </c>
      <c r="I1208" s="18" t="str">
        <f>IFERROR(__xludf.DUMMYFUNCTION("IF(H1208="""","""",
SUM(ARRAYFORMULA(VALUE(SPLIT(H1208,CHAR(10)))))
)"),"")</f>
      </c>
      <c r="J1208" s="17" t="str">
        <f>IFERROR(__xludf.DUMMYFUNCTION("IFERROR(
  TEXTJOIN(CHAR(10),TRUE,FILTER('SUMMARY DATA'!I:I,'SUMMARY DATA'!$A:$A=$A1208,'SUMMARY DATA'!$C:$C=$B1208,'SUMMARY DATA'!$B:$B=""RWS"")),
  IF(
    OR(
      ISNUMBER(SEARCH(""CDM CASH DEPOSIT"",$C1208)),
      ISNUMBER(SEARCH(""CASH DEPOSIT"",$"&amp;"C1208)),
      COUNTIFS('SUMMARY DATA'!$D:$D,$C1208,'SUMMARY DATA'!$B:$B,""RWS"")&lt;&gt;1
    ),
    """",
    IFERROR(TEXTJOIN(CHAR(10),TRUE,FILTER('SUMMARY DATA'!I:I,'SUMMARY DATA'!$D:$D=$C1208,'SUMMARY DATA'!$B:$B=""RWS"")),"""")
  )
)"),"")</f>
      </c>
      <c r="K1208" s="2"/>
      <c r="L1208" s="2"/>
      <c r="M1208" s="2"/>
      <c r="N1208" s="2"/>
      <c r="O1208" s="2"/>
      <c r="P1208" s="2"/>
      <c r="Q1208" s="2"/>
      <c r="R1208" s="2"/>
      <c r="S1208" s="2"/>
      <c r="T1208" s="2"/>
      <c r="U1208" s="2"/>
      <c r="V1208" s="2"/>
      <c r="W1208" s="2"/>
      <c r="X1208" s="2"/>
      <c r="Y1208" s="2"/>
      <c r="Z1208" s="2"/>
      <c r="AA1208" s="2"/>
      <c r="AB1208" s="2"/>
    </row>
    <row r="1209" spans="1:28" customHeight="true">
      <c r="A1209" s="2" t="s">
        <v>1747</v>
      </c>
      <c r="B1209" s="15">
        <v>45816</v>
      </c>
      <c r="C1209" s="2" t="s">
        <v>1748</v>
      </c>
      <c r="D1209" s="6">
        <v>312</v>
      </c>
      <c r="E1209" s="16" t="str">
        <f>IFERROR(__xludf.DUMMYFUNCTION("IFERROR(
  TEXTJOIN(CHAR(10),TRUE,FILTER('SUMMARY DATA'!E:E,'SUMMARY DATA'!$A:$A=$A310,'SUMMARY DATA'!$C:$C=$B310,'SUMMARY DATA'!$B:$B=""GRP"")),
  IF(
    OR(
      ISNUMBER(SEARCH(""CDM CASH DEPOSIT"",$C310)),
      ISNUMBER(SEARCH(""CASH DEPOSIT"",$C31"&amp;"0)),
      COUNTIFS('SUMMARY DATA'!$D:$D,$C310,'SUMMARY DATA'!$B:$B,""GRP"")&lt;&gt;1
    ),
    """",
    IFERROR(TEXTJOIN(CHAR(10),TRUE,FILTER('SUMMARY DATA'!E:E,'SUMMARY DATA'!$D:$D=$C310,'SUMMARY DATA'!$B:$B=""GRP"")),"""")
  )
)"),"")</f>
      </c>
      <c r="F1209" s="17" t="str">
        <f>IFERROR(__xludf.DUMMYFUNCTION("IFERROR(
  TEXTJOIN(CHAR(10),TRUE,FILTER('SUMMARY DATA'!F:F,'SUMMARY DATA'!$A:$A=$A310,'SUMMARY DATA'!$C:$C=$B310,'SUMMARY DATA'!$B:$B=""GRP"")),
  IF(
    OR(
      ISNUMBER(SEARCH(""CDM CASH DEPOSIT"",$C310)),
      ISNUMBER(SEARCH(""CASH DEPOSIT"",$C31"&amp;"0)),
      COUNTIFS('SUMMARY DATA'!$D:$D,$C310,'SUMMARY DATA'!$B:$B,""GRP"")&lt;&gt;1
    ),
    """",
    IFERROR(TEXTJOIN(CHAR(10),TRUE,FILTER('SUMMARY DATA'!F:F,'SUMMARY DATA'!$D:$D=$C310,'SUMMARY DATA'!$B:$B=""GRP"")),"""")
  )
)"),"")</f>
      </c>
      <c r="G1209" s="17" t="str">
        <f>IFERROR(__xludf.DUMMYFUNCTION("IFERROR(
  TEXTJOIN(CHAR(10),TRUE,FILTER('SUMMARY DATA'!G:G,'SUMMARY DATA'!$A:$A=$A1209,'SUMMARY DATA'!$C:$C=$B1209,'SUMMARY DATA'!$B:$B=""RWS"")),
  IF(
    OR(
      ISNUMBER(SEARCH(""CDM CASH DEPOSIT"",$C1209)),
      ISNUMBER(SEARCH(""CASH DEPOSIT"",$"&amp;"C1209)),
      COUNTIFS('SUMMARY DATA'!$D:$D,$C1209,'SUMMARY DATA'!$B:$B,""RWS"")&lt;&gt;1
    ),
    """",
    IFERROR(TEXTJOIN(CHAR(10),TRUE,FILTER('SUMMARY DATA'!G:G,'SUMMARY DATA'!$D:$D=$C1209,'SUMMARY DATA'!$B:$B=""RWS"")),"""")
  )
)"),"")</f>
      </c>
      <c r="H1209" s="18" t="str">
        <f>IFERROR(__xludf.DUMMYFUNCTION("IFERROR(
  TEXTJOIN(CHAR(10),TRUE,FILTER('SUMMARY DATA'!H:H,'SUMMARY DATA'!$A:$A=$A1209,'SUMMARY DATA'!$C:$C=$B1209,'SUMMARY DATA'!$B:$B=""RWS"",'SUMMARY DATA'!$H:$H=$D1209)),
  IF(
    OR(
      ISNUMBER(SEARCH(""CDM CASH DEPOSIT"",$C1209)),
      ISNUMB"&amp;"ER(SEARCH(""CASH DEPOSIT"",$C1209))
    ),
    """",
    IFERROR(TEXTJOIN(CHAR(10),TRUE,FILTER('SUMMARY DATA'!H:H,'SUMMARY DATA'!$D:$D=$C1209,'SUMMARY DATA'!$B:$B=""RWS"",'SUMMARY DATA'!$H:$H=$D1209)),"""")
  )
)"),"")</f>
      </c>
      <c r="I1209" s="18" t="str">
        <f>IFERROR(__xludf.DUMMYFUNCTION("IF(H1209="""","""",
SUM(ARRAYFORMULA(VALUE(SPLIT(H1209,CHAR(10)))))
)"),"")</f>
      </c>
      <c r="J1209" s="17" t="str">
        <f>IFERROR(__xludf.DUMMYFUNCTION("IFERROR(
  TEXTJOIN(CHAR(10),TRUE,FILTER('SUMMARY DATA'!I:I,'SUMMARY DATA'!$A:$A=$A1209,'SUMMARY DATA'!$C:$C=$B1209,'SUMMARY DATA'!$B:$B=""RWS"")),
  IF(
    OR(
      ISNUMBER(SEARCH(""CDM CASH DEPOSIT"",$C1209)),
      ISNUMBER(SEARCH(""CASH DEPOSIT"",$"&amp;"C1209)),
      COUNTIFS('SUMMARY DATA'!$D:$D,$C1209,'SUMMARY DATA'!$B:$B,""RWS"")&lt;&gt;1
    ),
    """",
    IFERROR(TEXTJOIN(CHAR(10),TRUE,FILTER('SUMMARY DATA'!I:I,'SUMMARY DATA'!$D:$D=$C1209,'SUMMARY DATA'!$B:$B=""RWS"")),"""")
  )
)"),"")</f>
      </c>
      <c r="K1209" s="2"/>
      <c r="L1209" s="2"/>
      <c r="M1209" s="2"/>
      <c r="N1209" s="2"/>
      <c r="O1209" s="2"/>
      <c r="P1209" s="2"/>
      <c r="Q1209" s="2"/>
      <c r="R1209" s="2"/>
      <c r="S1209" s="2"/>
      <c r="T1209" s="2"/>
      <c r="U1209" s="2"/>
      <c r="V1209" s="2"/>
      <c r="W1209" s="2"/>
      <c r="X1209" s="2"/>
      <c r="Y1209" s="2"/>
      <c r="Z1209" s="2"/>
      <c r="AA1209" s="2"/>
      <c r="AB1209" s="2"/>
    </row>
    <row r="1210" spans="1:28" customHeight="true">
      <c r="A1210" s="2" t="s">
        <v>1749</v>
      </c>
      <c r="B1210" s="15">
        <v>45816</v>
      </c>
      <c r="C1210" s="2" t="s">
        <v>1750</v>
      </c>
      <c r="D1210" s="6">
        <v>200</v>
      </c>
      <c r="E1210" s="16" t="str">
        <f>IFERROR(__xludf.DUMMYFUNCTION("IFERROR(
  TEXTJOIN(CHAR(10),TRUE,FILTER('SUMMARY DATA'!E:E,'SUMMARY DATA'!$A:$A=$A311,'SUMMARY DATA'!$C:$C=$B311,'SUMMARY DATA'!$B:$B=""GRP"")),
  IF(
    OR(
      ISNUMBER(SEARCH(""CDM CASH DEPOSIT"",$C311)),
      ISNUMBER(SEARCH(""CASH DEPOSIT"",$C31"&amp;"1)),
      COUNTIFS('SUMMARY DATA'!$D:$D,$C311,'SUMMARY DATA'!$B:$B,""GRP"")&lt;&gt;1
    ),
    """",
    IFERROR(TEXTJOIN(CHAR(10),TRUE,FILTER('SUMMARY DATA'!E:E,'SUMMARY DATA'!$D:$D=$C311,'SUMMARY DATA'!$B:$B=""GRP"")),"""")
  )
)"),"")</f>
      </c>
      <c r="F1210" s="17" t="str">
        <f>IFERROR(__xludf.DUMMYFUNCTION("IFERROR(
  TEXTJOIN(CHAR(10),TRUE,FILTER('SUMMARY DATA'!F:F,'SUMMARY DATA'!$A:$A=$A311,'SUMMARY DATA'!$C:$C=$B311,'SUMMARY DATA'!$B:$B=""GRP"")),
  IF(
    OR(
      ISNUMBER(SEARCH(""CDM CASH DEPOSIT"",$C311)),
      ISNUMBER(SEARCH(""CASH DEPOSIT"",$C31"&amp;"1)),
      COUNTIFS('SUMMARY DATA'!$D:$D,$C311,'SUMMARY DATA'!$B:$B,""GRP"")&lt;&gt;1
    ),
    """",
    IFERROR(TEXTJOIN(CHAR(10),TRUE,FILTER('SUMMARY DATA'!F:F,'SUMMARY DATA'!$D:$D=$C311,'SUMMARY DATA'!$B:$B=""GRP"")),"""")
  )
)"),"")</f>
      </c>
      <c r="G1210" s="17" t="str">
        <f>IFERROR(__xludf.DUMMYFUNCTION("IFERROR(
  TEXTJOIN(CHAR(10),TRUE,FILTER('SUMMARY DATA'!G:G,'SUMMARY DATA'!$A:$A=$A1210,'SUMMARY DATA'!$C:$C=$B1210,'SUMMARY DATA'!$B:$B=""RWS"")),
  IF(
    OR(
      ISNUMBER(SEARCH(""CDM CASH DEPOSIT"",$C1210)),
      ISNUMBER(SEARCH(""CASH DEPOSIT"",$"&amp;"C1210)),
      COUNTIFS('SUMMARY DATA'!$D:$D,$C1210,'SUMMARY DATA'!$B:$B,""RWS"")&lt;&gt;1
    ),
    """",
    IFERROR(TEXTJOIN(CHAR(10),TRUE,FILTER('SUMMARY DATA'!G:G,'SUMMARY DATA'!$D:$D=$C1210,'SUMMARY DATA'!$B:$B=""RWS"")),"""")
  )
)"),"")</f>
      </c>
      <c r="H1210" s="18" t="str">
        <f>IFERROR(__xludf.DUMMYFUNCTION("IFERROR(
  TEXTJOIN(CHAR(10),TRUE,FILTER('SUMMARY DATA'!H:H,'SUMMARY DATA'!$A:$A=$A1210,'SUMMARY DATA'!$C:$C=$B1210,'SUMMARY DATA'!$B:$B=""RWS"",'SUMMARY DATA'!$H:$H=$D1210)),
  IF(
    OR(
      ISNUMBER(SEARCH(""CDM CASH DEPOSIT"",$C1210)),
      ISNUMB"&amp;"ER(SEARCH(""CASH DEPOSIT"",$C1210))
    ),
    """",
    IFERROR(TEXTJOIN(CHAR(10),TRUE,FILTER('SUMMARY DATA'!H:H,'SUMMARY DATA'!$D:$D=$C1210,'SUMMARY DATA'!$B:$B=""RWS"",'SUMMARY DATA'!$H:$H=$D1210)),"""")
  )
)"),"")</f>
      </c>
      <c r="I1210" s="18" t="str">
        <f>IFERROR(__xludf.DUMMYFUNCTION("IF(H1210="""","""",
SUM(ARRAYFORMULA(VALUE(SPLIT(H1210,CHAR(10)))))
)"),"")</f>
      </c>
      <c r="J1210" s="17" t="str">
        <f>IFERROR(__xludf.DUMMYFUNCTION("IFERROR(
  TEXTJOIN(CHAR(10),TRUE,FILTER('SUMMARY DATA'!I:I,'SUMMARY DATA'!$A:$A=$A1210,'SUMMARY DATA'!$C:$C=$B1210,'SUMMARY DATA'!$B:$B=""RWS"")),
  IF(
    OR(
      ISNUMBER(SEARCH(""CDM CASH DEPOSIT"",$C1210)),
      ISNUMBER(SEARCH(""CASH DEPOSIT"",$"&amp;"C1210)),
      COUNTIFS('SUMMARY DATA'!$D:$D,$C1210,'SUMMARY DATA'!$B:$B,""RWS"")&lt;&gt;1
    ),
    """",
    IFERROR(TEXTJOIN(CHAR(10),TRUE,FILTER('SUMMARY DATA'!I:I,'SUMMARY DATA'!$D:$D=$C1210,'SUMMARY DATA'!$B:$B=""RWS"")),"""")
  )
)"),"")</f>
      </c>
      <c r="K1210" s="2"/>
      <c r="L1210" s="2"/>
      <c r="M1210" s="2"/>
      <c r="N1210" s="2"/>
      <c r="O1210" s="2"/>
      <c r="P1210" s="2"/>
      <c r="Q1210" s="2"/>
      <c r="R1210" s="2"/>
      <c r="S1210" s="2"/>
      <c r="T1210" s="2"/>
      <c r="U1210" s="2"/>
      <c r="V1210" s="2"/>
      <c r="W1210" s="2"/>
      <c r="X1210" s="2"/>
      <c r="Y1210" s="2"/>
      <c r="Z1210" s="2"/>
      <c r="AA1210" s="2"/>
      <c r="AB1210" s="2"/>
    </row>
    <row r="1211" spans="1:28" customHeight="true">
      <c r="A1211" s="2"/>
      <c r="B1211" s="15">
        <v>45816</v>
      </c>
      <c r="C1211" s="2" t="s">
        <v>1751</v>
      </c>
      <c r="D1211" s="6">
        <v>196.55</v>
      </c>
      <c r="E1211" s="16" t="str">
        <f>IFERROR(__xludf.DUMMYFUNCTION("IFERROR(
  TEXTJOIN(CHAR(10),TRUE,FILTER('SUMMARY DATA'!E:E,'SUMMARY DATA'!$A:$A=$A312,'SUMMARY DATA'!$C:$C=$B312,'SUMMARY DATA'!$B:$B=""GRP"")),
  IF(
    OR(
      ISNUMBER(SEARCH(""CDM CASH DEPOSIT"",$C312)),
      ISNUMBER(SEARCH(""CASH DEPOSIT"",$C31"&amp;"2)),
      COUNTIFS('SUMMARY DATA'!$D:$D,$C312,'SUMMARY DATA'!$B:$B,""GRP"")&lt;&gt;1
    ),
    """",
    IFERROR(TEXTJOIN(CHAR(10),TRUE,FILTER('SUMMARY DATA'!E:E,'SUMMARY DATA'!$D:$D=$C312,'SUMMARY DATA'!$B:$B=""GRP"")),"""")
  )
)"),"")</f>
      </c>
      <c r="F1211" s="17" t="str">
        <f>IFERROR(__xludf.DUMMYFUNCTION("IFERROR(
  TEXTJOIN(CHAR(10),TRUE,FILTER('SUMMARY DATA'!F:F,'SUMMARY DATA'!$A:$A=$A312,'SUMMARY DATA'!$C:$C=$B312,'SUMMARY DATA'!$B:$B=""GRP"")),
  IF(
    OR(
      ISNUMBER(SEARCH(""CDM CASH DEPOSIT"",$C312)),
      ISNUMBER(SEARCH(""CASH DEPOSIT"",$C31"&amp;"2)),
      COUNTIFS('SUMMARY DATA'!$D:$D,$C312,'SUMMARY DATA'!$B:$B,""GRP"")&lt;&gt;1
    ),
    """",
    IFERROR(TEXTJOIN(CHAR(10),TRUE,FILTER('SUMMARY DATA'!F:F,'SUMMARY DATA'!$D:$D=$C312,'SUMMARY DATA'!$B:$B=""GRP"")),"""")
  )
)"),"")</f>
      </c>
      <c r="G1211" s="17" t="str">
        <f>IFERROR(__xludf.DUMMYFUNCTION("IFERROR(
  TEXTJOIN(CHAR(10),TRUE,FILTER('SUMMARY DATA'!G:G,'SUMMARY DATA'!$A:$A=$A1211,'SUMMARY DATA'!$C:$C=$B1211,'SUMMARY DATA'!$B:$B=""RWS"")),
  IF(
    OR(
      ISNUMBER(SEARCH(""CDM CASH DEPOSIT"",$C1211)),
      ISNUMBER(SEARCH(""CASH DEPOSIT"",$"&amp;"C1211)),
      COUNTIFS('SUMMARY DATA'!$D:$D,$C1211,'SUMMARY DATA'!$B:$B,""RWS"")&lt;&gt;1
    ),
    """",
    IFERROR(TEXTJOIN(CHAR(10),TRUE,FILTER('SUMMARY DATA'!G:G,'SUMMARY DATA'!$D:$D=$C1211,'SUMMARY DATA'!$B:$B=""RWS"")),"""")
  )
)"),"")</f>
      </c>
      <c r="H1211" s="18" t="str">
        <f>IFERROR(__xludf.DUMMYFUNCTION("IFERROR(
  TEXTJOIN(CHAR(10),TRUE,FILTER('SUMMARY DATA'!H:H,'SUMMARY DATA'!$A:$A=$A1211,'SUMMARY DATA'!$C:$C=$B1211,'SUMMARY DATA'!$B:$B=""RWS"",'SUMMARY DATA'!$H:$H=$D1211)),
  IF(
    OR(
      ISNUMBER(SEARCH(""CDM CASH DEPOSIT"",$C1211)),
      ISNUMB"&amp;"ER(SEARCH(""CASH DEPOSIT"",$C1211))
    ),
    """",
    IFERROR(TEXTJOIN(CHAR(10),TRUE,FILTER('SUMMARY DATA'!H:H,'SUMMARY DATA'!$D:$D=$C1211,'SUMMARY DATA'!$B:$B=""RWS"",'SUMMARY DATA'!$H:$H=$D1211)),"""")
  )
)"),"")</f>
      </c>
      <c r="I1211" s="18" t="str">
        <f>IFERROR(__xludf.DUMMYFUNCTION("IF(H1211="""","""",
SUM(ARRAYFORMULA(VALUE(SPLIT(H1211,CHAR(10)))))
)"),"")</f>
      </c>
      <c r="J1211" s="17" t="str">
        <f>IFERROR(__xludf.DUMMYFUNCTION("IFERROR(
  TEXTJOIN(CHAR(10),TRUE,FILTER('SUMMARY DATA'!I:I,'SUMMARY DATA'!$A:$A=$A1211,'SUMMARY DATA'!$C:$C=$B1211,'SUMMARY DATA'!$B:$B=""RWS"")),
  IF(
    OR(
      ISNUMBER(SEARCH(""CDM CASH DEPOSIT"",$C1211)),
      ISNUMBER(SEARCH(""CASH DEPOSIT"",$"&amp;"C1211)),
      COUNTIFS('SUMMARY DATA'!$D:$D,$C1211,'SUMMARY DATA'!$B:$B,""RWS"")&lt;&gt;1
    ),
    """",
    IFERROR(TEXTJOIN(CHAR(10),TRUE,FILTER('SUMMARY DATA'!I:I,'SUMMARY DATA'!$D:$D=$C1211,'SUMMARY DATA'!$B:$B=""RWS"")),"""")
  )
)"),"")</f>
      </c>
      <c r="K1211" s="2"/>
      <c r="L1211" s="2"/>
      <c r="M1211" s="2"/>
      <c r="N1211" s="2"/>
      <c r="O1211" s="2"/>
      <c r="P1211" s="2"/>
      <c r="Q1211" s="2"/>
      <c r="R1211" s="2"/>
      <c r="S1211" s="2"/>
      <c r="T1211" s="2"/>
      <c r="U1211" s="2"/>
      <c r="V1211" s="2"/>
      <c r="W1211" s="2"/>
      <c r="X1211" s="2"/>
      <c r="Y1211" s="2"/>
      <c r="Z1211" s="2"/>
      <c r="AA1211" s="2"/>
      <c r="AB1211" s="2"/>
    </row>
    <row r="1212" spans="1:28" customHeight="true">
      <c r="A1212" s="2" t="s">
        <v>1752</v>
      </c>
      <c r="B1212" s="15">
        <v>45816</v>
      </c>
      <c r="C1212" s="2" t="s">
        <v>1753</v>
      </c>
      <c r="D1212" s="6">
        <v>79.99</v>
      </c>
      <c r="E1212" s="16" t="str">
        <f>IFERROR(__xludf.DUMMYFUNCTION("IFERROR(
  TEXTJOIN(CHAR(10),TRUE,FILTER('SUMMARY DATA'!E:E,'SUMMARY DATA'!$A:$A=$A313,'SUMMARY DATA'!$C:$C=$B313,'SUMMARY DATA'!$B:$B=""GRP"")),
  IF(
    OR(
      ISNUMBER(SEARCH(""CDM CASH DEPOSIT"",$C313)),
      ISNUMBER(SEARCH(""CASH DEPOSIT"",$C31"&amp;"3)),
      COUNTIFS('SUMMARY DATA'!$D:$D,$C313,'SUMMARY DATA'!$B:$B,""GRP"")&lt;&gt;1
    ),
    """",
    IFERROR(TEXTJOIN(CHAR(10),TRUE,FILTER('SUMMARY DATA'!E:E,'SUMMARY DATA'!$D:$D=$C313,'SUMMARY DATA'!$B:$B=""GRP"")),"""")
  )
)"),"")</f>
      </c>
      <c r="F1212" s="17" t="str">
        <f>IFERROR(__xludf.DUMMYFUNCTION("IFERROR(
  TEXTJOIN(CHAR(10),TRUE,FILTER('SUMMARY DATA'!F:F,'SUMMARY DATA'!$A:$A=$A313,'SUMMARY DATA'!$C:$C=$B313,'SUMMARY DATA'!$B:$B=""GRP"")),
  IF(
    OR(
      ISNUMBER(SEARCH(""CDM CASH DEPOSIT"",$C313)),
      ISNUMBER(SEARCH(""CASH DEPOSIT"",$C31"&amp;"3)),
      COUNTIFS('SUMMARY DATA'!$D:$D,$C313,'SUMMARY DATA'!$B:$B,""GRP"")&lt;&gt;1
    ),
    """",
    IFERROR(TEXTJOIN(CHAR(10),TRUE,FILTER('SUMMARY DATA'!F:F,'SUMMARY DATA'!$D:$D=$C313,'SUMMARY DATA'!$B:$B=""GRP"")),"""")
  )
)"),"")</f>
      </c>
      <c r="G1212" s="17" t="str">
        <f>IFERROR(__xludf.DUMMYFUNCTION("IFERROR(
  TEXTJOIN(CHAR(10),TRUE,FILTER('SUMMARY DATA'!G:G,'SUMMARY DATA'!$A:$A=$A1212,'SUMMARY DATA'!$C:$C=$B1212,'SUMMARY DATA'!$B:$B=""RWS"")),
  IF(
    OR(
      ISNUMBER(SEARCH(""CDM CASH DEPOSIT"",$C1212)),
      ISNUMBER(SEARCH(""CASH DEPOSIT"",$"&amp;"C1212)),
      COUNTIFS('SUMMARY DATA'!$D:$D,$C1212,'SUMMARY DATA'!$B:$B,""RWS"")&lt;&gt;1
    ),
    """",
    IFERROR(TEXTJOIN(CHAR(10),TRUE,FILTER('SUMMARY DATA'!G:G,'SUMMARY DATA'!$D:$D=$C1212,'SUMMARY DATA'!$B:$B=""RWS"")),"""")
  )
)"),"")</f>
      </c>
      <c r="H1212" s="18" t="str">
        <f>IFERROR(__xludf.DUMMYFUNCTION("IFERROR(
  TEXTJOIN(CHAR(10),TRUE,FILTER('SUMMARY DATA'!H:H,'SUMMARY DATA'!$A:$A=$A1212,'SUMMARY DATA'!$C:$C=$B1212,'SUMMARY DATA'!$B:$B=""RWS"",'SUMMARY DATA'!$H:$H=$D1212)),
  IF(
    OR(
      ISNUMBER(SEARCH(""CDM CASH DEPOSIT"",$C1212)),
      ISNUMB"&amp;"ER(SEARCH(""CASH DEPOSIT"",$C1212))
    ),
    """",
    IFERROR(TEXTJOIN(CHAR(10),TRUE,FILTER('SUMMARY DATA'!H:H,'SUMMARY DATA'!$D:$D=$C1212,'SUMMARY DATA'!$B:$B=""RWS"",'SUMMARY DATA'!$H:$H=$D1212)),"""")
  )
)"),"")</f>
      </c>
      <c r="I1212" s="18" t="str">
        <f>IFERROR(__xludf.DUMMYFUNCTION("IF(H1212="""","""",
SUM(ARRAYFORMULA(VALUE(SPLIT(H1212,CHAR(10)))))
)"),"")</f>
      </c>
      <c r="J1212" s="17" t="str">
        <f>IFERROR(__xludf.DUMMYFUNCTION("IFERROR(
  TEXTJOIN(CHAR(10),TRUE,FILTER('SUMMARY DATA'!I:I,'SUMMARY DATA'!$A:$A=$A1212,'SUMMARY DATA'!$C:$C=$B1212,'SUMMARY DATA'!$B:$B=""RWS"")),
  IF(
    OR(
      ISNUMBER(SEARCH(""CDM CASH DEPOSIT"",$C1212)),
      ISNUMBER(SEARCH(""CASH DEPOSIT"",$"&amp;"C1212)),
      COUNTIFS('SUMMARY DATA'!$D:$D,$C1212,'SUMMARY DATA'!$B:$B,""RWS"")&lt;&gt;1
    ),
    """",
    IFERROR(TEXTJOIN(CHAR(10),TRUE,FILTER('SUMMARY DATA'!I:I,'SUMMARY DATA'!$D:$D=$C1212,'SUMMARY DATA'!$B:$B=""RWS"")),"""")
  )
)"),"")</f>
      </c>
      <c r="K1212" s="2"/>
      <c r="L1212" s="2"/>
      <c r="M1212" s="2"/>
      <c r="N1212" s="2"/>
      <c r="O1212" s="2"/>
      <c r="P1212" s="2"/>
      <c r="Q1212" s="2"/>
      <c r="R1212" s="2"/>
      <c r="S1212" s="2"/>
      <c r="T1212" s="2"/>
      <c r="U1212" s="2"/>
      <c r="V1212" s="2"/>
      <c r="W1212" s="2"/>
      <c r="X1212" s="2"/>
      <c r="Y1212" s="2"/>
      <c r="Z1212" s="2"/>
      <c r="AA1212" s="2"/>
      <c r="AB1212" s="2"/>
    </row>
    <row r="1213" spans="1:28" customHeight="true">
      <c r="A1213" s="2"/>
      <c r="B1213" s="15">
        <v>45816</v>
      </c>
      <c r="C1213" s="2" t="s">
        <v>1754</v>
      </c>
      <c r="D1213" s="6">
        <v>16.99</v>
      </c>
      <c r="E1213" s="16" t="str">
        <f>IFERROR(__xludf.DUMMYFUNCTION("IFERROR(
  TEXTJOIN(CHAR(10),TRUE,FILTER('SUMMARY DATA'!E:E,'SUMMARY DATA'!$A:$A=$A314,'SUMMARY DATA'!$C:$C=$B314,'SUMMARY DATA'!$B:$B=""GRP"")),
  IF(
    OR(
      ISNUMBER(SEARCH(""CDM CASH DEPOSIT"",$C314)),
      ISNUMBER(SEARCH(""CASH DEPOSIT"",$C31"&amp;"4)),
      COUNTIFS('SUMMARY DATA'!$D:$D,$C314,'SUMMARY DATA'!$B:$B,""GRP"")&lt;&gt;1
    ),
    """",
    IFERROR(TEXTJOIN(CHAR(10),TRUE,FILTER('SUMMARY DATA'!E:E,'SUMMARY DATA'!$D:$D=$C314,'SUMMARY DATA'!$B:$B=""GRP"")),"""")
  )
)"),"")</f>
      </c>
      <c r="F1213" s="17" t="str">
        <f>IFERROR(__xludf.DUMMYFUNCTION("IFERROR(
  TEXTJOIN(CHAR(10),TRUE,FILTER('SUMMARY DATA'!F:F,'SUMMARY DATA'!$A:$A=$A314,'SUMMARY DATA'!$C:$C=$B314,'SUMMARY DATA'!$B:$B=""GRP"")),
  IF(
    OR(
      ISNUMBER(SEARCH(""CDM CASH DEPOSIT"",$C314)),
      ISNUMBER(SEARCH(""CASH DEPOSIT"",$C31"&amp;"4)),
      COUNTIFS('SUMMARY DATA'!$D:$D,$C314,'SUMMARY DATA'!$B:$B,""GRP"")&lt;&gt;1
    ),
    """",
    IFERROR(TEXTJOIN(CHAR(10),TRUE,FILTER('SUMMARY DATA'!F:F,'SUMMARY DATA'!$D:$D=$C314,'SUMMARY DATA'!$B:$B=""GRP"")),"""")
  )
)"),"")</f>
      </c>
      <c r="G1213" s="17" t="str">
        <f>IFERROR(__xludf.DUMMYFUNCTION("IFERROR(
  TEXTJOIN(CHAR(10),TRUE,FILTER('SUMMARY DATA'!G:G,'SUMMARY DATA'!$A:$A=$A1213,'SUMMARY DATA'!$C:$C=$B1213,'SUMMARY DATA'!$B:$B=""RWS"")),
  IF(
    OR(
      ISNUMBER(SEARCH(""CDM CASH DEPOSIT"",$C1213)),
      ISNUMBER(SEARCH(""CASH DEPOSIT"",$"&amp;"C1213)),
      COUNTIFS('SUMMARY DATA'!$D:$D,$C1213,'SUMMARY DATA'!$B:$B,""RWS"")&lt;&gt;1
    ),
    """",
    IFERROR(TEXTJOIN(CHAR(10),TRUE,FILTER('SUMMARY DATA'!G:G,'SUMMARY DATA'!$D:$D=$C1213,'SUMMARY DATA'!$B:$B=""RWS"")),"""")
  )
)"),"")</f>
      </c>
      <c r="H1213" s="18" t="str">
        <f>IFERROR(__xludf.DUMMYFUNCTION("IFERROR(
  TEXTJOIN(CHAR(10),TRUE,FILTER('SUMMARY DATA'!H:H,'SUMMARY DATA'!$A:$A=$A1213,'SUMMARY DATA'!$C:$C=$B1213,'SUMMARY DATA'!$B:$B=""RWS"",'SUMMARY DATA'!$H:$H=$D1213)),
  IF(
    OR(
      ISNUMBER(SEARCH(""CDM CASH DEPOSIT"",$C1213)),
      ISNUMB"&amp;"ER(SEARCH(""CASH DEPOSIT"",$C1213))
    ),
    """",
    IFERROR(TEXTJOIN(CHAR(10),TRUE,FILTER('SUMMARY DATA'!H:H,'SUMMARY DATA'!$D:$D=$C1213,'SUMMARY DATA'!$B:$B=""RWS"",'SUMMARY DATA'!$H:$H=$D1213)),"""")
  )
)"),"")</f>
      </c>
      <c r="I1213" s="18" t="str">
        <f>IFERROR(__xludf.DUMMYFUNCTION("IF(H1213="""","""",
SUM(ARRAYFORMULA(VALUE(SPLIT(H1213,CHAR(10)))))
)"),"")</f>
      </c>
      <c r="J1213" s="17" t="str">
        <f>IFERROR(__xludf.DUMMYFUNCTION("IFERROR(
  TEXTJOIN(CHAR(10),TRUE,FILTER('SUMMARY DATA'!I:I,'SUMMARY DATA'!$A:$A=$A1213,'SUMMARY DATA'!$C:$C=$B1213,'SUMMARY DATA'!$B:$B=""RWS"")),
  IF(
    OR(
      ISNUMBER(SEARCH(""CDM CASH DEPOSIT"",$C1213)),
      ISNUMBER(SEARCH(""CASH DEPOSIT"",$"&amp;"C1213)),
      COUNTIFS('SUMMARY DATA'!$D:$D,$C1213,'SUMMARY DATA'!$B:$B,""RWS"")&lt;&gt;1
    ),
    """",
    IFERROR(TEXTJOIN(CHAR(10),TRUE,FILTER('SUMMARY DATA'!I:I,'SUMMARY DATA'!$D:$D=$C1213,'SUMMARY DATA'!$B:$B=""RWS"")),"""")
  )
)"),"")</f>
      </c>
      <c r="K1213" s="2"/>
      <c r="L1213" s="2"/>
      <c r="M1213" s="2"/>
      <c r="N1213" s="2"/>
      <c r="O1213" s="2"/>
      <c r="P1213" s="2"/>
      <c r="Q1213" s="2"/>
      <c r="R1213" s="2"/>
      <c r="S1213" s="2"/>
      <c r="T1213" s="2"/>
      <c r="U1213" s="2"/>
      <c r="V1213" s="2"/>
      <c r="W1213" s="2"/>
      <c r="X1213" s="2"/>
      <c r="Y1213" s="2"/>
      <c r="Z1213" s="2"/>
      <c r="AA1213" s="2"/>
      <c r="AB1213" s="2"/>
    </row>
    <row r="1214" spans="1:28" customHeight="true">
      <c r="A1214" s="2" t="s">
        <v>1755</v>
      </c>
      <c r="B1214" s="15">
        <v>45817</v>
      </c>
      <c r="C1214" s="2" t="s">
        <v>1756</v>
      </c>
      <c r="D1214" s="6">
        <v>199.97</v>
      </c>
      <c r="E1214" s="16" t="str">
        <f>IFERROR(__xludf.DUMMYFUNCTION("IFERROR(
  TEXTJOIN(CHAR(10),TRUE,FILTER('SUMMARY DATA'!E:E,'SUMMARY DATA'!$A:$A=$A315,'SUMMARY DATA'!$C:$C=$B315,'SUMMARY DATA'!$B:$B=""GRP"")),
  IF(
    OR(
      ISNUMBER(SEARCH(""CDM CASH DEPOSIT"",$C315)),
      ISNUMBER(SEARCH(""CASH DEPOSIT"",$C31"&amp;"5)),
      COUNTIFS('SUMMARY DATA'!$D:$D,$C315,'SUMMARY DATA'!$B:$B,""GRP"")&lt;&gt;1
    ),
    """",
    IFERROR(TEXTJOIN(CHAR(10),TRUE,FILTER('SUMMARY DATA'!E:E,'SUMMARY DATA'!$D:$D=$C315,'SUMMARY DATA'!$B:$B=""GRP"")),"""")
  )
)"),"")</f>
      </c>
      <c r="F1214" s="17" t="str">
        <f>IFERROR(__xludf.DUMMYFUNCTION("IFERROR(
  TEXTJOIN(CHAR(10),TRUE,FILTER('SUMMARY DATA'!F:F,'SUMMARY DATA'!$A:$A=$A315,'SUMMARY DATA'!$C:$C=$B315,'SUMMARY DATA'!$B:$B=""GRP"")),
  IF(
    OR(
      ISNUMBER(SEARCH(""CDM CASH DEPOSIT"",$C315)),
      ISNUMBER(SEARCH(""CASH DEPOSIT"",$C31"&amp;"5)),
      COUNTIFS('SUMMARY DATA'!$D:$D,$C315,'SUMMARY DATA'!$B:$B,""GRP"")&lt;&gt;1
    ),
    """",
    IFERROR(TEXTJOIN(CHAR(10),TRUE,FILTER('SUMMARY DATA'!F:F,'SUMMARY DATA'!$D:$D=$C315,'SUMMARY DATA'!$B:$B=""GRP"")),"""")
  )
)"),"")</f>
      </c>
      <c r="G1214" s="17" t="str">
        <f>IFERROR(__xludf.DUMMYFUNCTION("IFERROR(
  TEXTJOIN(CHAR(10),TRUE,FILTER('SUMMARY DATA'!G:G,'SUMMARY DATA'!$A:$A=$A1214,'SUMMARY DATA'!$C:$C=$B1214,'SUMMARY DATA'!$B:$B=""RWS"")),
  IF(
    OR(
      ISNUMBER(SEARCH(""CDM CASH DEPOSIT"",$C1214)),
      ISNUMBER(SEARCH(""CASH DEPOSIT"",$"&amp;"C1214)),
      COUNTIFS('SUMMARY DATA'!$D:$D,$C1214,'SUMMARY DATA'!$B:$B,""RWS"")&lt;&gt;1
    ),
    """",
    IFERROR(TEXTJOIN(CHAR(10),TRUE,FILTER('SUMMARY DATA'!G:G,'SUMMARY DATA'!$D:$D=$C1214,'SUMMARY DATA'!$B:$B=""RWS"")),"""")
  )
)"),"")</f>
      </c>
      <c r="H1214" s="18" t="str">
        <f>IFERROR(__xludf.DUMMYFUNCTION("IFERROR(
  TEXTJOIN(CHAR(10),TRUE,FILTER('SUMMARY DATA'!H:H,'SUMMARY DATA'!$A:$A=$A1214,'SUMMARY DATA'!$C:$C=$B1214,'SUMMARY DATA'!$B:$B=""RWS"",'SUMMARY DATA'!$H:$H=$D1214)),
  IF(
    OR(
      ISNUMBER(SEARCH(""CDM CASH DEPOSIT"",$C1214)),
      ISNUMB"&amp;"ER(SEARCH(""CASH DEPOSIT"",$C1214))
    ),
    """",
    IFERROR(TEXTJOIN(CHAR(10),TRUE,FILTER('SUMMARY DATA'!H:H,'SUMMARY DATA'!$D:$D=$C1214,'SUMMARY DATA'!$B:$B=""RWS"",'SUMMARY DATA'!$H:$H=$D1214)),"""")
  )
)"),"")</f>
      </c>
      <c r="I1214" s="18" t="str">
        <f>IFERROR(__xludf.DUMMYFUNCTION("IF(H1214="""","""",
SUM(ARRAYFORMULA(VALUE(SPLIT(H1214,CHAR(10)))))
)"),"")</f>
      </c>
      <c r="J1214" s="17" t="str">
        <f>IFERROR(__xludf.DUMMYFUNCTION("IFERROR(
  TEXTJOIN(CHAR(10),TRUE,FILTER('SUMMARY DATA'!I:I,'SUMMARY DATA'!$A:$A=$A1214,'SUMMARY DATA'!$C:$C=$B1214,'SUMMARY DATA'!$B:$B=""RWS"")),
  IF(
    OR(
      ISNUMBER(SEARCH(""CDM CASH DEPOSIT"",$C1214)),
      ISNUMBER(SEARCH(""CASH DEPOSIT"",$"&amp;"C1214)),
      COUNTIFS('SUMMARY DATA'!$D:$D,$C1214,'SUMMARY DATA'!$B:$B,""RWS"")&lt;&gt;1
    ),
    """",
    IFERROR(TEXTJOIN(CHAR(10),TRUE,FILTER('SUMMARY DATA'!I:I,'SUMMARY DATA'!$D:$D=$C1214,'SUMMARY DATA'!$B:$B=""RWS"")),"""")
  )
)"),"")</f>
      </c>
      <c r="K1214" s="2"/>
      <c r="L1214" s="2"/>
      <c r="M1214" s="2"/>
      <c r="N1214" s="2"/>
      <c r="O1214" s="2"/>
      <c r="P1214" s="2"/>
      <c r="Q1214" s="2"/>
      <c r="R1214" s="2"/>
      <c r="S1214" s="2"/>
      <c r="T1214" s="2"/>
      <c r="U1214" s="2"/>
      <c r="V1214" s="2"/>
      <c r="W1214" s="2"/>
      <c r="X1214" s="2"/>
      <c r="Y1214" s="2"/>
      <c r="Z1214" s="2"/>
      <c r="AA1214" s="2"/>
      <c r="AB1214" s="2"/>
    </row>
    <row r="1215" spans="1:28" customHeight="true">
      <c r="A1215" s="2" t="s">
        <v>1442</v>
      </c>
      <c r="B1215" s="15">
        <v>45817</v>
      </c>
      <c r="C1215" s="2" t="s">
        <v>1757</v>
      </c>
      <c r="D1215" s="6">
        <v>159</v>
      </c>
      <c r="E1215" s="16" t="str">
        <f>IFERROR(__xludf.DUMMYFUNCTION("IFERROR(
  TEXTJOIN(CHAR(10),TRUE,FILTER('SUMMARY DATA'!E:E,'SUMMARY DATA'!$A:$A=$A316,'SUMMARY DATA'!$C:$C=$B316,'SUMMARY DATA'!$B:$B=""GRP"")),
  IF(
    OR(
      ISNUMBER(SEARCH(""CDM CASH DEPOSIT"",$C316)),
      ISNUMBER(SEARCH(""CASH DEPOSIT"",$C31"&amp;"6)),
      COUNTIFS('SUMMARY DATA'!$D:$D,$C316,'SUMMARY DATA'!$B:$B,""GRP"")&lt;&gt;1
    ),
    """",
    IFERROR(TEXTJOIN(CHAR(10),TRUE,FILTER('SUMMARY DATA'!E:E,'SUMMARY DATA'!$D:$D=$C316,'SUMMARY DATA'!$B:$B=""GRP"")),"""")
  )
)"),"")</f>
      </c>
      <c r="F1215" s="17" t="str">
        <f>IFERROR(__xludf.DUMMYFUNCTION("IFERROR(
  TEXTJOIN(CHAR(10),TRUE,FILTER('SUMMARY DATA'!F:F,'SUMMARY DATA'!$A:$A=$A316,'SUMMARY DATA'!$C:$C=$B316,'SUMMARY DATA'!$B:$B=""GRP"")),
  IF(
    OR(
      ISNUMBER(SEARCH(""CDM CASH DEPOSIT"",$C316)),
      ISNUMBER(SEARCH(""CASH DEPOSIT"",$C31"&amp;"6)),
      COUNTIFS('SUMMARY DATA'!$D:$D,$C316,'SUMMARY DATA'!$B:$B,""GRP"")&lt;&gt;1
    ),
    """",
    IFERROR(TEXTJOIN(CHAR(10),TRUE,FILTER('SUMMARY DATA'!F:F,'SUMMARY DATA'!$D:$D=$C316,'SUMMARY DATA'!$B:$B=""GRP"")),"""")
  )
)"),"")</f>
      </c>
      <c r="G1215" s="17" t="str">
        <f>IFERROR(__xludf.DUMMYFUNCTION("IFERROR(
  TEXTJOIN(CHAR(10),TRUE,FILTER('SUMMARY DATA'!G:G,'SUMMARY DATA'!$A:$A=$A1215,'SUMMARY DATA'!$C:$C=$B1215,'SUMMARY DATA'!$B:$B=""RWS"")),
  IF(
    OR(
      ISNUMBER(SEARCH(""CDM CASH DEPOSIT"",$C1215)),
      ISNUMBER(SEARCH(""CASH DEPOSIT"",$"&amp;"C1215)),
      COUNTIFS('SUMMARY DATA'!$D:$D,$C1215,'SUMMARY DATA'!$B:$B,""RWS"")&lt;&gt;1
    ),
    """",
    IFERROR(TEXTJOIN(CHAR(10),TRUE,FILTER('SUMMARY DATA'!G:G,'SUMMARY DATA'!$D:$D=$C1215,'SUMMARY DATA'!$B:$B=""RWS"")),"""")
  )
)"),"")</f>
      </c>
      <c r="H1215" s="18" t="str">
        <f>IFERROR(__xludf.DUMMYFUNCTION("IFERROR(
  TEXTJOIN(CHAR(10),TRUE,FILTER('SUMMARY DATA'!H:H,'SUMMARY DATA'!$A:$A=$A1215,'SUMMARY DATA'!$C:$C=$B1215,'SUMMARY DATA'!$B:$B=""RWS"",'SUMMARY DATA'!$H:$H=$D1215)),
  IF(
    OR(
      ISNUMBER(SEARCH(""CDM CASH DEPOSIT"",$C1215)),
      ISNUMB"&amp;"ER(SEARCH(""CASH DEPOSIT"",$C1215))
    ),
    """",
    IFERROR(TEXTJOIN(CHAR(10),TRUE,FILTER('SUMMARY DATA'!H:H,'SUMMARY DATA'!$D:$D=$C1215,'SUMMARY DATA'!$B:$B=""RWS"",'SUMMARY DATA'!$H:$H=$D1215)),"""")
  )
)"),"")</f>
      </c>
      <c r="I1215" s="18" t="str">
        <f>IFERROR(__xludf.DUMMYFUNCTION("IF(H1215="""","""",
SUM(ARRAYFORMULA(VALUE(SPLIT(H1215,CHAR(10)))))
)"),"")</f>
      </c>
      <c r="J1215" s="17" t="str">
        <f>IFERROR(__xludf.DUMMYFUNCTION("IFERROR(
  TEXTJOIN(CHAR(10),TRUE,FILTER('SUMMARY DATA'!I:I,'SUMMARY DATA'!$A:$A=$A1215,'SUMMARY DATA'!$C:$C=$B1215,'SUMMARY DATA'!$B:$B=""RWS"")),
  IF(
    OR(
      ISNUMBER(SEARCH(""CDM CASH DEPOSIT"",$C1215)),
      ISNUMBER(SEARCH(""CASH DEPOSIT"",$"&amp;"C1215)),
      COUNTIFS('SUMMARY DATA'!$D:$D,$C1215,'SUMMARY DATA'!$B:$B,""RWS"")&lt;&gt;1
    ),
    """",
    IFERROR(TEXTJOIN(CHAR(10),TRUE,FILTER('SUMMARY DATA'!I:I,'SUMMARY DATA'!$D:$D=$C1215,'SUMMARY DATA'!$B:$B=""RWS"")),"""")
  )
)"),"")</f>
      </c>
      <c r="K1215" s="2"/>
      <c r="L1215" s="2"/>
      <c r="M1215" s="2"/>
      <c r="N1215" s="2"/>
      <c r="O1215" s="2"/>
      <c r="P1215" s="2"/>
      <c r="Q1215" s="2"/>
      <c r="R1215" s="2"/>
      <c r="S1215" s="2"/>
      <c r="T1215" s="2"/>
      <c r="U1215" s="2"/>
      <c r="V1215" s="2"/>
      <c r="W1215" s="2"/>
      <c r="X1215" s="2"/>
      <c r="Y1215" s="2"/>
      <c r="Z1215" s="2"/>
      <c r="AA1215" s="2"/>
      <c r="AB1215" s="2"/>
    </row>
    <row r="1216" spans="1:28" customHeight="true">
      <c r="A1216" s="2"/>
      <c r="B1216" s="15">
        <v>45817</v>
      </c>
      <c r="C1216" s="2" t="s">
        <v>1758</v>
      </c>
      <c r="D1216" s="6">
        <v>57</v>
      </c>
      <c r="E1216" s="16" t="str">
        <f>IFERROR(__xludf.DUMMYFUNCTION("IFERROR(
  TEXTJOIN(CHAR(10),TRUE,FILTER('SUMMARY DATA'!E:E,'SUMMARY DATA'!$A:$A=$A317,'SUMMARY DATA'!$C:$C=$B317,'SUMMARY DATA'!$B:$B=""GRP"")),
  IF(
    OR(
      ISNUMBER(SEARCH(""CDM CASH DEPOSIT"",$C317)),
      ISNUMBER(SEARCH(""CASH DEPOSIT"",$C31"&amp;"7)),
      COUNTIFS('SUMMARY DATA'!$D:$D,$C317,'SUMMARY DATA'!$B:$B,""GRP"")&lt;&gt;1
    ),
    """",
    IFERROR(TEXTJOIN(CHAR(10),TRUE,FILTER('SUMMARY DATA'!E:E,'SUMMARY DATA'!$D:$D=$C317,'SUMMARY DATA'!$B:$B=""GRP"")),"""")
  )
)"),"")</f>
      </c>
      <c r="F1216" s="17" t="str">
        <f>IFERROR(__xludf.DUMMYFUNCTION("IFERROR(
  TEXTJOIN(CHAR(10),TRUE,FILTER('SUMMARY DATA'!F:F,'SUMMARY DATA'!$A:$A=$A317,'SUMMARY DATA'!$C:$C=$B317,'SUMMARY DATA'!$B:$B=""GRP"")),
  IF(
    OR(
      ISNUMBER(SEARCH(""CDM CASH DEPOSIT"",$C317)),
      ISNUMBER(SEARCH(""CASH DEPOSIT"",$C31"&amp;"7)),
      COUNTIFS('SUMMARY DATA'!$D:$D,$C317,'SUMMARY DATA'!$B:$B,""GRP"")&lt;&gt;1
    ),
    """",
    IFERROR(TEXTJOIN(CHAR(10),TRUE,FILTER('SUMMARY DATA'!F:F,'SUMMARY DATA'!$D:$D=$C317,'SUMMARY DATA'!$B:$B=""GRP"")),"""")
  )
)"),"")</f>
      </c>
      <c r="G1216" s="17" t="str">
        <f>IFERROR(__xludf.DUMMYFUNCTION("IFERROR(
  TEXTJOIN(CHAR(10),TRUE,FILTER('SUMMARY DATA'!G:G,'SUMMARY DATA'!$A:$A=$A1216,'SUMMARY DATA'!$C:$C=$B1216,'SUMMARY DATA'!$B:$B=""RWS"")),
  IF(
    OR(
      ISNUMBER(SEARCH(""CDM CASH DEPOSIT"",$C1216)),
      ISNUMBER(SEARCH(""CASH DEPOSIT"",$"&amp;"C1216)),
      COUNTIFS('SUMMARY DATA'!$D:$D,$C1216,'SUMMARY DATA'!$B:$B,""RWS"")&lt;&gt;1
    ),
    """",
    IFERROR(TEXTJOIN(CHAR(10),TRUE,FILTER('SUMMARY DATA'!G:G,'SUMMARY DATA'!$D:$D=$C1216,'SUMMARY DATA'!$B:$B=""RWS"")),"""")
  )
)"),"")</f>
      </c>
      <c r="H1216" s="18" t="str">
        <f>IFERROR(__xludf.DUMMYFUNCTION("IFERROR(
  TEXTJOIN(CHAR(10),TRUE,FILTER('SUMMARY DATA'!H:H,'SUMMARY DATA'!$A:$A=$A1216,'SUMMARY DATA'!$C:$C=$B1216,'SUMMARY DATA'!$B:$B=""RWS"",'SUMMARY DATA'!$H:$H=$D1216)),
  IF(
    OR(
      ISNUMBER(SEARCH(""CDM CASH DEPOSIT"",$C1216)),
      ISNUMB"&amp;"ER(SEARCH(""CASH DEPOSIT"",$C1216))
    ),
    """",
    IFERROR(TEXTJOIN(CHAR(10),TRUE,FILTER('SUMMARY DATA'!H:H,'SUMMARY DATA'!$D:$D=$C1216,'SUMMARY DATA'!$B:$B=""RWS"",'SUMMARY DATA'!$H:$H=$D1216)),"""")
  )
)"),"")</f>
      </c>
      <c r="I1216" s="18" t="str">
        <f>IFERROR(__xludf.DUMMYFUNCTION("IF(H1216="""","""",
SUM(ARRAYFORMULA(VALUE(SPLIT(H1216,CHAR(10)))))
)"),"")</f>
      </c>
      <c r="J1216" s="17" t="str">
        <f>IFERROR(__xludf.DUMMYFUNCTION("IFERROR(
  TEXTJOIN(CHAR(10),TRUE,FILTER('SUMMARY DATA'!I:I,'SUMMARY DATA'!$A:$A=$A1216,'SUMMARY DATA'!$C:$C=$B1216,'SUMMARY DATA'!$B:$B=""RWS"")),
  IF(
    OR(
      ISNUMBER(SEARCH(""CDM CASH DEPOSIT"",$C1216)),
      ISNUMBER(SEARCH(""CASH DEPOSIT"",$"&amp;"C1216)),
      COUNTIFS('SUMMARY DATA'!$D:$D,$C1216,'SUMMARY DATA'!$B:$B,""RWS"")&lt;&gt;1
    ),
    """",
    IFERROR(TEXTJOIN(CHAR(10),TRUE,FILTER('SUMMARY DATA'!I:I,'SUMMARY DATA'!$D:$D=$C1216,'SUMMARY DATA'!$B:$B=""RWS"")),"""")
  )
)"),"")</f>
      </c>
      <c r="K1216" s="2"/>
      <c r="L1216" s="2"/>
      <c r="M1216" s="2"/>
      <c r="N1216" s="2"/>
      <c r="O1216" s="2"/>
      <c r="P1216" s="2"/>
      <c r="Q1216" s="2"/>
      <c r="R1216" s="2"/>
      <c r="S1216" s="2"/>
      <c r="T1216" s="2"/>
      <c r="U1216" s="2"/>
      <c r="V1216" s="2"/>
      <c r="W1216" s="2"/>
      <c r="X1216" s="2"/>
      <c r="Y1216" s="2"/>
      <c r="Z1216" s="2"/>
      <c r="AA1216" s="2"/>
      <c r="AB1216" s="2"/>
    </row>
    <row r="1217" spans="1:28" customHeight="true">
      <c r="A1217" s="2" t="s">
        <v>1446</v>
      </c>
      <c r="B1217" s="15">
        <v>45817</v>
      </c>
      <c r="C1217" s="2" t="s">
        <v>1759</v>
      </c>
      <c r="D1217" s="6">
        <v>10</v>
      </c>
      <c r="E1217" s="16" t="str">
        <f>IFERROR(__xludf.DUMMYFUNCTION("IFERROR(
  TEXTJOIN(CHAR(10),TRUE,FILTER('SUMMARY DATA'!E:E,'SUMMARY DATA'!$A:$A=$A318,'SUMMARY DATA'!$C:$C=$B318,'SUMMARY DATA'!$B:$B=""GRP"")),
  IF(
    OR(
      ISNUMBER(SEARCH(""CDM CASH DEPOSIT"",$C318)),
      ISNUMBER(SEARCH(""CASH DEPOSIT"",$C31"&amp;"8)),
      COUNTIFS('SUMMARY DATA'!$D:$D,$C318,'SUMMARY DATA'!$B:$B,""GRP"")&lt;&gt;1
    ),
    """",
    IFERROR(TEXTJOIN(CHAR(10),TRUE,FILTER('SUMMARY DATA'!E:E,'SUMMARY DATA'!$D:$D=$C318,'SUMMARY DATA'!$B:$B=""GRP"")),"""")
  )
)"),"")</f>
      </c>
      <c r="F1217" s="17" t="str">
        <f>IFERROR(__xludf.DUMMYFUNCTION("IFERROR(
  TEXTJOIN(CHAR(10),TRUE,FILTER('SUMMARY DATA'!F:F,'SUMMARY DATA'!$A:$A=$A318,'SUMMARY DATA'!$C:$C=$B318,'SUMMARY DATA'!$B:$B=""GRP"")),
  IF(
    OR(
      ISNUMBER(SEARCH(""CDM CASH DEPOSIT"",$C318)),
      ISNUMBER(SEARCH(""CASH DEPOSIT"",$C31"&amp;"8)),
      COUNTIFS('SUMMARY DATA'!$D:$D,$C318,'SUMMARY DATA'!$B:$B,""GRP"")&lt;&gt;1
    ),
    """",
    IFERROR(TEXTJOIN(CHAR(10),TRUE,FILTER('SUMMARY DATA'!F:F,'SUMMARY DATA'!$D:$D=$C318,'SUMMARY DATA'!$B:$B=""GRP"")),"""")
  )
)"),"")</f>
      </c>
      <c r="G1217" s="17" t="str">
        <f>IFERROR(__xludf.DUMMYFUNCTION("IFERROR(
  TEXTJOIN(CHAR(10),TRUE,FILTER('SUMMARY DATA'!G:G,'SUMMARY DATA'!$A:$A=$A1217,'SUMMARY DATA'!$C:$C=$B1217,'SUMMARY DATA'!$B:$B=""RWS"")),
  IF(
    OR(
      ISNUMBER(SEARCH(""CDM CASH DEPOSIT"",$C1217)),
      ISNUMBER(SEARCH(""CASH DEPOSIT"",$"&amp;"C1217)),
      COUNTIFS('SUMMARY DATA'!$D:$D,$C1217,'SUMMARY DATA'!$B:$B,""RWS"")&lt;&gt;1
    ),
    """",
    IFERROR(TEXTJOIN(CHAR(10),TRUE,FILTER('SUMMARY DATA'!G:G,'SUMMARY DATA'!$D:$D=$C1217,'SUMMARY DATA'!$B:$B=""RWS"")),"""")
  )
)"),"")</f>
      </c>
      <c r="H1217" s="18" t="str">
        <f>IFERROR(__xludf.DUMMYFUNCTION("IFERROR(
  TEXTJOIN(CHAR(10),TRUE,FILTER('SUMMARY DATA'!H:H,'SUMMARY DATA'!$A:$A=$A1217,'SUMMARY DATA'!$C:$C=$B1217,'SUMMARY DATA'!$B:$B=""RWS"",'SUMMARY DATA'!$H:$H=$D1217)),
  IF(
    OR(
      ISNUMBER(SEARCH(""CDM CASH DEPOSIT"",$C1217)),
      ISNUMB"&amp;"ER(SEARCH(""CASH DEPOSIT"",$C1217))
    ),
    """",
    IFERROR(TEXTJOIN(CHAR(10),TRUE,FILTER('SUMMARY DATA'!H:H,'SUMMARY DATA'!$D:$D=$C1217,'SUMMARY DATA'!$B:$B=""RWS"",'SUMMARY DATA'!$H:$H=$D1217)),"""")
  )
)"),"")</f>
      </c>
      <c r="I1217" s="18" t="str">
        <f>IFERROR(__xludf.DUMMYFUNCTION("IF(H1217="""","""",
SUM(ARRAYFORMULA(VALUE(SPLIT(H1217,CHAR(10)))))
)"),"")</f>
      </c>
      <c r="J1217" s="17" t="str">
        <f>IFERROR(__xludf.DUMMYFUNCTION("IFERROR(
  TEXTJOIN(CHAR(10),TRUE,FILTER('SUMMARY DATA'!I:I,'SUMMARY DATA'!$A:$A=$A1217,'SUMMARY DATA'!$C:$C=$B1217,'SUMMARY DATA'!$B:$B=""RWS"")),
  IF(
    OR(
      ISNUMBER(SEARCH(""CDM CASH DEPOSIT"",$C1217)),
      ISNUMBER(SEARCH(""CASH DEPOSIT"",$"&amp;"C1217)),
      COUNTIFS('SUMMARY DATA'!$D:$D,$C1217,'SUMMARY DATA'!$B:$B,""RWS"")&lt;&gt;1
    ),
    """",
    IFERROR(TEXTJOIN(CHAR(10),TRUE,FILTER('SUMMARY DATA'!I:I,'SUMMARY DATA'!$D:$D=$C1217,'SUMMARY DATA'!$B:$B=""RWS"")),"""")
  )
)"),"")</f>
      </c>
      <c r="K1217" s="2"/>
      <c r="L1217" s="2"/>
      <c r="M1217" s="2"/>
      <c r="N1217" s="2"/>
      <c r="O1217" s="2"/>
      <c r="P1217" s="2"/>
      <c r="Q1217" s="2"/>
      <c r="R1217" s="2"/>
      <c r="S1217" s="2"/>
      <c r="T1217" s="2"/>
      <c r="U1217" s="2"/>
      <c r="V1217" s="2"/>
      <c r="W1217" s="2"/>
      <c r="X1217" s="2"/>
      <c r="Y1217" s="2"/>
      <c r="Z1217" s="2"/>
      <c r="AA1217" s="2"/>
      <c r="AB1217" s="2"/>
    </row>
    <row r="1218" spans="1:28" customHeight="true">
      <c r="A1218" s="2"/>
      <c r="B1218" s="15">
        <v>45817</v>
      </c>
      <c r="C1218" s="2" t="s">
        <v>1760</v>
      </c>
      <c r="D1218" s="6">
        <v>10</v>
      </c>
      <c r="E1218" s="16" t="str">
        <f>IFERROR(__xludf.DUMMYFUNCTION("IFERROR(
  TEXTJOIN(CHAR(10),TRUE,FILTER('SUMMARY DATA'!E:E,'SUMMARY DATA'!$A:$A=$A319,'SUMMARY DATA'!$C:$C=$B319,'SUMMARY DATA'!$B:$B=""GRP"")),
  IF(
    OR(
      ISNUMBER(SEARCH(""CDM CASH DEPOSIT"",$C319)),
      ISNUMBER(SEARCH(""CASH DEPOSIT"",$C31"&amp;"9)),
      COUNTIFS('SUMMARY DATA'!$D:$D,$C319,'SUMMARY DATA'!$B:$B,""GRP"")&lt;&gt;1
    ),
    """",
    IFERROR(TEXTJOIN(CHAR(10),TRUE,FILTER('SUMMARY DATA'!E:E,'SUMMARY DATA'!$D:$D=$C319,'SUMMARY DATA'!$B:$B=""GRP"")),"""")
  )
)"),"")</f>
      </c>
      <c r="F1218" s="17" t="str">
        <f>IFERROR(__xludf.DUMMYFUNCTION("IFERROR(
  TEXTJOIN(CHAR(10),TRUE,FILTER('SUMMARY DATA'!F:F,'SUMMARY DATA'!$A:$A=$A319,'SUMMARY DATA'!$C:$C=$B319,'SUMMARY DATA'!$B:$B=""GRP"")),
  IF(
    OR(
      ISNUMBER(SEARCH(""CDM CASH DEPOSIT"",$C319)),
      ISNUMBER(SEARCH(""CASH DEPOSIT"",$C31"&amp;"9)),
      COUNTIFS('SUMMARY DATA'!$D:$D,$C319,'SUMMARY DATA'!$B:$B,""GRP"")&lt;&gt;1
    ),
    """",
    IFERROR(TEXTJOIN(CHAR(10),TRUE,FILTER('SUMMARY DATA'!F:F,'SUMMARY DATA'!$D:$D=$C319,'SUMMARY DATA'!$B:$B=""GRP"")),"""")
  )
)"),"")</f>
      </c>
      <c r="G1218" s="17" t="str">
        <f>IFERROR(__xludf.DUMMYFUNCTION("IFERROR(
  TEXTJOIN(CHAR(10),TRUE,FILTER('SUMMARY DATA'!G:G,'SUMMARY DATA'!$A:$A=$A1218,'SUMMARY DATA'!$C:$C=$B1218,'SUMMARY DATA'!$B:$B=""RWS"")),
  IF(
    OR(
      ISNUMBER(SEARCH(""CDM CASH DEPOSIT"",$C1218)),
      ISNUMBER(SEARCH(""CASH DEPOSIT"",$"&amp;"C1218)),
      COUNTIFS('SUMMARY DATA'!$D:$D,$C1218,'SUMMARY DATA'!$B:$B,""RWS"")&lt;&gt;1
    ),
    """",
    IFERROR(TEXTJOIN(CHAR(10),TRUE,FILTER('SUMMARY DATA'!G:G,'SUMMARY DATA'!$D:$D=$C1218,'SUMMARY DATA'!$B:$B=""RWS"")),"""")
  )
)"),"")</f>
      </c>
      <c r="H1218" s="18" t="str">
        <f>IFERROR(__xludf.DUMMYFUNCTION("IFERROR(
  TEXTJOIN(CHAR(10),TRUE,FILTER('SUMMARY DATA'!H:H,'SUMMARY DATA'!$A:$A=$A1218,'SUMMARY DATA'!$C:$C=$B1218,'SUMMARY DATA'!$B:$B=""RWS"",'SUMMARY DATA'!$H:$H=$D1218)),
  IF(
    OR(
      ISNUMBER(SEARCH(""CDM CASH DEPOSIT"",$C1218)),
      ISNUMB"&amp;"ER(SEARCH(""CASH DEPOSIT"",$C1218))
    ),
    """",
    IFERROR(TEXTJOIN(CHAR(10),TRUE,FILTER('SUMMARY DATA'!H:H,'SUMMARY DATA'!$D:$D=$C1218,'SUMMARY DATA'!$B:$B=""RWS"",'SUMMARY DATA'!$H:$H=$D1218)),"""")
  )
)"),"")</f>
      </c>
      <c r="I1218" s="18" t="str">
        <f>IFERROR(__xludf.DUMMYFUNCTION("IF(H1218="""","""",
SUM(ARRAYFORMULA(VALUE(SPLIT(H1218,CHAR(10)))))
)"),"")</f>
      </c>
      <c r="J1218" s="17" t="str">
        <f>IFERROR(__xludf.DUMMYFUNCTION("IFERROR(
  TEXTJOIN(CHAR(10),TRUE,FILTER('SUMMARY DATA'!I:I,'SUMMARY DATA'!$A:$A=$A1218,'SUMMARY DATA'!$C:$C=$B1218,'SUMMARY DATA'!$B:$B=""RWS"")),
  IF(
    OR(
      ISNUMBER(SEARCH(""CDM CASH DEPOSIT"",$C1218)),
      ISNUMBER(SEARCH(""CASH DEPOSIT"",$"&amp;"C1218)),
      COUNTIFS('SUMMARY DATA'!$D:$D,$C1218,'SUMMARY DATA'!$B:$B,""RWS"")&lt;&gt;1
    ),
    """",
    IFERROR(TEXTJOIN(CHAR(10),TRUE,FILTER('SUMMARY DATA'!I:I,'SUMMARY DATA'!$D:$D=$C1218,'SUMMARY DATA'!$B:$B=""RWS"")),"""")
  )
)"),"")</f>
      </c>
      <c r="K1218" s="2"/>
      <c r="L1218" s="2"/>
      <c r="M1218" s="2"/>
      <c r="N1218" s="2"/>
      <c r="O1218" s="2"/>
      <c r="P1218" s="2"/>
      <c r="Q1218" s="2"/>
      <c r="R1218" s="2"/>
      <c r="S1218" s="2"/>
      <c r="T1218" s="2"/>
      <c r="U1218" s="2"/>
      <c r="V1218" s="2"/>
      <c r="W1218" s="2"/>
      <c r="X1218" s="2"/>
      <c r="Y1218" s="2"/>
      <c r="Z1218" s="2"/>
      <c r="AA1218" s="2"/>
      <c r="AB1218" s="2"/>
    </row>
    <row r="1219" spans="1:28" customHeight="true">
      <c r="A1219" s="2"/>
      <c r="B1219" s="15">
        <v>45818</v>
      </c>
      <c r="C1219" s="2" t="s">
        <v>1761</v>
      </c>
      <c r="D1219" s="6">
        <v>204</v>
      </c>
      <c r="E1219" s="16" t="str">
        <f>IFERROR(__xludf.DUMMYFUNCTION("IFERROR(
  TEXTJOIN(CHAR(10),TRUE,FILTER('SUMMARY DATA'!E:E,'SUMMARY DATA'!$A:$A=$A320,'SUMMARY DATA'!$C:$C=$B320,'SUMMARY DATA'!$B:$B=""GRP"")),
  IF(
    OR(
      ISNUMBER(SEARCH(""CDM CASH DEPOSIT"",$C320)),
      ISNUMBER(SEARCH(""CASH DEPOSIT"",$C32"&amp;"0)),
      COUNTIFS('SUMMARY DATA'!$D:$D,$C320,'SUMMARY DATA'!$B:$B,""GRP"")&lt;&gt;1
    ),
    """",
    IFERROR(TEXTJOIN(CHAR(10),TRUE,FILTER('SUMMARY DATA'!E:E,'SUMMARY DATA'!$D:$D=$C320,'SUMMARY DATA'!$B:$B=""GRP"")),"""")
  )
)"),"")</f>
      </c>
      <c r="F1219" s="17" t="str">
        <f>IFERROR(__xludf.DUMMYFUNCTION("IFERROR(
  TEXTJOIN(CHAR(10),TRUE,FILTER('SUMMARY DATA'!F:F,'SUMMARY DATA'!$A:$A=$A320,'SUMMARY DATA'!$C:$C=$B320,'SUMMARY DATA'!$B:$B=""GRP"")),
  IF(
    OR(
      ISNUMBER(SEARCH(""CDM CASH DEPOSIT"",$C320)),
      ISNUMBER(SEARCH(""CASH DEPOSIT"",$C32"&amp;"0)),
      COUNTIFS('SUMMARY DATA'!$D:$D,$C320,'SUMMARY DATA'!$B:$B,""GRP"")&lt;&gt;1
    ),
    """",
    IFERROR(TEXTJOIN(CHAR(10),TRUE,FILTER('SUMMARY DATA'!F:F,'SUMMARY DATA'!$D:$D=$C320,'SUMMARY DATA'!$B:$B=""GRP"")),"""")
  )
)"),"")</f>
      </c>
      <c r="G1219" s="17" t="str">
        <f>IFERROR(__xludf.DUMMYFUNCTION("IFERROR(
  TEXTJOIN(CHAR(10),TRUE,FILTER('SUMMARY DATA'!G:G,'SUMMARY DATA'!$A:$A=$A1219,'SUMMARY DATA'!$C:$C=$B1219,'SUMMARY DATA'!$B:$B=""RWS"")),
  IF(
    OR(
      ISNUMBER(SEARCH(""CDM CASH DEPOSIT"",$C1219)),
      ISNUMBER(SEARCH(""CASH DEPOSIT"",$"&amp;"C1219)),
      COUNTIFS('SUMMARY DATA'!$D:$D,$C1219,'SUMMARY DATA'!$B:$B,""RWS"")&lt;&gt;1
    ),
    """",
    IFERROR(TEXTJOIN(CHAR(10),TRUE,FILTER('SUMMARY DATA'!G:G,'SUMMARY DATA'!$D:$D=$C1219,'SUMMARY DATA'!$B:$B=""RWS"")),"""")
  )
)"),"")</f>
      </c>
      <c r="H1219" s="18" t="str">
        <f>IFERROR(__xludf.DUMMYFUNCTION("IFERROR(
  TEXTJOIN(CHAR(10),TRUE,FILTER('SUMMARY DATA'!H:H,'SUMMARY DATA'!$A:$A=$A1219,'SUMMARY DATA'!$C:$C=$B1219,'SUMMARY DATA'!$B:$B=""RWS"",'SUMMARY DATA'!$H:$H=$D1219)),
  IF(
    OR(
      ISNUMBER(SEARCH(""CDM CASH DEPOSIT"",$C1219)),
      ISNUMB"&amp;"ER(SEARCH(""CASH DEPOSIT"",$C1219))
    ),
    """",
    IFERROR(TEXTJOIN(CHAR(10),TRUE,FILTER('SUMMARY DATA'!H:H,'SUMMARY DATA'!$D:$D=$C1219,'SUMMARY DATA'!$B:$B=""RWS"",'SUMMARY DATA'!$H:$H=$D1219)),"""")
  )
)"),"")</f>
      </c>
      <c r="I1219" s="18" t="str">
        <f>IFERROR(__xludf.DUMMYFUNCTION("IF(H1219="""","""",
SUM(ARRAYFORMULA(VALUE(SPLIT(H1219,CHAR(10)))))
)"),"")</f>
      </c>
      <c r="J1219" s="17" t="str">
        <f>IFERROR(__xludf.DUMMYFUNCTION("IFERROR(
  TEXTJOIN(CHAR(10),TRUE,FILTER('SUMMARY DATA'!I:I,'SUMMARY DATA'!$A:$A=$A1219,'SUMMARY DATA'!$C:$C=$B1219,'SUMMARY DATA'!$B:$B=""RWS"")),
  IF(
    OR(
      ISNUMBER(SEARCH(""CDM CASH DEPOSIT"",$C1219)),
      ISNUMBER(SEARCH(""CASH DEPOSIT"",$"&amp;"C1219)),
      COUNTIFS('SUMMARY DATA'!$D:$D,$C1219,'SUMMARY DATA'!$B:$B,""RWS"")&lt;&gt;1
    ),
    """",
    IFERROR(TEXTJOIN(CHAR(10),TRUE,FILTER('SUMMARY DATA'!I:I,'SUMMARY DATA'!$D:$D=$C1219,'SUMMARY DATA'!$B:$B=""RWS"")),"""")
  )
)"),"")</f>
      </c>
      <c r="K1219" s="2"/>
      <c r="L1219" s="2"/>
      <c r="M1219" s="2"/>
      <c r="N1219" s="2"/>
      <c r="O1219" s="2"/>
      <c r="P1219" s="2"/>
      <c r="Q1219" s="2"/>
      <c r="R1219" s="2"/>
      <c r="S1219" s="2"/>
      <c r="T1219" s="2"/>
      <c r="U1219" s="2"/>
      <c r="V1219" s="2"/>
      <c r="W1219" s="2"/>
      <c r="X1219" s="2"/>
      <c r="Y1219" s="2"/>
      <c r="Z1219" s="2"/>
      <c r="AA1219" s="2"/>
      <c r="AB1219" s="2"/>
    </row>
    <row r="1220" spans="1:28" customHeight="true">
      <c r="A1220" s="2"/>
      <c r="B1220" s="15">
        <v>45818</v>
      </c>
      <c r="C1220" s="2" t="s">
        <v>1762</v>
      </c>
      <c r="D1220" s="6">
        <v>198.68</v>
      </c>
      <c r="E1220" s="16" t="str">
        <f>IFERROR(__xludf.DUMMYFUNCTION("IFERROR(
  TEXTJOIN(CHAR(10),TRUE,FILTER('SUMMARY DATA'!E:E,'SUMMARY DATA'!$A:$A=$A321,'SUMMARY DATA'!$C:$C=$B321,'SUMMARY DATA'!$B:$B=""GRP"")),
  IF(
    OR(
      ISNUMBER(SEARCH(""CDM CASH DEPOSIT"",$C321)),
      ISNUMBER(SEARCH(""CASH DEPOSIT"",$C32"&amp;"1)),
      COUNTIFS('SUMMARY DATA'!$D:$D,$C321,'SUMMARY DATA'!$B:$B,""GRP"")&lt;&gt;1
    ),
    """",
    IFERROR(TEXTJOIN(CHAR(10),TRUE,FILTER('SUMMARY DATA'!E:E,'SUMMARY DATA'!$D:$D=$C321,'SUMMARY DATA'!$B:$B=""GRP"")),"""")
  )
)"),"")</f>
      </c>
      <c r="F1220" s="17" t="str">
        <f>IFERROR(__xludf.DUMMYFUNCTION("IFERROR(
  TEXTJOIN(CHAR(10),TRUE,FILTER('SUMMARY DATA'!F:F,'SUMMARY DATA'!$A:$A=$A321,'SUMMARY DATA'!$C:$C=$B321,'SUMMARY DATA'!$B:$B=""GRP"")),
  IF(
    OR(
      ISNUMBER(SEARCH(""CDM CASH DEPOSIT"",$C321)),
      ISNUMBER(SEARCH(""CASH DEPOSIT"",$C32"&amp;"1)),
      COUNTIFS('SUMMARY DATA'!$D:$D,$C321,'SUMMARY DATA'!$B:$B,""GRP"")&lt;&gt;1
    ),
    """",
    IFERROR(TEXTJOIN(CHAR(10),TRUE,FILTER('SUMMARY DATA'!F:F,'SUMMARY DATA'!$D:$D=$C321,'SUMMARY DATA'!$B:$B=""GRP"")),"""")
  )
)"),"")</f>
      </c>
      <c r="G1220" s="17" t="str">
        <f>IFERROR(__xludf.DUMMYFUNCTION("IFERROR(
  TEXTJOIN(CHAR(10),TRUE,FILTER('SUMMARY DATA'!G:G,'SUMMARY DATA'!$A:$A=$A1220,'SUMMARY DATA'!$C:$C=$B1220,'SUMMARY DATA'!$B:$B=""RWS"")),
  IF(
    OR(
      ISNUMBER(SEARCH(""CDM CASH DEPOSIT"",$C1220)),
      ISNUMBER(SEARCH(""CASH DEPOSIT"",$"&amp;"C1220)),
      COUNTIFS('SUMMARY DATA'!$D:$D,$C1220,'SUMMARY DATA'!$B:$B,""RWS"")&lt;&gt;1
    ),
    """",
    IFERROR(TEXTJOIN(CHAR(10),TRUE,FILTER('SUMMARY DATA'!G:G,'SUMMARY DATA'!$D:$D=$C1220,'SUMMARY DATA'!$B:$B=""RWS"")),"""")
  )
)"),"")</f>
      </c>
      <c r="H1220" s="18" t="str">
        <f>IFERROR(__xludf.DUMMYFUNCTION("IFERROR(
  TEXTJOIN(CHAR(10),TRUE,FILTER('SUMMARY DATA'!H:H,'SUMMARY DATA'!$A:$A=$A1220,'SUMMARY DATA'!$C:$C=$B1220,'SUMMARY DATA'!$B:$B=""RWS"",'SUMMARY DATA'!$H:$H=$D1220)),
  IF(
    OR(
      ISNUMBER(SEARCH(""CDM CASH DEPOSIT"",$C1220)),
      ISNUMB"&amp;"ER(SEARCH(""CASH DEPOSIT"",$C1220))
    ),
    """",
    IFERROR(TEXTJOIN(CHAR(10),TRUE,FILTER('SUMMARY DATA'!H:H,'SUMMARY DATA'!$D:$D=$C1220,'SUMMARY DATA'!$B:$B=""RWS"",'SUMMARY DATA'!$H:$H=$D1220)),"""")
  )
)"),"")</f>
      </c>
      <c r="I1220" s="18" t="str">
        <f>IFERROR(__xludf.DUMMYFUNCTION("IF(H1220="""","""",
SUM(ARRAYFORMULA(VALUE(SPLIT(H1220,CHAR(10)))))
)"),"")</f>
      </c>
      <c r="J1220" s="17" t="str">
        <f>IFERROR(__xludf.DUMMYFUNCTION("IFERROR(
  TEXTJOIN(CHAR(10),TRUE,FILTER('SUMMARY DATA'!I:I,'SUMMARY DATA'!$A:$A=$A1220,'SUMMARY DATA'!$C:$C=$B1220,'SUMMARY DATA'!$B:$B=""RWS"")),
  IF(
    OR(
      ISNUMBER(SEARCH(""CDM CASH DEPOSIT"",$C1220)),
      ISNUMBER(SEARCH(""CASH DEPOSIT"",$"&amp;"C1220)),
      COUNTIFS('SUMMARY DATA'!$D:$D,$C1220,'SUMMARY DATA'!$B:$B,""RWS"")&lt;&gt;1
    ),
    """",
    IFERROR(TEXTJOIN(CHAR(10),TRUE,FILTER('SUMMARY DATA'!I:I,'SUMMARY DATA'!$D:$D=$C1220,'SUMMARY DATA'!$B:$B=""RWS"")),"""")
  )
)"),"")</f>
      </c>
      <c r="K1220" s="2"/>
      <c r="L1220" s="2"/>
      <c r="M1220" s="2"/>
      <c r="N1220" s="2"/>
      <c r="O1220" s="2"/>
      <c r="P1220" s="2"/>
      <c r="Q1220" s="2"/>
      <c r="R1220" s="2"/>
      <c r="S1220" s="2"/>
      <c r="T1220" s="2"/>
      <c r="U1220" s="2"/>
      <c r="V1220" s="2"/>
      <c r="W1220" s="2"/>
      <c r="X1220" s="2"/>
      <c r="Y1220" s="2"/>
      <c r="Z1220" s="2"/>
      <c r="AA1220" s="2"/>
      <c r="AB1220" s="2"/>
    </row>
    <row r="1221" spans="1:28" customHeight="true">
      <c r="A1221" s="2"/>
      <c r="B1221" s="15">
        <v>45819</v>
      </c>
      <c r="C1221" s="2" t="s">
        <v>1763</v>
      </c>
      <c r="D1221" s="6">
        <v>417</v>
      </c>
      <c r="E1221" s="16" t="str">
        <f>IFERROR(__xludf.DUMMYFUNCTION("IFERROR(
  TEXTJOIN(CHAR(10),TRUE,FILTER('SUMMARY DATA'!E:E,'SUMMARY DATA'!$A:$A=$A322,'SUMMARY DATA'!$C:$C=$B322,'SUMMARY DATA'!$B:$B=""GRP"")),
  IF(
    OR(
      ISNUMBER(SEARCH(""CDM CASH DEPOSIT"",$C322)),
      ISNUMBER(SEARCH(""CASH DEPOSIT"",$C32"&amp;"2)),
      COUNTIFS('SUMMARY DATA'!$D:$D,$C322,'SUMMARY DATA'!$B:$B,""GRP"")&lt;&gt;1
    ),
    """",
    IFERROR(TEXTJOIN(CHAR(10),TRUE,FILTER('SUMMARY DATA'!E:E,'SUMMARY DATA'!$D:$D=$C322,'SUMMARY DATA'!$B:$B=""GRP"")),"""")
  )
)"),"")</f>
      </c>
      <c r="F1221" s="17" t="str">
        <f>IFERROR(__xludf.DUMMYFUNCTION("IFERROR(
  TEXTJOIN(CHAR(10),TRUE,FILTER('SUMMARY DATA'!F:F,'SUMMARY DATA'!$A:$A=$A322,'SUMMARY DATA'!$C:$C=$B322,'SUMMARY DATA'!$B:$B=""GRP"")),
  IF(
    OR(
      ISNUMBER(SEARCH(""CDM CASH DEPOSIT"",$C322)),
      ISNUMBER(SEARCH(""CASH DEPOSIT"",$C32"&amp;"2)),
      COUNTIFS('SUMMARY DATA'!$D:$D,$C322,'SUMMARY DATA'!$B:$B,""GRP"")&lt;&gt;1
    ),
    """",
    IFERROR(TEXTJOIN(CHAR(10),TRUE,FILTER('SUMMARY DATA'!F:F,'SUMMARY DATA'!$D:$D=$C322,'SUMMARY DATA'!$B:$B=""GRP"")),"""")
  )
)"),"")</f>
      </c>
      <c r="G1221" s="17" t="str">
        <f>IFERROR(__xludf.DUMMYFUNCTION("IFERROR(
  TEXTJOIN(CHAR(10),TRUE,FILTER('SUMMARY DATA'!G:G,'SUMMARY DATA'!$A:$A=$A1221,'SUMMARY DATA'!$C:$C=$B1221,'SUMMARY DATA'!$B:$B=""RWS"")),
  IF(
    OR(
      ISNUMBER(SEARCH(""CDM CASH DEPOSIT"",$C1221)),
      ISNUMBER(SEARCH(""CASH DEPOSIT"",$"&amp;"C1221)),
      COUNTIFS('SUMMARY DATA'!$D:$D,$C1221,'SUMMARY DATA'!$B:$B,""RWS"")&lt;&gt;1
    ),
    """",
    IFERROR(TEXTJOIN(CHAR(10),TRUE,FILTER('SUMMARY DATA'!G:G,'SUMMARY DATA'!$D:$D=$C1221,'SUMMARY DATA'!$B:$B=""RWS"")),"""")
  )
)"),"")</f>
      </c>
      <c r="H1221" s="18" t="str">
        <f>IFERROR(__xludf.DUMMYFUNCTION("IFERROR(
  TEXTJOIN(CHAR(10),TRUE,FILTER('SUMMARY DATA'!H:H,'SUMMARY DATA'!$A:$A=$A1221,'SUMMARY DATA'!$C:$C=$B1221,'SUMMARY DATA'!$B:$B=""RWS"",'SUMMARY DATA'!$H:$H=$D1221)),
  IF(
    OR(
      ISNUMBER(SEARCH(""CDM CASH DEPOSIT"",$C1221)),
      ISNUMB"&amp;"ER(SEARCH(""CASH DEPOSIT"",$C1221))
    ),
    """",
    IFERROR(TEXTJOIN(CHAR(10),TRUE,FILTER('SUMMARY DATA'!H:H,'SUMMARY DATA'!$D:$D=$C1221,'SUMMARY DATA'!$B:$B=""RWS"",'SUMMARY DATA'!$H:$H=$D1221)),"""")
  )
)"),"")</f>
      </c>
      <c r="I1221" s="18" t="str">
        <f>IFERROR(__xludf.DUMMYFUNCTION("IF(H1221="""","""",
SUM(ARRAYFORMULA(VALUE(SPLIT(H1221,CHAR(10)))))
)"),"")</f>
      </c>
      <c r="J1221" s="17" t="str">
        <f>IFERROR(__xludf.DUMMYFUNCTION("IFERROR(
  TEXTJOIN(CHAR(10),TRUE,FILTER('SUMMARY DATA'!I:I,'SUMMARY DATA'!$A:$A=$A1221,'SUMMARY DATA'!$C:$C=$B1221,'SUMMARY DATA'!$B:$B=""RWS"")),
  IF(
    OR(
      ISNUMBER(SEARCH(""CDM CASH DEPOSIT"",$C1221)),
      ISNUMBER(SEARCH(""CASH DEPOSIT"",$"&amp;"C1221)),
      COUNTIFS('SUMMARY DATA'!$D:$D,$C1221,'SUMMARY DATA'!$B:$B,""RWS"")&lt;&gt;1
    ),
    """",
    IFERROR(TEXTJOIN(CHAR(10),TRUE,FILTER('SUMMARY DATA'!I:I,'SUMMARY DATA'!$D:$D=$C1221,'SUMMARY DATA'!$B:$B=""RWS"")),"""")
  )
)"),"")</f>
      </c>
      <c r="K1221" s="2"/>
      <c r="L1221" s="2"/>
      <c r="M1221" s="2"/>
      <c r="N1221" s="2"/>
      <c r="O1221" s="2"/>
      <c r="P1221" s="2"/>
      <c r="Q1221" s="2"/>
      <c r="R1221" s="2"/>
      <c r="S1221" s="2"/>
      <c r="T1221" s="2"/>
      <c r="U1221" s="2"/>
      <c r="V1221" s="2"/>
      <c r="W1221" s="2"/>
      <c r="X1221" s="2"/>
      <c r="Y1221" s="2"/>
      <c r="Z1221" s="2"/>
      <c r="AA1221" s="2"/>
      <c r="AB1221" s="2"/>
    </row>
    <row r="1222" spans="1:28" customHeight="true">
      <c r="A1222" s="2"/>
      <c r="B1222" s="15">
        <v>45819</v>
      </c>
      <c r="C1222" s="2" t="s">
        <v>1375</v>
      </c>
      <c r="D1222" s="6">
        <v>101.9</v>
      </c>
      <c r="E1222" s="16" t="str">
        <f>IFERROR(__xludf.DUMMYFUNCTION("IFERROR(
  TEXTJOIN(CHAR(10),TRUE,FILTER('SUMMARY DATA'!E:E,'SUMMARY DATA'!$A:$A=$A323,'SUMMARY DATA'!$C:$C=$B323,'SUMMARY DATA'!$B:$B=""GRP"")),
  IF(
    OR(
      ISNUMBER(SEARCH(""CDM CASH DEPOSIT"",$C323)),
      ISNUMBER(SEARCH(""CASH DEPOSIT"",$C32"&amp;"3)),
      COUNTIFS('SUMMARY DATA'!$D:$D,$C323,'SUMMARY DATA'!$B:$B,""GRP"")&lt;&gt;1
    ),
    """",
    IFERROR(TEXTJOIN(CHAR(10),TRUE,FILTER('SUMMARY DATA'!E:E,'SUMMARY DATA'!$D:$D=$C323,'SUMMARY DATA'!$B:$B=""GRP"")),"""")
  )
)"),"")</f>
      </c>
      <c r="F1222" s="17" t="str">
        <f>IFERROR(__xludf.DUMMYFUNCTION("IFERROR(
  TEXTJOIN(CHAR(10),TRUE,FILTER('SUMMARY DATA'!F:F,'SUMMARY DATA'!$A:$A=$A323,'SUMMARY DATA'!$C:$C=$B323,'SUMMARY DATA'!$B:$B=""GRP"")),
  IF(
    OR(
      ISNUMBER(SEARCH(""CDM CASH DEPOSIT"",$C323)),
      ISNUMBER(SEARCH(""CASH DEPOSIT"",$C32"&amp;"3)),
      COUNTIFS('SUMMARY DATA'!$D:$D,$C323,'SUMMARY DATA'!$B:$B,""GRP"")&lt;&gt;1
    ),
    """",
    IFERROR(TEXTJOIN(CHAR(10),TRUE,FILTER('SUMMARY DATA'!F:F,'SUMMARY DATA'!$D:$D=$C323,'SUMMARY DATA'!$B:$B=""GRP"")),"""")
  )
)"),"")</f>
      </c>
      <c r="G1222" s="17" t="str">
        <f>IFERROR(__xludf.DUMMYFUNCTION("IFERROR(
  TEXTJOIN(CHAR(10),TRUE,FILTER('SUMMARY DATA'!G:G,'SUMMARY DATA'!$A:$A=$A1222,'SUMMARY DATA'!$C:$C=$B1222,'SUMMARY DATA'!$B:$B=""RWS"")),
  IF(
    OR(
      ISNUMBER(SEARCH(""CDM CASH DEPOSIT"",$C1222)),
      ISNUMBER(SEARCH(""CASH DEPOSIT"",$"&amp;"C1222)),
      COUNTIFS('SUMMARY DATA'!$D:$D,$C1222,'SUMMARY DATA'!$B:$B,""RWS"")&lt;&gt;1
    ),
    """",
    IFERROR(TEXTJOIN(CHAR(10),TRUE,FILTER('SUMMARY DATA'!G:G,'SUMMARY DATA'!$D:$D=$C1222,'SUMMARY DATA'!$B:$B=""RWS"")),"""")
  )
)"),"")</f>
      </c>
      <c r="H1222" s="18" t="str">
        <f>IFERROR(__xludf.DUMMYFUNCTION("IFERROR(
  TEXTJOIN(CHAR(10),TRUE,FILTER('SUMMARY DATA'!H:H,'SUMMARY DATA'!$A:$A=$A1222,'SUMMARY DATA'!$C:$C=$B1222,'SUMMARY DATA'!$B:$B=""RWS"",'SUMMARY DATA'!$H:$H=$D1222)),
  IF(
    OR(
      ISNUMBER(SEARCH(""CDM CASH DEPOSIT"",$C1222)),
      ISNUMB"&amp;"ER(SEARCH(""CASH DEPOSIT"",$C1222))
    ),
    """",
    IFERROR(TEXTJOIN(CHAR(10),TRUE,FILTER('SUMMARY DATA'!H:H,'SUMMARY DATA'!$D:$D=$C1222,'SUMMARY DATA'!$B:$B=""RWS"",'SUMMARY DATA'!$H:$H=$D1222)),"""")
  )
)"),"")</f>
      </c>
      <c r="I1222" s="18" t="str">
        <f>IFERROR(__xludf.DUMMYFUNCTION("IF(H1222="""","""",
SUM(ARRAYFORMULA(VALUE(SPLIT(H1222,CHAR(10)))))
)"),"")</f>
      </c>
      <c r="J1222" s="17" t="str">
        <f>IFERROR(__xludf.DUMMYFUNCTION("IFERROR(
  TEXTJOIN(CHAR(10),TRUE,FILTER('SUMMARY DATA'!I:I,'SUMMARY DATA'!$A:$A=$A1222,'SUMMARY DATA'!$C:$C=$B1222,'SUMMARY DATA'!$B:$B=""RWS"")),
  IF(
    OR(
      ISNUMBER(SEARCH(""CDM CASH DEPOSIT"",$C1222)),
      ISNUMBER(SEARCH(""CASH DEPOSIT"",$"&amp;"C1222)),
      COUNTIFS('SUMMARY DATA'!$D:$D,$C1222,'SUMMARY DATA'!$B:$B,""RWS"")&lt;&gt;1
    ),
    """",
    IFERROR(TEXTJOIN(CHAR(10),TRUE,FILTER('SUMMARY DATA'!I:I,'SUMMARY DATA'!$D:$D=$C1222,'SUMMARY DATA'!$B:$B=""RWS"")),"""")
  )
)"),"")</f>
      </c>
      <c r="K1222" s="2"/>
      <c r="L1222" s="2"/>
      <c r="M1222" s="2"/>
      <c r="N1222" s="2"/>
      <c r="O1222" s="2"/>
      <c r="P1222" s="2"/>
      <c r="Q1222" s="2"/>
      <c r="R1222" s="2"/>
      <c r="S1222" s="2"/>
      <c r="T1222" s="2"/>
      <c r="U1222" s="2"/>
      <c r="V1222" s="2"/>
      <c r="W1222" s="2"/>
      <c r="X1222" s="2"/>
      <c r="Y1222" s="2"/>
      <c r="Z1222" s="2"/>
      <c r="AA1222" s="2"/>
      <c r="AB1222" s="2"/>
    </row>
    <row r="1223" spans="1:28" customHeight="true">
      <c r="A1223" s="2"/>
      <c r="B1223" s="15">
        <v>45819</v>
      </c>
      <c r="C1223" s="2" t="s">
        <v>1764</v>
      </c>
      <c r="D1223" s="6">
        <v>99.99</v>
      </c>
      <c r="E1223" s="16" t="str">
        <f>IFERROR(__xludf.DUMMYFUNCTION("IFERROR(
  TEXTJOIN(CHAR(10),TRUE,FILTER('SUMMARY DATA'!E:E,'SUMMARY DATA'!$A:$A=$A324,'SUMMARY DATA'!$C:$C=$B324,'SUMMARY DATA'!$B:$B=""GRP"")),
  IF(
    OR(
      ISNUMBER(SEARCH(""CDM CASH DEPOSIT"",$C324)),
      ISNUMBER(SEARCH(""CASH DEPOSIT"",$C32"&amp;"4)),
      COUNTIFS('SUMMARY DATA'!$D:$D,$C324,'SUMMARY DATA'!$B:$B,""GRP"")&lt;&gt;1
    ),
    """",
    IFERROR(TEXTJOIN(CHAR(10),TRUE,FILTER('SUMMARY DATA'!E:E,'SUMMARY DATA'!$D:$D=$C324,'SUMMARY DATA'!$B:$B=""GRP"")),"""")
  )
)"),"")</f>
      </c>
      <c r="F1223" s="17" t="str">
        <f>IFERROR(__xludf.DUMMYFUNCTION("IFERROR(
  TEXTJOIN(CHAR(10),TRUE,FILTER('SUMMARY DATA'!F:F,'SUMMARY DATA'!$A:$A=$A324,'SUMMARY DATA'!$C:$C=$B324,'SUMMARY DATA'!$B:$B=""GRP"")),
  IF(
    OR(
      ISNUMBER(SEARCH(""CDM CASH DEPOSIT"",$C324)),
      ISNUMBER(SEARCH(""CASH DEPOSIT"",$C32"&amp;"4)),
      COUNTIFS('SUMMARY DATA'!$D:$D,$C324,'SUMMARY DATA'!$B:$B,""GRP"")&lt;&gt;1
    ),
    """",
    IFERROR(TEXTJOIN(CHAR(10),TRUE,FILTER('SUMMARY DATA'!F:F,'SUMMARY DATA'!$D:$D=$C324,'SUMMARY DATA'!$B:$B=""GRP"")),"""")
  )
)"),"")</f>
      </c>
      <c r="G1223" s="17" t="str">
        <f>IFERROR(__xludf.DUMMYFUNCTION("IFERROR(
  TEXTJOIN(CHAR(10),TRUE,FILTER('SUMMARY DATA'!G:G,'SUMMARY DATA'!$A:$A=$A1223,'SUMMARY DATA'!$C:$C=$B1223,'SUMMARY DATA'!$B:$B=""RWS"")),
  IF(
    OR(
      ISNUMBER(SEARCH(""CDM CASH DEPOSIT"",$C1223)),
      ISNUMBER(SEARCH(""CASH DEPOSIT"",$"&amp;"C1223)),
      COUNTIFS('SUMMARY DATA'!$D:$D,$C1223,'SUMMARY DATA'!$B:$B,""RWS"")&lt;&gt;1
    ),
    """",
    IFERROR(TEXTJOIN(CHAR(10),TRUE,FILTER('SUMMARY DATA'!G:G,'SUMMARY DATA'!$D:$D=$C1223,'SUMMARY DATA'!$B:$B=""RWS"")),"""")
  )
)"),"")</f>
      </c>
      <c r="H1223" s="18" t="str">
        <f>IFERROR(__xludf.DUMMYFUNCTION("IFERROR(
  TEXTJOIN(CHAR(10),TRUE,FILTER('SUMMARY DATA'!H:H,'SUMMARY DATA'!$A:$A=$A1223,'SUMMARY DATA'!$C:$C=$B1223,'SUMMARY DATA'!$B:$B=""RWS"",'SUMMARY DATA'!$H:$H=$D1223)),
  IF(
    OR(
      ISNUMBER(SEARCH(""CDM CASH DEPOSIT"",$C1223)),
      ISNUMB"&amp;"ER(SEARCH(""CASH DEPOSIT"",$C1223))
    ),
    """",
    IFERROR(TEXTJOIN(CHAR(10),TRUE,FILTER('SUMMARY DATA'!H:H,'SUMMARY DATA'!$D:$D=$C1223,'SUMMARY DATA'!$B:$B=""RWS"",'SUMMARY DATA'!$H:$H=$D1223)),"""")
  )
)"),"")</f>
      </c>
      <c r="I1223" s="18" t="str">
        <f>IFERROR(__xludf.DUMMYFUNCTION("IF(H1223="""","""",
SUM(ARRAYFORMULA(VALUE(SPLIT(H1223,CHAR(10)))))
)"),"")</f>
      </c>
      <c r="J1223" s="17" t="str">
        <f>IFERROR(__xludf.DUMMYFUNCTION("IFERROR(
  TEXTJOIN(CHAR(10),TRUE,FILTER('SUMMARY DATA'!I:I,'SUMMARY DATA'!$A:$A=$A1223,'SUMMARY DATA'!$C:$C=$B1223,'SUMMARY DATA'!$B:$B=""RWS"")),
  IF(
    OR(
      ISNUMBER(SEARCH(""CDM CASH DEPOSIT"",$C1223)),
      ISNUMBER(SEARCH(""CASH DEPOSIT"",$"&amp;"C1223)),
      COUNTIFS('SUMMARY DATA'!$D:$D,$C1223,'SUMMARY DATA'!$B:$B,""RWS"")&lt;&gt;1
    ),
    """",
    IFERROR(TEXTJOIN(CHAR(10),TRUE,FILTER('SUMMARY DATA'!I:I,'SUMMARY DATA'!$D:$D=$C1223,'SUMMARY DATA'!$B:$B=""RWS"")),"""")
  )
)"),"")</f>
      </c>
      <c r="K1223" s="2"/>
      <c r="L1223" s="2"/>
      <c r="M1223" s="2"/>
      <c r="N1223" s="2"/>
      <c r="O1223" s="2"/>
      <c r="P1223" s="2"/>
      <c r="Q1223" s="2"/>
      <c r="R1223" s="2"/>
      <c r="S1223" s="2"/>
      <c r="T1223" s="2"/>
      <c r="U1223" s="2"/>
      <c r="V1223" s="2"/>
      <c r="W1223" s="2"/>
      <c r="X1223" s="2"/>
      <c r="Y1223" s="2"/>
      <c r="Z1223" s="2"/>
      <c r="AA1223" s="2"/>
      <c r="AB1223" s="2"/>
    </row>
    <row r="1224" spans="1:28" customHeight="true">
      <c r="A1224" s="2"/>
      <c r="B1224" s="15">
        <v>45820</v>
      </c>
      <c r="C1224" s="2" t="s">
        <v>1765</v>
      </c>
      <c r="D1224" s="6">
        <v>650</v>
      </c>
      <c r="E1224" s="16" t="str">
        <f>IFERROR(__xludf.DUMMYFUNCTION("IFERROR(
  TEXTJOIN(CHAR(10),TRUE,FILTER('SUMMARY DATA'!E:E,'SUMMARY DATA'!$A:$A=$A325,'SUMMARY DATA'!$C:$C=$B325,'SUMMARY DATA'!$B:$B=""GRP"")),
  IF(
    OR(
      ISNUMBER(SEARCH(""CDM CASH DEPOSIT"",$C325)),
      ISNUMBER(SEARCH(""CASH DEPOSIT"",$C32"&amp;"5)),
      COUNTIFS('SUMMARY DATA'!$D:$D,$C325,'SUMMARY DATA'!$B:$B,""GRP"")&lt;&gt;1
    ),
    """",
    IFERROR(TEXTJOIN(CHAR(10),TRUE,FILTER('SUMMARY DATA'!E:E,'SUMMARY DATA'!$D:$D=$C325,'SUMMARY DATA'!$B:$B=""GRP"")),"""")
  )
)"),"")</f>
      </c>
      <c r="F1224" s="17" t="str">
        <f>IFERROR(__xludf.DUMMYFUNCTION("IFERROR(
  TEXTJOIN(CHAR(10),TRUE,FILTER('SUMMARY DATA'!F:F,'SUMMARY DATA'!$A:$A=$A325,'SUMMARY DATA'!$C:$C=$B325,'SUMMARY DATA'!$B:$B=""GRP"")),
  IF(
    OR(
      ISNUMBER(SEARCH(""CDM CASH DEPOSIT"",$C325)),
      ISNUMBER(SEARCH(""CASH DEPOSIT"",$C32"&amp;"5)),
      COUNTIFS('SUMMARY DATA'!$D:$D,$C325,'SUMMARY DATA'!$B:$B,""GRP"")&lt;&gt;1
    ),
    """",
    IFERROR(TEXTJOIN(CHAR(10),TRUE,FILTER('SUMMARY DATA'!F:F,'SUMMARY DATA'!$D:$D=$C325,'SUMMARY DATA'!$B:$B=""GRP"")),"""")
  )
)"),"")</f>
      </c>
      <c r="G1224" s="17" t="str">
        <f>IFERROR(__xludf.DUMMYFUNCTION("IFERROR(
  TEXTJOIN(CHAR(10),TRUE,FILTER('SUMMARY DATA'!G:G,'SUMMARY DATA'!$A:$A=$A1224,'SUMMARY DATA'!$C:$C=$B1224,'SUMMARY DATA'!$B:$B=""RWS"")),
  IF(
    OR(
      ISNUMBER(SEARCH(""CDM CASH DEPOSIT"",$C1224)),
      ISNUMBER(SEARCH(""CASH DEPOSIT"",$"&amp;"C1224)),
      COUNTIFS('SUMMARY DATA'!$D:$D,$C1224,'SUMMARY DATA'!$B:$B,""RWS"")&lt;&gt;1
    ),
    """",
    IFERROR(TEXTJOIN(CHAR(10),TRUE,FILTER('SUMMARY DATA'!G:G,'SUMMARY DATA'!$D:$D=$C1224,'SUMMARY DATA'!$B:$B=""RWS"")),"""")
  )
)"),"")</f>
      </c>
      <c r="H1224" s="18" t="str">
        <f>IFERROR(__xludf.DUMMYFUNCTION("IFERROR(
  TEXTJOIN(CHAR(10),TRUE,FILTER('SUMMARY DATA'!H:H,'SUMMARY DATA'!$A:$A=$A1224,'SUMMARY DATA'!$C:$C=$B1224,'SUMMARY DATA'!$B:$B=""RWS"",'SUMMARY DATA'!$H:$H=$D1224)),
  IF(
    OR(
      ISNUMBER(SEARCH(""CDM CASH DEPOSIT"",$C1224)),
      ISNUMB"&amp;"ER(SEARCH(""CASH DEPOSIT"",$C1224))
    ),
    """",
    IFERROR(TEXTJOIN(CHAR(10),TRUE,FILTER('SUMMARY DATA'!H:H,'SUMMARY DATA'!$D:$D=$C1224,'SUMMARY DATA'!$B:$B=""RWS"",'SUMMARY DATA'!$H:$H=$D1224)),"""")
  )
)"),"")</f>
      </c>
      <c r="I1224" s="18" t="str">
        <f>IFERROR(__xludf.DUMMYFUNCTION("IF(H1224="""","""",
SUM(ARRAYFORMULA(VALUE(SPLIT(H1224,CHAR(10)))))
)"),"")</f>
      </c>
      <c r="J1224" s="17" t="str">
        <f>IFERROR(__xludf.DUMMYFUNCTION("IFERROR(
  TEXTJOIN(CHAR(10),TRUE,FILTER('SUMMARY DATA'!I:I,'SUMMARY DATA'!$A:$A=$A1224,'SUMMARY DATA'!$C:$C=$B1224,'SUMMARY DATA'!$B:$B=""RWS"")),
  IF(
    OR(
      ISNUMBER(SEARCH(""CDM CASH DEPOSIT"",$C1224)),
      ISNUMBER(SEARCH(""CASH DEPOSIT"",$"&amp;"C1224)),
      COUNTIFS('SUMMARY DATA'!$D:$D,$C1224,'SUMMARY DATA'!$B:$B,""RWS"")&lt;&gt;1
    ),
    """",
    IFERROR(TEXTJOIN(CHAR(10),TRUE,FILTER('SUMMARY DATA'!I:I,'SUMMARY DATA'!$D:$D=$C1224,'SUMMARY DATA'!$B:$B=""RWS"")),"""")
  )
)"),"")</f>
      </c>
      <c r="K1224" s="2"/>
      <c r="L1224" s="2"/>
      <c r="M1224" s="2"/>
      <c r="N1224" s="2"/>
      <c r="O1224" s="2"/>
      <c r="P1224" s="2"/>
      <c r="Q1224" s="2"/>
      <c r="R1224" s="2"/>
      <c r="S1224" s="2"/>
      <c r="T1224" s="2"/>
      <c r="U1224" s="2"/>
      <c r="V1224" s="2"/>
      <c r="W1224" s="2"/>
      <c r="X1224" s="2"/>
      <c r="Y1224" s="2"/>
      <c r="Z1224" s="2"/>
      <c r="AA1224" s="2"/>
      <c r="AB1224" s="2"/>
    </row>
    <row r="1225" spans="1:28" customHeight="true">
      <c r="A1225" s="2"/>
      <c r="B1225" s="15">
        <v>45820</v>
      </c>
      <c r="C1225" s="2" t="s">
        <v>1766</v>
      </c>
      <c r="D1225" s="6">
        <v>398</v>
      </c>
      <c r="E1225" s="16" t="str">
        <f>IFERROR(__xludf.DUMMYFUNCTION("IFERROR(
  TEXTJOIN(CHAR(10),TRUE,FILTER('SUMMARY DATA'!E:E,'SUMMARY DATA'!$A:$A=$A326,'SUMMARY DATA'!$C:$C=$B326,'SUMMARY DATA'!$B:$B=""GRP"")),
  IF(
    OR(
      ISNUMBER(SEARCH(""CDM CASH DEPOSIT"",$C326)),
      ISNUMBER(SEARCH(""CASH DEPOSIT"",$C32"&amp;"6)),
      COUNTIFS('SUMMARY DATA'!$D:$D,$C326,'SUMMARY DATA'!$B:$B,""GRP"")&lt;&gt;1
    ),
    """",
    IFERROR(TEXTJOIN(CHAR(10),TRUE,FILTER('SUMMARY DATA'!E:E,'SUMMARY DATA'!$D:$D=$C326,'SUMMARY DATA'!$B:$B=""GRP"")),"""")
  )
)"),"")</f>
      </c>
      <c r="F1225" s="17" t="str">
        <f>IFERROR(__xludf.DUMMYFUNCTION("IFERROR(
  TEXTJOIN(CHAR(10),TRUE,FILTER('SUMMARY DATA'!F:F,'SUMMARY DATA'!$A:$A=$A326,'SUMMARY DATA'!$C:$C=$B326,'SUMMARY DATA'!$B:$B=""GRP"")),
  IF(
    OR(
      ISNUMBER(SEARCH(""CDM CASH DEPOSIT"",$C326)),
      ISNUMBER(SEARCH(""CASH DEPOSIT"",$C32"&amp;"6)),
      COUNTIFS('SUMMARY DATA'!$D:$D,$C326,'SUMMARY DATA'!$B:$B,""GRP"")&lt;&gt;1
    ),
    """",
    IFERROR(TEXTJOIN(CHAR(10),TRUE,FILTER('SUMMARY DATA'!F:F,'SUMMARY DATA'!$D:$D=$C326,'SUMMARY DATA'!$B:$B=""GRP"")),"""")
  )
)"),"")</f>
      </c>
      <c r="G1225" s="17" t="str">
        <f>IFERROR(__xludf.DUMMYFUNCTION("IFERROR(
  TEXTJOIN(CHAR(10),TRUE,FILTER('SUMMARY DATA'!G:G,'SUMMARY DATA'!$A:$A=$A1225,'SUMMARY DATA'!$C:$C=$B1225,'SUMMARY DATA'!$B:$B=""RWS"")),
  IF(
    OR(
      ISNUMBER(SEARCH(""CDM CASH DEPOSIT"",$C1225)),
      ISNUMBER(SEARCH(""CASH DEPOSIT"",$"&amp;"C1225)),
      COUNTIFS('SUMMARY DATA'!$D:$D,$C1225,'SUMMARY DATA'!$B:$B,""RWS"")&lt;&gt;1
    ),
    """",
    IFERROR(TEXTJOIN(CHAR(10),TRUE,FILTER('SUMMARY DATA'!G:G,'SUMMARY DATA'!$D:$D=$C1225,'SUMMARY DATA'!$B:$B=""RWS"")),"""")
  )
)"),"")</f>
      </c>
      <c r="H1225" s="18" t="str">
        <f>IFERROR(__xludf.DUMMYFUNCTION("IFERROR(
  TEXTJOIN(CHAR(10),TRUE,FILTER('SUMMARY DATA'!H:H,'SUMMARY DATA'!$A:$A=$A1225,'SUMMARY DATA'!$C:$C=$B1225,'SUMMARY DATA'!$B:$B=""RWS"",'SUMMARY DATA'!$H:$H=$D1225)),
  IF(
    OR(
      ISNUMBER(SEARCH(""CDM CASH DEPOSIT"",$C1225)),
      ISNUMB"&amp;"ER(SEARCH(""CASH DEPOSIT"",$C1225))
    ),
    """",
    IFERROR(TEXTJOIN(CHAR(10),TRUE,FILTER('SUMMARY DATA'!H:H,'SUMMARY DATA'!$D:$D=$C1225,'SUMMARY DATA'!$B:$B=""RWS"",'SUMMARY DATA'!$H:$H=$D1225)),"""")
  )
)"),"")</f>
      </c>
      <c r="I1225" s="18" t="str">
        <f>IFERROR(__xludf.DUMMYFUNCTION("IF(H1225="""","""",
SUM(ARRAYFORMULA(VALUE(SPLIT(H1225,CHAR(10)))))
)"),"")</f>
      </c>
      <c r="J1225" s="17" t="str">
        <f>IFERROR(__xludf.DUMMYFUNCTION("IFERROR(
  TEXTJOIN(CHAR(10),TRUE,FILTER('SUMMARY DATA'!I:I,'SUMMARY DATA'!$A:$A=$A1225,'SUMMARY DATA'!$C:$C=$B1225,'SUMMARY DATA'!$B:$B=""RWS"")),
  IF(
    OR(
      ISNUMBER(SEARCH(""CDM CASH DEPOSIT"",$C1225)),
      ISNUMBER(SEARCH(""CASH DEPOSIT"",$"&amp;"C1225)),
      COUNTIFS('SUMMARY DATA'!$D:$D,$C1225,'SUMMARY DATA'!$B:$B,""RWS"")&lt;&gt;1
    ),
    """",
    IFERROR(TEXTJOIN(CHAR(10),TRUE,FILTER('SUMMARY DATA'!I:I,'SUMMARY DATA'!$D:$D=$C1225,'SUMMARY DATA'!$B:$B=""RWS"")),"""")
  )
)"),"")</f>
      </c>
      <c r="K1225" s="2"/>
      <c r="L1225" s="2"/>
      <c r="M1225" s="2"/>
      <c r="N1225" s="2"/>
      <c r="O1225" s="2"/>
      <c r="P1225" s="2"/>
      <c r="Q1225" s="2"/>
      <c r="R1225" s="2"/>
      <c r="S1225" s="2"/>
      <c r="T1225" s="2"/>
      <c r="U1225" s="2"/>
      <c r="V1225" s="2"/>
      <c r="W1225" s="2"/>
      <c r="X1225" s="2"/>
      <c r="Y1225" s="2"/>
      <c r="Z1225" s="2"/>
      <c r="AA1225" s="2"/>
      <c r="AB1225" s="2"/>
    </row>
    <row r="1226" spans="1:28" customHeight="true">
      <c r="A1226" s="2" t="s">
        <v>1767</v>
      </c>
      <c r="B1226" s="15">
        <v>45820</v>
      </c>
      <c r="C1226" s="2" t="s">
        <v>1768</v>
      </c>
      <c r="D1226" s="6">
        <v>373.68</v>
      </c>
      <c r="E1226" s="16" t="str">
        <f>IFERROR(__xludf.DUMMYFUNCTION("IFERROR(
  TEXTJOIN(CHAR(10),TRUE,FILTER('SUMMARY DATA'!E:E,'SUMMARY DATA'!$A:$A=$A327,'SUMMARY DATA'!$C:$C=$B327,'SUMMARY DATA'!$B:$B=""GRP"")),
  IF(
    OR(
      ISNUMBER(SEARCH(""CDM CASH DEPOSIT"",$C327)),
      ISNUMBER(SEARCH(""CASH DEPOSIT"",$C32"&amp;"7)),
      COUNTIFS('SUMMARY DATA'!$D:$D,$C327,'SUMMARY DATA'!$B:$B,""GRP"")&lt;&gt;1
    ),
    """",
    IFERROR(TEXTJOIN(CHAR(10),TRUE,FILTER('SUMMARY DATA'!E:E,'SUMMARY DATA'!$D:$D=$C327,'SUMMARY DATA'!$B:$B=""GRP"")),"""")
  )
)"),"")</f>
      </c>
      <c r="F1226" s="17" t="str">
        <f>IFERROR(__xludf.DUMMYFUNCTION("IFERROR(
  TEXTJOIN(CHAR(10),TRUE,FILTER('SUMMARY DATA'!F:F,'SUMMARY DATA'!$A:$A=$A327,'SUMMARY DATA'!$C:$C=$B327,'SUMMARY DATA'!$B:$B=""GRP"")),
  IF(
    OR(
      ISNUMBER(SEARCH(""CDM CASH DEPOSIT"",$C327)),
      ISNUMBER(SEARCH(""CASH DEPOSIT"",$C32"&amp;"7)),
      COUNTIFS('SUMMARY DATA'!$D:$D,$C327,'SUMMARY DATA'!$B:$B,""GRP"")&lt;&gt;1
    ),
    """",
    IFERROR(TEXTJOIN(CHAR(10),TRUE,FILTER('SUMMARY DATA'!F:F,'SUMMARY DATA'!$D:$D=$C327,'SUMMARY DATA'!$B:$B=""GRP"")),"""")
  )
)"),"")</f>
      </c>
      <c r="G1226" s="17" t="str">
        <f>IFERROR(__xludf.DUMMYFUNCTION("IFERROR(
  TEXTJOIN(CHAR(10),TRUE,FILTER('SUMMARY DATA'!G:G,'SUMMARY DATA'!$A:$A=$A1226,'SUMMARY DATA'!$C:$C=$B1226,'SUMMARY DATA'!$B:$B=""RWS"")),
  IF(
    OR(
      ISNUMBER(SEARCH(""CDM CASH DEPOSIT"",$C1226)),
      ISNUMBER(SEARCH(""CASH DEPOSIT"",$"&amp;"C1226)),
      COUNTIFS('SUMMARY DATA'!$D:$D,$C1226,'SUMMARY DATA'!$B:$B,""RWS"")&lt;&gt;1
    ),
    """",
    IFERROR(TEXTJOIN(CHAR(10),TRUE,FILTER('SUMMARY DATA'!G:G,'SUMMARY DATA'!$D:$D=$C1226,'SUMMARY DATA'!$B:$B=""RWS"")),"""")
  )
)"),"")</f>
      </c>
      <c r="H1226" s="18" t="str">
        <f>IFERROR(__xludf.DUMMYFUNCTION("IFERROR(
  TEXTJOIN(CHAR(10),TRUE,FILTER('SUMMARY DATA'!H:H,'SUMMARY DATA'!$A:$A=$A1226,'SUMMARY DATA'!$C:$C=$B1226,'SUMMARY DATA'!$B:$B=""RWS"",'SUMMARY DATA'!$H:$H=$D1226)),
  IF(
    OR(
      ISNUMBER(SEARCH(""CDM CASH DEPOSIT"",$C1226)),
      ISNUMB"&amp;"ER(SEARCH(""CASH DEPOSIT"",$C1226))
    ),
    """",
    IFERROR(TEXTJOIN(CHAR(10),TRUE,FILTER('SUMMARY DATA'!H:H,'SUMMARY DATA'!$D:$D=$C1226,'SUMMARY DATA'!$B:$B=""RWS"",'SUMMARY DATA'!$H:$H=$D1226)),"""")
  )
)"),"")</f>
      </c>
      <c r="I1226" s="18" t="str">
        <f>IFERROR(__xludf.DUMMYFUNCTION("IF(H1226="""","""",
SUM(ARRAYFORMULA(VALUE(SPLIT(H1226,CHAR(10)))))
)"),"")</f>
      </c>
      <c r="J1226" s="17" t="str">
        <f>IFERROR(__xludf.DUMMYFUNCTION("IFERROR(
  TEXTJOIN(CHAR(10),TRUE,FILTER('SUMMARY DATA'!I:I,'SUMMARY DATA'!$A:$A=$A1226,'SUMMARY DATA'!$C:$C=$B1226,'SUMMARY DATA'!$B:$B=""RWS"")),
  IF(
    OR(
      ISNUMBER(SEARCH(""CDM CASH DEPOSIT"",$C1226)),
      ISNUMBER(SEARCH(""CASH DEPOSIT"",$"&amp;"C1226)),
      COUNTIFS('SUMMARY DATA'!$D:$D,$C1226,'SUMMARY DATA'!$B:$B,""RWS"")&lt;&gt;1
    ),
    """",
    IFERROR(TEXTJOIN(CHAR(10),TRUE,FILTER('SUMMARY DATA'!I:I,'SUMMARY DATA'!$D:$D=$C1226,'SUMMARY DATA'!$B:$B=""RWS"")),"""")
  )
)"),"")</f>
      </c>
      <c r="K1226" s="2"/>
      <c r="L1226" s="2"/>
      <c r="M1226" s="2"/>
      <c r="N1226" s="2"/>
      <c r="O1226" s="2"/>
      <c r="P1226" s="2"/>
      <c r="Q1226" s="2"/>
      <c r="R1226" s="2"/>
      <c r="S1226" s="2"/>
      <c r="T1226" s="2"/>
      <c r="U1226" s="2"/>
      <c r="V1226" s="2"/>
      <c r="W1226" s="2"/>
      <c r="X1226" s="2"/>
      <c r="Y1226" s="2"/>
      <c r="Z1226" s="2"/>
      <c r="AA1226" s="2"/>
      <c r="AB1226" s="2"/>
    </row>
    <row r="1227" spans="1:28" customHeight="true">
      <c r="A1227" s="2" t="s">
        <v>1769</v>
      </c>
      <c r="B1227" s="15">
        <v>45820</v>
      </c>
      <c r="C1227" s="2" t="s">
        <v>1770</v>
      </c>
      <c r="D1227" s="6">
        <v>124.88</v>
      </c>
      <c r="E1227" s="16" t="str">
        <f>IFERROR(__xludf.DUMMYFUNCTION("IFERROR(
  TEXTJOIN(CHAR(10),TRUE,FILTER('SUMMARY DATA'!E:E,'SUMMARY DATA'!$A:$A=$A328,'SUMMARY DATA'!$C:$C=$B328,'SUMMARY DATA'!$B:$B=""GRP"")),
  IF(
    OR(
      ISNUMBER(SEARCH(""CDM CASH DEPOSIT"",$C328)),
      ISNUMBER(SEARCH(""CASH DEPOSIT"",$C32"&amp;"8)),
      COUNTIFS('SUMMARY DATA'!$D:$D,$C328,'SUMMARY DATA'!$B:$B,""GRP"")&lt;&gt;1
    ),
    """",
    IFERROR(TEXTJOIN(CHAR(10),TRUE,FILTER('SUMMARY DATA'!E:E,'SUMMARY DATA'!$D:$D=$C328,'SUMMARY DATA'!$B:$B=""GRP"")),"""")
  )
)"),"")</f>
      </c>
      <c r="F1227" s="17" t="str">
        <f>IFERROR(__xludf.DUMMYFUNCTION("IFERROR(
  TEXTJOIN(CHAR(10),TRUE,FILTER('SUMMARY DATA'!F:F,'SUMMARY DATA'!$A:$A=$A328,'SUMMARY DATA'!$C:$C=$B328,'SUMMARY DATA'!$B:$B=""GRP"")),
  IF(
    OR(
      ISNUMBER(SEARCH(""CDM CASH DEPOSIT"",$C328)),
      ISNUMBER(SEARCH(""CASH DEPOSIT"",$C32"&amp;"8)),
      COUNTIFS('SUMMARY DATA'!$D:$D,$C328,'SUMMARY DATA'!$B:$B,""GRP"")&lt;&gt;1
    ),
    """",
    IFERROR(TEXTJOIN(CHAR(10),TRUE,FILTER('SUMMARY DATA'!F:F,'SUMMARY DATA'!$D:$D=$C328,'SUMMARY DATA'!$B:$B=""GRP"")),"""")
  )
)"),"")</f>
      </c>
      <c r="G1227" s="17" t="str">
        <f>IFERROR(__xludf.DUMMYFUNCTION("IFERROR(
  TEXTJOIN(CHAR(10),TRUE,FILTER('SUMMARY DATA'!G:G,'SUMMARY DATA'!$A:$A=$A1227,'SUMMARY DATA'!$C:$C=$B1227,'SUMMARY DATA'!$B:$B=""RWS"")),
  IF(
    OR(
      ISNUMBER(SEARCH(""CDM CASH DEPOSIT"",$C1227)),
      ISNUMBER(SEARCH(""CASH DEPOSIT"",$"&amp;"C1227)),
      COUNTIFS('SUMMARY DATA'!$D:$D,$C1227,'SUMMARY DATA'!$B:$B,""RWS"")&lt;&gt;1
    ),
    """",
    IFERROR(TEXTJOIN(CHAR(10),TRUE,FILTER('SUMMARY DATA'!G:G,'SUMMARY DATA'!$D:$D=$C1227,'SUMMARY DATA'!$B:$B=""RWS"")),"""")
  )
)"),"")</f>
      </c>
      <c r="H1227" s="18" t="str">
        <f>IFERROR(__xludf.DUMMYFUNCTION("IFERROR(
  TEXTJOIN(CHAR(10),TRUE,FILTER('SUMMARY DATA'!H:H,'SUMMARY DATA'!$A:$A=$A1227,'SUMMARY DATA'!$C:$C=$B1227,'SUMMARY DATA'!$B:$B=""RWS"",'SUMMARY DATA'!$H:$H=$D1227)),
  IF(
    OR(
      ISNUMBER(SEARCH(""CDM CASH DEPOSIT"",$C1227)),
      ISNUMB"&amp;"ER(SEARCH(""CASH DEPOSIT"",$C1227))
    ),
    """",
    IFERROR(TEXTJOIN(CHAR(10),TRUE,FILTER('SUMMARY DATA'!H:H,'SUMMARY DATA'!$D:$D=$C1227,'SUMMARY DATA'!$B:$B=""RWS"",'SUMMARY DATA'!$H:$H=$D1227)),"""")
  )
)"),"")</f>
      </c>
      <c r="I1227" s="18" t="str">
        <f>IFERROR(__xludf.DUMMYFUNCTION("IF(H1227="""","""",
SUM(ARRAYFORMULA(VALUE(SPLIT(H1227,CHAR(10)))))
)"),"")</f>
      </c>
      <c r="J1227" s="17" t="str">
        <f>IFERROR(__xludf.DUMMYFUNCTION("IFERROR(
  TEXTJOIN(CHAR(10),TRUE,FILTER('SUMMARY DATA'!I:I,'SUMMARY DATA'!$A:$A=$A1227,'SUMMARY DATA'!$C:$C=$B1227,'SUMMARY DATA'!$B:$B=""RWS"")),
  IF(
    OR(
      ISNUMBER(SEARCH(""CDM CASH DEPOSIT"",$C1227)),
      ISNUMBER(SEARCH(""CASH DEPOSIT"",$"&amp;"C1227)),
      COUNTIFS('SUMMARY DATA'!$D:$D,$C1227,'SUMMARY DATA'!$B:$B,""RWS"")&lt;&gt;1
    ),
    """",
    IFERROR(TEXTJOIN(CHAR(10),TRUE,FILTER('SUMMARY DATA'!I:I,'SUMMARY DATA'!$D:$D=$C1227,'SUMMARY DATA'!$B:$B=""RWS"")),"""")
  )
)"),"")</f>
      </c>
      <c r="K1227" s="2"/>
      <c r="L1227" s="2"/>
      <c r="M1227" s="2"/>
      <c r="N1227" s="2"/>
      <c r="O1227" s="2"/>
      <c r="P1227" s="2"/>
      <c r="Q1227" s="2"/>
      <c r="R1227" s="2"/>
      <c r="S1227" s="2"/>
      <c r="T1227" s="2"/>
      <c r="U1227" s="2"/>
      <c r="V1227" s="2"/>
      <c r="W1227" s="2"/>
      <c r="X1227" s="2"/>
      <c r="Y1227" s="2"/>
      <c r="Z1227" s="2"/>
      <c r="AA1227" s="2"/>
      <c r="AB1227" s="2"/>
    </row>
    <row r="1228" spans="1:28" customHeight="true">
      <c r="A1228" s="2"/>
      <c r="B1228" s="15">
        <v>45820</v>
      </c>
      <c r="C1228" s="2" t="s">
        <v>1437</v>
      </c>
      <c r="D1228" s="6">
        <v>109.8</v>
      </c>
      <c r="E1228" s="16" t="str">
        <f>IFERROR(__xludf.DUMMYFUNCTION("IFERROR(
  TEXTJOIN(CHAR(10),TRUE,FILTER('SUMMARY DATA'!E:E,'SUMMARY DATA'!$A:$A=$A329,'SUMMARY DATA'!$C:$C=$B329,'SUMMARY DATA'!$B:$B=""GRP"")),
  IF(
    OR(
      ISNUMBER(SEARCH(""CDM CASH DEPOSIT"",$C329)),
      ISNUMBER(SEARCH(""CASH DEPOSIT"",$C32"&amp;"9)),
      COUNTIFS('SUMMARY DATA'!$D:$D,$C329,'SUMMARY DATA'!$B:$B,""GRP"")&lt;&gt;1
    ),
    """",
    IFERROR(TEXTJOIN(CHAR(10),TRUE,FILTER('SUMMARY DATA'!E:E,'SUMMARY DATA'!$D:$D=$C329,'SUMMARY DATA'!$B:$B=""GRP"")),"""")
  )
)"),"")</f>
      </c>
      <c r="F1228" s="17" t="str">
        <f>IFERROR(__xludf.DUMMYFUNCTION("IFERROR(
  TEXTJOIN(CHAR(10),TRUE,FILTER('SUMMARY DATA'!F:F,'SUMMARY DATA'!$A:$A=$A329,'SUMMARY DATA'!$C:$C=$B329,'SUMMARY DATA'!$B:$B=""GRP"")),
  IF(
    OR(
      ISNUMBER(SEARCH(""CDM CASH DEPOSIT"",$C329)),
      ISNUMBER(SEARCH(""CASH DEPOSIT"",$C32"&amp;"9)),
      COUNTIFS('SUMMARY DATA'!$D:$D,$C329,'SUMMARY DATA'!$B:$B,""GRP"")&lt;&gt;1
    ),
    """",
    IFERROR(TEXTJOIN(CHAR(10),TRUE,FILTER('SUMMARY DATA'!F:F,'SUMMARY DATA'!$D:$D=$C329,'SUMMARY DATA'!$B:$B=""GRP"")),"""")
  )
)"),"")</f>
      </c>
      <c r="G1228" s="17" t="str">
        <f>IFERROR(__xludf.DUMMYFUNCTION("IFERROR(
  TEXTJOIN(CHAR(10),TRUE,FILTER('SUMMARY DATA'!G:G,'SUMMARY DATA'!$A:$A=$A1228,'SUMMARY DATA'!$C:$C=$B1228,'SUMMARY DATA'!$B:$B=""RWS"")),
  IF(
    OR(
      ISNUMBER(SEARCH(""CDM CASH DEPOSIT"",$C1228)),
      ISNUMBER(SEARCH(""CASH DEPOSIT"",$"&amp;"C1228)),
      COUNTIFS('SUMMARY DATA'!$D:$D,$C1228,'SUMMARY DATA'!$B:$B,""RWS"")&lt;&gt;1
    ),
    """",
    IFERROR(TEXTJOIN(CHAR(10),TRUE,FILTER('SUMMARY DATA'!G:G,'SUMMARY DATA'!$D:$D=$C1228,'SUMMARY DATA'!$B:$B=""RWS"")),"""")
  )
)"),"")</f>
      </c>
      <c r="H1228" s="18" t="str">
        <f>IFERROR(__xludf.DUMMYFUNCTION("IFERROR(
  TEXTJOIN(CHAR(10),TRUE,FILTER('SUMMARY DATA'!H:H,'SUMMARY DATA'!$A:$A=$A1228,'SUMMARY DATA'!$C:$C=$B1228,'SUMMARY DATA'!$B:$B=""RWS"",'SUMMARY DATA'!$H:$H=$D1228)),
  IF(
    OR(
      ISNUMBER(SEARCH(""CDM CASH DEPOSIT"",$C1228)),
      ISNUMB"&amp;"ER(SEARCH(""CASH DEPOSIT"",$C1228))
    ),
    """",
    IFERROR(TEXTJOIN(CHAR(10),TRUE,FILTER('SUMMARY DATA'!H:H,'SUMMARY DATA'!$D:$D=$C1228,'SUMMARY DATA'!$B:$B=""RWS"",'SUMMARY DATA'!$H:$H=$D1228)),"""")
  )
)"),"")</f>
      </c>
      <c r="I1228" s="18" t="str">
        <f>IFERROR(__xludf.DUMMYFUNCTION("IF(H1228="""","""",
SUM(ARRAYFORMULA(VALUE(SPLIT(H1228,CHAR(10)))))
)"),"")</f>
      </c>
      <c r="J1228" s="17" t="str">
        <f>IFERROR(__xludf.DUMMYFUNCTION("IFERROR(
  TEXTJOIN(CHAR(10),TRUE,FILTER('SUMMARY DATA'!I:I,'SUMMARY DATA'!$A:$A=$A1228,'SUMMARY DATA'!$C:$C=$B1228,'SUMMARY DATA'!$B:$B=""RWS"")),
  IF(
    OR(
      ISNUMBER(SEARCH(""CDM CASH DEPOSIT"",$C1228)),
      ISNUMBER(SEARCH(""CASH DEPOSIT"",$"&amp;"C1228)),
      COUNTIFS('SUMMARY DATA'!$D:$D,$C1228,'SUMMARY DATA'!$B:$B,""RWS"")&lt;&gt;1
    ),
    """",
    IFERROR(TEXTJOIN(CHAR(10),TRUE,FILTER('SUMMARY DATA'!I:I,'SUMMARY DATA'!$D:$D=$C1228,'SUMMARY DATA'!$B:$B=""RWS"")),"""")
  )
)"),"")</f>
      </c>
      <c r="K1228" s="2"/>
      <c r="L1228" s="2"/>
      <c r="M1228" s="2"/>
      <c r="N1228" s="2"/>
      <c r="O1228" s="2"/>
      <c r="P1228" s="2"/>
      <c r="Q1228" s="2"/>
      <c r="R1228" s="2"/>
      <c r="S1228" s="2"/>
      <c r="T1228" s="2"/>
      <c r="U1228" s="2"/>
      <c r="V1228" s="2"/>
      <c r="W1228" s="2"/>
      <c r="X1228" s="2"/>
      <c r="Y1228" s="2"/>
      <c r="Z1228" s="2"/>
      <c r="AA1228" s="2"/>
      <c r="AB1228" s="2"/>
    </row>
    <row r="1229" spans="1:28" customHeight="true">
      <c r="A1229" s="2" t="s">
        <v>1446</v>
      </c>
      <c r="B1229" s="15">
        <v>45821</v>
      </c>
      <c r="C1229" s="2" t="s">
        <v>1771</v>
      </c>
      <c r="D1229" s="6">
        <v>164</v>
      </c>
      <c r="E1229" s="16" t="str">
        <f>IFERROR(__xludf.DUMMYFUNCTION("IFERROR(
  TEXTJOIN(CHAR(10),TRUE,FILTER('SUMMARY DATA'!E:E,'SUMMARY DATA'!$A:$A=$A330,'SUMMARY DATA'!$C:$C=$B330,'SUMMARY DATA'!$B:$B=""GRP"")),
  IF(
    OR(
      ISNUMBER(SEARCH(""CDM CASH DEPOSIT"",$C330)),
      ISNUMBER(SEARCH(""CASH DEPOSIT"",$C33"&amp;"0)),
      COUNTIFS('SUMMARY DATA'!$D:$D,$C330,'SUMMARY DATA'!$B:$B,""GRP"")&lt;&gt;1
    ),
    """",
    IFERROR(TEXTJOIN(CHAR(10),TRUE,FILTER('SUMMARY DATA'!E:E,'SUMMARY DATA'!$D:$D=$C330,'SUMMARY DATA'!$B:$B=""GRP"")),"""")
  )
)"),"")</f>
      </c>
      <c r="F1229" s="17" t="str">
        <f>IFERROR(__xludf.DUMMYFUNCTION("IFERROR(
  TEXTJOIN(CHAR(10),TRUE,FILTER('SUMMARY DATA'!F:F,'SUMMARY DATA'!$A:$A=$A330,'SUMMARY DATA'!$C:$C=$B330,'SUMMARY DATA'!$B:$B=""GRP"")),
  IF(
    OR(
      ISNUMBER(SEARCH(""CDM CASH DEPOSIT"",$C330)),
      ISNUMBER(SEARCH(""CASH DEPOSIT"",$C33"&amp;"0)),
      COUNTIFS('SUMMARY DATA'!$D:$D,$C330,'SUMMARY DATA'!$B:$B,""GRP"")&lt;&gt;1
    ),
    """",
    IFERROR(TEXTJOIN(CHAR(10),TRUE,FILTER('SUMMARY DATA'!F:F,'SUMMARY DATA'!$D:$D=$C330,'SUMMARY DATA'!$B:$B=""GRP"")),"""")
  )
)"),"")</f>
      </c>
      <c r="G1229" s="17" t="str">
        <f>IFERROR(__xludf.DUMMYFUNCTION("IFERROR(
  TEXTJOIN(CHAR(10),TRUE,FILTER('SUMMARY DATA'!G:G,'SUMMARY DATA'!$A:$A=$A1229,'SUMMARY DATA'!$C:$C=$B1229,'SUMMARY DATA'!$B:$B=""RWS"")),
  IF(
    OR(
      ISNUMBER(SEARCH(""CDM CASH DEPOSIT"",$C1229)),
      ISNUMBER(SEARCH(""CASH DEPOSIT"",$"&amp;"C1229)),
      COUNTIFS('SUMMARY DATA'!$D:$D,$C1229,'SUMMARY DATA'!$B:$B,""RWS"")&lt;&gt;1
    ),
    """",
    IFERROR(TEXTJOIN(CHAR(10),TRUE,FILTER('SUMMARY DATA'!G:G,'SUMMARY DATA'!$D:$D=$C1229,'SUMMARY DATA'!$B:$B=""RWS"")),"""")
  )
)"),"")</f>
      </c>
      <c r="H1229" s="18" t="str">
        <f>IFERROR(__xludf.DUMMYFUNCTION("IFERROR(
  TEXTJOIN(CHAR(10),TRUE,FILTER('SUMMARY DATA'!H:H,'SUMMARY DATA'!$A:$A=$A1229,'SUMMARY DATA'!$C:$C=$B1229,'SUMMARY DATA'!$B:$B=""RWS"",'SUMMARY DATA'!$H:$H=$D1229)),
  IF(
    OR(
      ISNUMBER(SEARCH(""CDM CASH DEPOSIT"",$C1229)),
      ISNUMB"&amp;"ER(SEARCH(""CASH DEPOSIT"",$C1229))
    ),
    """",
    IFERROR(TEXTJOIN(CHAR(10),TRUE,FILTER('SUMMARY DATA'!H:H,'SUMMARY DATA'!$D:$D=$C1229,'SUMMARY DATA'!$B:$B=""RWS"",'SUMMARY DATA'!$H:$H=$D1229)),"""")
  )
)"),"")</f>
      </c>
      <c r="I1229" s="18" t="str">
        <f>IFERROR(__xludf.DUMMYFUNCTION("IF(H1229="""","""",
SUM(ARRAYFORMULA(VALUE(SPLIT(H1229,CHAR(10)))))
)"),"")</f>
      </c>
      <c r="J1229" s="17" t="str">
        <f>IFERROR(__xludf.DUMMYFUNCTION("IFERROR(
  TEXTJOIN(CHAR(10),TRUE,FILTER('SUMMARY DATA'!I:I,'SUMMARY DATA'!$A:$A=$A1229,'SUMMARY DATA'!$C:$C=$B1229,'SUMMARY DATA'!$B:$B=""RWS"")),
  IF(
    OR(
      ISNUMBER(SEARCH(""CDM CASH DEPOSIT"",$C1229)),
      ISNUMBER(SEARCH(""CASH DEPOSIT"",$"&amp;"C1229)),
      COUNTIFS('SUMMARY DATA'!$D:$D,$C1229,'SUMMARY DATA'!$B:$B,""RWS"")&lt;&gt;1
    ),
    """",
    IFERROR(TEXTJOIN(CHAR(10),TRUE,FILTER('SUMMARY DATA'!I:I,'SUMMARY DATA'!$D:$D=$C1229,'SUMMARY DATA'!$B:$B=""RWS"")),"""")
  )
)"),"")</f>
      </c>
      <c r="K1229" s="2"/>
      <c r="L1229" s="2"/>
      <c r="M1229" s="2"/>
      <c r="N1229" s="2"/>
      <c r="O1229" s="2"/>
      <c r="P1229" s="2"/>
      <c r="Q1229" s="2"/>
      <c r="R1229" s="2"/>
      <c r="S1229" s="2"/>
      <c r="T1229" s="2"/>
      <c r="U1229" s="2"/>
      <c r="V1229" s="2"/>
      <c r="W1229" s="2"/>
      <c r="X1229" s="2"/>
      <c r="Y1229" s="2"/>
      <c r="Z1229" s="2"/>
      <c r="AA1229" s="2"/>
      <c r="AB1229" s="2"/>
    </row>
    <row r="1230" spans="1:28" customHeight="true">
      <c r="A1230" s="2" t="s">
        <v>1772</v>
      </c>
      <c r="B1230" s="15">
        <v>45821</v>
      </c>
      <c r="C1230" s="2" t="s">
        <v>1773</v>
      </c>
      <c r="D1230" s="6">
        <v>10</v>
      </c>
      <c r="E1230" s="16" t="str">
        <f>IFERROR(__xludf.DUMMYFUNCTION("IFERROR(
  TEXTJOIN(CHAR(10),TRUE,FILTER('SUMMARY DATA'!E:E,'SUMMARY DATA'!$A:$A=$A331,'SUMMARY DATA'!$C:$C=$B331,'SUMMARY DATA'!$B:$B=""GRP"")),
  IF(
    OR(
      ISNUMBER(SEARCH(""CDM CASH DEPOSIT"",$C331)),
      ISNUMBER(SEARCH(""CASH DEPOSIT"",$C33"&amp;"1)),
      COUNTIFS('SUMMARY DATA'!$D:$D,$C331,'SUMMARY DATA'!$B:$B,""GRP"")&lt;&gt;1
    ),
    """",
    IFERROR(TEXTJOIN(CHAR(10),TRUE,FILTER('SUMMARY DATA'!E:E,'SUMMARY DATA'!$D:$D=$C331,'SUMMARY DATA'!$B:$B=""GRP"")),"""")
  )
)"),"")</f>
      </c>
      <c r="F1230" s="17" t="str">
        <f>IFERROR(__xludf.DUMMYFUNCTION("IFERROR(
  TEXTJOIN(CHAR(10),TRUE,FILTER('SUMMARY DATA'!F:F,'SUMMARY DATA'!$A:$A=$A331,'SUMMARY DATA'!$C:$C=$B331,'SUMMARY DATA'!$B:$B=""GRP"")),
  IF(
    OR(
      ISNUMBER(SEARCH(""CDM CASH DEPOSIT"",$C331)),
      ISNUMBER(SEARCH(""CASH DEPOSIT"",$C33"&amp;"1)),
      COUNTIFS('SUMMARY DATA'!$D:$D,$C331,'SUMMARY DATA'!$B:$B,""GRP"")&lt;&gt;1
    ),
    """",
    IFERROR(TEXTJOIN(CHAR(10),TRUE,FILTER('SUMMARY DATA'!F:F,'SUMMARY DATA'!$D:$D=$C331,'SUMMARY DATA'!$B:$B=""GRP"")),"""")
  )
)"),"")</f>
      </c>
      <c r="G1230" s="17" t="str">
        <f>IFERROR(__xludf.DUMMYFUNCTION("IFERROR(
  TEXTJOIN(CHAR(10),TRUE,FILTER('SUMMARY DATA'!G:G,'SUMMARY DATA'!$A:$A=$A1230,'SUMMARY DATA'!$C:$C=$B1230,'SUMMARY DATA'!$B:$B=""RWS"")),
  IF(
    OR(
      ISNUMBER(SEARCH(""CDM CASH DEPOSIT"",$C1230)),
      ISNUMBER(SEARCH(""CASH DEPOSIT"",$"&amp;"C1230)),
      COUNTIFS('SUMMARY DATA'!$D:$D,$C1230,'SUMMARY DATA'!$B:$B,""RWS"")&lt;&gt;1
    ),
    """",
    IFERROR(TEXTJOIN(CHAR(10),TRUE,FILTER('SUMMARY DATA'!G:G,'SUMMARY DATA'!$D:$D=$C1230,'SUMMARY DATA'!$B:$B=""RWS"")),"""")
  )
)"),"")</f>
      </c>
      <c r="H1230" s="18" t="str">
        <f>IFERROR(__xludf.DUMMYFUNCTION("IFERROR(
  TEXTJOIN(CHAR(10),TRUE,FILTER('SUMMARY DATA'!H:H,'SUMMARY DATA'!$A:$A=$A1230,'SUMMARY DATA'!$C:$C=$B1230,'SUMMARY DATA'!$B:$B=""RWS"",'SUMMARY DATA'!$H:$H=$D1230)),
  IF(
    OR(
      ISNUMBER(SEARCH(""CDM CASH DEPOSIT"",$C1230)),
      ISNUMB"&amp;"ER(SEARCH(""CASH DEPOSIT"",$C1230))
    ),
    """",
    IFERROR(TEXTJOIN(CHAR(10),TRUE,FILTER('SUMMARY DATA'!H:H,'SUMMARY DATA'!$D:$D=$C1230,'SUMMARY DATA'!$B:$B=""RWS"",'SUMMARY DATA'!$H:$H=$D1230)),"""")
  )
)"),"")</f>
      </c>
      <c r="I1230" s="18" t="str">
        <f>IFERROR(__xludf.DUMMYFUNCTION("IF(H1230="""","""",
SUM(ARRAYFORMULA(VALUE(SPLIT(H1230,CHAR(10)))))
)"),"")</f>
      </c>
      <c r="J1230" s="17" t="str">
        <f>IFERROR(__xludf.DUMMYFUNCTION("IFERROR(
  TEXTJOIN(CHAR(10),TRUE,FILTER('SUMMARY DATA'!I:I,'SUMMARY DATA'!$A:$A=$A1230,'SUMMARY DATA'!$C:$C=$B1230,'SUMMARY DATA'!$B:$B=""RWS"")),
  IF(
    OR(
      ISNUMBER(SEARCH(""CDM CASH DEPOSIT"",$C1230)),
      ISNUMBER(SEARCH(""CASH DEPOSIT"",$"&amp;"C1230)),
      COUNTIFS('SUMMARY DATA'!$D:$D,$C1230,'SUMMARY DATA'!$B:$B,""RWS"")&lt;&gt;1
    ),
    """",
    IFERROR(TEXTJOIN(CHAR(10),TRUE,FILTER('SUMMARY DATA'!I:I,'SUMMARY DATA'!$D:$D=$C1230,'SUMMARY DATA'!$B:$B=""RWS"")),"""")
  )
)"),"")</f>
      </c>
      <c r="K1230" s="2"/>
      <c r="L1230" s="2"/>
      <c r="M1230" s="2"/>
      <c r="N1230" s="2"/>
      <c r="O1230" s="2"/>
      <c r="P1230" s="2"/>
      <c r="Q1230" s="2"/>
      <c r="R1230" s="2"/>
      <c r="S1230" s="2"/>
      <c r="T1230" s="2"/>
      <c r="U1230" s="2"/>
      <c r="V1230" s="2"/>
      <c r="W1230" s="2"/>
      <c r="X1230" s="2"/>
      <c r="Y1230" s="2"/>
      <c r="Z1230" s="2"/>
      <c r="AA1230" s="2"/>
      <c r="AB1230" s="2"/>
    </row>
    <row r="1231" spans="1:28" customHeight="true">
      <c r="A1231" s="2"/>
      <c r="B1231" s="15">
        <v>45821</v>
      </c>
      <c r="C1231" s="2" t="s">
        <v>97</v>
      </c>
      <c r="D1231" s="6">
        <v>3.1</v>
      </c>
      <c r="E1231" s="16" t="str">
        <f>IFERROR(__xludf.DUMMYFUNCTION("IFERROR(
  TEXTJOIN(CHAR(10),TRUE,FILTER('SUMMARY DATA'!E:E,'SUMMARY DATA'!$A:$A=$A332,'SUMMARY DATA'!$C:$C=$B332,'SUMMARY DATA'!$B:$B=""GRP"")),
  IF(
    OR(
      ISNUMBER(SEARCH(""CDM CASH DEPOSIT"",$C332)),
      ISNUMBER(SEARCH(""CASH DEPOSIT"",$C33"&amp;"2)),
      COUNTIFS('SUMMARY DATA'!$D:$D,$C332,'SUMMARY DATA'!$B:$B,""GRP"")&lt;&gt;1
    ),
    """",
    IFERROR(TEXTJOIN(CHAR(10),TRUE,FILTER('SUMMARY DATA'!E:E,'SUMMARY DATA'!$D:$D=$C332,'SUMMARY DATA'!$B:$B=""GRP"")),"""")
  )
)"),"")</f>
      </c>
      <c r="F1231" s="17" t="str">
        <f>IFERROR(__xludf.DUMMYFUNCTION("IFERROR(
  TEXTJOIN(CHAR(10),TRUE,FILTER('SUMMARY DATA'!F:F,'SUMMARY DATA'!$A:$A=$A332,'SUMMARY DATA'!$C:$C=$B332,'SUMMARY DATA'!$B:$B=""GRP"")),
  IF(
    OR(
      ISNUMBER(SEARCH(""CDM CASH DEPOSIT"",$C332)),
      ISNUMBER(SEARCH(""CASH DEPOSIT"",$C33"&amp;"2)),
      COUNTIFS('SUMMARY DATA'!$D:$D,$C332,'SUMMARY DATA'!$B:$B,""GRP"")&lt;&gt;1
    ),
    """",
    IFERROR(TEXTJOIN(CHAR(10),TRUE,FILTER('SUMMARY DATA'!F:F,'SUMMARY DATA'!$D:$D=$C332,'SUMMARY DATA'!$B:$B=""GRP"")),"""")
  )
)"),"")</f>
      </c>
      <c r="G1231" s="17" t="str">
        <f>IFERROR(__xludf.DUMMYFUNCTION("IFERROR(
  TEXTJOIN(CHAR(10),TRUE,FILTER('SUMMARY DATA'!G:G,'SUMMARY DATA'!$A:$A=$A1231,'SUMMARY DATA'!$C:$C=$B1231,'SUMMARY DATA'!$B:$B=""RWS"")),
  IF(
    OR(
      ISNUMBER(SEARCH(""CDM CASH DEPOSIT"",$C1231)),
      ISNUMBER(SEARCH(""CASH DEPOSIT"",$"&amp;"C1231)),
      COUNTIFS('SUMMARY DATA'!$D:$D,$C1231,'SUMMARY DATA'!$B:$B,""RWS"")&lt;&gt;1
    ),
    """",
    IFERROR(TEXTJOIN(CHAR(10),TRUE,FILTER('SUMMARY DATA'!G:G,'SUMMARY DATA'!$D:$D=$C1231,'SUMMARY DATA'!$B:$B=""RWS"")),"""")
  )
)"),"")</f>
      </c>
      <c r="H1231" s="18" t="str">
        <f>IFERROR(__xludf.DUMMYFUNCTION("IFERROR(
  TEXTJOIN(CHAR(10),TRUE,FILTER('SUMMARY DATA'!H:H,'SUMMARY DATA'!$A:$A=$A1231,'SUMMARY DATA'!$C:$C=$B1231,'SUMMARY DATA'!$B:$B=""RWS"",'SUMMARY DATA'!$H:$H=$D1231)),
  IF(
    OR(
      ISNUMBER(SEARCH(""CDM CASH DEPOSIT"",$C1231)),
      ISNUMB"&amp;"ER(SEARCH(""CASH DEPOSIT"",$C1231))
    ),
    """",
    IFERROR(TEXTJOIN(CHAR(10),TRUE,FILTER('SUMMARY DATA'!H:H,'SUMMARY DATA'!$D:$D=$C1231,'SUMMARY DATA'!$B:$B=""RWS"",'SUMMARY DATA'!$H:$H=$D1231)),"""")
  )
)"),"")</f>
      </c>
      <c r="I1231" s="18" t="str">
        <f>IFERROR(__xludf.DUMMYFUNCTION("IF(H1231="""","""",
SUM(ARRAYFORMULA(VALUE(SPLIT(H1231,CHAR(10)))))
)"),"")</f>
      </c>
      <c r="J1231" s="17" t="str">
        <f>IFERROR(__xludf.DUMMYFUNCTION("IFERROR(
  TEXTJOIN(CHAR(10),TRUE,FILTER('SUMMARY DATA'!I:I,'SUMMARY DATA'!$A:$A=$A1231,'SUMMARY DATA'!$C:$C=$B1231,'SUMMARY DATA'!$B:$B=""RWS"")),
  IF(
    OR(
      ISNUMBER(SEARCH(""CDM CASH DEPOSIT"",$C1231)),
      ISNUMBER(SEARCH(""CASH DEPOSIT"",$"&amp;"C1231)),
      COUNTIFS('SUMMARY DATA'!$D:$D,$C1231,'SUMMARY DATA'!$B:$B,""RWS"")&lt;&gt;1
    ),
    """",
    IFERROR(TEXTJOIN(CHAR(10),TRUE,FILTER('SUMMARY DATA'!I:I,'SUMMARY DATA'!$D:$D=$C1231,'SUMMARY DATA'!$B:$B=""RWS"")),"""")
  )
)"),"")</f>
      </c>
      <c r="K1231" s="2"/>
      <c r="L1231" s="2"/>
      <c r="M1231" s="2"/>
      <c r="N1231" s="2"/>
      <c r="O1231" s="2"/>
      <c r="P1231" s="2"/>
      <c r="Q1231" s="2"/>
      <c r="R1231" s="2"/>
      <c r="S1231" s="2"/>
      <c r="T1231" s="2"/>
      <c r="U1231" s="2"/>
      <c r="V1231" s="2"/>
      <c r="W1231" s="2"/>
      <c r="X1231" s="2"/>
      <c r="Y1231" s="2"/>
      <c r="Z1231" s="2"/>
      <c r="AA1231" s="2"/>
      <c r="AB1231" s="2"/>
    </row>
    <row r="1232" spans="1:28" customHeight="true">
      <c r="A1232" s="2"/>
      <c r="B1232" s="15">
        <v>45822</v>
      </c>
      <c r="C1232" s="2" t="s">
        <v>1774</v>
      </c>
      <c r="D1232" s="6">
        <v>240.96</v>
      </c>
      <c r="E1232" s="16" t="str">
        <f>IFERROR(__xludf.DUMMYFUNCTION("IFERROR(
  TEXTJOIN(CHAR(10),TRUE,FILTER('SUMMARY DATA'!E:E,'SUMMARY DATA'!$A:$A=$A333,'SUMMARY DATA'!$C:$C=$B333,'SUMMARY DATA'!$B:$B=""GRP"")),
  IF(
    OR(
      ISNUMBER(SEARCH(""CDM CASH DEPOSIT"",$C333)),
      ISNUMBER(SEARCH(""CASH DEPOSIT"",$C33"&amp;"3)),
      COUNTIFS('SUMMARY DATA'!$D:$D,$C333,'SUMMARY DATA'!$B:$B,""GRP"")&lt;&gt;1
    ),
    """",
    IFERROR(TEXTJOIN(CHAR(10),TRUE,FILTER('SUMMARY DATA'!E:E,'SUMMARY DATA'!$D:$D=$C333,'SUMMARY DATA'!$B:$B=""GRP"")),"""")
  )
)"),"")</f>
      </c>
      <c r="F1232" s="17" t="str">
        <f>IFERROR(__xludf.DUMMYFUNCTION("IFERROR(
  TEXTJOIN(CHAR(10),TRUE,FILTER('SUMMARY DATA'!F:F,'SUMMARY DATA'!$A:$A=$A333,'SUMMARY DATA'!$C:$C=$B333,'SUMMARY DATA'!$B:$B=""GRP"")),
  IF(
    OR(
      ISNUMBER(SEARCH(""CDM CASH DEPOSIT"",$C333)),
      ISNUMBER(SEARCH(""CASH DEPOSIT"",$C33"&amp;"3)),
      COUNTIFS('SUMMARY DATA'!$D:$D,$C333,'SUMMARY DATA'!$B:$B,""GRP"")&lt;&gt;1
    ),
    """",
    IFERROR(TEXTJOIN(CHAR(10),TRUE,FILTER('SUMMARY DATA'!F:F,'SUMMARY DATA'!$D:$D=$C333,'SUMMARY DATA'!$B:$B=""GRP"")),"""")
  )
)"),"")</f>
      </c>
      <c r="G1232" s="17" t="str">
        <f>IFERROR(__xludf.DUMMYFUNCTION("IFERROR(
  TEXTJOIN(CHAR(10),TRUE,FILTER('SUMMARY DATA'!G:G,'SUMMARY DATA'!$A:$A=$A1232,'SUMMARY DATA'!$C:$C=$B1232,'SUMMARY DATA'!$B:$B=""RWS"")),
  IF(
    OR(
      ISNUMBER(SEARCH(""CDM CASH DEPOSIT"",$C1232)),
      ISNUMBER(SEARCH(""CASH DEPOSIT"",$"&amp;"C1232)),
      COUNTIFS('SUMMARY DATA'!$D:$D,$C1232,'SUMMARY DATA'!$B:$B,""RWS"")&lt;&gt;1
    ),
    """",
    IFERROR(TEXTJOIN(CHAR(10),TRUE,FILTER('SUMMARY DATA'!G:G,'SUMMARY DATA'!$D:$D=$C1232,'SUMMARY DATA'!$B:$B=""RWS"")),"""")
  )
)"),"")</f>
      </c>
      <c r="H1232" s="18" t="str">
        <f>IFERROR(__xludf.DUMMYFUNCTION("IFERROR(
  TEXTJOIN(CHAR(10),TRUE,FILTER('SUMMARY DATA'!H:H,'SUMMARY DATA'!$A:$A=$A1232,'SUMMARY DATA'!$C:$C=$B1232,'SUMMARY DATA'!$B:$B=""RWS"",'SUMMARY DATA'!$H:$H=$D1232)),
  IF(
    OR(
      ISNUMBER(SEARCH(""CDM CASH DEPOSIT"",$C1232)),
      ISNUMB"&amp;"ER(SEARCH(""CASH DEPOSIT"",$C1232))
    ),
    """",
    IFERROR(TEXTJOIN(CHAR(10),TRUE,FILTER('SUMMARY DATA'!H:H,'SUMMARY DATA'!$D:$D=$C1232,'SUMMARY DATA'!$B:$B=""RWS"",'SUMMARY DATA'!$H:$H=$D1232)),"""")
  )
)"),"")</f>
      </c>
      <c r="I1232" s="18" t="str">
        <f>IFERROR(__xludf.DUMMYFUNCTION("IF(H1232="""","""",
SUM(ARRAYFORMULA(VALUE(SPLIT(H1232,CHAR(10)))))
)"),"")</f>
      </c>
      <c r="J1232" s="17" t="str">
        <f>IFERROR(__xludf.DUMMYFUNCTION("IFERROR(
  TEXTJOIN(CHAR(10),TRUE,FILTER('SUMMARY DATA'!I:I,'SUMMARY DATA'!$A:$A=$A1232,'SUMMARY DATA'!$C:$C=$B1232,'SUMMARY DATA'!$B:$B=""RWS"")),
  IF(
    OR(
      ISNUMBER(SEARCH(""CDM CASH DEPOSIT"",$C1232)),
      ISNUMBER(SEARCH(""CASH DEPOSIT"",$"&amp;"C1232)),
      COUNTIFS('SUMMARY DATA'!$D:$D,$C1232,'SUMMARY DATA'!$B:$B,""RWS"")&lt;&gt;1
    ),
    """",
    IFERROR(TEXTJOIN(CHAR(10),TRUE,FILTER('SUMMARY DATA'!I:I,'SUMMARY DATA'!$D:$D=$C1232,'SUMMARY DATA'!$B:$B=""RWS"")),"""")
  )
)"),"")</f>
      </c>
      <c r="K1232" s="2"/>
      <c r="L1232" s="2"/>
      <c r="M1232" s="2"/>
      <c r="N1232" s="2"/>
      <c r="O1232" s="2"/>
      <c r="P1232" s="2"/>
      <c r="Q1232" s="2"/>
      <c r="R1232" s="2"/>
      <c r="S1232" s="2"/>
      <c r="T1232" s="2"/>
      <c r="U1232" s="2"/>
      <c r="V1232" s="2"/>
      <c r="W1232" s="2"/>
      <c r="X1232" s="2"/>
      <c r="Y1232" s="2"/>
      <c r="Z1232" s="2"/>
      <c r="AA1232" s="2"/>
      <c r="AB1232" s="2"/>
    </row>
    <row r="1233" spans="1:28" customHeight="true">
      <c r="A1233" s="2"/>
      <c r="B1233" s="15">
        <v>45822</v>
      </c>
      <c r="C1233" s="2" t="s">
        <v>1775</v>
      </c>
      <c r="D1233" s="6">
        <v>150</v>
      </c>
      <c r="E1233" s="16" t="str">
        <f>IFERROR(__xludf.DUMMYFUNCTION("IFERROR(
  TEXTJOIN(CHAR(10),TRUE,FILTER('SUMMARY DATA'!E:E,'SUMMARY DATA'!$A:$A=$A334,'SUMMARY DATA'!$C:$C=$B334,'SUMMARY DATA'!$B:$B=""GRP"")),
  IF(
    OR(
      ISNUMBER(SEARCH(""CDM CASH DEPOSIT"",$C334)),
      ISNUMBER(SEARCH(""CASH DEPOSIT"",$C33"&amp;"4)),
      COUNTIFS('SUMMARY DATA'!$D:$D,$C334,'SUMMARY DATA'!$B:$B,""GRP"")&lt;&gt;1
    ),
    """",
    IFERROR(TEXTJOIN(CHAR(10),TRUE,FILTER('SUMMARY DATA'!E:E,'SUMMARY DATA'!$D:$D=$C334,'SUMMARY DATA'!$B:$B=""GRP"")),"""")
  )
)"),"")</f>
      </c>
      <c r="F1233" s="17" t="str">
        <f>IFERROR(__xludf.DUMMYFUNCTION("IFERROR(
  TEXTJOIN(CHAR(10),TRUE,FILTER('SUMMARY DATA'!F:F,'SUMMARY DATA'!$A:$A=$A334,'SUMMARY DATA'!$C:$C=$B334,'SUMMARY DATA'!$B:$B=""GRP"")),
  IF(
    OR(
      ISNUMBER(SEARCH(""CDM CASH DEPOSIT"",$C334)),
      ISNUMBER(SEARCH(""CASH DEPOSIT"",$C33"&amp;"4)),
      COUNTIFS('SUMMARY DATA'!$D:$D,$C334,'SUMMARY DATA'!$B:$B,""GRP"")&lt;&gt;1
    ),
    """",
    IFERROR(TEXTJOIN(CHAR(10),TRUE,FILTER('SUMMARY DATA'!F:F,'SUMMARY DATA'!$D:$D=$C334,'SUMMARY DATA'!$B:$B=""GRP"")),"""")
  )
)"),"")</f>
      </c>
      <c r="G1233" s="17" t="str">
        <f>IFERROR(__xludf.DUMMYFUNCTION("IFERROR(
  TEXTJOIN(CHAR(10),TRUE,FILTER('SUMMARY DATA'!G:G,'SUMMARY DATA'!$A:$A=$A1233,'SUMMARY DATA'!$C:$C=$B1233,'SUMMARY DATA'!$B:$B=""RWS"")),
  IF(
    OR(
      ISNUMBER(SEARCH(""CDM CASH DEPOSIT"",$C1233)),
      ISNUMBER(SEARCH(""CASH DEPOSIT"",$"&amp;"C1233)),
      COUNTIFS('SUMMARY DATA'!$D:$D,$C1233,'SUMMARY DATA'!$B:$B,""RWS"")&lt;&gt;1
    ),
    """",
    IFERROR(TEXTJOIN(CHAR(10),TRUE,FILTER('SUMMARY DATA'!G:G,'SUMMARY DATA'!$D:$D=$C1233,'SUMMARY DATA'!$B:$B=""RWS"")),"""")
  )
)"),"")</f>
      </c>
      <c r="H1233" s="18" t="str">
        <f>IFERROR(__xludf.DUMMYFUNCTION("IFERROR(
  TEXTJOIN(CHAR(10),TRUE,FILTER('SUMMARY DATA'!H:H,'SUMMARY DATA'!$A:$A=$A1233,'SUMMARY DATA'!$C:$C=$B1233,'SUMMARY DATA'!$B:$B=""RWS"",'SUMMARY DATA'!$H:$H=$D1233)),
  IF(
    OR(
      ISNUMBER(SEARCH(""CDM CASH DEPOSIT"",$C1233)),
      ISNUMB"&amp;"ER(SEARCH(""CASH DEPOSIT"",$C1233))
    ),
    """",
    IFERROR(TEXTJOIN(CHAR(10),TRUE,FILTER('SUMMARY DATA'!H:H,'SUMMARY DATA'!$D:$D=$C1233,'SUMMARY DATA'!$B:$B=""RWS"",'SUMMARY DATA'!$H:$H=$D1233)),"""")
  )
)"),"")</f>
      </c>
      <c r="I1233" s="18" t="str">
        <f>IFERROR(__xludf.DUMMYFUNCTION("IF(H1233="""","""",
SUM(ARRAYFORMULA(VALUE(SPLIT(H1233,CHAR(10)))))
)"),"")</f>
      </c>
      <c r="J1233" s="17" t="str">
        <f>IFERROR(__xludf.DUMMYFUNCTION("IFERROR(
  TEXTJOIN(CHAR(10),TRUE,FILTER('SUMMARY DATA'!I:I,'SUMMARY DATA'!$A:$A=$A1233,'SUMMARY DATA'!$C:$C=$B1233,'SUMMARY DATA'!$B:$B=""RWS"")),
  IF(
    OR(
      ISNUMBER(SEARCH(""CDM CASH DEPOSIT"",$C1233)),
      ISNUMBER(SEARCH(""CASH DEPOSIT"",$"&amp;"C1233)),
      COUNTIFS('SUMMARY DATA'!$D:$D,$C1233,'SUMMARY DATA'!$B:$B,""RWS"")&lt;&gt;1
    ),
    """",
    IFERROR(TEXTJOIN(CHAR(10),TRUE,FILTER('SUMMARY DATA'!I:I,'SUMMARY DATA'!$D:$D=$C1233,'SUMMARY DATA'!$B:$B=""RWS"")),"""")
  )
)"),"")</f>
      </c>
      <c r="K1233" s="2"/>
      <c r="L1233" s="2"/>
      <c r="M1233" s="2"/>
      <c r="N1233" s="2"/>
      <c r="O1233" s="2"/>
      <c r="P1233" s="2"/>
      <c r="Q1233" s="2"/>
      <c r="R1233" s="2"/>
      <c r="S1233" s="2"/>
      <c r="T1233" s="2"/>
      <c r="U1233" s="2"/>
      <c r="V1233" s="2"/>
      <c r="W1233" s="2"/>
      <c r="X1233" s="2"/>
      <c r="Y1233" s="2"/>
      <c r="Z1233" s="2"/>
      <c r="AA1233" s="2"/>
      <c r="AB1233" s="2"/>
    </row>
    <row r="1234" spans="1:28" customHeight="true">
      <c r="A1234" s="2"/>
      <c r="B1234" s="15">
        <v>45822</v>
      </c>
      <c r="C1234" s="2" t="s">
        <v>1776</v>
      </c>
      <c r="D1234" s="6">
        <v>29.95</v>
      </c>
      <c r="E1234" s="16" t="str">
        <f>IFERROR(__xludf.DUMMYFUNCTION("IFERROR(
  TEXTJOIN(CHAR(10),TRUE,FILTER('SUMMARY DATA'!E:E,'SUMMARY DATA'!$A:$A=$A335,'SUMMARY DATA'!$C:$C=$B335,'SUMMARY DATA'!$B:$B=""GRP"")),
  IF(
    OR(
      ISNUMBER(SEARCH(""CDM CASH DEPOSIT"",$C335)),
      ISNUMBER(SEARCH(""CASH DEPOSIT"",$C33"&amp;"5)),
      COUNTIFS('SUMMARY DATA'!$D:$D,$C335,'SUMMARY DATA'!$B:$B,""GRP"")&lt;&gt;1
    ),
    """",
    IFERROR(TEXTJOIN(CHAR(10),TRUE,FILTER('SUMMARY DATA'!E:E,'SUMMARY DATA'!$D:$D=$C335,'SUMMARY DATA'!$B:$B=""GRP"")),"""")
  )
)"),"")</f>
      </c>
      <c r="F1234" s="17" t="str">
        <f>IFERROR(__xludf.DUMMYFUNCTION("IFERROR(
  TEXTJOIN(CHAR(10),TRUE,FILTER('SUMMARY DATA'!F:F,'SUMMARY DATA'!$A:$A=$A335,'SUMMARY DATA'!$C:$C=$B335,'SUMMARY DATA'!$B:$B=""GRP"")),
  IF(
    OR(
      ISNUMBER(SEARCH(""CDM CASH DEPOSIT"",$C335)),
      ISNUMBER(SEARCH(""CASH DEPOSIT"",$C33"&amp;"5)),
      COUNTIFS('SUMMARY DATA'!$D:$D,$C335,'SUMMARY DATA'!$B:$B,""GRP"")&lt;&gt;1
    ),
    """",
    IFERROR(TEXTJOIN(CHAR(10),TRUE,FILTER('SUMMARY DATA'!F:F,'SUMMARY DATA'!$D:$D=$C335,'SUMMARY DATA'!$B:$B=""GRP"")),"""")
  )
)"),"")</f>
      </c>
      <c r="G1234" s="17" t="str">
        <f>IFERROR(__xludf.DUMMYFUNCTION("IFERROR(
  TEXTJOIN(CHAR(10),TRUE,FILTER('SUMMARY DATA'!G:G,'SUMMARY DATA'!$A:$A=$A1234,'SUMMARY DATA'!$C:$C=$B1234,'SUMMARY DATA'!$B:$B=""RWS"")),
  IF(
    OR(
      ISNUMBER(SEARCH(""CDM CASH DEPOSIT"",$C1234)),
      ISNUMBER(SEARCH(""CASH DEPOSIT"",$"&amp;"C1234)),
      COUNTIFS('SUMMARY DATA'!$D:$D,$C1234,'SUMMARY DATA'!$B:$B,""RWS"")&lt;&gt;1
    ),
    """",
    IFERROR(TEXTJOIN(CHAR(10),TRUE,FILTER('SUMMARY DATA'!G:G,'SUMMARY DATA'!$D:$D=$C1234,'SUMMARY DATA'!$B:$B=""RWS"")),"""")
  )
)"),"")</f>
      </c>
      <c r="H1234" s="18" t="str">
        <f>IFERROR(__xludf.DUMMYFUNCTION("IFERROR(
  TEXTJOIN(CHAR(10),TRUE,FILTER('SUMMARY DATA'!H:H,'SUMMARY DATA'!$A:$A=$A1234,'SUMMARY DATA'!$C:$C=$B1234,'SUMMARY DATA'!$B:$B=""RWS"",'SUMMARY DATA'!$H:$H=$D1234)),
  IF(
    OR(
      ISNUMBER(SEARCH(""CDM CASH DEPOSIT"",$C1234)),
      ISNUMB"&amp;"ER(SEARCH(""CASH DEPOSIT"",$C1234))
    ),
    """",
    IFERROR(TEXTJOIN(CHAR(10),TRUE,FILTER('SUMMARY DATA'!H:H,'SUMMARY DATA'!$D:$D=$C1234,'SUMMARY DATA'!$B:$B=""RWS"",'SUMMARY DATA'!$H:$H=$D1234)),"""")
  )
)"),"")</f>
      </c>
      <c r="I1234" s="18" t="str">
        <f>IFERROR(__xludf.DUMMYFUNCTION("IF(H1234="""","""",
SUM(ARRAYFORMULA(VALUE(SPLIT(H1234,CHAR(10)))))
)"),"")</f>
      </c>
      <c r="J1234" s="17" t="str">
        <f>IFERROR(__xludf.DUMMYFUNCTION("IFERROR(
  TEXTJOIN(CHAR(10),TRUE,FILTER('SUMMARY DATA'!I:I,'SUMMARY DATA'!$A:$A=$A1234,'SUMMARY DATA'!$C:$C=$B1234,'SUMMARY DATA'!$B:$B=""RWS"")),
  IF(
    OR(
      ISNUMBER(SEARCH(""CDM CASH DEPOSIT"",$C1234)),
      ISNUMBER(SEARCH(""CASH DEPOSIT"",$"&amp;"C1234)),
      COUNTIFS('SUMMARY DATA'!$D:$D,$C1234,'SUMMARY DATA'!$B:$B,""RWS"")&lt;&gt;1
    ),
    """",
    IFERROR(TEXTJOIN(CHAR(10),TRUE,FILTER('SUMMARY DATA'!I:I,'SUMMARY DATA'!$D:$D=$C1234,'SUMMARY DATA'!$B:$B=""RWS"")),"""")
  )
)"),"")</f>
      </c>
      <c r="K1234" s="2"/>
      <c r="L1234" s="2"/>
      <c r="M1234" s="2"/>
      <c r="N1234" s="2"/>
      <c r="O1234" s="2"/>
      <c r="P1234" s="2"/>
      <c r="Q1234" s="2"/>
      <c r="R1234" s="2"/>
      <c r="S1234" s="2"/>
      <c r="T1234" s="2"/>
      <c r="U1234" s="2"/>
      <c r="V1234" s="2"/>
      <c r="W1234" s="2"/>
      <c r="X1234" s="2"/>
      <c r="Y1234" s="2"/>
      <c r="Z1234" s="2"/>
      <c r="AA1234" s="2"/>
      <c r="AB1234" s="2"/>
    </row>
    <row r="1235" spans="1:28" customHeight="true">
      <c r="A1235" s="2"/>
      <c r="B1235" s="15">
        <v>45822</v>
      </c>
      <c r="C1235" s="2" t="s">
        <v>1777</v>
      </c>
      <c r="D1235" s="6">
        <v>20</v>
      </c>
      <c r="E1235" s="16" t="str">
        <f>IFERROR(__xludf.DUMMYFUNCTION("IFERROR(
  TEXTJOIN(CHAR(10),TRUE,FILTER('SUMMARY DATA'!E:E,'SUMMARY DATA'!$A:$A=$A336,'SUMMARY DATA'!$C:$C=$B336,'SUMMARY DATA'!$B:$B=""GRP"")),
  IF(
    OR(
      ISNUMBER(SEARCH(""CDM CASH DEPOSIT"",$C336)),
      ISNUMBER(SEARCH(""CASH DEPOSIT"",$C33"&amp;"6)),
      COUNTIFS('SUMMARY DATA'!$D:$D,$C336,'SUMMARY DATA'!$B:$B,""GRP"")&lt;&gt;1
    ),
    """",
    IFERROR(TEXTJOIN(CHAR(10),TRUE,FILTER('SUMMARY DATA'!E:E,'SUMMARY DATA'!$D:$D=$C336,'SUMMARY DATA'!$B:$B=""GRP"")),"""")
  )
)"),"")</f>
      </c>
      <c r="F1235" s="17" t="str">
        <f>IFERROR(__xludf.DUMMYFUNCTION("IFERROR(
  TEXTJOIN(CHAR(10),TRUE,FILTER('SUMMARY DATA'!F:F,'SUMMARY DATA'!$A:$A=$A336,'SUMMARY DATA'!$C:$C=$B336,'SUMMARY DATA'!$B:$B=""GRP"")),
  IF(
    OR(
      ISNUMBER(SEARCH(""CDM CASH DEPOSIT"",$C336)),
      ISNUMBER(SEARCH(""CASH DEPOSIT"",$C33"&amp;"6)),
      COUNTIFS('SUMMARY DATA'!$D:$D,$C336,'SUMMARY DATA'!$B:$B,""GRP"")&lt;&gt;1
    ),
    """",
    IFERROR(TEXTJOIN(CHAR(10),TRUE,FILTER('SUMMARY DATA'!F:F,'SUMMARY DATA'!$D:$D=$C336,'SUMMARY DATA'!$B:$B=""GRP"")),"""")
  )
)"),"")</f>
      </c>
      <c r="G1235" s="17" t="str">
        <f>IFERROR(__xludf.DUMMYFUNCTION("IFERROR(
  TEXTJOIN(CHAR(10),TRUE,FILTER('SUMMARY DATA'!G:G,'SUMMARY DATA'!$A:$A=$A1235,'SUMMARY DATA'!$C:$C=$B1235,'SUMMARY DATA'!$B:$B=""RWS"")),
  IF(
    OR(
      ISNUMBER(SEARCH(""CDM CASH DEPOSIT"",$C1235)),
      ISNUMBER(SEARCH(""CASH DEPOSIT"",$"&amp;"C1235)),
      COUNTIFS('SUMMARY DATA'!$D:$D,$C1235,'SUMMARY DATA'!$B:$B,""RWS"")&lt;&gt;1
    ),
    """",
    IFERROR(TEXTJOIN(CHAR(10),TRUE,FILTER('SUMMARY DATA'!G:G,'SUMMARY DATA'!$D:$D=$C1235,'SUMMARY DATA'!$B:$B=""RWS"")),"""")
  )
)"),"")</f>
      </c>
      <c r="H1235" s="18" t="str">
        <f>IFERROR(__xludf.DUMMYFUNCTION("IFERROR(
  TEXTJOIN(CHAR(10),TRUE,FILTER('SUMMARY DATA'!H:H,'SUMMARY DATA'!$A:$A=$A1235,'SUMMARY DATA'!$C:$C=$B1235,'SUMMARY DATA'!$B:$B=""RWS"",'SUMMARY DATA'!$H:$H=$D1235)),
  IF(
    OR(
      ISNUMBER(SEARCH(""CDM CASH DEPOSIT"",$C1235)),
      ISNUMB"&amp;"ER(SEARCH(""CASH DEPOSIT"",$C1235))
    ),
    """",
    IFERROR(TEXTJOIN(CHAR(10),TRUE,FILTER('SUMMARY DATA'!H:H,'SUMMARY DATA'!$D:$D=$C1235,'SUMMARY DATA'!$B:$B=""RWS"",'SUMMARY DATA'!$H:$H=$D1235)),"""")
  )
)"),"")</f>
      </c>
      <c r="I1235" s="18" t="str">
        <f>IFERROR(__xludf.DUMMYFUNCTION("IF(H1235="""","""",
SUM(ARRAYFORMULA(VALUE(SPLIT(H1235,CHAR(10)))))
)"),"")</f>
      </c>
      <c r="J1235" s="17" t="str">
        <f>IFERROR(__xludf.DUMMYFUNCTION("IFERROR(
  TEXTJOIN(CHAR(10),TRUE,FILTER('SUMMARY DATA'!I:I,'SUMMARY DATA'!$A:$A=$A1235,'SUMMARY DATA'!$C:$C=$B1235,'SUMMARY DATA'!$B:$B=""RWS"")),
  IF(
    OR(
      ISNUMBER(SEARCH(""CDM CASH DEPOSIT"",$C1235)),
      ISNUMBER(SEARCH(""CASH DEPOSIT"",$"&amp;"C1235)),
      COUNTIFS('SUMMARY DATA'!$D:$D,$C1235,'SUMMARY DATA'!$B:$B,""RWS"")&lt;&gt;1
    ),
    """",
    IFERROR(TEXTJOIN(CHAR(10),TRUE,FILTER('SUMMARY DATA'!I:I,'SUMMARY DATA'!$D:$D=$C1235,'SUMMARY DATA'!$B:$B=""RWS"")),"""")
  )
)"),"")</f>
      </c>
      <c r="K1235" s="2"/>
      <c r="L1235" s="2"/>
      <c r="M1235" s="2"/>
      <c r="N1235" s="2"/>
      <c r="O1235" s="2"/>
      <c r="P1235" s="2"/>
      <c r="Q1235" s="2"/>
      <c r="R1235" s="2"/>
      <c r="S1235" s="2"/>
      <c r="T1235" s="2"/>
      <c r="U1235" s="2"/>
      <c r="V1235" s="2"/>
      <c r="W1235" s="2"/>
      <c r="X1235" s="2"/>
      <c r="Y1235" s="2"/>
      <c r="Z1235" s="2"/>
      <c r="AA1235" s="2"/>
      <c r="AB1235" s="2"/>
    </row>
    <row r="1236" spans="1:28" customHeight="true">
      <c r="A1236" s="2"/>
      <c r="B1236" s="15">
        <v>45822</v>
      </c>
      <c r="C1236" s="2" t="s">
        <v>1778</v>
      </c>
      <c r="D1236" s="6">
        <v>10</v>
      </c>
      <c r="E1236" s="16" t="str">
        <f>IFERROR(__xludf.DUMMYFUNCTION("IFERROR(
  TEXTJOIN(CHAR(10),TRUE,FILTER('SUMMARY DATA'!E:E,'SUMMARY DATA'!$A:$A=$A337,'SUMMARY DATA'!$C:$C=$B337,'SUMMARY DATA'!$B:$B=""GRP"")),
  IF(
    OR(
      ISNUMBER(SEARCH(""CDM CASH DEPOSIT"",$C337)),
      ISNUMBER(SEARCH(""CASH DEPOSIT"",$C33"&amp;"7)),
      COUNTIFS('SUMMARY DATA'!$D:$D,$C337,'SUMMARY DATA'!$B:$B,""GRP"")&lt;&gt;1
    ),
    """",
    IFERROR(TEXTJOIN(CHAR(10),TRUE,FILTER('SUMMARY DATA'!E:E,'SUMMARY DATA'!$D:$D=$C337,'SUMMARY DATA'!$B:$B=""GRP"")),"""")
  )
)"),"")</f>
      </c>
      <c r="F1236" s="17" t="str">
        <f>IFERROR(__xludf.DUMMYFUNCTION("IFERROR(
  TEXTJOIN(CHAR(10),TRUE,FILTER('SUMMARY DATA'!F:F,'SUMMARY DATA'!$A:$A=$A337,'SUMMARY DATA'!$C:$C=$B337,'SUMMARY DATA'!$B:$B=""GRP"")),
  IF(
    OR(
      ISNUMBER(SEARCH(""CDM CASH DEPOSIT"",$C337)),
      ISNUMBER(SEARCH(""CASH DEPOSIT"",$C33"&amp;"7)),
      COUNTIFS('SUMMARY DATA'!$D:$D,$C337,'SUMMARY DATA'!$B:$B,""GRP"")&lt;&gt;1
    ),
    """",
    IFERROR(TEXTJOIN(CHAR(10),TRUE,FILTER('SUMMARY DATA'!F:F,'SUMMARY DATA'!$D:$D=$C337,'SUMMARY DATA'!$B:$B=""GRP"")),"""")
  )
)"),"")</f>
      </c>
      <c r="G1236" s="17" t="str">
        <f>IFERROR(__xludf.DUMMYFUNCTION("IFERROR(
  TEXTJOIN(CHAR(10),TRUE,FILTER('SUMMARY DATA'!G:G,'SUMMARY DATA'!$A:$A=$A1236,'SUMMARY DATA'!$C:$C=$B1236,'SUMMARY DATA'!$B:$B=""RWS"")),
  IF(
    OR(
      ISNUMBER(SEARCH(""CDM CASH DEPOSIT"",$C1236)),
      ISNUMBER(SEARCH(""CASH DEPOSIT"",$"&amp;"C1236)),
      COUNTIFS('SUMMARY DATA'!$D:$D,$C1236,'SUMMARY DATA'!$B:$B,""RWS"")&lt;&gt;1
    ),
    """",
    IFERROR(TEXTJOIN(CHAR(10),TRUE,FILTER('SUMMARY DATA'!G:G,'SUMMARY DATA'!$D:$D=$C1236,'SUMMARY DATA'!$B:$B=""RWS"")),"""")
  )
)"),"")</f>
      </c>
      <c r="H1236" s="18" t="str">
        <f>IFERROR(__xludf.DUMMYFUNCTION("IFERROR(
  TEXTJOIN(CHAR(10),TRUE,FILTER('SUMMARY DATA'!H:H,'SUMMARY DATA'!$A:$A=$A1236,'SUMMARY DATA'!$C:$C=$B1236,'SUMMARY DATA'!$B:$B=""RWS"",'SUMMARY DATA'!$H:$H=$D1236)),
  IF(
    OR(
      ISNUMBER(SEARCH(""CDM CASH DEPOSIT"",$C1236)),
      ISNUMB"&amp;"ER(SEARCH(""CASH DEPOSIT"",$C1236))
    ),
    """",
    IFERROR(TEXTJOIN(CHAR(10),TRUE,FILTER('SUMMARY DATA'!H:H,'SUMMARY DATA'!$D:$D=$C1236,'SUMMARY DATA'!$B:$B=""RWS"",'SUMMARY DATA'!$H:$H=$D1236)),"""")
  )
)"),"")</f>
      </c>
      <c r="I1236" s="18" t="str">
        <f>IFERROR(__xludf.DUMMYFUNCTION("IF(H1236="""","""",
SUM(ARRAYFORMULA(VALUE(SPLIT(H1236,CHAR(10)))))
)"),"")</f>
      </c>
      <c r="J1236" s="17" t="str">
        <f>IFERROR(__xludf.DUMMYFUNCTION("IFERROR(
  TEXTJOIN(CHAR(10),TRUE,FILTER('SUMMARY DATA'!I:I,'SUMMARY DATA'!$A:$A=$A1236,'SUMMARY DATA'!$C:$C=$B1236,'SUMMARY DATA'!$B:$B=""RWS"")),
  IF(
    OR(
      ISNUMBER(SEARCH(""CDM CASH DEPOSIT"",$C1236)),
      ISNUMBER(SEARCH(""CASH DEPOSIT"",$"&amp;"C1236)),
      COUNTIFS('SUMMARY DATA'!$D:$D,$C1236,'SUMMARY DATA'!$B:$B,""RWS"")&lt;&gt;1
    ),
    """",
    IFERROR(TEXTJOIN(CHAR(10),TRUE,FILTER('SUMMARY DATA'!I:I,'SUMMARY DATA'!$D:$D=$C1236,'SUMMARY DATA'!$B:$B=""RWS"")),"""")
  )
)"),"")</f>
      </c>
      <c r="K1236" s="2"/>
      <c r="L1236" s="2"/>
      <c r="M1236" s="2"/>
      <c r="N1236" s="2"/>
      <c r="O1236" s="2"/>
      <c r="P1236" s="2"/>
      <c r="Q1236" s="2"/>
      <c r="R1236" s="2"/>
      <c r="S1236" s="2"/>
      <c r="T1236" s="2"/>
      <c r="U1236" s="2"/>
      <c r="V1236" s="2"/>
      <c r="W1236" s="2"/>
      <c r="X1236" s="2"/>
      <c r="Y1236" s="2"/>
      <c r="Z1236" s="2"/>
      <c r="AA1236" s="2"/>
      <c r="AB1236" s="2"/>
    </row>
    <row r="1237" spans="1:28" customHeight="true">
      <c r="A1237" s="2"/>
      <c r="B1237" s="15">
        <v>45823</v>
      </c>
      <c r="C1237" s="2" t="s">
        <v>1779</v>
      </c>
      <c r="D1237" s="6">
        <v>400.06</v>
      </c>
      <c r="E1237" s="16" t="str">
        <f>IFERROR(__xludf.DUMMYFUNCTION("IFERROR(
  TEXTJOIN(CHAR(10),TRUE,FILTER('SUMMARY DATA'!E:E,'SUMMARY DATA'!$A:$A=$A338,'SUMMARY DATA'!$C:$C=$B338,'SUMMARY DATA'!$B:$B=""GRP"")),
  IF(
    OR(
      ISNUMBER(SEARCH(""CDM CASH DEPOSIT"",$C338)),
      ISNUMBER(SEARCH(""CASH DEPOSIT"",$C33"&amp;"8)),
      COUNTIFS('SUMMARY DATA'!$D:$D,$C338,'SUMMARY DATA'!$B:$B,""GRP"")&lt;&gt;1
    ),
    """",
    IFERROR(TEXTJOIN(CHAR(10),TRUE,FILTER('SUMMARY DATA'!E:E,'SUMMARY DATA'!$D:$D=$C338,'SUMMARY DATA'!$B:$B=""GRP"")),"""")
  )
)"),"")</f>
      </c>
      <c r="F1237" s="17" t="str">
        <f>IFERROR(__xludf.DUMMYFUNCTION("IFERROR(
  TEXTJOIN(CHAR(10),TRUE,FILTER('SUMMARY DATA'!F:F,'SUMMARY DATA'!$A:$A=$A338,'SUMMARY DATA'!$C:$C=$B338,'SUMMARY DATA'!$B:$B=""GRP"")),
  IF(
    OR(
      ISNUMBER(SEARCH(""CDM CASH DEPOSIT"",$C338)),
      ISNUMBER(SEARCH(""CASH DEPOSIT"",$C33"&amp;"8)),
      COUNTIFS('SUMMARY DATA'!$D:$D,$C338,'SUMMARY DATA'!$B:$B,""GRP"")&lt;&gt;1
    ),
    """",
    IFERROR(TEXTJOIN(CHAR(10),TRUE,FILTER('SUMMARY DATA'!F:F,'SUMMARY DATA'!$D:$D=$C338,'SUMMARY DATA'!$B:$B=""GRP"")),"""")
  )
)"),"")</f>
      </c>
      <c r="G1237" s="17" t="str">
        <f>IFERROR(__xludf.DUMMYFUNCTION("IFERROR(
  TEXTJOIN(CHAR(10),TRUE,FILTER('SUMMARY DATA'!G:G,'SUMMARY DATA'!$A:$A=$A1237,'SUMMARY DATA'!$C:$C=$B1237,'SUMMARY DATA'!$B:$B=""RWS"")),
  IF(
    OR(
      ISNUMBER(SEARCH(""CDM CASH DEPOSIT"",$C1237)),
      ISNUMBER(SEARCH(""CASH DEPOSIT"",$"&amp;"C1237)),
      COUNTIFS('SUMMARY DATA'!$D:$D,$C1237,'SUMMARY DATA'!$B:$B,""RWS"")&lt;&gt;1
    ),
    """",
    IFERROR(TEXTJOIN(CHAR(10),TRUE,FILTER('SUMMARY DATA'!G:G,'SUMMARY DATA'!$D:$D=$C1237,'SUMMARY DATA'!$B:$B=""RWS"")),"""")
  )
)"),"")</f>
      </c>
      <c r="H1237" s="18" t="str">
        <f>IFERROR(__xludf.DUMMYFUNCTION("IFERROR(
  TEXTJOIN(CHAR(10),TRUE,FILTER('SUMMARY DATA'!H:H,'SUMMARY DATA'!$A:$A=$A1237,'SUMMARY DATA'!$C:$C=$B1237,'SUMMARY DATA'!$B:$B=""RWS"",'SUMMARY DATA'!$H:$H=$D1237)),
  IF(
    OR(
      ISNUMBER(SEARCH(""CDM CASH DEPOSIT"",$C1237)),
      ISNUMB"&amp;"ER(SEARCH(""CASH DEPOSIT"",$C1237))
    ),
    """",
    IFERROR(TEXTJOIN(CHAR(10),TRUE,FILTER('SUMMARY DATA'!H:H,'SUMMARY DATA'!$D:$D=$C1237,'SUMMARY DATA'!$B:$B=""RWS"",'SUMMARY DATA'!$H:$H=$D1237)),"""")
  )
)"),"")</f>
      </c>
      <c r="I1237" s="18" t="str">
        <f>IFERROR(__xludf.DUMMYFUNCTION("IF(H1237="""","""",
SUM(ARRAYFORMULA(VALUE(SPLIT(H1237,CHAR(10)))))
)"),"")</f>
      </c>
      <c r="J1237" s="17" t="str">
        <f>IFERROR(__xludf.DUMMYFUNCTION("IFERROR(
  TEXTJOIN(CHAR(10),TRUE,FILTER('SUMMARY DATA'!I:I,'SUMMARY DATA'!$A:$A=$A1237,'SUMMARY DATA'!$C:$C=$B1237,'SUMMARY DATA'!$B:$B=""RWS"")),
  IF(
    OR(
      ISNUMBER(SEARCH(""CDM CASH DEPOSIT"",$C1237)),
      ISNUMBER(SEARCH(""CASH DEPOSIT"",$"&amp;"C1237)),
      COUNTIFS('SUMMARY DATA'!$D:$D,$C1237,'SUMMARY DATA'!$B:$B,""RWS"")&lt;&gt;1
    ),
    """",
    IFERROR(TEXTJOIN(CHAR(10),TRUE,FILTER('SUMMARY DATA'!I:I,'SUMMARY DATA'!$D:$D=$C1237,'SUMMARY DATA'!$B:$B=""RWS"")),"""")
  )
)"),"")</f>
      </c>
      <c r="K1237" s="2"/>
      <c r="L1237" s="2"/>
      <c r="M1237" s="2"/>
      <c r="N1237" s="2"/>
      <c r="O1237" s="2"/>
      <c r="P1237" s="2"/>
      <c r="Q1237" s="2"/>
      <c r="R1237" s="2"/>
      <c r="S1237" s="2"/>
      <c r="T1237" s="2"/>
      <c r="U1237" s="2"/>
      <c r="V1237" s="2"/>
      <c r="W1237" s="2"/>
      <c r="X1237" s="2"/>
      <c r="Y1237" s="2"/>
      <c r="Z1237" s="2"/>
      <c r="AA1237" s="2"/>
      <c r="AB1237" s="2"/>
    </row>
    <row r="1238" spans="1:28" customHeight="true">
      <c r="A1238" s="2" t="s">
        <v>1780</v>
      </c>
      <c r="B1238" s="15">
        <v>45823</v>
      </c>
      <c r="C1238" s="2" t="s">
        <v>74</v>
      </c>
      <c r="D1238" s="6">
        <v>15</v>
      </c>
      <c r="E1238" s="16" t="str">
        <f>IFERROR(__xludf.DUMMYFUNCTION("IFERROR(
  TEXTJOIN(CHAR(10),TRUE,FILTER('SUMMARY DATA'!E:E,'SUMMARY DATA'!$A:$A=$A339,'SUMMARY DATA'!$C:$C=$B339,'SUMMARY DATA'!$B:$B=""GRP"")),
  IF(
    OR(
      ISNUMBER(SEARCH(""CDM CASH DEPOSIT"",$C339)),
      ISNUMBER(SEARCH(""CASH DEPOSIT"",$C33"&amp;"9)),
      COUNTIFS('SUMMARY DATA'!$D:$D,$C339,'SUMMARY DATA'!$B:$B,""GRP"")&lt;&gt;1
    ),
    """",
    IFERROR(TEXTJOIN(CHAR(10),TRUE,FILTER('SUMMARY DATA'!E:E,'SUMMARY DATA'!$D:$D=$C339,'SUMMARY DATA'!$B:$B=""GRP"")),"""")
  )
)"),"")</f>
      </c>
      <c r="F1238" s="17" t="str">
        <f>IFERROR(__xludf.DUMMYFUNCTION("IFERROR(
  TEXTJOIN(CHAR(10),TRUE,FILTER('SUMMARY DATA'!F:F,'SUMMARY DATA'!$A:$A=$A339,'SUMMARY DATA'!$C:$C=$B339,'SUMMARY DATA'!$B:$B=""GRP"")),
  IF(
    OR(
      ISNUMBER(SEARCH(""CDM CASH DEPOSIT"",$C339)),
      ISNUMBER(SEARCH(""CASH DEPOSIT"",$C33"&amp;"9)),
      COUNTIFS('SUMMARY DATA'!$D:$D,$C339,'SUMMARY DATA'!$B:$B,""GRP"")&lt;&gt;1
    ),
    """",
    IFERROR(TEXTJOIN(CHAR(10),TRUE,FILTER('SUMMARY DATA'!F:F,'SUMMARY DATA'!$D:$D=$C339,'SUMMARY DATA'!$B:$B=""GRP"")),"""")
  )
)"),"")</f>
      </c>
      <c r="G1238" s="17" t="str">
        <f>IFERROR(__xludf.DUMMYFUNCTION("IFERROR(
  TEXTJOIN(CHAR(10),TRUE,FILTER('SUMMARY DATA'!G:G,'SUMMARY DATA'!$A:$A=$A1238,'SUMMARY DATA'!$C:$C=$B1238,'SUMMARY DATA'!$B:$B=""RWS"")),
  IF(
    OR(
      ISNUMBER(SEARCH(""CDM CASH DEPOSIT"",$C1238)),
      ISNUMBER(SEARCH(""CASH DEPOSIT"",$"&amp;"C1238)),
      COUNTIFS('SUMMARY DATA'!$D:$D,$C1238,'SUMMARY DATA'!$B:$B,""RWS"")&lt;&gt;1
    ),
    """",
    IFERROR(TEXTJOIN(CHAR(10),TRUE,FILTER('SUMMARY DATA'!G:G,'SUMMARY DATA'!$D:$D=$C1238,'SUMMARY DATA'!$B:$B=""RWS"")),"""")
  )
)"),"")</f>
      </c>
      <c r="H1238" s="18" t="str">
        <f>IFERROR(__xludf.DUMMYFUNCTION("IFERROR(
  TEXTJOIN(CHAR(10),TRUE,FILTER('SUMMARY DATA'!H:H,'SUMMARY DATA'!$A:$A=$A1238,'SUMMARY DATA'!$C:$C=$B1238,'SUMMARY DATA'!$B:$B=""RWS"",'SUMMARY DATA'!$H:$H=$D1238)),
  IF(
    OR(
      ISNUMBER(SEARCH(""CDM CASH DEPOSIT"",$C1238)),
      ISNUMB"&amp;"ER(SEARCH(""CASH DEPOSIT"",$C1238))
    ),
    """",
    IFERROR(TEXTJOIN(CHAR(10),TRUE,FILTER('SUMMARY DATA'!H:H,'SUMMARY DATA'!$D:$D=$C1238,'SUMMARY DATA'!$B:$B=""RWS"",'SUMMARY DATA'!$H:$H=$D1238)),"""")
  )
)"),"")</f>
      </c>
      <c r="I1238" s="18" t="str">
        <f>IFERROR(__xludf.DUMMYFUNCTION("IF(H1238="""","""",
SUM(ARRAYFORMULA(VALUE(SPLIT(H1238,CHAR(10)))))
)"),"")</f>
      </c>
      <c r="J1238" s="17" t="str">
        <f>IFERROR(__xludf.DUMMYFUNCTION("IFERROR(
  TEXTJOIN(CHAR(10),TRUE,FILTER('SUMMARY DATA'!I:I,'SUMMARY DATA'!$A:$A=$A1238,'SUMMARY DATA'!$C:$C=$B1238,'SUMMARY DATA'!$B:$B=""RWS"")),
  IF(
    OR(
      ISNUMBER(SEARCH(""CDM CASH DEPOSIT"",$C1238)),
      ISNUMBER(SEARCH(""CASH DEPOSIT"",$"&amp;"C1238)),
      COUNTIFS('SUMMARY DATA'!$D:$D,$C1238,'SUMMARY DATA'!$B:$B,""RWS"")&lt;&gt;1
    ),
    """",
    IFERROR(TEXTJOIN(CHAR(10),TRUE,FILTER('SUMMARY DATA'!I:I,'SUMMARY DATA'!$D:$D=$C1238,'SUMMARY DATA'!$B:$B=""RWS"")),"""")
  )
)"),"")</f>
      </c>
      <c r="K1238" s="2"/>
      <c r="L1238" s="2"/>
      <c r="M1238" s="2"/>
      <c r="N1238" s="2"/>
      <c r="O1238" s="2"/>
      <c r="P1238" s="2"/>
      <c r="Q1238" s="2"/>
      <c r="R1238" s="2"/>
      <c r="S1238" s="2"/>
      <c r="T1238" s="2"/>
      <c r="U1238" s="2"/>
      <c r="V1238" s="2"/>
      <c r="W1238" s="2"/>
      <c r="X1238" s="2"/>
      <c r="Y1238" s="2"/>
      <c r="Z1238" s="2"/>
      <c r="AA1238" s="2"/>
      <c r="AB1238" s="2"/>
    </row>
    <row r="1239" spans="1:28" customHeight="true">
      <c r="A1239" s="2"/>
      <c r="B1239" s="15">
        <v>45823</v>
      </c>
      <c r="C1239" s="2" t="s">
        <v>1652</v>
      </c>
      <c r="D1239" s="6">
        <v>10</v>
      </c>
      <c r="E1239" s="16" t="str">
        <f>IFERROR(__xludf.DUMMYFUNCTION("IFERROR(
  TEXTJOIN(CHAR(10),TRUE,FILTER('SUMMARY DATA'!E:E,'SUMMARY DATA'!$A:$A=$A340,'SUMMARY DATA'!$C:$C=$B340,'SUMMARY DATA'!$B:$B=""GRP"")),
  IF(
    OR(
      ISNUMBER(SEARCH(""CDM CASH DEPOSIT"",$C340)),
      ISNUMBER(SEARCH(""CASH DEPOSIT"",$C34"&amp;"0)),
      COUNTIFS('SUMMARY DATA'!$D:$D,$C340,'SUMMARY DATA'!$B:$B,""GRP"")&lt;&gt;1
    ),
    """",
    IFERROR(TEXTJOIN(CHAR(10),TRUE,FILTER('SUMMARY DATA'!E:E,'SUMMARY DATA'!$D:$D=$C340,'SUMMARY DATA'!$B:$B=""GRP"")),"""")
  )
)"),"")</f>
      </c>
      <c r="F1239" s="17" t="str">
        <f>IFERROR(__xludf.DUMMYFUNCTION("IFERROR(
  TEXTJOIN(CHAR(10),TRUE,FILTER('SUMMARY DATA'!F:F,'SUMMARY DATA'!$A:$A=$A340,'SUMMARY DATA'!$C:$C=$B340,'SUMMARY DATA'!$B:$B=""GRP"")),
  IF(
    OR(
      ISNUMBER(SEARCH(""CDM CASH DEPOSIT"",$C340)),
      ISNUMBER(SEARCH(""CASH DEPOSIT"",$C34"&amp;"0)),
      COUNTIFS('SUMMARY DATA'!$D:$D,$C340,'SUMMARY DATA'!$B:$B,""GRP"")&lt;&gt;1
    ),
    """",
    IFERROR(TEXTJOIN(CHAR(10),TRUE,FILTER('SUMMARY DATA'!F:F,'SUMMARY DATA'!$D:$D=$C340,'SUMMARY DATA'!$B:$B=""GRP"")),"""")
  )
)"),"")</f>
      </c>
      <c r="G1239" s="17" t="str">
        <f>IFERROR(__xludf.DUMMYFUNCTION("IFERROR(
  TEXTJOIN(CHAR(10),TRUE,FILTER('SUMMARY DATA'!G:G,'SUMMARY DATA'!$A:$A=$A1239,'SUMMARY DATA'!$C:$C=$B1239,'SUMMARY DATA'!$B:$B=""RWS"")),
  IF(
    OR(
      ISNUMBER(SEARCH(""CDM CASH DEPOSIT"",$C1239)),
      ISNUMBER(SEARCH(""CASH DEPOSIT"",$"&amp;"C1239)),
      COUNTIFS('SUMMARY DATA'!$D:$D,$C1239,'SUMMARY DATA'!$B:$B,""RWS"")&lt;&gt;1
    ),
    """",
    IFERROR(TEXTJOIN(CHAR(10),TRUE,FILTER('SUMMARY DATA'!G:G,'SUMMARY DATA'!$D:$D=$C1239,'SUMMARY DATA'!$B:$B=""RWS"")),"""")
  )
)"),"")</f>
      </c>
      <c r="H1239" s="18" t="str">
        <f>IFERROR(__xludf.DUMMYFUNCTION("IFERROR(
  TEXTJOIN(CHAR(10),TRUE,FILTER('SUMMARY DATA'!H:H,'SUMMARY DATA'!$A:$A=$A1239,'SUMMARY DATA'!$C:$C=$B1239,'SUMMARY DATA'!$B:$B=""RWS"",'SUMMARY DATA'!$H:$H=$D1239)),
  IF(
    OR(
      ISNUMBER(SEARCH(""CDM CASH DEPOSIT"",$C1239)),
      ISNUMB"&amp;"ER(SEARCH(""CASH DEPOSIT"",$C1239))
    ),
    """",
    IFERROR(TEXTJOIN(CHAR(10),TRUE,FILTER('SUMMARY DATA'!H:H,'SUMMARY DATA'!$D:$D=$C1239,'SUMMARY DATA'!$B:$B=""RWS"",'SUMMARY DATA'!$H:$H=$D1239)),"""")
  )
)"),"")</f>
      </c>
      <c r="I1239" s="18" t="str">
        <f>IFERROR(__xludf.DUMMYFUNCTION("IF(H1239="""","""",
SUM(ARRAYFORMULA(VALUE(SPLIT(H1239,CHAR(10)))))
)"),"")</f>
      </c>
      <c r="J1239" s="17" t="str">
        <f>IFERROR(__xludf.DUMMYFUNCTION("IFERROR(
  TEXTJOIN(CHAR(10),TRUE,FILTER('SUMMARY DATA'!I:I,'SUMMARY DATA'!$A:$A=$A1239,'SUMMARY DATA'!$C:$C=$B1239,'SUMMARY DATA'!$B:$B=""RWS"")),
  IF(
    OR(
      ISNUMBER(SEARCH(""CDM CASH DEPOSIT"",$C1239)),
      ISNUMBER(SEARCH(""CASH DEPOSIT"",$"&amp;"C1239)),
      COUNTIFS('SUMMARY DATA'!$D:$D,$C1239,'SUMMARY DATA'!$B:$B,""RWS"")&lt;&gt;1
    ),
    """",
    IFERROR(TEXTJOIN(CHAR(10),TRUE,FILTER('SUMMARY DATA'!I:I,'SUMMARY DATA'!$D:$D=$C1239,'SUMMARY DATA'!$B:$B=""RWS"")),"""")
  )
)"),"")</f>
      </c>
      <c r="K1239" s="2"/>
      <c r="L1239" s="2"/>
      <c r="M1239" s="2"/>
      <c r="N1239" s="2"/>
      <c r="O1239" s="2"/>
      <c r="P1239" s="2"/>
      <c r="Q1239" s="2"/>
      <c r="R1239" s="2"/>
      <c r="S1239" s="2"/>
      <c r="T1239" s="2"/>
      <c r="U1239" s="2"/>
      <c r="V1239" s="2"/>
      <c r="W1239" s="2"/>
      <c r="X1239" s="2"/>
      <c r="Y1239" s="2"/>
      <c r="Z1239" s="2"/>
      <c r="AA1239" s="2"/>
      <c r="AB1239" s="2"/>
    </row>
    <row r="1240" spans="1:28" customHeight="true">
      <c r="A1240" s="2"/>
      <c r="B1240" s="15">
        <v>45823</v>
      </c>
      <c r="C1240" s="2" t="s">
        <v>1781</v>
      </c>
      <c r="D1240" s="6">
        <v>10</v>
      </c>
      <c r="E1240" s="16" t="str">
        <f>IFERROR(__xludf.DUMMYFUNCTION("IFERROR(
  TEXTJOIN(CHAR(10),TRUE,FILTER('SUMMARY DATA'!E:E,'SUMMARY DATA'!$A:$A=$A341,'SUMMARY DATA'!$C:$C=$B341,'SUMMARY DATA'!$B:$B=""GRP"")),
  IF(
    OR(
      ISNUMBER(SEARCH(""CDM CASH DEPOSIT"",$C341)),
      ISNUMBER(SEARCH(""CASH DEPOSIT"",$C34"&amp;"1)),
      COUNTIFS('SUMMARY DATA'!$D:$D,$C341,'SUMMARY DATA'!$B:$B,""GRP"")&lt;&gt;1
    ),
    """",
    IFERROR(TEXTJOIN(CHAR(10),TRUE,FILTER('SUMMARY DATA'!E:E,'SUMMARY DATA'!$D:$D=$C341,'SUMMARY DATA'!$B:$B=""GRP"")),"""")
  )
)"),"")</f>
      </c>
      <c r="F1240" s="17" t="str">
        <f>IFERROR(__xludf.DUMMYFUNCTION("IFERROR(
  TEXTJOIN(CHAR(10),TRUE,FILTER('SUMMARY DATA'!F:F,'SUMMARY DATA'!$A:$A=$A341,'SUMMARY DATA'!$C:$C=$B341,'SUMMARY DATA'!$B:$B=""GRP"")),
  IF(
    OR(
      ISNUMBER(SEARCH(""CDM CASH DEPOSIT"",$C341)),
      ISNUMBER(SEARCH(""CASH DEPOSIT"",$C34"&amp;"1)),
      COUNTIFS('SUMMARY DATA'!$D:$D,$C341,'SUMMARY DATA'!$B:$B,""GRP"")&lt;&gt;1
    ),
    """",
    IFERROR(TEXTJOIN(CHAR(10),TRUE,FILTER('SUMMARY DATA'!F:F,'SUMMARY DATA'!$D:$D=$C341,'SUMMARY DATA'!$B:$B=""GRP"")),"""")
  )
)"),"")</f>
      </c>
      <c r="G1240" s="17" t="str">
        <f>IFERROR(__xludf.DUMMYFUNCTION("IFERROR(
  TEXTJOIN(CHAR(10),TRUE,FILTER('SUMMARY DATA'!G:G,'SUMMARY DATA'!$A:$A=$A1240,'SUMMARY DATA'!$C:$C=$B1240,'SUMMARY DATA'!$B:$B=""RWS"")),
  IF(
    OR(
      ISNUMBER(SEARCH(""CDM CASH DEPOSIT"",$C1240)),
      ISNUMBER(SEARCH(""CASH DEPOSIT"",$"&amp;"C1240)),
      COUNTIFS('SUMMARY DATA'!$D:$D,$C1240,'SUMMARY DATA'!$B:$B,""RWS"")&lt;&gt;1
    ),
    """",
    IFERROR(TEXTJOIN(CHAR(10),TRUE,FILTER('SUMMARY DATA'!G:G,'SUMMARY DATA'!$D:$D=$C1240,'SUMMARY DATA'!$B:$B=""RWS"")),"""")
  )
)"),"")</f>
      </c>
      <c r="H1240" s="18" t="str">
        <f>IFERROR(__xludf.DUMMYFUNCTION("IFERROR(
  TEXTJOIN(CHAR(10),TRUE,FILTER('SUMMARY DATA'!H:H,'SUMMARY DATA'!$A:$A=$A1240,'SUMMARY DATA'!$C:$C=$B1240,'SUMMARY DATA'!$B:$B=""RWS"",'SUMMARY DATA'!$H:$H=$D1240)),
  IF(
    OR(
      ISNUMBER(SEARCH(""CDM CASH DEPOSIT"",$C1240)),
      ISNUMB"&amp;"ER(SEARCH(""CASH DEPOSIT"",$C1240))
    ),
    """",
    IFERROR(TEXTJOIN(CHAR(10),TRUE,FILTER('SUMMARY DATA'!H:H,'SUMMARY DATA'!$D:$D=$C1240,'SUMMARY DATA'!$B:$B=""RWS"",'SUMMARY DATA'!$H:$H=$D1240)),"""")
  )
)"),"")</f>
      </c>
      <c r="I1240" s="18" t="str">
        <f>IFERROR(__xludf.DUMMYFUNCTION("IF(H1240="""","""",
SUM(ARRAYFORMULA(VALUE(SPLIT(H1240,CHAR(10)))))
)"),"")</f>
      </c>
      <c r="J1240" s="17" t="str">
        <f>IFERROR(__xludf.DUMMYFUNCTION("IFERROR(
  TEXTJOIN(CHAR(10),TRUE,FILTER('SUMMARY DATA'!I:I,'SUMMARY DATA'!$A:$A=$A1240,'SUMMARY DATA'!$C:$C=$B1240,'SUMMARY DATA'!$B:$B=""RWS"")),
  IF(
    OR(
      ISNUMBER(SEARCH(""CDM CASH DEPOSIT"",$C1240)),
      ISNUMBER(SEARCH(""CASH DEPOSIT"",$"&amp;"C1240)),
      COUNTIFS('SUMMARY DATA'!$D:$D,$C1240,'SUMMARY DATA'!$B:$B,""RWS"")&lt;&gt;1
    ),
    """",
    IFERROR(TEXTJOIN(CHAR(10),TRUE,FILTER('SUMMARY DATA'!I:I,'SUMMARY DATA'!$D:$D=$C1240,'SUMMARY DATA'!$B:$B=""RWS"")),"""")
  )
)"),"")</f>
      </c>
      <c r="K1240" s="2"/>
      <c r="L1240" s="2"/>
      <c r="M1240" s="2"/>
      <c r="N1240" s="2"/>
      <c r="O1240" s="2"/>
      <c r="P1240" s="2"/>
      <c r="Q1240" s="2"/>
      <c r="R1240" s="2"/>
      <c r="S1240" s="2"/>
      <c r="T1240" s="2"/>
      <c r="U1240" s="2"/>
      <c r="V1240" s="2"/>
      <c r="W1240" s="2"/>
      <c r="X1240" s="2"/>
      <c r="Y1240" s="2"/>
      <c r="Z1240" s="2"/>
      <c r="AA1240" s="2"/>
      <c r="AB1240" s="2"/>
    </row>
    <row r="1241" spans="1:28" customHeight="true">
      <c r="A1241" s="2"/>
      <c r="B1241" s="15">
        <v>45823</v>
      </c>
      <c r="C1241" s="2" t="s">
        <v>997</v>
      </c>
      <c r="D1241" s="6">
        <v>2</v>
      </c>
      <c r="E1241" s="16" t="str">
        <f>IFERROR(__xludf.DUMMYFUNCTION("IFERROR(
  TEXTJOIN(CHAR(10),TRUE,FILTER('SUMMARY DATA'!E:E,'SUMMARY DATA'!$A:$A=$A342,'SUMMARY DATA'!$C:$C=$B342,'SUMMARY DATA'!$B:$B=""GRP"")),
  IF(
    OR(
      ISNUMBER(SEARCH(""CDM CASH DEPOSIT"",$C342)),
      ISNUMBER(SEARCH(""CASH DEPOSIT"",$C34"&amp;"2)),
      COUNTIFS('SUMMARY DATA'!$D:$D,$C342,'SUMMARY DATA'!$B:$B,""GRP"")&lt;&gt;1
    ),
    """",
    IFERROR(TEXTJOIN(CHAR(10),TRUE,FILTER('SUMMARY DATA'!E:E,'SUMMARY DATA'!$D:$D=$C342,'SUMMARY DATA'!$B:$B=""GRP"")),"""")
  )
)"),"")</f>
      </c>
      <c r="F1241" s="17" t="str">
        <f>IFERROR(__xludf.DUMMYFUNCTION("IFERROR(
  TEXTJOIN(CHAR(10),TRUE,FILTER('SUMMARY DATA'!F:F,'SUMMARY DATA'!$A:$A=$A342,'SUMMARY DATA'!$C:$C=$B342,'SUMMARY DATA'!$B:$B=""GRP"")),
  IF(
    OR(
      ISNUMBER(SEARCH(""CDM CASH DEPOSIT"",$C342)),
      ISNUMBER(SEARCH(""CASH DEPOSIT"",$C34"&amp;"2)),
      COUNTIFS('SUMMARY DATA'!$D:$D,$C342,'SUMMARY DATA'!$B:$B,""GRP"")&lt;&gt;1
    ),
    """",
    IFERROR(TEXTJOIN(CHAR(10),TRUE,FILTER('SUMMARY DATA'!F:F,'SUMMARY DATA'!$D:$D=$C342,'SUMMARY DATA'!$B:$B=""GRP"")),"""")
  )
)"),"")</f>
      </c>
      <c r="G1241" s="17" t="str">
        <f>IFERROR(__xludf.DUMMYFUNCTION("IFERROR(
  TEXTJOIN(CHAR(10),TRUE,FILTER('SUMMARY DATA'!G:G,'SUMMARY DATA'!$A:$A=$A1241,'SUMMARY DATA'!$C:$C=$B1241,'SUMMARY DATA'!$B:$B=""RWS"")),
  IF(
    OR(
      ISNUMBER(SEARCH(""CDM CASH DEPOSIT"",$C1241)),
      ISNUMBER(SEARCH(""CASH DEPOSIT"",$"&amp;"C1241)),
      COUNTIFS('SUMMARY DATA'!$D:$D,$C1241,'SUMMARY DATA'!$B:$B,""RWS"")&lt;&gt;1
    ),
    """",
    IFERROR(TEXTJOIN(CHAR(10),TRUE,FILTER('SUMMARY DATA'!G:G,'SUMMARY DATA'!$D:$D=$C1241,'SUMMARY DATA'!$B:$B=""RWS"")),"""")
  )
)"),"")</f>
      </c>
      <c r="H1241" s="18" t="str">
        <f>IFERROR(__xludf.DUMMYFUNCTION("IFERROR(
  TEXTJOIN(CHAR(10),TRUE,FILTER('SUMMARY DATA'!H:H,'SUMMARY DATA'!$A:$A=$A1241,'SUMMARY DATA'!$C:$C=$B1241,'SUMMARY DATA'!$B:$B=""RWS"",'SUMMARY DATA'!$H:$H=$D1241)),
  IF(
    OR(
      ISNUMBER(SEARCH(""CDM CASH DEPOSIT"",$C1241)),
      ISNUMB"&amp;"ER(SEARCH(""CASH DEPOSIT"",$C1241))
    ),
    """",
    IFERROR(TEXTJOIN(CHAR(10),TRUE,FILTER('SUMMARY DATA'!H:H,'SUMMARY DATA'!$D:$D=$C1241,'SUMMARY DATA'!$B:$B=""RWS"",'SUMMARY DATA'!$H:$H=$D1241)),"""")
  )
)"),"")</f>
      </c>
      <c r="I1241" s="18" t="str">
        <f>IFERROR(__xludf.DUMMYFUNCTION("IF(H1241="""","""",
SUM(ARRAYFORMULA(VALUE(SPLIT(H1241,CHAR(10)))))
)"),"")</f>
      </c>
      <c r="J1241" s="17" t="str">
        <f>IFERROR(__xludf.DUMMYFUNCTION("IFERROR(
  TEXTJOIN(CHAR(10),TRUE,FILTER('SUMMARY DATA'!I:I,'SUMMARY DATA'!$A:$A=$A1241,'SUMMARY DATA'!$C:$C=$B1241,'SUMMARY DATA'!$B:$B=""RWS"")),
  IF(
    OR(
      ISNUMBER(SEARCH(""CDM CASH DEPOSIT"",$C1241)),
      ISNUMBER(SEARCH(""CASH DEPOSIT"",$"&amp;"C1241)),
      COUNTIFS('SUMMARY DATA'!$D:$D,$C1241,'SUMMARY DATA'!$B:$B,""RWS"")&lt;&gt;1
    ),
    """",
    IFERROR(TEXTJOIN(CHAR(10),TRUE,FILTER('SUMMARY DATA'!I:I,'SUMMARY DATA'!$D:$D=$C1241,'SUMMARY DATA'!$B:$B=""RWS"")),"""")
  )
)"),"")</f>
      </c>
      <c r="K1241" s="2"/>
      <c r="L1241" s="2"/>
      <c r="M1241" s="2"/>
      <c r="N1241" s="2"/>
      <c r="O1241" s="2"/>
      <c r="P1241" s="2"/>
      <c r="Q1241" s="2"/>
      <c r="R1241" s="2"/>
      <c r="S1241" s="2"/>
      <c r="T1241" s="2"/>
      <c r="U1241" s="2"/>
      <c r="V1241" s="2"/>
      <c r="W1241" s="2"/>
      <c r="X1241" s="2"/>
      <c r="Y1241" s="2"/>
      <c r="Z1241" s="2"/>
      <c r="AA1241" s="2"/>
      <c r="AB1241" s="2"/>
    </row>
    <row r="1242" spans="1:28" customHeight="true">
      <c r="A1242" s="2" t="s">
        <v>1782</v>
      </c>
      <c r="B1242" s="15">
        <v>45824</v>
      </c>
      <c r="C1242" s="2" t="s">
        <v>1783</v>
      </c>
      <c r="D1242" s="6">
        <v>481</v>
      </c>
      <c r="E1242" s="16" t="str">
        <f>IFERROR(__xludf.DUMMYFUNCTION("IFERROR(
  TEXTJOIN(CHAR(10),TRUE,FILTER('SUMMARY DATA'!E:E,'SUMMARY DATA'!$A:$A=$A343,'SUMMARY DATA'!$C:$C=$B343,'SUMMARY DATA'!$B:$B=""GRP"")),
  IF(
    OR(
      ISNUMBER(SEARCH(""CDM CASH DEPOSIT"",$C343)),
      ISNUMBER(SEARCH(""CASH DEPOSIT"",$C34"&amp;"3)),
      COUNTIFS('SUMMARY DATA'!$D:$D,$C343,'SUMMARY DATA'!$B:$B,""GRP"")&lt;&gt;1
    ),
    """",
    IFERROR(TEXTJOIN(CHAR(10),TRUE,FILTER('SUMMARY DATA'!E:E,'SUMMARY DATA'!$D:$D=$C343,'SUMMARY DATA'!$B:$B=""GRP"")),"""")
  )
)"),"")</f>
      </c>
      <c r="F1242" s="17" t="str">
        <f>IFERROR(__xludf.DUMMYFUNCTION("IFERROR(
  TEXTJOIN(CHAR(10),TRUE,FILTER('SUMMARY DATA'!F:F,'SUMMARY DATA'!$A:$A=$A343,'SUMMARY DATA'!$C:$C=$B343,'SUMMARY DATA'!$B:$B=""GRP"")),
  IF(
    OR(
      ISNUMBER(SEARCH(""CDM CASH DEPOSIT"",$C343)),
      ISNUMBER(SEARCH(""CASH DEPOSIT"",$C34"&amp;"3)),
      COUNTIFS('SUMMARY DATA'!$D:$D,$C343,'SUMMARY DATA'!$B:$B,""GRP"")&lt;&gt;1
    ),
    """",
    IFERROR(TEXTJOIN(CHAR(10),TRUE,FILTER('SUMMARY DATA'!F:F,'SUMMARY DATA'!$D:$D=$C343,'SUMMARY DATA'!$B:$B=""GRP"")),"""")
  )
)"),"")</f>
      </c>
      <c r="G1242" s="17" t="str">
        <f>IFERROR(__xludf.DUMMYFUNCTION("IFERROR(
  TEXTJOIN(CHAR(10),TRUE,FILTER('SUMMARY DATA'!G:G,'SUMMARY DATA'!$A:$A=$A1242,'SUMMARY DATA'!$C:$C=$B1242,'SUMMARY DATA'!$B:$B=""RWS"")),
  IF(
    OR(
      ISNUMBER(SEARCH(""CDM CASH DEPOSIT"",$C1242)),
      ISNUMBER(SEARCH(""CASH DEPOSIT"",$"&amp;"C1242)),
      COUNTIFS('SUMMARY DATA'!$D:$D,$C1242,'SUMMARY DATA'!$B:$B,""RWS"")&lt;&gt;1
    ),
    """",
    IFERROR(TEXTJOIN(CHAR(10),TRUE,FILTER('SUMMARY DATA'!G:G,'SUMMARY DATA'!$D:$D=$C1242,'SUMMARY DATA'!$B:$B=""RWS"")),"""")
  )
)"),"")</f>
      </c>
      <c r="H1242" s="18" t="str">
        <f>IFERROR(__xludf.DUMMYFUNCTION("IFERROR(
  TEXTJOIN(CHAR(10),TRUE,FILTER('SUMMARY DATA'!H:H,'SUMMARY DATA'!$A:$A=$A1242,'SUMMARY DATA'!$C:$C=$B1242,'SUMMARY DATA'!$B:$B=""RWS"",'SUMMARY DATA'!$H:$H=$D1242)),
  IF(
    OR(
      ISNUMBER(SEARCH(""CDM CASH DEPOSIT"",$C1242)),
      ISNUMB"&amp;"ER(SEARCH(""CASH DEPOSIT"",$C1242))
    ),
    """",
    IFERROR(TEXTJOIN(CHAR(10),TRUE,FILTER('SUMMARY DATA'!H:H,'SUMMARY DATA'!$D:$D=$C1242,'SUMMARY DATA'!$B:$B=""RWS"",'SUMMARY DATA'!$H:$H=$D1242)),"""")
  )
)"),"")</f>
      </c>
      <c r="I1242" s="18" t="str">
        <f>IFERROR(__xludf.DUMMYFUNCTION("IF(H1242="""","""",
SUM(ARRAYFORMULA(VALUE(SPLIT(H1242,CHAR(10)))))
)"),"")</f>
      </c>
      <c r="J1242" s="17" t="str">
        <f>IFERROR(__xludf.DUMMYFUNCTION("IFERROR(
  TEXTJOIN(CHAR(10),TRUE,FILTER('SUMMARY DATA'!I:I,'SUMMARY DATA'!$A:$A=$A1242,'SUMMARY DATA'!$C:$C=$B1242,'SUMMARY DATA'!$B:$B=""RWS"")),
  IF(
    OR(
      ISNUMBER(SEARCH(""CDM CASH DEPOSIT"",$C1242)),
      ISNUMBER(SEARCH(""CASH DEPOSIT"",$"&amp;"C1242)),
      COUNTIFS('SUMMARY DATA'!$D:$D,$C1242,'SUMMARY DATA'!$B:$B,""RWS"")&lt;&gt;1
    ),
    """",
    IFERROR(TEXTJOIN(CHAR(10),TRUE,FILTER('SUMMARY DATA'!I:I,'SUMMARY DATA'!$D:$D=$C1242,'SUMMARY DATA'!$B:$B=""RWS"")),"""")
  )
)"),"")</f>
      </c>
      <c r="K1242" s="2"/>
      <c r="L1242" s="2"/>
      <c r="M1242" s="2"/>
      <c r="N1242" s="2"/>
      <c r="O1242" s="2"/>
      <c r="P1242" s="2"/>
      <c r="Q1242" s="2"/>
      <c r="R1242" s="2"/>
      <c r="S1242" s="2"/>
      <c r="T1242" s="2"/>
      <c r="U1242" s="2"/>
      <c r="V1242" s="2"/>
      <c r="W1242" s="2"/>
      <c r="X1242" s="2"/>
      <c r="Y1242" s="2"/>
      <c r="Z1242" s="2"/>
      <c r="AA1242" s="2"/>
      <c r="AB1242" s="2"/>
    </row>
    <row r="1243" spans="1:28" customHeight="true">
      <c r="A1243" s="2" t="s">
        <v>1446</v>
      </c>
      <c r="B1243" s="15">
        <v>45824</v>
      </c>
      <c r="C1243" s="2" t="s">
        <v>1784</v>
      </c>
      <c r="D1243" s="6">
        <v>356</v>
      </c>
      <c r="E1243" s="16" t="str">
        <f>IFERROR(__xludf.DUMMYFUNCTION("IFERROR(
  TEXTJOIN(CHAR(10),TRUE,FILTER('SUMMARY DATA'!E:E,'SUMMARY DATA'!$A:$A=$A344,'SUMMARY DATA'!$C:$C=$B344,'SUMMARY DATA'!$B:$B=""GRP"")),
  IF(
    OR(
      ISNUMBER(SEARCH(""CDM CASH DEPOSIT"",$C344)),
      ISNUMBER(SEARCH(""CASH DEPOSIT"",$C34"&amp;"4)),
      COUNTIFS('SUMMARY DATA'!$D:$D,$C344,'SUMMARY DATA'!$B:$B,""GRP"")&lt;&gt;1
    ),
    """",
    IFERROR(TEXTJOIN(CHAR(10),TRUE,FILTER('SUMMARY DATA'!E:E,'SUMMARY DATA'!$D:$D=$C344,'SUMMARY DATA'!$B:$B=""GRP"")),"""")
  )
)"),"")</f>
      </c>
      <c r="F1243" s="17" t="str">
        <f>IFERROR(__xludf.DUMMYFUNCTION("IFERROR(
  TEXTJOIN(CHAR(10),TRUE,FILTER('SUMMARY DATA'!F:F,'SUMMARY DATA'!$A:$A=$A344,'SUMMARY DATA'!$C:$C=$B344,'SUMMARY DATA'!$B:$B=""GRP"")),
  IF(
    OR(
      ISNUMBER(SEARCH(""CDM CASH DEPOSIT"",$C344)),
      ISNUMBER(SEARCH(""CASH DEPOSIT"",$C34"&amp;"4)),
      COUNTIFS('SUMMARY DATA'!$D:$D,$C344,'SUMMARY DATA'!$B:$B,""GRP"")&lt;&gt;1
    ),
    """",
    IFERROR(TEXTJOIN(CHAR(10),TRUE,FILTER('SUMMARY DATA'!F:F,'SUMMARY DATA'!$D:$D=$C344,'SUMMARY DATA'!$B:$B=""GRP"")),"""")
  )
)"),"")</f>
      </c>
      <c r="G1243" s="17" t="str">
        <f>IFERROR(__xludf.DUMMYFUNCTION("IFERROR(
  TEXTJOIN(CHAR(10),TRUE,FILTER('SUMMARY DATA'!G:G,'SUMMARY DATA'!$A:$A=$A1243,'SUMMARY DATA'!$C:$C=$B1243,'SUMMARY DATA'!$B:$B=""RWS"")),
  IF(
    OR(
      ISNUMBER(SEARCH(""CDM CASH DEPOSIT"",$C1243)),
      ISNUMBER(SEARCH(""CASH DEPOSIT"",$"&amp;"C1243)),
      COUNTIFS('SUMMARY DATA'!$D:$D,$C1243,'SUMMARY DATA'!$B:$B,""RWS"")&lt;&gt;1
    ),
    """",
    IFERROR(TEXTJOIN(CHAR(10),TRUE,FILTER('SUMMARY DATA'!G:G,'SUMMARY DATA'!$D:$D=$C1243,'SUMMARY DATA'!$B:$B=""RWS"")),"""")
  )
)"),"")</f>
      </c>
      <c r="H1243" s="18" t="str">
        <f>IFERROR(__xludf.DUMMYFUNCTION("IFERROR(
  TEXTJOIN(CHAR(10),TRUE,FILTER('SUMMARY DATA'!H:H,'SUMMARY DATA'!$A:$A=$A1243,'SUMMARY DATA'!$C:$C=$B1243,'SUMMARY DATA'!$B:$B=""RWS"",'SUMMARY DATA'!$H:$H=$D1243)),
  IF(
    OR(
      ISNUMBER(SEARCH(""CDM CASH DEPOSIT"",$C1243)),
      ISNUMB"&amp;"ER(SEARCH(""CASH DEPOSIT"",$C1243))
    ),
    """",
    IFERROR(TEXTJOIN(CHAR(10),TRUE,FILTER('SUMMARY DATA'!H:H,'SUMMARY DATA'!$D:$D=$C1243,'SUMMARY DATA'!$B:$B=""RWS"",'SUMMARY DATA'!$H:$H=$D1243)),"""")
  )
)"),"")</f>
      </c>
      <c r="I1243" s="18" t="str">
        <f>IFERROR(__xludf.DUMMYFUNCTION("IF(H1243="""","""",
SUM(ARRAYFORMULA(VALUE(SPLIT(H1243,CHAR(10)))))
)"),"")</f>
      </c>
      <c r="J1243" s="17" t="str">
        <f>IFERROR(__xludf.DUMMYFUNCTION("IFERROR(
  TEXTJOIN(CHAR(10),TRUE,FILTER('SUMMARY DATA'!I:I,'SUMMARY DATA'!$A:$A=$A1243,'SUMMARY DATA'!$C:$C=$B1243,'SUMMARY DATA'!$B:$B=""RWS"")),
  IF(
    OR(
      ISNUMBER(SEARCH(""CDM CASH DEPOSIT"",$C1243)),
      ISNUMBER(SEARCH(""CASH DEPOSIT"",$"&amp;"C1243)),
      COUNTIFS('SUMMARY DATA'!$D:$D,$C1243,'SUMMARY DATA'!$B:$B,""RWS"")&lt;&gt;1
    ),
    """",
    IFERROR(TEXTJOIN(CHAR(10),TRUE,FILTER('SUMMARY DATA'!I:I,'SUMMARY DATA'!$D:$D=$C1243,'SUMMARY DATA'!$B:$B=""RWS"")),"""")
  )
)"),"")</f>
      </c>
      <c r="K1243" s="2"/>
      <c r="L1243" s="2"/>
      <c r="M1243" s="2"/>
      <c r="N1243" s="2"/>
      <c r="O1243" s="2"/>
      <c r="P1243" s="2"/>
      <c r="Q1243" s="2"/>
      <c r="R1243" s="2"/>
      <c r="S1243" s="2"/>
      <c r="T1243" s="2"/>
      <c r="U1243" s="2"/>
      <c r="V1243" s="2"/>
      <c r="W1243" s="2"/>
      <c r="X1243" s="2"/>
      <c r="Y1243" s="2"/>
      <c r="Z1243" s="2"/>
      <c r="AA1243" s="2"/>
      <c r="AB1243" s="2"/>
    </row>
    <row r="1244" spans="1:28" customHeight="true">
      <c r="A1244" s="2"/>
      <c r="B1244" s="15">
        <v>45825</v>
      </c>
      <c r="C1244" s="2" t="s">
        <v>1785</v>
      </c>
      <c r="D1244" s="6">
        <v>449.74</v>
      </c>
      <c r="E1244" s="16" t="str">
        <f>IFERROR(__xludf.DUMMYFUNCTION("IFERROR(
  TEXTJOIN(CHAR(10),TRUE,FILTER('SUMMARY DATA'!E:E,'SUMMARY DATA'!$A:$A=$A345,'SUMMARY DATA'!$C:$C=$B345,'SUMMARY DATA'!$B:$B=""GRP"")),
  IF(
    OR(
      ISNUMBER(SEARCH(""CDM CASH DEPOSIT"",$C345)),
      ISNUMBER(SEARCH(""CASH DEPOSIT"",$C34"&amp;"5)),
      COUNTIFS('SUMMARY DATA'!$D:$D,$C345,'SUMMARY DATA'!$B:$B,""GRP"")&lt;&gt;1
    ),
    """",
    IFERROR(TEXTJOIN(CHAR(10),TRUE,FILTER('SUMMARY DATA'!E:E,'SUMMARY DATA'!$D:$D=$C345,'SUMMARY DATA'!$B:$B=""GRP"")),"""")
  )
)"),"")</f>
      </c>
      <c r="F1244" s="17" t="str">
        <f>IFERROR(__xludf.DUMMYFUNCTION("IFERROR(
  TEXTJOIN(CHAR(10),TRUE,FILTER('SUMMARY DATA'!F:F,'SUMMARY DATA'!$A:$A=$A345,'SUMMARY DATA'!$C:$C=$B345,'SUMMARY DATA'!$B:$B=""GRP"")),
  IF(
    OR(
      ISNUMBER(SEARCH(""CDM CASH DEPOSIT"",$C345)),
      ISNUMBER(SEARCH(""CASH DEPOSIT"",$C34"&amp;"5)),
      COUNTIFS('SUMMARY DATA'!$D:$D,$C345,'SUMMARY DATA'!$B:$B,""GRP"")&lt;&gt;1
    ),
    """",
    IFERROR(TEXTJOIN(CHAR(10),TRUE,FILTER('SUMMARY DATA'!F:F,'SUMMARY DATA'!$D:$D=$C345,'SUMMARY DATA'!$B:$B=""GRP"")),"""")
  )
)"),"")</f>
      </c>
      <c r="G1244" s="17" t="str">
        <f>IFERROR(__xludf.DUMMYFUNCTION("IFERROR(
  TEXTJOIN(CHAR(10),TRUE,FILTER('SUMMARY DATA'!G:G,'SUMMARY DATA'!$A:$A=$A1244,'SUMMARY DATA'!$C:$C=$B1244,'SUMMARY DATA'!$B:$B=""RWS"")),
  IF(
    OR(
      ISNUMBER(SEARCH(""CDM CASH DEPOSIT"",$C1244)),
      ISNUMBER(SEARCH(""CASH DEPOSIT"",$"&amp;"C1244)),
      COUNTIFS('SUMMARY DATA'!$D:$D,$C1244,'SUMMARY DATA'!$B:$B,""RWS"")&lt;&gt;1
    ),
    """",
    IFERROR(TEXTJOIN(CHAR(10),TRUE,FILTER('SUMMARY DATA'!G:G,'SUMMARY DATA'!$D:$D=$C1244,'SUMMARY DATA'!$B:$B=""RWS"")),"""")
  )
)"),"")</f>
      </c>
      <c r="H1244" s="18" t="str">
        <f>IFERROR(__xludf.DUMMYFUNCTION("IFERROR(
  TEXTJOIN(CHAR(10),TRUE,FILTER('SUMMARY DATA'!H:H,'SUMMARY DATA'!$A:$A=$A1244,'SUMMARY DATA'!$C:$C=$B1244,'SUMMARY DATA'!$B:$B=""RWS"",'SUMMARY DATA'!$H:$H=$D1244)),
  IF(
    OR(
      ISNUMBER(SEARCH(""CDM CASH DEPOSIT"",$C1244)),
      ISNUMB"&amp;"ER(SEARCH(""CASH DEPOSIT"",$C1244))
    ),
    """",
    IFERROR(TEXTJOIN(CHAR(10),TRUE,FILTER('SUMMARY DATA'!H:H,'SUMMARY DATA'!$D:$D=$C1244,'SUMMARY DATA'!$B:$B=""RWS"",'SUMMARY DATA'!$H:$H=$D1244)),"""")
  )
)"),"")</f>
      </c>
      <c r="I1244" s="18" t="str">
        <f>IFERROR(__xludf.DUMMYFUNCTION("IF(H1244="""","""",
SUM(ARRAYFORMULA(VALUE(SPLIT(H1244,CHAR(10)))))
)"),"")</f>
      </c>
      <c r="J1244" s="17" t="str">
        <f>IFERROR(__xludf.DUMMYFUNCTION("IFERROR(
  TEXTJOIN(CHAR(10),TRUE,FILTER('SUMMARY DATA'!I:I,'SUMMARY DATA'!$A:$A=$A1244,'SUMMARY DATA'!$C:$C=$B1244,'SUMMARY DATA'!$B:$B=""RWS"")),
  IF(
    OR(
      ISNUMBER(SEARCH(""CDM CASH DEPOSIT"",$C1244)),
      ISNUMBER(SEARCH(""CASH DEPOSIT"",$"&amp;"C1244)),
      COUNTIFS('SUMMARY DATA'!$D:$D,$C1244,'SUMMARY DATA'!$B:$B,""RWS"")&lt;&gt;1
    ),
    """",
    IFERROR(TEXTJOIN(CHAR(10),TRUE,FILTER('SUMMARY DATA'!I:I,'SUMMARY DATA'!$D:$D=$C1244,'SUMMARY DATA'!$B:$B=""RWS"")),"""")
  )
)"),"")</f>
      </c>
      <c r="K1244" s="2"/>
      <c r="L1244" s="2"/>
      <c r="M1244" s="2"/>
      <c r="N1244" s="2"/>
      <c r="O1244" s="2"/>
      <c r="P1244" s="2"/>
      <c r="Q1244" s="2"/>
      <c r="R1244" s="2"/>
      <c r="S1244" s="2"/>
      <c r="T1244" s="2"/>
      <c r="U1244" s="2"/>
      <c r="V1244" s="2"/>
      <c r="W1244" s="2"/>
      <c r="X1244" s="2"/>
      <c r="Y1244" s="2"/>
      <c r="Z1244" s="2"/>
      <c r="AA1244" s="2"/>
      <c r="AB1244" s="2"/>
    </row>
    <row r="1245" spans="1:28" customHeight="true">
      <c r="A1245" s="2"/>
      <c r="B1245" s="15">
        <v>45825</v>
      </c>
      <c r="C1245" s="2" t="s">
        <v>1786</v>
      </c>
      <c r="D1245" s="6">
        <v>86</v>
      </c>
      <c r="E1245" s="16" t="str">
        <f>IFERROR(__xludf.DUMMYFUNCTION("IFERROR(
  TEXTJOIN(CHAR(10),TRUE,FILTER('SUMMARY DATA'!E:E,'SUMMARY DATA'!$A:$A=$A346,'SUMMARY DATA'!$C:$C=$B346,'SUMMARY DATA'!$B:$B=""GRP"")),
  IF(
    OR(
      ISNUMBER(SEARCH(""CDM CASH DEPOSIT"",$C346)),
      ISNUMBER(SEARCH(""CASH DEPOSIT"",$C34"&amp;"6)),
      COUNTIFS('SUMMARY DATA'!$D:$D,$C346,'SUMMARY DATA'!$B:$B,""GRP"")&lt;&gt;1
    ),
    """",
    IFERROR(TEXTJOIN(CHAR(10),TRUE,FILTER('SUMMARY DATA'!E:E,'SUMMARY DATA'!$D:$D=$C346,'SUMMARY DATA'!$B:$B=""GRP"")),"""")
  )
)"),"")</f>
      </c>
      <c r="F1245" s="17" t="str">
        <f>IFERROR(__xludf.DUMMYFUNCTION("IFERROR(
  TEXTJOIN(CHAR(10),TRUE,FILTER('SUMMARY DATA'!F:F,'SUMMARY DATA'!$A:$A=$A346,'SUMMARY DATA'!$C:$C=$B346,'SUMMARY DATA'!$B:$B=""GRP"")),
  IF(
    OR(
      ISNUMBER(SEARCH(""CDM CASH DEPOSIT"",$C346)),
      ISNUMBER(SEARCH(""CASH DEPOSIT"",$C34"&amp;"6)),
      COUNTIFS('SUMMARY DATA'!$D:$D,$C346,'SUMMARY DATA'!$B:$B,""GRP"")&lt;&gt;1
    ),
    """",
    IFERROR(TEXTJOIN(CHAR(10),TRUE,FILTER('SUMMARY DATA'!F:F,'SUMMARY DATA'!$D:$D=$C346,'SUMMARY DATA'!$B:$B=""GRP"")),"""")
  )
)"),"")</f>
      </c>
      <c r="G1245" s="17" t="str">
        <f>IFERROR(__xludf.DUMMYFUNCTION("IFERROR(
  TEXTJOIN(CHAR(10),TRUE,FILTER('SUMMARY DATA'!G:G,'SUMMARY DATA'!$A:$A=$A1245,'SUMMARY DATA'!$C:$C=$B1245,'SUMMARY DATA'!$B:$B=""RWS"")),
  IF(
    OR(
      ISNUMBER(SEARCH(""CDM CASH DEPOSIT"",$C1245)),
      ISNUMBER(SEARCH(""CASH DEPOSIT"",$"&amp;"C1245)),
      COUNTIFS('SUMMARY DATA'!$D:$D,$C1245,'SUMMARY DATA'!$B:$B,""RWS"")&lt;&gt;1
    ),
    """",
    IFERROR(TEXTJOIN(CHAR(10),TRUE,FILTER('SUMMARY DATA'!G:G,'SUMMARY DATA'!$D:$D=$C1245,'SUMMARY DATA'!$B:$B=""RWS"")),"""")
  )
)"),"")</f>
      </c>
      <c r="H1245" s="18" t="str">
        <f>IFERROR(__xludf.DUMMYFUNCTION("IFERROR(
  TEXTJOIN(CHAR(10),TRUE,FILTER('SUMMARY DATA'!H:H,'SUMMARY DATA'!$A:$A=$A1245,'SUMMARY DATA'!$C:$C=$B1245,'SUMMARY DATA'!$B:$B=""RWS"",'SUMMARY DATA'!$H:$H=$D1245)),
  IF(
    OR(
      ISNUMBER(SEARCH(""CDM CASH DEPOSIT"",$C1245)),
      ISNUMB"&amp;"ER(SEARCH(""CASH DEPOSIT"",$C1245))
    ),
    """",
    IFERROR(TEXTJOIN(CHAR(10),TRUE,FILTER('SUMMARY DATA'!H:H,'SUMMARY DATA'!$D:$D=$C1245,'SUMMARY DATA'!$B:$B=""RWS"",'SUMMARY DATA'!$H:$H=$D1245)),"""")
  )
)"),"")</f>
      </c>
      <c r="I1245" s="18" t="str">
        <f>IFERROR(__xludf.DUMMYFUNCTION("IF(H1245="""","""",
SUM(ARRAYFORMULA(VALUE(SPLIT(H1245,CHAR(10)))))
)"),"")</f>
      </c>
      <c r="J1245" s="17" t="str">
        <f>IFERROR(__xludf.DUMMYFUNCTION("IFERROR(
  TEXTJOIN(CHAR(10),TRUE,FILTER('SUMMARY DATA'!I:I,'SUMMARY DATA'!$A:$A=$A1245,'SUMMARY DATA'!$C:$C=$B1245,'SUMMARY DATA'!$B:$B=""RWS"")),
  IF(
    OR(
      ISNUMBER(SEARCH(""CDM CASH DEPOSIT"",$C1245)),
      ISNUMBER(SEARCH(""CASH DEPOSIT"",$"&amp;"C1245)),
      COUNTIFS('SUMMARY DATA'!$D:$D,$C1245,'SUMMARY DATA'!$B:$B,""RWS"")&lt;&gt;1
    ),
    """",
    IFERROR(TEXTJOIN(CHAR(10),TRUE,FILTER('SUMMARY DATA'!I:I,'SUMMARY DATA'!$D:$D=$C1245,'SUMMARY DATA'!$B:$B=""RWS"")),"""")
  )
)"),"")</f>
      </c>
      <c r="K1245" s="2"/>
      <c r="L1245" s="2"/>
      <c r="M1245" s="2"/>
      <c r="N1245" s="2"/>
      <c r="O1245" s="2"/>
      <c r="P1245" s="2"/>
      <c r="Q1245" s="2"/>
      <c r="R1245" s="2"/>
      <c r="S1245" s="2"/>
      <c r="T1245" s="2"/>
      <c r="U1245" s="2"/>
      <c r="V1245" s="2"/>
      <c r="W1245" s="2"/>
      <c r="X1245" s="2"/>
      <c r="Y1245" s="2"/>
      <c r="Z1245" s="2"/>
      <c r="AA1245" s="2"/>
      <c r="AB1245" s="2"/>
    </row>
    <row r="1246" spans="1:28" customHeight="true">
      <c r="A1246" s="2"/>
      <c r="B1246" s="15">
        <v>45825</v>
      </c>
      <c r="C1246" s="2" t="s">
        <v>1787</v>
      </c>
      <c r="D1246" s="6">
        <v>48</v>
      </c>
      <c r="E1246" s="16" t="str">
        <f>IFERROR(__xludf.DUMMYFUNCTION("IFERROR(
  TEXTJOIN(CHAR(10),TRUE,FILTER('SUMMARY DATA'!E:E,'SUMMARY DATA'!$A:$A=$A347,'SUMMARY DATA'!$C:$C=$B347,'SUMMARY DATA'!$B:$B=""GRP"")),
  IF(
    OR(
      ISNUMBER(SEARCH(""CDM CASH DEPOSIT"",$C347)),
      ISNUMBER(SEARCH(""CASH DEPOSIT"",$C34"&amp;"7)),
      COUNTIFS('SUMMARY DATA'!$D:$D,$C347,'SUMMARY DATA'!$B:$B,""GRP"")&lt;&gt;1
    ),
    """",
    IFERROR(TEXTJOIN(CHAR(10),TRUE,FILTER('SUMMARY DATA'!E:E,'SUMMARY DATA'!$D:$D=$C347,'SUMMARY DATA'!$B:$B=""GRP"")),"""")
  )
)"),"")</f>
      </c>
      <c r="F1246" s="17" t="str">
        <f>IFERROR(__xludf.DUMMYFUNCTION("IFERROR(
  TEXTJOIN(CHAR(10),TRUE,FILTER('SUMMARY DATA'!F:F,'SUMMARY DATA'!$A:$A=$A347,'SUMMARY DATA'!$C:$C=$B347,'SUMMARY DATA'!$B:$B=""GRP"")),
  IF(
    OR(
      ISNUMBER(SEARCH(""CDM CASH DEPOSIT"",$C347)),
      ISNUMBER(SEARCH(""CASH DEPOSIT"",$C34"&amp;"7)),
      COUNTIFS('SUMMARY DATA'!$D:$D,$C347,'SUMMARY DATA'!$B:$B,""GRP"")&lt;&gt;1
    ),
    """",
    IFERROR(TEXTJOIN(CHAR(10),TRUE,FILTER('SUMMARY DATA'!F:F,'SUMMARY DATA'!$D:$D=$C347,'SUMMARY DATA'!$B:$B=""GRP"")),"""")
  )
)"),"")</f>
      </c>
      <c r="G1246" s="17" t="str">
        <f>IFERROR(__xludf.DUMMYFUNCTION("IFERROR(
  TEXTJOIN(CHAR(10),TRUE,FILTER('SUMMARY DATA'!G:G,'SUMMARY DATA'!$A:$A=$A1246,'SUMMARY DATA'!$C:$C=$B1246,'SUMMARY DATA'!$B:$B=""RWS"")),
  IF(
    OR(
      ISNUMBER(SEARCH(""CDM CASH DEPOSIT"",$C1246)),
      ISNUMBER(SEARCH(""CASH DEPOSIT"",$"&amp;"C1246)),
      COUNTIFS('SUMMARY DATA'!$D:$D,$C1246,'SUMMARY DATA'!$B:$B,""RWS"")&lt;&gt;1
    ),
    """",
    IFERROR(TEXTJOIN(CHAR(10),TRUE,FILTER('SUMMARY DATA'!G:G,'SUMMARY DATA'!$D:$D=$C1246,'SUMMARY DATA'!$B:$B=""RWS"")),"""")
  )
)"),"")</f>
      </c>
      <c r="H1246" s="18" t="str">
        <f>IFERROR(__xludf.DUMMYFUNCTION("IFERROR(
  TEXTJOIN(CHAR(10),TRUE,FILTER('SUMMARY DATA'!H:H,'SUMMARY DATA'!$A:$A=$A1246,'SUMMARY DATA'!$C:$C=$B1246,'SUMMARY DATA'!$B:$B=""RWS"",'SUMMARY DATA'!$H:$H=$D1246)),
  IF(
    OR(
      ISNUMBER(SEARCH(""CDM CASH DEPOSIT"",$C1246)),
      ISNUMB"&amp;"ER(SEARCH(""CASH DEPOSIT"",$C1246))
    ),
    """",
    IFERROR(TEXTJOIN(CHAR(10),TRUE,FILTER('SUMMARY DATA'!H:H,'SUMMARY DATA'!$D:$D=$C1246,'SUMMARY DATA'!$B:$B=""RWS"",'SUMMARY DATA'!$H:$H=$D1246)),"""")
  )
)"),"")</f>
      </c>
      <c r="I1246" s="18" t="str">
        <f>IFERROR(__xludf.DUMMYFUNCTION("IF(H1246="""","""",
SUM(ARRAYFORMULA(VALUE(SPLIT(H1246,CHAR(10)))))
)"),"")</f>
      </c>
      <c r="J1246" s="17" t="str">
        <f>IFERROR(__xludf.DUMMYFUNCTION("IFERROR(
  TEXTJOIN(CHAR(10),TRUE,FILTER('SUMMARY DATA'!I:I,'SUMMARY DATA'!$A:$A=$A1246,'SUMMARY DATA'!$C:$C=$B1246,'SUMMARY DATA'!$B:$B=""RWS"")),
  IF(
    OR(
      ISNUMBER(SEARCH(""CDM CASH DEPOSIT"",$C1246)),
      ISNUMBER(SEARCH(""CASH DEPOSIT"",$"&amp;"C1246)),
      COUNTIFS('SUMMARY DATA'!$D:$D,$C1246,'SUMMARY DATA'!$B:$B,""RWS"")&lt;&gt;1
    ),
    """",
    IFERROR(TEXTJOIN(CHAR(10),TRUE,FILTER('SUMMARY DATA'!I:I,'SUMMARY DATA'!$D:$D=$C1246,'SUMMARY DATA'!$B:$B=""RWS"")),"""")
  )
)"),"")</f>
      </c>
      <c r="K1246" s="2"/>
      <c r="L1246" s="2"/>
      <c r="M1246" s="2"/>
      <c r="N1246" s="2"/>
      <c r="O1246" s="2"/>
      <c r="P1246" s="2"/>
      <c r="Q1246" s="2"/>
      <c r="R1246" s="2"/>
      <c r="S1246" s="2"/>
      <c r="T1246" s="2"/>
      <c r="U1246" s="2"/>
      <c r="V1246" s="2"/>
      <c r="W1246" s="2"/>
      <c r="X1246" s="2"/>
      <c r="Y1246" s="2"/>
      <c r="Z1246" s="2"/>
      <c r="AA1246" s="2"/>
      <c r="AB1246" s="2"/>
    </row>
    <row r="1247" spans="1:28" customHeight="true">
      <c r="A1247" s="2" t="s">
        <v>865</v>
      </c>
      <c r="B1247" s="15">
        <v>45825</v>
      </c>
      <c r="C1247" s="2" t="s">
        <v>866</v>
      </c>
      <c r="D1247" s="6">
        <v>10</v>
      </c>
      <c r="E1247" s="16" t="str">
        <f>IFERROR(__xludf.DUMMYFUNCTION("IFERROR(
  TEXTJOIN(CHAR(10),TRUE,FILTER('SUMMARY DATA'!E:E,'SUMMARY DATA'!$A:$A=$A348,'SUMMARY DATA'!$C:$C=$B348,'SUMMARY DATA'!$B:$B=""GRP"")),
  IF(
    OR(
      ISNUMBER(SEARCH(""CDM CASH DEPOSIT"",$C348)),
      ISNUMBER(SEARCH(""CASH DEPOSIT"",$C34"&amp;"8)),
      COUNTIFS('SUMMARY DATA'!$D:$D,$C348,'SUMMARY DATA'!$B:$B,""GRP"")&lt;&gt;1
    ),
    """",
    IFERROR(TEXTJOIN(CHAR(10),TRUE,FILTER('SUMMARY DATA'!E:E,'SUMMARY DATA'!$D:$D=$C348,'SUMMARY DATA'!$B:$B=""GRP"")),"""")
  )
)"),"")</f>
      </c>
      <c r="F1247" s="17" t="str">
        <f>IFERROR(__xludf.DUMMYFUNCTION("IFERROR(
  TEXTJOIN(CHAR(10),TRUE,FILTER('SUMMARY DATA'!F:F,'SUMMARY DATA'!$A:$A=$A348,'SUMMARY DATA'!$C:$C=$B348,'SUMMARY DATA'!$B:$B=""GRP"")),
  IF(
    OR(
      ISNUMBER(SEARCH(""CDM CASH DEPOSIT"",$C348)),
      ISNUMBER(SEARCH(""CASH DEPOSIT"",$C34"&amp;"8)),
      COUNTIFS('SUMMARY DATA'!$D:$D,$C348,'SUMMARY DATA'!$B:$B,""GRP"")&lt;&gt;1
    ),
    """",
    IFERROR(TEXTJOIN(CHAR(10),TRUE,FILTER('SUMMARY DATA'!F:F,'SUMMARY DATA'!$D:$D=$C348,'SUMMARY DATA'!$B:$B=""GRP"")),"""")
  )
)"),"")</f>
      </c>
      <c r="G1247" s="17" t="str">
        <f>IFERROR(__xludf.DUMMYFUNCTION("IFERROR(
  TEXTJOIN(CHAR(10),TRUE,FILTER('SUMMARY DATA'!G:G,'SUMMARY DATA'!$A:$A=$A1247,'SUMMARY DATA'!$C:$C=$B1247,'SUMMARY DATA'!$B:$B=""RWS"")),
  IF(
    OR(
      ISNUMBER(SEARCH(""CDM CASH DEPOSIT"",$C1247)),
      ISNUMBER(SEARCH(""CASH DEPOSIT"",$"&amp;"C1247)),
      COUNTIFS('SUMMARY DATA'!$D:$D,$C1247,'SUMMARY DATA'!$B:$B,""RWS"")&lt;&gt;1
    ),
    """",
    IFERROR(TEXTJOIN(CHAR(10),TRUE,FILTER('SUMMARY DATA'!G:G,'SUMMARY DATA'!$D:$D=$C1247,'SUMMARY DATA'!$B:$B=""RWS"")),"""")
  )
)"),"")</f>
      </c>
      <c r="H1247" s="18" t="str">
        <f>IFERROR(__xludf.DUMMYFUNCTION("IFERROR(
  TEXTJOIN(CHAR(10),TRUE,FILTER('SUMMARY DATA'!H:H,'SUMMARY DATA'!$A:$A=$A1247,'SUMMARY DATA'!$C:$C=$B1247,'SUMMARY DATA'!$B:$B=""RWS"",'SUMMARY DATA'!$H:$H=$D1247)),
  IF(
    OR(
      ISNUMBER(SEARCH(""CDM CASH DEPOSIT"",$C1247)),
      ISNUMB"&amp;"ER(SEARCH(""CASH DEPOSIT"",$C1247))
    ),
    """",
    IFERROR(TEXTJOIN(CHAR(10),TRUE,FILTER('SUMMARY DATA'!H:H,'SUMMARY DATA'!$D:$D=$C1247,'SUMMARY DATA'!$B:$B=""RWS"",'SUMMARY DATA'!$H:$H=$D1247)),"""")
  )
)"),"")</f>
      </c>
      <c r="I1247" s="18" t="str">
        <f>IFERROR(__xludf.DUMMYFUNCTION("IF(H1247="""","""",
SUM(ARRAYFORMULA(VALUE(SPLIT(H1247,CHAR(10)))))
)"),"")</f>
      </c>
      <c r="J1247" s="17" t="str">
        <f>IFERROR(__xludf.DUMMYFUNCTION("IFERROR(
  TEXTJOIN(CHAR(10),TRUE,FILTER('SUMMARY DATA'!I:I,'SUMMARY DATA'!$A:$A=$A1247,'SUMMARY DATA'!$C:$C=$B1247,'SUMMARY DATA'!$B:$B=""RWS"")),
  IF(
    OR(
      ISNUMBER(SEARCH(""CDM CASH DEPOSIT"",$C1247)),
      ISNUMBER(SEARCH(""CASH DEPOSIT"",$"&amp;"C1247)),
      COUNTIFS('SUMMARY DATA'!$D:$D,$C1247,'SUMMARY DATA'!$B:$B,""RWS"")&lt;&gt;1
    ),
    """",
    IFERROR(TEXTJOIN(CHAR(10),TRUE,FILTER('SUMMARY DATA'!I:I,'SUMMARY DATA'!$D:$D=$C1247,'SUMMARY DATA'!$B:$B=""RWS"")),"""")
  )
)"),"")</f>
      </c>
      <c r="K1247" s="2"/>
      <c r="L1247" s="2"/>
      <c r="M1247" s="2"/>
      <c r="N1247" s="2"/>
      <c r="O1247" s="2"/>
      <c r="P1247" s="2"/>
      <c r="Q1247" s="2"/>
      <c r="R1247" s="2"/>
      <c r="S1247" s="2"/>
      <c r="T1247" s="2"/>
      <c r="U1247" s="2"/>
      <c r="V1247" s="2"/>
      <c r="W1247" s="2"/>
      <c r="X1247" s="2"/>
      <c r="Y1247" s="2"/>
      <c r="Z1247" s="2"/>
      <c r="AA1247" s="2"/>
      <c r="AB1247" s="2"/>
    </row>
    <row r="1248" spans="1:28" customHeight="true">
      <c r="A1248" s="2" t="s">
        <v>1446</v>
      </c>
      <c r="B1248" s="15">
        <v>45825</v>
      </c>
      <c r="C1248" s="2" t="s">
        <v>1788</v>
      </c>
      <c r="D1248" s="6">
        <v>6</v>
      </c>
      <c r="E1248" s="16" t="str">
        <f>IFERROR(__xludf.DUMMYFUNCTION("IFERROR(
  TEXTJOIN(CHAR(10),TRUE,FILTER('SUMMARY DATA'!E:E,'SUMMARY DATA'!$A:$A=$A349,'SUMMARY DATA'!$C:$C=$B349,'SUMMARY DATA'!$B:$B=""GRP"")),
  IF(
    OR(
      ISNUMBER(SEARCH(""CDM CASH DEPOSIT"",$C349)),
      ISNUMBER(SEARCH(""CASH DEPOSIT"",$C34"&amp;"9)),
      COUNTIFS('SUMMARY DATA'!$D:$D,$C349,'SUMMARY DATA'!$B:$B,""GRP"")&lt;&gt;1
    ),
    """",
    IFERROR(TEXTJOIN(CHAR(10),TRUE,FILTER('SUMMARY DATA'!E:E,'SUMMARY DATA'!$D:$D=$C349,'SUMMARY DATA'!$B:$B=""GRP"")),"""")
  )
)"),"")</f>
      </c>
      <c r="F1248" s="17" t="str">
        <f>IFERROR(__xludf.DUMMYFUNCTION("IFERROR(
  TEXTJOIN(CHAR(10),TRUE,FILTER('SUMMARY DATA'!F:F,'SUMMARY DATA'!$A:$A=$A349,'SUMMARY DATA'!$C:$C=$B349,'SUMMARY DATA'!$B:$B=""GRP"")),
  IF(
    OR(
      ISNUMBER(SEARCH(""CDM CASH DEPOSIT"",$C349)),
      ISNUMBER(SEARCH(""CASH DEPOSIT"",$C34"&amp;"9)),
      COUNTIFS('SUMMARY DATA'!$D:$D,$C349,'SUMMARY DATA'!$B:$B,""GRP"")&lt;&gt;1
    ),
    """",
    IFERROR(TEXTJOIN(CHAR(10),TRUE,FILTER('SUMMARY DATA'!F:F,'SUMMARY DATA'!$D:$D=$C349,'SUMMARY DATA'!$B:$B=""GRP"")),"""")
  )
)"),"")</f>
      </c>
      <c r="G1248" s="17" t="str">
        <f>IFERROR(__xludf.DUMMYFUNCTION("IFERROR(
  TEXTJOIN(CHAR(10),TRUE,FILTER('SUMMARY DATA'!G:G,'SUMMARY DATA'!$A:$A=$A1248,'SUMMARY DATA'!$C:$C=$B1248,'SUMMARY DATA'!$B:$B=""RWS"")),
  IF(
    OR(
      ISNUMBER(SEARCH(""CDM CASH DEPOSIT"",$C1248)),
      ISNUMBER(SEARCH(""CASH DEPOSIT"",$"&amp;"C1248)),
      COUNTIFS('SUMMARY DATA'!$D:$D,$C1248,'SUMMARY DATA'!$B:$B,""RWS"")&lt;&gt;1
    ),
    """",
    IFERROR(TEXTJOIN(CHAR(10),TRUE,FILTER('SUMMARY DATA'!G:G,'SUMMARY DATA'!$D:$D=$C1248,'SUMMARY DATA'!$B:$B=""RWS"")),"""")
  )
)"),"")</f>
      </c>
      <c r="H1248" s="18" t="str">
        <f>IFERROR(__xludf.DUMMYFUNCTION("IFERROR(
  TEXTJOIN(CHAR(10),TRUE,FILTER('SUMMARY DATA'!H:H,'SUMMARY DATA'!$A:$A=$A1248,'SUMMARY DATA'!$C:$C=$B1248,'SUMMARY DATA'!$B:$B=""RWS"",'SUMMARY DATA'!$H:$H=$D1248)),
  IF(
    OR(
      ISNUMBER(SEARCH(""CDM CASH DEPOSIT"",$C1248)),
      ISNUMB"&amp;"ER(SEARCH(""CASH DEPOSIT"",$C1248))
    ),
    """",
    IFERROR(TEXTJOIN(CHAR(10),TRUE,FILTER('SUMMARY DATA'!H:H,'SUMMARY DATA'!$D:$D=$C1248,'SUMMARY DATA'!$B:$B=""RWS"",'SUMMARY DATA'!$H:$H=$D1248)),"""")
  )
)"),"")</f>
      </c>
      <c r="I1248" s="18" t="str">
        <f>IFERROR(__xludf.DUMMYFUNCTION("IF(H1248="""","""",
SUM(ARRAYFORMULA(VALUE(SPLIT(H1248,CHAR(10)))))
)"),"")</f>
      </c>
      <c r="J1248" s="17" t="str">
        <f>IFERROR(__xludf.DUMMYFUNCTION("IFERROR(
  TEXTJOIN(CHAR(10),TRUE,FILTER('SUMMARY DATA'!I:I,'SUMMARY DATA'!$A:$A=$A1248,'SUMMARY DATA'!$C:$C=$B1248,'SUMMARY DATA'!$B:$B=""RWS"")),
  IF(
    OR(
      ISNUMBER(SEARCH(""CDM CASH DEPOSIT"",$C1248)),
      ISNUMBER(SEARCH(""CASH DEPOSIT"",$"&amp;"C1248)),
      COUNTIFS('SUMMARY DATA'!$D:$D,$C1248,'SUMMARY DATA'!$B:$B,""RWS"")&lt;&gt;1
    ),
    """",
    IFERROR(TEXTJOIN(CHAR(10),TRUE,FILTER('SUMMARY DATA'!I:I,'SUMMARY DATA'!$D:$D=$C1248,'SUMMARY DATA'!$B:$B=""RWS"")),"""")
  )
)"),"")</f>
      </c>
      <c r="K1248" s="2"/>
      <c r="L1248" s="2"/>
      <c r="M1248" s="2"/>
      <c r="N1248" s="2"/>
      <c r="O1248" s="2"/>
      <c r="P1248" s="2"/>
      <c r="Q1248" s="2"/>
      <c r="R1248" s="2"/>
      <c r="S1248" s="2"/>
      <c r="T1248" s="2"/>
      <c r="U1248" s="2"/>
      <c r="V1248" s="2"/>
      <c r="W1248" s="2"/>
      <c r="X1248" s="2"/>
      <c r="Y1248" s="2"/>
      <c r="Z1248" s="2"/>
      <c r="AA1248" s="2"/>
      <c r="AB1248" s="2"/>
    </row>
    <row r="1249" spans="1:28" customHeight="true">
      <c r="A1249" s="2"/>
      <c r="B1249" s="15">
        <v>45826</v>
      </c>
      <c r="C1249" s="2" t="s">
        <v>1789</v>
      </c>
      <c r="D1249" s="6">
        <v>689.64</v>
      </c>
      <c r="E1249" s="16" t="str">
        <f>IFERROR(__xludf.DUMMYFUNCTION("IFERROR(
  TEXTJOIN(CHAR(10),TRUE,FILTER('SUMMARY DATA'!E:E,'SUMMARY DATA'!$A:$A=$A350,'SUMMARY DATA'!$C:$C=$B350,'SUMMARY DATA'!$B:$B=""GRP"")),
  IF(
    OR(
      ISNUMBER(SEARCH(""CDM CASH DEPOSIT"",$C350)),
      ISNUMBER(SEARCH(""CASH DEPOSIT"",$C35"&amp;"0)),
      COUNTIFS('SUMMARY DATA'!$D:$D,$C350,'SUMMARY DATA'!$B:$B,""GRP"")&lt;&gt;1
    ),
    """",
    IFERROR(TEXTJOIN(CHAR(10),TRUE,FILTER('SUMMARY DATA'!E:E,'SUMMARY DATA'!$D:$D=$C350,'SUMMARY DATA'!$B:$B=""GRP"")),"""")
  )
)"),"")</f>
      </c>
      <c r="F1249" s="17" t="str">
        <f>IFERROR(__xludf.DUMMYFUNCTION("IFERROR(
  TEXTJOIN(CHAR(10),TRUE,FILTER('SUMMARY DATA'!F:F,'SUMMARY DATA'!$A:$A=$A350,'SUMMARY DATA'!$C:$C=$B350,'SUMMARY DATA'!$B:$B=""GRP"")),
  IF(
    OR(
      ISNUMBER(SEARCH(""CDM CASH DEPOSIT"",$C350)),
      ISNUMBER(SEARCH(""CASH DEPOSIT"",$C35"&amp;"0)),
      COUNTIFS('SUMMARY DATA'!$D:$D,$C350,'SUMMARY DATA'!$B:$B,""GRP"")&lt;&gt;1
    ),
    """",
    IFERROR(TEXTJOIN(CHAR(10),TRUE,FILTER('SUMMARY DATA'!F:F,'SUMMARY DATA'!$D:$D=$C350,'SUMMARY DATA'!$B:$B=""GRP"")),"""")
  )
)"),"")</f>
      </c>
      <c r="G1249" s="17" t="str">
        <f>IFERROR(__xludf.DUMMYFUNCTION("IFERROR(
  TEXTJOIN(CHAR(10),TRUE,FILTER('SUMMARY DATA'!G:G,'SUMMARY DATA'!$A:$A=$A1249,'SUMMARY DATA'!$C:$C=$B1249,'SUMMARY DATA'!$B:$B=""RWS"")),
  IF(
    OR(
      ISNUMBER(SEARCH(""CDM CASH DEPOSIT"",$C1249)),
      ISNUMBER(SEARCH(""CASH DEPOSIT"",$"&amp;"C1249)),
      COUNTIFS('SUMMARY DATA'!$D:$D,$C1249,'SUMMARY DATA'!$B:$B,""RWS"")&lt;&gt;1
    ),
    """",
    IFERROR(TEXTJOIN(CHAR(10),TRUE,FILTER('SUMMARY DATA'!G:G,'SUMMARY DATA'!$D:$D=$C1249,'SUMMARY DATA'!$B:$B=""RWS"")),"""")
  )
)"),"")</f>
      </c>
      <c r="H1249" s="18" t="str">
        <f>IFERROR(__xludf.DUMMYFUNCTION("IFERROR(
  TEXTJOIN(CHAR(10),TRUE,FILTER('SUMMARY DATA'!H:H,'SUMMARY DATA'!$A:$A=$A1249,'SUMMARY DATA'!$C:$C=$B1249,'SUMMARY DATA'!$B:$B=""RWS"",'SUMMARY DATA'!$H:$H=$D1249)),
  IF(
    OR(
      ISNUMBER(SEARCH(""CDM CASH DEPOSIT"",$C1249)),
      ISNUMB"&amp;"ER(SEARCH(""CASH DEPOSIT"",$C1249))
    ),
    """",
    IFERROR(TEXTJOIN(CHAR(10),TRUE,FILTER('SUMMARY DATA'!H:H,'SUMMARY DATA'!$D:$D=$C1249,'SUMMARY DATA'!$B:$B=""RWS"",'SUMMARY DATA'!$H:$H=$D1249)),"""")
  )
)"),"")</f>
      </c>
      <c r="I1249" s="18" t="str">
        <f>IFERROR(__xludf.DUMMYFUNCTION("IF(H1249="""","""",
SUM(ARRAYFORMULA(VALUE(SPLIT(H1249,CHAR(10)))))
)"),"")</f>
      </c>
      <c r="J1249" s="17" t="str">
        <f>IFERROR(__xludf.DUMMYFUNCTION("IFERROR(
  TEXTJOIN(CHAR(10),TRUE,FILTER('SUMMARY DATA'!I:I,'SUMMARY DATA'!$A:$A=$A1249,'SUMMARY DATA'!$C:$C=$B1249,'SUMMARY DATA'!$B:$B=""RWS"")),
  IF(
    OR(
      ISNUMBER(SEARCH(""CDM CASH DEPOSIT"",$C1249)),
      ISNUMBER(SEARCH(""CASH DEPOSIT"",$"&amp;"C1249)),
      COUNTIFS('SUMMARY DATA'!$D:$D,$C1249,'SUMMARY DATA'!$B:$B,""RWS"")&lt;&gt;1
    ),
    """",
    IFERROR(TEXTJOIN(CHAR(10),TRUE,FILTER('SUMMARY DATA'!I:I,'SUMMARY DATA'!$D:$D=$C1249,'SUMMARY DATA'!$B:$B=""RWS"")),"""")
  )
)"),"")</f>
      </c>
      <c r="K1249" s="2"/>
      <c r="L1249" s="2"/>
      <c r="M1249" s="2"/>
      <c r="N1249" s="2"/>
      <c r="O1249" s="2"/>
      <c r="P1249" s="2"/>
      <c r="Q1249" s="2"/>
      <c r="R1249" s="2"/>
      <c r="S1249" s="2"/>
      <c r="T1249" s="2"/>
      <c r="U1249" s="2"/>
      <c r="V1249" s="2"/>
      <c r="W1249" s="2"/>
      <c r="X1249" s="2"/>
      <c r="Y1249" s="2"/>
      <c r="Z1249" s="2"/>
      <c r="AA1249" s="2"/>
      <c r="AB1249" s="2"/>
    </row>
    <row r="1250" spans="1:28" customHeight="true">
      <c r="A1250" s="2" t="s">
        <v>1790</v>
      </c>
      <c r="B1250" s="15">
        <v>45826</v>
      </c>
      <c r="C1250" s="2" t="s">
        <v>1791</v>
      </c>
      <c r="D1250" s="6">
        <v>50</v>
      </c>
      <c r="E1250" s="16" t="str">
        <f>IFERROR(__xludf.DUMMYFUNCTION("IFERROR(
  TEXTJOIN(CHAR(10),TRUE,FILTER('SUMMARY DATA'!E:E,'SUMMARY DATA'!$A:$A=$A351,'SUMMARY DATA'!$C:$C=$B351,'SUMMARY DATA'!$B:$B=""GRP"")),
  IF(
    OR(
      ISNUMBER(SEARCH(""CDM CASH DEPOSIT"",$C351)),
      ISNUMBER(SEARCH(""CASH DEPOSIT"",$C35"&amp;"1)),
      COUNTIFS('SUMMARY DATA'!$D:$D,$C351,'SUMMARY DATA'!$B:$B,""GRP"")&lt;&gt;1
    ),
    """",
    IFERROR(TEXTJOIN(CHAR(10),TRUE,FILTER('SUMMARY DATA'!E:E,'SUMMARY DATA'!$D:$D=$C351,'SUMMARY DATA'!$B:$B=""GRP"")),"""")
  )
)"),"")</f>
      </c>
      <c r="F1250" s="17" t="str">
        <f>IFERROR(__xludf.DUMMYFUNCTION("IFERROR(
  TEXTJOIN(CHAR(10),TRUE,FILTER('SUMMARY DATA'!F:F,'SUMMARY DATA'!$A:$A=$A351,'SUMMARY DATA'!$C:$C=$B351,'SUMMARY DATA'!$B:$B=""GRP"")),
  IF(
    OR(
      ISNUMBER(SEARCH(""CDM CASH DEPOSIT"",$C351)),
      ISNUMBER(SEARCH(""CASH DEPOSIT"",$C35"&amp;"1)),
      COUNTIFS('SUMMARY DATA'!$D:$D,$C351,'SUMMARY DATA'!$B:$B,""GRP"")&lt;&gt;1
    ),
    """",
    IFERROR(TEXTJOIN(CHAR(10),TRUE,FILTER('SUMMARY DATA'!F:F,'SUMMARY DATA'!$D:$D=$C351,'SUMMARY DATA'!$B:$B=""GRP"")),"""")
  )
)"),"")</f>
      </c>
      <c r="G1250" s="17" t="str">
        <f>IFERROR(__xludf.DUMMYFUNCTION("IFERROR(
  TEXTJOIN(CHAR(10),TRUE,FILTER('SUMMARY DATA'!G:G,'SUMMARY DATA'!$A:$A=$A1250,'SUMMARY DATA'!$C:$C=$B1250,'SUMMARY DATA'!$B:$B=""RWS"")),
  IF(
    OR(
      ISNUMBER(SEARCH(""CDM CASH DEPOSIT"",$C1250)),
      ISNUMBER(SEARCH(""CASH DEPOSIT"",$"&amp;"C1250)),
      COUNTIFS('SUMMARY DATA'!$D:$D,$C1250,'SUMMARY DATA'!$B:$B,""RWS"")&lt;&gt;1
    ),
    """",
    IFERROR(TEXTJOIN(CHAR(10),TRUE,FILTER('SUMMARY DATA'!G:G,'SUMMARY DATA'!$D:$D=$C1250,'SUMMARY DATA'!$B:$B=""RWS"")),"""")
  )
)"),"")</f>
      </c>
      <c r="H1250" s="18" t="str">
        <f>IFERROR(__xludf.DUMMYFUNCTION("IFERROR(
  TEXTJOIN(CHAR(10),TRUE,FILTER('SUMMARY DATA'!H:H,'SUMMARY DATA'!$A:$A=$A1250,'SUMMARY DATA'!$C:$C=$B1250,'SUMMARY DATA'!$B:$B=""RWS"",'SUMMARY DATA'!$H:$H=$D1250)),
  IF(
    OR(
      ISNUMBER(SEARCH(""CDM CASH DEPOSIT"",$C1250)),
      ISNUMB"&amp;"ER(SEARCH(""CASH DEPOSIT"",$C1250))
    ),
    """",
    IFERROR(TEXTJOIN(CHAR(10),TRUE,FILTER('SUMMARY DATA'!H:H,'SUMMARY DATA'!$D:$D=$C1250,'SUMMARY DATA'!$B:$B=""RWS"",'SUMMARY DATA'!$H:$H=$D1250)),"""")
  )
)"),"")</f>
      </c>
      <c r="I1250" s="18" t="str">
        <f>IFERROR(__xludf.DUMMYFUNCTION("IF(H1250="""","""",
SUM(ARRAYFORMULA(VALUE(SPLIT(H1250,CHAR(10)))))
)"),"")</f>
      </c>
      <c r="J1250" s="17" t="str">
        <f>IFERROR(__xludf.DUMMYFUNCTION("IFERROR(
  TEXTJOIN(CHAR(10),TRUE,FILTER('SUMMARY DATA'!I:I,'SUMMARY DATA'!$A:$A=$A1250,'SUMMARY DATA'!$C:$C=$B1250,'SUMMARY DATA'!$B:$B=""RWS"")),
  IF(
    OR(
      ISNUMBER(SEARCH(""CDM CASH DEPOSIT"",$C1250)),
      ISNUMBER(SEARCH(""CASH DEPOSIT"",$"&amp;"C1250)),
      COUNTIFS('SUMMARY DATA'!$D:$D,$C1250,'SUMMARY DATA'!$B:$B,""RWS"")&lt;&gt;1
    ),
    """",
    IFERROR(TEXTJOIN(CHAR(10),TRUE,FILTER('SUMMARY DATA'!I:I,'SUMMARY DATA'!$D:$D=$C1250,'SUMMARY DATA'!$B:$B=""RWS"")),"""")
  )
)"),"")</f>
      </c>
      <c r="K1250" s="2"/>
      <c r="L1250" s="2"/>
      <c r="M1250" s="2"/>
      <c r="N1250" s="2"/>
      <c r="O1250" s="2"/>
      <c r="P1250" s="2"/>
      <c r="Q1250" s="2"/>
      <c r="R1250" s="2"/>
      <c r="S1250" s="2"/>
      <c r="T1250" s="2"/>
      <c r="U1250" s="2"/>
      <c r="V1250" s="2"/>
      <c r="W1250" s="2"/>
      <c r="X1250" s="2"/>
      <c r="Y1250" s="2"/>
      <c r="Z1250" s="2"/>
      <c r="AA1250" s="2"/>
      <c r="AB1250" s="2"/>
    </row>
    <row r="1251" spans="1:28" customHeight="true">
      <c r="A1251" s="2"/>
      <c r="B1251" s="15">
        <v>45826</v>
      </c>
      <c r="C1251" s="2" t="s">
        <v>1792</v>
      </c>
      <c r="D1251" s="6">
        <v>9.99</v>
      </c>
      <c r="E1251" s="16" t="str">
        <f>IFERROR(__xludf.DUMMYFUNCTION("IFERROR(
  TEXTJOIN(CHAR(10),TRUE,FILTER('SUMMARY DATA'!E:E,'SUMMARY DATA'!$A:$A=$A352,'SUMMARY DATA'!$C:$C=$B352,'SUMMARY DATA'!$B:$B=""GRP"")),
  IF(
    OR(
      ISNUMBER(SEARCH(""CDM CASH DEPOSIT"",$C352)),
      ISNUMBER(SEARCH(""CASH DEPOSIT"",$C35"&amp;"2)),
      COUNTIFS('SUMMARY DATA'!$D:$D,$C352,'SUMMARY DATA'!$B:$B,""GRP"")&lt;&gt;1
    ),
    """",
    IFERROR(TEXTJOIN(CHAR(10),TRUE,FILTER('SUMMARY DATA'!E:E,'SUMMARY DATA'!$D:$D=$C352,'SUMMARY DATA'!$B:$B=""GRP"")),"""")
  )
)"),"")</f>
      </c>
      <c r="F1251" s="17" t="str">
        <f>IFERROR(__xludf.DUMMYFUNCTION("IFERROR(
  TEXTJOIN(CHAR(10),TRUE,FILTER('SUMMARY DATA'!F:F,'SUMMARY DATA'!$A:$A=$A352,'SUMMARY DATA'!$C:$C=$B352,'SUMMARY DATA'!$B:$B=""GRP"")),
  IF(
    OR(
      ISNUMBER(SEARCH(""CDM CASH DEPOSIT"",$C352)),
      ISNUMBER(SEARCH(""CASH DEPOSIT"",$C35"&amp;"2)),
      COUNTIFS('SUMMARY DATA'!$D:$D,$C352,'SUMMARY DATA'!$B:$B,""GRP"")&lt;&gt;1
    ),
    """",
    IFERROR(TEXTJOIN(CHAR(10),TRUE,FILTER('SUMMARY DATA'!F:F,'SUMMARY DATA'!$D:$D=$C352,'SUMMARY DATA'!$B:$B=""GRP"")),"""")
  )
)"),"")</f>
      </c>
      <c r="G1251" s="17" t="str">
        <f>IFERROR(__xludf.DUMMYFUNCTION("IFERROR(
  TEXTJOIN(CHAR(10),TRUE,FILTER('SUMMARY DATA'!G:G,'SUMMARY DATA'!$A:$A=$A1251,'SUMMARY DATA'!$C:$C=$B1251,'SUMMARY DATA'!$B:$B=""RWS"")),
  IF(
    OR(
      ISNUMBER(SEARCH(""CDM CASH DEPOSIT"",$C1251)),
      ISNUMBER(SEARCH(""CASH DEPOSIT"",$"&amp;"C1251)),
      COUNTIFS('SUMMARY DATA'!$D:$D,$C1251,'SUMMARY DATA'!$B:$B,""RWS"")&lt;&gt;1
    ),
    """",
    IFERROR(TEXTJOIN(CHAR(10),TRUE,FILTER('SUMMARY DATA'!G:G,'SUMMARY DATA'!$D:$D=$C1251,'SUMMARY DATA'!$B:$B=""RWS"")),"""")
  )
)"),"")</f>
      </c>
      <c r="H1251" s="18" t="str">
        <f>IFERROR(__xludf.DUMMYFUNCTION("IFERROR(
  TEXTJOIN(CHAR(10),TRUE,FILTER('SUMMARY DATA'!H:H,'SUMMARY DATA'!$A:$A=$A1251,'SUMMARY DATA'!$C:$C=$B1251,'SUMMARY DATA'!$B:$B=""RWS"",'SUMMARY DATA'!$H:$H=$D1251)),
  IF(
    OR(
      ISNUMBER(SEARCH(""CDM CASH DEPOSIT"",$C1251)),
      ISNUMB"&amp;"ER(SEARCH(""CASH DEPOSIT"",$C1251))
    ),
    """",
    IFERROR(TEXTJOIN(CHAR(10),TRUE,FILTER('SUMMARY DATA'!H:H,'SUMMARY DATA'!$D:$D=$C1251,'SUMMARY DATA'!$B:$B=""RWS"",'SUMMARY DATA'!$H:$H=$D1251)),"""")
  )
)"),"")</f>
      </c>
      <c r="I1251" s="18" t="str">
        <f>IFERROR(__xludf.DUMMYFUNCTION("IF(H1251="""","""",
SUM(ARRAYFORMULA(VALUE(SPLIT(H1251,CHAR(10)))))
)"),"")</f>
      </c>
      <c r="J1251" s="17" t="str">
        <f>IFERROR(__xludf.DUMMYFUNCTION("IFERROR(
  TEXTJOIN(CHAR(10),TRUE,FILTER('SUMMARY DATA'!I:I,'SUMMARY DATA'!$A:$A=$A1251,'SUMMARY DATA'!$C:$C=$B1251,'SUMMARY DATA'!$B:$B=""RWS"")),
  IF(
    OR(
      ISNUMBER(SEARCH(""CDM CASH DEPOSIT"",$C1251)),
      ISNUMBER(SEARCH(""CASH DEPOSIT"",$"&amp;"C1251)),
      COUNTIFS('SUMMARY DATA'!$D:$D,$C1251,'SUMMARY DATA'!$B:$B,""RWS"")&lt;&gt;1
    ),
    """",
    IFERROR(TEXTJOIN(CHAR(10),TRUE,FILTER('SUMMARY DATA'!I:I,'SUMMARY DATA'!$D:$D=$C1251,'SUMMARY DATA'!$B:$B=""RWS"")),"""")
  )
)"),"")</f>
      </c>
      <c r="K1251" s="2"/>
      <c r="L1251" s="2"/>
      <c r="M1251" s="2"/>
      <c r="N1251" s="2"/>
      <c r="O1251" s="2"/>
      <c r="P1251" s="2"/>
      <c r="Q1251" s="2"/>
      <c r="R1251" s="2"/>
      <c r="S1251" s="2"/>
      <c r="T1251" s="2"/>
      <c r="U1251" s="2"/>
      <c r="V1251" s="2"/>
      <c r="W1251" s="2"/>
      <c r="X1251" s="2"/>
      <c r="Y1251" s="2"/>
      <c r="Z1251" s="2"/>
      <c r="AA1251" s="2"/>
      <c r="AB1251" s="2"/>
    </row>
    <row r="1252" spans="1:28" customHeight="true">
      <c r="A1252" s="2" t="s">
        <v>1793</v>
      </c>
      <c r="B1252" s="15">
        <v>45827</v>
      </c>
      <c r="C1252" s="2" t="s">
        <v>1794</v>
      </c>
      <c r="D1252" s="6">
        <v>267</v>
      </c>
      <c r="E1252" s="16" t="str">
        <f>IFERROR(__xludf.DUMMYFUNCTION("IFERROR(
  TEXTJOIN(CHAR(10),TRUE,FILTER('SUMMARY DATA'!E:E,'SUMMARY DATA'!$A:$A=$A353,'SUMMARY DATA'!$C:$C=$B353,'SUMMARY DATA'!$B:$B=""GRP"")),
  IF(
    OR(
      ISNUMBER(SEARCH(""CDM CASH DEPOSIT"",$C353)),
      ISNUMBER(SEARCH(""CASH DEPOSIT"",$C35"&amp;"3)),
      COUNTIFS('SUMMARY DATA'!$D:$D,$C353,'SUMMARY DATA'!$B:$B,""GRP"")&lt;&gt;1
    ),
    """",
    IFERROR(TEXTJOIN(CHAR(10),TRUE,FILTER('SUMMARY DATA'!E:E,'SUMMARY DATA'!$D:$D=$C353,'SUMMARY DATA'!$B:$B=""GRP"")),"""")
  )
)"),"")</f>
      </c>
      <c r="F1252" s="17" t="str">
        <f>IFERROR(__xludf.DUMMYFUNCTION("IFERROR(
  TEXTJOIN(CHAR(10),TRUE,FILTER('SUMMARY DATA'!F:F,'SUMMARY DATA'!$A:$A=$A353,'SUMMARY DATA'!$C:$C=$B353,'SUMMARY DATA'!$B:$B=""GRP"")),
  IF(
    OR(
      ISNUMBER(SEARCH(""CDM CASH DEPOSIT"",$C353)),
      ISNUMBER(SEARCH(""CASH DEPOSIT"",$C35"&amp;"3)),
      COUNTIFS('SUMMARY DATA'!$D:$D,$C353,'SUMMARY DATA'!$B:$B,""GRP"")&lt;&gt;1
    ),
    """",
    IFERROR(TEXTJOIN(CHAR(10),TRUE,FILTER('SUMMARY DATA'!F:F,'SUMMARY DATA'!$D:$D=$C353,'SUMMARY DATA'!$B:$B=""GRP"")),"""")
  )
)"),"")</f>
      </c>
      <c r="G1252" s="17" t="str">
        <f>IFERROR(__xludf.DUMMYFUNCTION("IFERROR(
  TEXTJOIN(CHAR(10),TRUE,FILTER('SUMMARY DATA'!G:G,'SUMMARY DATA'!$A:$A=$A1252,'SUMMARY DATA'!$C:$C=$B1252,'SUMMARY DATA'!$B:$B=""RWS"")),
  IF(
    OR(
      ISNUMBER(SEARCH(""CDM CASH DEPOSIT"",$C1252)),
      ISNUMBER(SEARCH(""CASH DEPOSIT"",$"&amp;"C1252)),
      COUNTIFS('SUMMARY DATA'!$D:$D,$C1252,'SUMMARY DATA'!$B:$B,""RWS"")&lt;&gt;1
    ),
    """",
    IFERROR(TEXTJOIN(CHAR(10),TRUE,FILTER('SUMMARY DATA'!G:G,'SUMMARY DATA'!$D:$D=$C1252,'SUMMARY DATA'!$B:$B=""RWS"")),"""")
  )
)"),"")</f>
      </c>
      <c r="H1252" s="18" t="str">
        <f>IFERROR(__xludf.DUMMYFUNCTION("IFERROR(
  TEXTJOIN(CHAR(10),TRUE,FILTER('SUMMARY DATA'!H:H,'SUMMARY DATA'!$A:$A=$A1252,'SUMMARY DATA'!$C:$C=$B1252,'SUMMARY DATA'!$B:$B=""RWS"",'SUMMARY DATA'!$H:$H=$D1252)),
  IF(
    OR(
      ISNUMBER(SEARCH(""CDM CASH DEPOSIT"",$C1252)),
      ISNUMB"&amp;"ER(SEARCH(""CASH DEPOSIT"",$C1252))
    ),
    """",
    IFERROR(TEXTJOIN(CHAR(10),TRUE,FILTER('SUMMARY DATA'!H:H,'SUMMARY DATA'!$D:$D=$C1252,'SUMMARY DATA'!$B:$B=""RWS"",'SUMMARY DATA'!$H:$H=$D1252)),"""")
  )
)"),"")</f>
      </c>
      <c r="I1252" s="18" t="str">
        <f>IFERROR(__xludf.DUMMYFUNCTION("IF(H1252="""","""",
SUM(ARRAYFORMULA(VALUE(SPLIT(H1252,CHAR(10)))))
)"),"")</f>
      </c>
      <c r="J1252" s="17" t="str">
        <f>IFERROR(__xludf.DUMMYFUNCTION("IFERROR(
  TEXTJOIN(CHAR(10),TRUE,FILTER('SUMMARY DATA'!I:I,'SUMMARY DATA'!$A:$A=$A1252,'SUMMARY DATA'!$C:$C=$B1252,'SUMMARY DATA'!$B:$B=""RWS"")),
  IF(
    OR(
      ISNUMBER(SEARCH(""CDM CASH DEPOSIT"",$C1252)),
      ISNUMBER(SEARCH(""CASH DEPOSIT"",$"&amp;"C1252)),
      COUNTIFS('SUMMARY DATA'!$D:$D,$C1252,'SUMMARY DATA'!$B:$B,""RWS"")&lt;&gt;1
    ),
    """",
    IFERROR(TEXTJOIN(CHAR(10),TRUE,FILTER('SUMMARY DATA'!I:I,'SUMMARY DATA'!$D:$D=$C1252,'SUMMARY DATA'!$B:$B=""RWS"")),"""")
  )
)"),"")</f>
      </c>
      <c r="K1252" s="2"/>
      <c r="L1252" s="2"/>
      <c r="M1252" s="2"/>
      <c r="N1252" s="2"/>
      <c r="O1252" s="2"/>
      <c r="P1252" s="2"/>
      <c r="Q1252" s="2"/>
      <c r="R1252" s="2"/>
      <c r="S1252" s="2"/>
      <c r="T1252" s="2"/>
      <c r="U1252" s="2"/>
      <c r="V1252" s="2"/>
      <c r="W1252" s="2"/>
      <c r="X1252" s="2"/>
      <c r="Y1252" s="2"/>
      <c r="Z1252" s="2"/>
      <c r="AA1252" s="2"/>
      <c r="AB1252" s="2"/>
    </row>
    <row r="1253" spans="1:28" customHeight="true">
      <c r="A1253" s="2" t="s">
        <v>1795</v>
      </c>
      <c r="B1253" s="15">
        <v>45827</v>
      </c>
      <c r="C1253" s="2" t="s">
        <v>1796</v>
      </c>
      <c r="D1253" s="6">
        <v>115</v>
      </c>
      <c r="E1253" s="16" t="str">
        <f>IFERROR(__xludf.DUMMYFUNCTION("IFERROR(
  TEXTJOIN(CHAR(10),TRUE,FILTER('SUMMARY DATA'!E:E,'SUMMARY DATA'!$A:$A=$A354,'SUMMARY DATA'!$C:$C=$B354,'SUMMARY DATA'!$B:$B=""GRP"")),
  IF(
    OR(
      ISNUMBER(SEARCH(""CDM CASH DEPOSIT"",$C354)),
      ISNUMBER(SEARCH(""CASH DEPOSIT"",$C35"&amp;"4)),
      COUNTIFS('SUMMARY DATA'!$D:$D,$C354,'SUMMARY DATA'!$B:$B,""GRP"")&lt;&gt;1
    ),
    """",
    IFERROR(TEXTJOIN(CHAR(10),TRUE,FILTER('SUMMARY DATA'!E:E,'SUMMARY DATA'!$D:$D=$C354,'SUMMARY DATA'!$B:$B=""GRP"")),"""")
  )
)"),"")</f>
      </c>
      <c r="F1253" s="17" t="str">
        <f>IFERROR(__xludf.DUMMYFUNCTION("IFERROR(
  TEXTJOIN(CHAR(10),TRUE,FILTER('SUMMARY DATA'!F:F,'SUMMARY DATA'!$A:$A=$A354,'SUMMARY DATA'!$C:$C=$B354,'SUMMARY DATA'!$B:$B=""GRP"")),
  IF(
    OR(
      ISNUMBER(SEARCH(""CDM CASH DEPOSIT"",$C354)),
      ISNUMBER(SEARCH(""CASH DEPOSIT"",$C35"&amp;"4)),
      COUNTIFS('SUMMARY DATA'!$D:$D,$C354,'SUMMARY DATA'!$B:$B,""GRP"")&lt;&gt;1
    ),
    """",
    IFERROR(TEXTJOIN(CHAR(10),TRUE,FILTER('SUMMARY DATA'!F:F,'SUMMARY DATA'!$D:$D=$C354,'SUMMARY DATA'!$B:$B=""GRP"")),"""")
  )
)"),"")</f>
      </c>
      <c r="G1253" s="17" t="str">
        <f>IFERROR(__xludf.DUMMYFUNCTION("IFERROR(
  TEXTJOIN(CHAR(10),TRUE,FILTER('SUMMARY DATA'!G:G,'SUMMARY DATA'!$A:$A=$A1253,'SUMMARY DATA'!$C:$C=$B1253,'SUMMARY DATA'!$B:$B=""RWS"")),
  IF(
    OR(
      ISNUMBER(SEARCH(""CDM CASH DEPOSIT"",$C1253)),
      ISNUMBER(SEARCH(""CASH DEPOSIT"",$"&amp;"C1253)),
      COUNTIFS('SUMMARY DATA'!$D:$D,$C1253,'SUMMARY DATA'!$B:$B,""RWS"")&lt;&gt;1
    ),
    """",
    IFERROR(TEXTJOIN(CHAR(10),TRUE,FILTER('SUMMARY DATA'!G:G,'SUMMARY DATA'!$D:$D=$C1253,'SUMMARY DATA'!$B:$B=""RWS"")),"""")
  )
)"),"")</f>
      </c>
      <c r="H1253" s="18" t="str">
        <f>IFERROR(__xludf.DUMMYFUNCTION("IFERROR(
  TEXTJOIN(CHAR(10),TRUE,FILTER('SUMMARY DATA'!H:H,'SUMMARY DATA'!$A:$A=$A1253,'SUMMARY DATA'!$C:$C=$B1253,'SUMMARY DATA'!$B:$B=""RWS"",'SUMMARY DATA'!$H:$H=$D1253)),
  IF(
    OR(
      ISNUMBER(SEARCH(""CDM CASH DEPOSIT"",$C1253)),
      ISNUMB"&amp;"ER(SEARCH(""CASH DEPOSIT"",$C1253))
    ),
    """",
    IFERROR(TEXTJOIN(CHAR(10),TRUE,FILTER('SUMMARY DATA'!H:H,'SUMMARY DATA'!$D:$D=$C1253,'SUMMARY DATA'!$B:$B=""RWS"",'SUMMARY DATA'!$H:$H=$D1253)),"""")
  )
)"),"")</f>
      </c>
      <c r="I1253" s="18" t="str">
        <f>IFERROR(__xludf.DUMMYFUNCTION("IF(H1253="""","""",
SUM(ARRAYFORMULA(VALUE(SPLIT(H1253,CHAR(10)))))
)"),"")</f>
      </c>
      <c r="J1253" s="17" t="str">
        <f>IFERROR(__xludf.DUMMYFUNCTION("IFERROR(
  TEXTJOIN(CHAR(10),TRUE,FILTER('SUMMARY DATA'!I:I,'SUMMARY DATA'!$A:$A=$A1253,'SUMMARY DATA'!$C:$C=$B1253,'SUMMARY DATA'!$B:$B=""RWS"")),
  IF(
    OR(
      ISNUMBER(SEARCH(""CDM CASH DEPOSIT"",$C1253)),
      ISNUMBER(SEARCH(""CASH DEPOSIT"",$"&amp;"C1253)),
      COUNTIFS('SUMMARY DATA'!$D:$D,$C1253,'SUMMARY DATA'!$B:$B,""RWS"")&lt;&gt;1
    ),
    """",
    IFERROR(TEXTJOIN(CHAR(10),TRUE,FILTER('SUMMARY DATA'!I:I,'SUMMARY DATA'!$D:$D=$C1253,'SUMMARY DATA'!$B:$B=""RWS"")),"""")
  )
)"),"")</f>
      </c>
      <c r="K1253" s="2"/>
      <c r="L1253" s="2"/>
      <c r="M1253" s="2"/>
      <c r="N1253" s="2"/>
      <c r="O1253" s="2"/>
      <c r="P1253" s="2"/>
      <c r="Q1253" s="2"/>
      <c r="R1253" s="2"/>
      <c r="S1253" s="2"/>
      <c r="T1253" s="2"/>
      <c r="U1253" s="2"/>
      <c r="V1253" s="2"/>
      <c r="W1253" s="2"/>
      <c r="X1253" s="2"/>
      <c r="Y1253" s="2"/>
      <c r="Z1253" s="2"/>
      <c r="AA1253" s="2"/>
      <c r="AB1253" s="2"/>
    </row>
    <row r="1254" spans="1:28" customHeight="true">
      <c r="A1254" s="2"/>
      <c r="B1254" s="15">
        <v>45827</v>
      </c>
      <c r="C1254" s="2" t="s">
        <v>1797</v>
      </c>
      <c r="D1254" s="6">
        <v>41.76</v>
      </c>
      <c r="E1254" s="16" t="str">
        <f>IFERROR(__xludf.DUMMYFUNCTION("IFERROR(
  TEXTJOIN(CHAR(10),TRUE,FILTER('SUMMARY DATA'!E:E,'SUMMARY DATA'!$A:$A=$A355,'SUMMARY DATA'!$C:$C=$B355,'SUMMARY DATA'!$B:$B=""GRP"")),
  IF(
    OR(
      ISNUMBER(SEARCH(""CDM CASH DEPOSIT"",$C355)),
      ISNUMBER(SEARCH(""CASH DEPOSIT"",$C35"&amp;"5)),
      COUNTIFS('SUMMARY DATA'!$D:$D,$C355,'SUMMARY DATA'!$B:$B,""GRP"")&lt;&gt;1
    ),
    """",
    IFERROR(TEXTJOIN(CHAR(10),TRUE,FILTER('SUMMARY DATA'!E:E,'SUMMARY DATA'!$D:$D=$C355,'SUMMARY DATA'!$B:$B=""GRP"")),"""")
  )
)"),"")</f>
      </c>
      <c r="F1254" s="17" t="str">
        <f>IFERROR(__xludf.DUMMYFUNCTION("IFERROR(
  TEXTJOIN(CHAR(10),TRUE,FILTER('SUMMARY DATA'!F:F,'SUMMARY DATA'!$A:$A=$A355,'SUMMARY DATA'!$C:$C=$B355,'SUMMARY DATA'!$B:$B=""GRP"")),
  IF(
    OR(
      ISNUMBER(SEARCH(""CDM CASH DEPOSIT"",$C355)),
      ISNUMBER(SEARCH(""CASH DEPOSIT"",$C35"&amp;"5)),
      COUNTIFS('SUMMARY DATA'!$D:$D,$C355,'SUMMARY DATA'!$B:$B,""GRP"")&lt;&gt;1
    ),
    """",
    IFERROR(TEXTJOIN(CHAR(10),TRUE,FILTER('SUMMARY DATA'!F:F,'SUMMARY DATA'!$D:$D=$C355,'SUMMARY DATA'!$B:$B=""GRP"")),"""")
  )
)"),"")</f>
      </c>
      <c r="G1254" s="17" t="str">
        <f>IFERROR(__xludf.DUMMYFUNCTION("IFERROR(
  TEXTJOIN(CHAR(10),TRUE,FILTER('SUMMARY DATA'!G:G,'SUMMARY DATA'!$A:$A=$A1254,'SUMMARY DATA'!$C:$C=$B1254,'SUMMARY DATA'!$B:$B=""RWS"")),
  IF(
    OR(
      ISNUMBER(SEARCH(""CDM CASH DEPOSIT"",$C1254)),
      ISNUMBER(SEARCH(""CASH DEPOSIT"",$"&amp;"C1254)),
      COUNTIFS('SUMMARY DATA'!$D:$D,$C1254,'SUMMARY DATA'!$B:$B,""RWS"")&lt;&gt;1
    ),
    """",
    IFERROR(TEXTJOIN(CHAR(10),TRUE,FILTER('SUMMARY DATA'!G:G,'SUMMARY DATA'!$D:$D=$C1254,'SUMMARY DATA'!$B:$B=""RWS"")),"""")
  )
)"),"")</f>
      </c>
      <c r="H1254" s="18" t="str">
        <f>IFERROR(__xludf.DUMMYFUNCTION("IFERROR(
  TEXTJOIN(CHAR(10),TRUE,FILTER('SUMMARY DATA'!H:H,'SUMMARY DATA'!$A:$A=$A1254,'SUMMARY DATA'!$C:$C=$B1254,'SUMMARY DATA'!$B:$B=""RWS"",'SUMMARY DATA'!$H:$H=$D1254)),
  IF(
    OR(
      ISNUMBER(SEARCH(""CDM CASH DEPOSIT"",$C1254)),
      ISNUMB"&amp;"ER(SEARCH(""CASH DEPOSIT"",$C1254))
    ),
    """",
    IFERROR(TEXTJOIN(CHAR(10),TRUE,FILTER('SUMMARY DATA'!H:H,'SUMMARY DATA'!$D:$D=$C1254,'SUMMARY DATA'!$B:$B=""RWS"",'SUMMARY DATA'!$H:$H=$D1254)),"""")
  )
)"),"")</f>
      </c>
      <c r="I1254" s="18" t="str">
        <f>IFERROR(__xludf.DUMMYFUNCTION("IF(H1254="""","""",
SUM(ARRAYFORMULA(VALUE(SPLIT(H1254,CHAR(10)))))
)"),"")</f>
      </c>
      <c r="J1254" s="17" t="str">
        <f>IFERROR(__xludf.DUMMYFUNCTION("IFERROR(
  TEXTJOIN(CHAR(10),TRUE,FILTER('SUMMARY DATA'!I:I,'SUMMARY DATA'!$A:$A=$A1254,'SUMMARY DATA'!$C:$C=$B1254,'SUMMARY DATA'!$B:$B=""RWS"")),
  IF(
    OR(
      ISNUMBER(SEARCH(""CDM CASH DEPOSIT"",$C1254)),
      ISNUMBER(SEARCH(""CASH DEPOSIT"",$"&amp;"C1254)),
      COUNTIFS('SUMMARY DATA'!$D:$D,$C1254,'SUMMARY DATA'!$B:$B,""RWS"")&lt;&gt;1
    ),
    """",
    IFERROR(TEXTJOIN(CHAR(10),TRUE,FILTER('SUMMARY DATA'!I:I,'SUMMARY DATA'!$D:$D=$C1254,'SUMMARY DATA'!$B:$B=""RWS"")),"""")
  )
)"),"")</f>
      </c>
      <c r="K1254" s="2"/>
      <c r="L1254" s="2"/>
      <c r="M1254" s="2"/>
      <c r="N1254" s="2"/>
      <c r="O1254" s="2"/>
      <c r="P1254" s="2"/>
      <c r="Q1254" s="2"/>
      <c r="R1254" s="2"/>
      <c r="S1254" s="2"/>
      <c r="T1254" s="2"/>
      <c r="U1254" s="2"/>
      <c r="V1254" s="2"/>
      <c r="W1254" s="2"/>
      <c r="X1254" s="2"/>
      <c r="Y1254" s="2"/>
      <c r="Z1254" s="2"/>
      <c r="AA1254" s="2"/>
      <c r="AB1254" s="2"/>
    </row>
    <row r="1255" spans="1:28" customHeight="true">
      <c r="A1255" s="2"/>
      <c r="B1255" s="15">
        <v>45827</v>
      </c>
      <c r="C1255" s="2" t="s">
        <v>1798</v>
      </c>
      <c r="D1255" s="6">
        <v>34.85</v>
      </c>
      <c r="E1255" s="16" t="str">
        <f>IFERROR(__xludf.DUMMYFUNCTION("IFERROR(
  TEXTJOIN(CHAR(10),TRUE,FILTER('SUMMARY DATA'!E:E,'SUMMARY DATA'!$A:$A=$A356,'SUMMARY DATA'!$C:$C=$B356,'SUMMARY DATA'!$B:$B=""GRP"")),
  IF(
    OR(
      ISNUMBER(SEARCH(""CDM CASH DEPOSIT"",$C356)),
      ISNUMBER(SEARCH(""CASH DEPOSIT"",$C35"&amp;"6)),
      COUNTIFS('SUMMARY DATA'!$D:$D,$C356,'SUMMARY DATA'!$B:$B,""GRP"")&lt;&gt;1
    ),
    """",
    IFERROR(TEXTJOIN(CHAR(10),TRUE,FILTER('SUMMARY DATA'!E:E,'SUMMARY DATA'!$D:$D=$C356,'SUMMARY DATA'!$B:$B=""GRP"")),"""")
  )
)"),"")</f>
      </c>
      <c r="F1255" s="17" t="str">
        <f>IFERROR(__xludf.DUMMYFUNCTION("IFERROR(
  TEXTJOIN(CHAR(10),TRUE,FILTER('SUMMARY DATA'!F:F,'SUMMARY DATA'!$A:$A=$A356,'SUMMARY DATA'!$C:$C=$B356,'SUMMARY DATA'!$B:$B=""GRP"")),
  IF(
    OR(
      ISNUMBER(SEARCH(""CDM CASH DEPOSIT"",$C356)),
      ISNUMBER(SEARCH(""CASH DEPOSIT"",$C35"&amp;"6)),
      COUNTIFS('SUMMARY DATA'!$D:$D,$C356,'SUMMARY DATA'!$B:$B,""GRP"")&lt;&gt;1
    ),
    """",
    IFERROR(TEXTJOIN(CHAR(10),TRUE,FILTER('SUMMARY DATA'!F:F,'SUMMARY DATA'!$D:$D=$C356,'SUMMARY DATA'!$B:$B=""GRP"")),"""")
  )
)"),"")</f>
      </c>
      <c r="G1255" s="17" t="str">
        <f>IFERROR(__xludf.DUMMYFUNCTION("IFERROR(
  TEXTJOIN(CHAR(10),TRUE,FILTER('SUMMARY DATA'!G:G,'SUMMARY DATA'!$A:$A=$A1255,'SUMMARY DATA'!$C:$C=$B1255,'SUMMARY DATA'!$B:$B=""RWS"")),
  IF(
    OR(
      ISNUMBER(SEARCH(""CDM CASH DEPOSIT"",$C1255)),
      ISNUMBER(SEARCH(""CASH DEPOSIT"",$"&amp;"C1255)),
      COUNTIFS('SUMMARY DATA'!$D:$D,$C1255,'SUMMARY DATA'!$B:$B,""RWS"")&lt;&gt;1
    ),
    """",
    IFERROR(TEXTJOIN(CHAR(10),TRUE,FILTER('SUMMARY DATA'!G:G,'SUMMARY DATA'!$D:$D=$C1255,'SUMMARY DATA'!$B:$B=""RWS"")),"""")
  )
)"),"")</f>
      </c>
      <c r="H1255" s="18" t="str">
        <f>IFERROR(__xludf.DUMMYFUNCTION("IFERROR(
  TEXTJOIN(CHAR(10),TRUE,FILTER('SUMMARY DATA'!H:H,'SUMMARY DATA'!$A:$A=$A1255,'SUMMARY DATA'!$C:$C=$B1255,'SUMMARY DATA'!$B:$B=""RWS"",'SUMMARY DATA'!$H:$H=$D1255)),
  IF(
    OR(
      ISNUMBER(SEARCH(""CDM CASH DEPOSIT"",$C1255)),
      ISNUMB"&amp;"ER(SEARCH(""CASH DEPOSIT"",$C1255))
    ),
    """",
    IFERROR(TEXTJOIN(CHAR(10),TRUE,FILTER('SUMMARY DATA'!H:H,'SUMMARY DATA'!$D:$D=$C1255,'SUMMARY DATA'!$B:$B=""RWS"",'SUMMARY DATA'!$H:$H=$D1255)),"""")
  )
)"),"")</f>
      </c>
      <c r="I1255" s="18" t="str">
        <f>IFERROR(__xludf.DUMMYFUNCTION("IF(H1255="""","""",
SUM(ARRAYFORMULA(VALUE(SPLIT(H1255,CHAR(10)))))
)"),"")</f>
      </c>
      <c r="J1255" s="17" t="str">
        <f>IFERROR(__xludf.DUMMYFUNCTION("IFERROR(
  TEXTJOIN(CHAR(10),TRUE,FILTER('SUMMARY DATA'!I:I,'SUMMARY DATA'!$A:$A=$A1255,'SUMMARY DATA'!$C:$C=$B1255,'SUMMARY DATA'!$B:$B=""RWS"")),
  IF(
    OR(
      ISNUMBER(SEARCH(""CDM CASH DEPOSIT"",$C1255)),
      ISNUMBER(SEARCH(""CASH DEPOSIT"",$"&amp;"C1255)),
      COUNTIFS('SUMMARY DATA'!$D:$D,$C1255,'SUMMARY DATA'!$B:$B,""RWS"")&lt;&gt;1
    ),
    """",
    IFERROR(TEXTJOIN(CHAR(10),TRUE,FILTER('SUMMARY DATA'!I:I,'SUMMARY DATA'!$D:$D=$C1255,'SUMMARY DATA'!$B:$B=""RWS"")),"""")
  )
)"),"")</f>
      </c>
      <c r="K1255" s="2"/>
      <c r="L1255" s="2"/>
      <c r="M1255" s="2"/>
      <c r="N1255" s="2"/>
      <c r="O1255" s="2"/>
      <c r="P1255" s="2"/>
      <c r="Q1255" s="2"/>
      <c r="R1255" s="2"/>
      <c r="S1255" s="2"/>
      <c r="T1255" s="2"/>
      <c r="U1255" s="2"/>
      <c r="V1255" s="2"/>
      <c r="W1255" s="2"/>
      <c r="X1255" s="2"/>
      <c r="Y1255" s="2"/>
      <c r="Z1255" s="2"/>
      <c r="AA1255" s="2"/>
      <c r="AB1255" s="2"/>
    </row>
    <row r="1256" spans="1:28" customHeight="true">
      <c r="A1256" s="2" t="s">
        <v>1799</v>
      </c>
      <c r="B1256" s="15">
        <v>45827</v>
      </c>
      <c r="C1256" s="2" t="s">
        <v>1800</v>
      </c>
      <c r="D1256" s="6">
        <v>10</v>
      </c>
      <c r="E1256" s="16" t="str">
        <f>IFERROR(__xludf.DUMMYFUNCTION("IFERROR(
  TEXTJOIN(CHAR(10),TRUE,FILTER('SUMMARY DATA'!E:E,'SUMMARY DATA'!$A:$A=$A357,'SUMMARY DATA'!$C:$C=$B357,'SUMMARY DATA'!$B:$B=""GRP"")),
  IF(
    OR(
      ISNUMBER(SEARCH(""CDM CASH DEPOSIT"",$C357)),
      ISNUMBER(SEARCH(""CASH DEPOSIT"",$C35"&amp;"7)),
      COUNTIFS('SUMMARY DATA'!$D:$D,$C357,'SUMMARY DATA'!$B:$B,""GRP"")&lt;&gt;1
    ),
    """",
    IFERROR(TEXTJOIN(CHAR(10),TRUE,FILTER('SUMMARY DATA'!E:E,'SUMMARY DATA'!$D:$D=$C357,'SUMMARY DATA'!$B:$B=""GRP"")),"""")
  )
)"),"")</f>
      </c>
      <c r="F1256" s="17" t="str">
        <f>IFERROR(__xludf.DUMMYFUNCTION("IFERROR(
  TEXTJOIN(CHAR(10),TRUE,FILTER('SUMMARY DATA'!F:F,'SUMMARY DATA'!$A:$A=$A357,'SUMMARY DATA'!$C:$C=$B357,'SUMMARY DATA'!$B:$B=""GRP"")),
  IF(
    OR(
      ISNUMBER(SEARCH(""CDM CASH DEPOSIT"",$C357)),
      ISNUMBER(SEARCH(""CASH DEPOSIT"",$C35"&amp;"7)),
      COUNTIFS('SUMMARY DATA'!$D:$D,$C357,'SUMMARY DATA'!$B:$B,""GRP"")&lt;&gt;1
    ),
    """",
    IFERROR(TEXTJOIN(CHAR(10),TRUE,FILTER('SUMMARY DATA'!F:F,'SUMMARY DATA'!$D:$D=$C357,'SUMMARY DATA'!$B:$B=""GRP"")),"""")
  )
)"),"")</f>
      </c>
      <c r="G1256" s="17" t="str">
        <f>IFERROR(__xludf.DUMMYFUNCTION("IFERROR(
  TEXTJOIN(CHAR(10),TRUE,FILTER('SUMMARY DATA'!G:G,'SUMMARY DATA'!$A:$A=$A1256,'SUMMARY DATA'!$C:$C=$B1256,'SUMMARY DATA'!$B:$B=""RWS"")),
  IF(
    OR(
      ISNUMBER(SEARCH(""CDM CASH DEPOSIT"",$C1256)),
      ISNUMBER(SEARCH(""CASH DEPOSIT"",$"&amp;"C1256)),
      COUNTIFS('SUMMARY DATA'!$D:$D,$C1256,'SUMMARY DATA'!$B:$B,""RWS"")&lt;&gt;1
    ),
    """",
    IFERROR(TEXTJOIN(CHAR(10),TRUE,FILTER('SUMMARY DATA'!G:G,'SUMMARY DATA'!$D:$D=$C1256,'SUMMARY DATA'!$B:$B=""RWS"")),"""")
  )
)"),"")</f>
      </c>
      <c r="H1256" s="18" t="str">
        <f>IFERROR(__xludf.DUMMYFUNCTION("IFERROR(
  TEXTJOIN(CHAR(10),TRUE,FILTER('SUMMARY DATA'!H:H,'SUMMARY DATA'!$A:$A=$A1256,'SUMMARY DATA'!$C:$C=$B1256,'SUMMARY DATA'!$B:$B=""RWS"",'SUMMARY DATA'!$H:$H=$D1256)),
  IF(
    OR(
      ISNUMBER(SEARCH(""CDM CASH DEPOSIT"",$C1256)),
      ISNUMB"&amp;"ER(SEARCH(""CASH DEPOSIT"",$C1256))
    ),
    """",
    IFERROR(TEXTJOIN(CHAR(10),TRUE,FILTER('SUMMARY DATA'!H:H,'SUMMARY DATA'!$D:$D=$C1256,'SUMMARY DATA'!$B:$B=""RWS"",'SUMMARY DATA'!$H:$H=$D1256)),"""")
  )
)"),"")</f>
      </c>
      <c r="I1256" s="18" t="str">
        <f>IFERROR(__xludf.DUMMYFUNCTION("IF(H1256="""","""",
SUM(ARRAYFORMULA(VALUE(SPLIT(H1256,CHAR(10)))))
)"),"")</f>
      </c>
      <c r="J1256" s="17" t="str">
        <f>IFERROR(__xludf.DUMMYFUNCTION("IFERROR(
  TEXTJOIN(CHAR(10),TRUE,FILTER('SUMMARY DATA'!I:I,'SUMMARY DATA'!$A:$A=$A1256,'SUMMARY DATA'!$C:$C=$B1256,'SUMMARY DATA'!$B:$B=""RWS"")),
  IF(
    OR(
      ISNUMBER(SEARCH(""CDM CASH DEPOSIT"",$C1256)),
      ISNUMBER(SEARCH(""CASH DEPOSIT"",$"&amp;"C1256)),
      COUNTIFS('SUMMARY DATA'!$D:$D,$C1256,'SUMMARY DATA'!$B:$B,""RWS"")&lt;&gt;1
    ),
    """",
    IFERROR(TEXTJOIN(CHAR(10),TRUE,FILTER('SUMMARY DATA'!I:I,'SUMMARY DATA'!$D:$D=$C1256,'SUMMARY DATA'!$B:$B=""RWS"")),"""")
  )
)"),"")</f>
      </c>
      <c r="K1256" s="2"/>
      <c r="L1256" s="2"/>
      <c r="M1256" s="2"/>
      <c r="N1256" s="2"/>
      <c r="O1256" s="2"/>
      <c r="P1256" s="2"/>
      <c r="Q1256" s="2"/>
      <c r="R1256" s="2"/>
      <c r="S1256" s="2"/>
      <c r="T1256" s="2"/>
      <c r="U1256" s="2"/>
      <c r="V1256" s="2"/>
      <c r="W1256" s="2"/>
      <c r="X1256" s="2"/>
      <c r="Y1256" s="2"/>
      <c r="Z1256" s="2"/>
      <c r="AA1256" s="2"/>
      <c r="AB1256" s="2"/>
    </row>
    <row r="1257" spans="1:28" customHeight="true">
      <c r="A1257" s="2" t="s">
        <v>1801</v>
      </c>
      <c r="B1257" s="15">
        <v>45827</v>
      </c>
      <c r="C1257" s="2" t="s">
        <v>1802</v>
      </c>
      <c r="D1257" s="6">
        <v>10</v>
      </c>
      <c r="E1257" s="16" t="str">
        <f>IFERROR(__xludf.DUMMYFUNCTION("IFERROR(
  TEXTJOIN(CHAR(10),TRUE,FILTER('SUMMARY DATA'!E:E,'SUMMARY DATA'!$A:$A=$A358,'SUMMARY DATA'!$C:$C=$B358,'SUMMARY DATA'!$B:$B=""GRP"")),
  IF(
    OR(
      ISNUMBER(SEARCH(""CDM CASH DEPOSIT"",$C358)),
      ISNUMBER(SEARCH(""CASH DEPOSIT"",$C35"&amp;"8)),
      COUNTIFS('SUMMARY DATA'!$D:$D,$C358,'SUMMARY DATA'!$B:$B,""GRP"")&lt;&gt;1
    ),
    """",
    IFERROR(TEXTJOIN(CHAR(10),TRUE,FILTER('SUMMARY DATA'!E:E,'SUMMARY DATA'!$D:$D=$C358,'SUMMARY DATA'!$B:$B=""GRP"")),"""")
  )
)"),"")</f>
      </c>
      <c r="F1257" s="17" t="str">
        <f>IFERROR(__xludf.DUMMYFUNCTION("IFERROR(
  TEXTJOIN(CHAR(10),TRUE,FILTER('SUMMARY DATA'!F:F,'SUMMARY DATA'!$A:$A=$A358,'SUMMARY DATA'!$C:$C=$B358,'SUMMARY DATA'!$B:$B=""GRP"")),
  IF(
    OR(
      ISNUMBER(SEARCH(""CDM CASH DEPOSIT"",$C358)),
      ISNUMBER(SEARCH(""CASH DEPOSIT"",$C35"&amp;"8)),
      COUNTIFS('SUMMARY DATA'!$D:$D,$C358,'SUMMARY DATA'!$B:$B,""GRP"")&lt;&gt;1
    ),
    """",
    IFERROR(TEXTJOIN(CHAR(10),TRUE,FILTER('SUMMARY DATA'!F:F,'SUMMARY DATA'!$D:$D=$C358,'SUMMARY DATA'!$B:$B=""GRP"")),"""")
  )
)"),"")</f>
      </c>
      <c r="G1257" s="17" t="str">
        <f>IFERROR(__xludf.DUMMYFUNCTION("IFERROR(
  TEXTJOIN(CHAR(10),TRUE,FILTER('SUMMARY DATA'!G:G,'SUMMARY DATA'!$A:$A=$A1257,'SUMMARY DATA'!$C:$C=$B1257,'SUMMARY DATA'!$B:$B=""RWS"")),
  IF(
    OR(
      ISNUMBER(SEARCH(""CDM CASH DEPOSIT"",$C1257)),
      ISNUMBER(SEARCH(""CASH DEPOSIT"",$"&amp;"C1257)),
      COUNTIFS('SUMMARY DATA'!$D:$D,$C1257,'SUMMARY DATA'!$B:$B,""RWS"")&lt;&gt;1
    ),
    """",
    IFERROR(TEXTJOIN(CHAR(10),TRUE,FILTER('SUMMARY DATA'!G:G,'SUMMARY DATA'!$D:$D=$C1257,'SUMMARY DATA'!$B:$B=""RWS"")),"""")
  )
)"),"")</f>
      </c>
      <c r="H1257" s="18" t="str">
        <f>IFERROR(__xludf.DUMMYFUNCTION("IFERROR(
  TEXTJOIN(CHAR(10),TRUE,FILTER('SUMMARY DATA'!H:H,'SUMMARY DATA'!$A:$A=$A1257,'SUMMARY DATA'!$C:$C=$B1257,'SUMMARY DATA'!$B:$B=""RWS"",'SUMMARY DATA'!$H:$H=$D1257)),
  IF(
    OR(
      ISNUMBER(SEARCH(""CDM CASH DEPOSIT"",$C1257)),
      ISNUMB"&amp;"ER(SEARCH(""CASH DEPOSIT"",$C1257))
    ),
    """",
    IFERROR(TEXTJOIN(CHAR(10),TRUE,FILTER('SUMMARY DATA'!H:H,'SUMMARY DATA'!$D:$D=$C1257,'SUMMARY DATA'!$B:$B=""RWS"",'SUMMARY DATA'!$H:$H=$D1257)),"""")
  )
)"),"")</f>
      </c>
      <c r="I1257" s="18" t="str">
        <f>IFERROR(__xludf.DUMMYFUNCTION("IF(H1257="""","""",
SUM(ARRAYFORMULA(VALUE(SPLIT(H1257,CHAR(10)))))
)"),"")</f>
      </c>
      <c r="J1257" s="17" t="str">
        <f>IFERROR(__xludf.DUMMYFUNCTION("IFERROR(
  TEXTJOIN(CHAR(10),TRUE,FILTER('SUMMARY DATA'!I:I,'SUMMARY DATA'!$A:$A=$A1257,'SUMMARY DATA'!$C:$C=$B1257,'SUMMARY DATA'!$B:$B=""RWS"")),
  IF(
    OR(
      ISNUMBER(SEARCH(""CDM CASH DEPOSIT"",$C1257)),
      ISNUMBER(SEARCH(""CASH DEPOSIT"",$"&amp;"C1257)),
      COUNTIFS('SUMMARY DATA'!$D:$D,$C1257,'SUMMARY DATA'!$B:$B,""RWS"")&lt;&gt;1
    ),
    """",
    IFERROR(TEXTJOIN(CHAR(10),TRUE,FILTER('SUMMARY DATA'!I:I,'SUMMARY DATA'!$D:$D=$C1257,'SUMMARY DATA'!$B:$B=""RWS"")),"""")
  )
)"),"")</f>
      </c>
      <c r="K1257" s="2"/>
      <c r="L1257" s="2"/>
      <c r="M1257" s="2"/>
      <c r="N1257" s="2"/>
      <c r="O1257" s="2"/>
      <c r="P1257" s="2"/>
      <c r="Q1257" s="2"/>
      <c r="R1257" s="2"/>
      <c r="S1257" s="2"/>
      <c r="T1257" s="2"/>
      <c r="U1257" s="2"/>
      <c r="V1257" s="2"/>
      <c r="W1257" s="2"/>
      <c r="X1257" s="2"/>
      <c r="Y1257" s="2"/>
      <c r="Z1257" s="2"/>
      <c r="AA1257" s="2"/>
      <c r="AB1257" s="2"/>
    </row>
    <row r="1258" spans="1:28" customHeight="true">
      <c r="A1258" s="2" t="s">
        <v>1803</v>
      </c>
      <c r="B1258" s="15">
        <v>45828</v>
      </c>
      <c r="C1258" s="2" t="s">
        <v>1804</v>
      </c>
      <c r="D1258" s="6">
        <v>216.75</v>
      </c>
      <c r="E1258" s="16" t="str">
        <f>IFERROR(__xludf.DUMMYFUNCTION("IFERROR(
  TEXTJOIN(CHAR(10),TRUE,FILTER('SUMMARY DATA'!E:E,'SUMMARY DATA'!$A:$A=$A359,'SUMMARY DATA'!$C:$C=$B359,'SUMMARY DATA'!$B:$B=""GRP"")),
  IF(
    OR(
      ISNUMBER(SEARCH(""CDM CASH DEPOSIT"",$C359)),
      ISNUMBER(SEARCH(""CASH DEPOSIT"",$C35"&amp;"9)),
      COUNTIFS('SUMMARY DATA'!$D:$D,$C359,'SUMMARY DATA'!$B:$B,""GRP"")&lt;&gt;1
    ),
    """",
    IFERROR(TEXTJOIN(CHAR(10),TRUE,FILTER('SUMMARY DATA'!E:E,'SUMMARY DATA'!$D:$D=$C359,'SUMMARY DATA'!$B:$B=""GRP"")),"""")
  )
)"),"")</f>
      </c>
      <c r="F1258" s="17" t="str">
        <f>IFERROR(__xludf.DUMMYFUNCTION("IFERROR(
  TEXTJOIN(CHAR(10),TRUE,FILTER('SUMMARY DATA'!F:F,'SUMMARY DATA'!$A:$A=$A359,'SUMMARY DATA'!$C:$C=$B359,'SUMMARY DATA'!$B:$B=""GRP"")),
  IF(
    OR(
      ISNUMBER(SEARCH(""CDM CASH DEPOSIT"",$C359)),
      ISNUMBER(SEARCH(""CASH DEPOSIT"",$C35"&amp;"9)),
      COUNTIFS('SUMMARY DATA'!$D:$D,$C359,'SUMMARY DATA'!$B:$B,""GRP"")&lt;&gt;1
    ),
    """",
    IFERROR(TEXTJOIN(CHAR(10),TRUE,FILTER('SUMMARY DATA'!F:F,'SUMMARY DATA'!$D:$D=$C359,'SUMMARY DATA'!$B:$B=""GRP"")),"""")
  )
)"),"")</f>
      </c>
      <c r="G1258" s="17" t="str">
        <f>IFERROR(__xludf.DUMMYFUNCTION("IFERROR(
  TEXTJOIN(CHAR(10),TRUE,FILTER('SUMMARY DATA'!G:G,'SUMMARY DATA'!$A:$A=$A1258,'SUMMARY DATA'!$C:$C=$B1258,'SUMMARY DATA'!$B:$B=""RWS"")),
  IF(
    OR(
      ISNUMBER(SEARCH(""CDM CASH DEPOSIT"",$C1258)),
      ISNUMBER(SEARCH(""CASH DEPOSIT"",$"&amp;"C1258)),
      COUNTIFS('SUMMARY DATA'!$D:$D,$C1258,'SUMMARY DATA'!$B:$B,""RWS"")&lt;&gt;1
    ),
    """",
    IFERROR(TEXTJOIN(CHAR(10),TRUE,FILTER('SUMMARY DATA'!G:G,'SUMMARY DATA'!$D:$D=$C1258,'SUMMARY DATA'!$B:$B=""RWS"")),"""")
  )
)"),"")</f>
      </c>
      <c r="H1258" s="18" t="str">
        <f>IFERROR(__xludf.DUMMYFUNCTION("IFERROR(
  TEXTJOIN(CHAR(10),TRUE,FILTER('SUMMARY DATA'!H:H,'SUMMARY DATA'!$A:$A=$A1258,'SUMMARY DATA'!$C:$C=$B1258,'SUMMARY DATA'!$B:$B=""RWS"",'SUMMARY DATA'!$H:$H=$D1258)),
  IF(
    OR(
      ISNUMBER(SEARCH(""CDM CASH DEPOSIT"",$C1258)),
      ISNUMB"&amp;"ER(SEARCH(""CASH DEPOSIT"",$C1258))
    ),
    """",
    IFERROR(TEXTJOIN(CHAR(10),TRUE,FILTER('SUMMARY DATA'!H:H,'SUMMARY DATA'!$D:$D=$C1258,'SUMMARY DATA'!$B:$B=""RWS"",'SUMMARY DATA'!$H:$H=$D1258)),"""")
  )
)"),"")</f>
      </c>
      <c r="I1258" s="18" t="str">
        <f>IFERROR(__xludf.DUMMYFUNCTION("IF(H1258="""","""",
SUM(ARRAYFORMULA(VALUE(SPLIT(H1258,CHAR(10)))))
)"),"")</f>
      </c>
      <c r="J1258" s="17" t="str">
        <f>IFERROR(__xludf.DUMMYFUNCTION("IFERROR(
  TEXTJOIN(CHAR(10),TRUE,FILTER('SUMMARY DATA'!I:I,'SUMMARY DATA'!$A:$A=$A1258,'SUMMARY DATA'!$C:$C=$B1258,'SUMMARY DATA'!$B:$B=""RWS"")),
  IF(
    OR(
      ISNUMBER(SEARCH(""CDM CASH DEPOSIT"",$C1258)),
      ISNUMBER(SEARCH(""CASH DEPOSIT"",$"&amp;"C1258)),
      COUNTIFS('SUMMARY DATA'!$D:$D,$C1258,'SUMMARY DATA'!$B:$B,""RWS"")&lt;&gt;1
    ),
    """",
    IFERROR(TEXTJOIN(CHAR(10),TRUE,FILTER('SUMMARY DATA'!I:I,'SUMMARY DATA'!$D:$D=$C1258,'SUMMARY DATA'!$B:$B=""RWS"")),"""")
  )
)"),"")</f>
      </c>
      <c r="K1258" s="2"/>
      <c r="L1258" s="2"/>
      <c r="M1258" s="2"/>
      <c r="N1258" s="2"/>
      <c r="O1258" s="2"/>
      <c r="P1258" s="2"/>
      <c r="Q1258" s="2"/>
      <c r="R1258" s="2"/>
      <c r="S1258" s="2"/>
      <c r="T1258" s="2"/>
      <c r="U1258" s="2"/>
      <c r="V1258" s="2"/>
      <c r="W1258" s="2"/>
      <c r="X1258" s="2"/>
      <c r="Y1258" s="2"/>
      <c r="Z1258" s="2"/>
      <c r="AA1258" s="2"/>
      <c r="AB1258" s="2"/>
    </row>
    <row r="1259" spans="1:28" customHeight="true">
      <c r="A1259" s="2" t="s">
        <v>1446</v>
      </c>
      <c r="B1259" s="15">
        <v>45828</v>
      </c>
      <c r="C1259" s="2" t="s">
        <v>1805</v>
      </c>
      <c r="D1259" s="6">
        <v>145</v>
      </c>
      <c r="E1259" s="16" t="str">
        <f>IFERROR(__xludf.DUMMYFUNCTION("IFERROR(
  TEXTJOIN(CHAR(10),TRUE,FILTER('SUMMARY DATA'!E:E,'SUMMARY DATA'!$A:$A=$A360,'SUMMARY DATA'!$C:$C=$B360,'SUMMARY DATA'!$B:$B=""GRP"")),
  IF(
    OR(
      ISNUMBER(SEARCH(""CDM CASH DEPOSIT"",$C360)),
      ISNUMBER(SEARCH(""CASH DEPOSIT"",$C36"&amp;"0)),
      COUNTIFS('SUMMARY DATA'!$D:$D,$C360,'SUMMARY DATA'!$B:$B,""GRP"")&lt;&gt;1
    ),
    """",
    IFERROR(TEXTJOIN(CHAR(10),TRUE,FILTER('SUMMARY DATA'!E:E,'SUMMARY DATA'!$D:$D=$C360,'SUMMARY DATA'!$B:$B=""GRP"")),"""")
  )
)"),"")</f>
      </c>
      <c r="F1259" s="17" t="str">
        <f>IFERROR(__xludf.DUMMYFUNCTION("IFERROR(
  TEXTJOIN(CHAR(10),TRUE,FILTER('SUMMARY DATA'!F:F,'SUMMARY DATA'!$A:$A=$A360,'SUMMARY DATA'!$C:$C=$B360,'SUMMARY DATA'!$B:$B=""GRP"")),
  IF(
    OR(
      ISNUMBER(SEARCH(""CDM CASH DEPOSIT"",$C360)),
      ISNUMBER(SEARCH(""CASH DEPOSIT"",$C36"&amp;"0)),
      COUNTIFS('SUMMARY DATA'!$D:$D,$C360,'SUMMARY DATA'!$B:$B,""GRP"")&lt;&gt;1
    ),
    """",
    IFERROR(TEXTJOIN(CHAR(10),TRUE,FILTER('SUMMARY DATA'!F:F,'SUMMARY DATA'!$D:$D=$C360,'SUMMARY DATA'!$B:$B=""GRP"")),"""")
  )
)"),"")</f>
      </c>
      <c r="G1259" s="17" t="str">
        <f>IFERROR(__xludf.DUMMYFUNCTION("IFERROR(
  TEXTJOIN(CHAR(10),TRUE,FILTER('SUMMARY DATA'!G:G,'SUMMARY DATA'!$A:$A=$A1259,'SUMMARY DATA'!$C:$C=$B1259,'SUMMARY DATA'!$B:$B=""RWS"")),
  IF(
    OR(
      ISNUMBER(SEARCH(""CDM CASH DEPOSIT"",$C1259)),
      ISNUMBER(SEARCH(""CASH DEPOSIT"",$"&amp;"C1259)),
      COUNTIFS('SUMMARY DATA'!$D:$D,$C1259,'SUMMARY DATA'!$B:$B,""RWS"")&lt;&gt;1
    ),
    """",
    IFERROR(TEXTJOIN(CHAR(10),TRUE,FILTER('SUMMARY DATA'!G:G,'SUMMARY DATA'!$D:$D=$C1259,'SUMMARY DATA'!$B:$B=""RWS"")),"""")
  )
)"),"")</f>
      </c>
      <c r="H1259" s="18" t="str">
        <f>IFERROR(__xludf.DUMMYFUNCTION("IFERROR(
  TEXTJOIN(CHAR(10),TRUE,FILTER('SUMMARY DATA'!H:H,'SUMMARY DATA'!$A:$A=$A1259,'SUMMARY DATA'!$C:$C=$B1259,'SUMMARY DATA'!$B:$B=""RWS"",'SUMMARY DATA'!$H:$H=$D1259)),
  IF(
    OR(
      ISNUMBER(SEARCH(""CDM CASH DEPOSIT"",$C1259)),
      ISNUMB"&amp;"ER(SEARCH(""CASH DEPOSIT"",$C1259))
    ),
    """",
    IFERROR(TEXTJOIN(CHAR(10),TRUE,FILTER('SUMMARY DATA'!H:H,'SUMMARY DATA'!$D:$D=$C1259,'SUMMARY DATA'!$B:$B=""RWS"",'SUMMARY DATA'!$H:$H=$D1259)),"""")
  )
)"),"")</f>
      </c>
      <c r="I1259" s="18" t="str">
        <f>IFERROR(__xludf.DUMMYFUNCTION("IF(H1259="""","""",
SUM(ARRAYFORMULA(VALUE(SPLIT(H1259,CHAR(10)))))
)"),"")</f>
      </c>
      <c r="J1259" s="17" t="str">
        <f>IFERROR(__xludf.DUMMYFUNCTION("IFERROR(
  TEXTJOIN(CHAR(10),TRUE,FILTER('SUMMARY DATA'!I:I,'SUMMARY DATA'!$A:$A=$A1259,'SUMMARY DATA'!$C:$C=$B1259,'SUMMARY DATA'!$B:$B=""RWS"")),
  IF(
    OR(
      ISNUMBER(SEARCH(""CDM CASH DEPOSIT"",$C1259)),
      ISNUMBER(SEARCH(""CASH DEPOSIT"",$"&amp;"C1259)),
      COUNTIFS('SUMMARY DATA'!$D:$D,$C1259,'SUMMARY DATA'!$B:$B,""RWS"")&lt;&gt;1
    ),
    """",
    IFERROR(TEXTJOIN(CHAR(10),TRUE,FILTER('SUMMARY DATA'!I:I,'SUMMARY DATA'!$D:$D=$C1259,'SUMMARY DATA'!$B:$B=""RWS"")),"""")
  )
)"),"")</f>
      </c>
      <c r="K1259" s="2"/>
      <c r="L1259" s="2"/>
      <c r="M1259" s="2"/>
      <c r="N1259" s="2"/>
      <c r="O1259" s="2"/>
      <c r="P1259" s="2"/>
      <c r="Q1259" s="2"/>
      <c r="R1259" s="2"/>
      <c r="S1259" s="2"/>
      <c r="T1259" s="2"/>
      <c r="U1259" s="2"/>
      <c r="V1259" s="2"/>
      <c r="W1259" s="2"/>
      <c r="X1259" s="2"/>
      <c r="Y1259" s="2"/>
      <c r="Z1259" s="2"/>
      <c r="AA1259" s="2"/>
      <c r="AB1259" s="2"/>
    </row>
    <row r="1260" spans="1:28" customHeight="true">
      <c r="A1260" s="2"/>
      <c r="B1260" s="15">
        <v>45828</v>
      </c>
      <c r="C1260" s="2" t="s">
        <v>1806</v>
      </c>
      <c r="D1260" s="6">
        <v>117.29</v>
      </c>
      <c r="E1260" s="16" t="str">
        <f>IFERROR(__xludf.DUMMYFUNCTION("IFERROR(
  TEXTJOIN(CHAR(10),TRUE,FILTER('SUMMARY DATA'!E:E,'SUMMARY DATA'!$A:$A=$A361,'SUMMARY DATA'!$C:$C=$B361,'SUMMARY DATA'!$B:$B=""GRP"")),
  IF(
    OR(
      ISNUMBER(SEARCH(""CDM CASH DEPOSIT"",$C361)),
      ISNUMBER(SEARCH(""CASH DEPOSIT"",$C36"&amp;"1)),
      COUNTIFS('SUMMARY DATA'!$D:$D,$C361,'SUMMARY DATA'!$B:$B,""GRP"")&lt;&gt;1
    ),
    """",
    IFERROR(TEXTJOIN(CHAR(10),TRUE,FILTER('SUMMARY DATA'!E:E,'SUMMARY DATA'!$D:$D=$C361,'SUMMARY DATA'!$B:$B=""GRP"")),"""")
  )
)"),"")</f>
      </c>
      <c r="F1260" s="17" t="str">
        <f>IFERROR(__xludf.DUMMYFUNCTION("IFERROR(
  TEXTJOIN(CHAR(10),TRUE,FILTER('SUMMARY DATA'!F:F,'SUMMARY DATA'!$A:$A=$A361,'SUMMARY DATA'!$C:$C=$B361,'SUMMARY DATA'!$B:$B=""GRP"")),
  IF(
    OR(
      ISNUMBER(SEARCH(""CDM CASH DEPOSIT"",$C361)),
      ISNUMBER(SEARCH(""CASH DEPOSIT"",$C36"&amp;"1)),
      COUNTIFS('SUMMARY DATA'!$D:$D,$C361,'SUMMARY DATA'!$B:$B,""GRP"")&lt;&gt;1
    ),
    """",
    IFERROR(TEXTJOIN(CHAR(10),TRUE,FILTER('SUMMARY DATA'!F:F,'SUMMARY DATA'!$D:$D=$C361,'SUMMARY DATA'!$B:$B=""GRP"")),"""")
  )
)"),"")</f>
      </c>
      <c r="G1260" s="17" t="str">
        <f>IFERROR(__xludf.DUMMYFUNCTION("IFERROR(
  TEXTJOIN(CHAR(10),TRUE,FILTER('SUMMARY DATA'!G:G,'SUMMARY DATA'!$A:$A=$A1260,'SUMMARY DATA'!$C:$C=$B1260,'SUMMARY DATA'!$B:$B=""RWS"")),
  IF(
    OR(
      ISNUMBER(SEARCH(""CDM CASH DEPOSIT"",$C1260)),
      ISNUMBER(SEARCH(""CASH DEPOSIT"",$"&amp;"C1260)),
      COUNTIFS('SUMMARY DATA'!$D:$D,$C1260,'SUMMARY DATA'!$B:$B,""RWS"")&lt;&gt;1
    ),
    """",
    IFERROR(TEXTJOIN(CHAR(10),TRUE,FILTER('SUMMARY DATA'!G:G,'SUMMARY DATA'!$D:$D=$C1260,'SUMMARY DATA'!$B:$B=""RWS"")),"""")
  )
)"),"")</f>
      </c>
      <c r="H1260" s="18" t="str">
        <f>IFERROR(__xludf.DUMMYFUNCTION("IFERROR(
  TEXTJOIN(CHAR(10),TRUE,FILTER('SUMMARY DATA'!H:H,'SUMMARY DATA'!$A:$A=$A1260,'SUMMARY DATA'!$C:$C=$B1260,'SUMMARY DATA'!$B:$B=""RWS"",'SUMMARY DATA'!$H:$H=$D1260)),
  IF(
    OR(
      ISNUMBER(SEARCH(""CDM CASH DEPOSIT"",$C1260)),
      ISNUMB"&amp;"ER(SEARCH(""CASH DEPOSIT"",$C1260))
    ),
    """",
    IFERROR(TEXTJOIN(CHAR(10),TRUE,FILTER('SUMMARY DATA'!H:H,'SUMMARY DATA'!$D:$D=$C1260,'SUMMARY DATA'!$B:$B=""RWS"",'SUMMARY DATA'!$H:$H=$D1260)),"""")
  )
)"),"")</f>
      </c>
      <c r="I1260" s="18" t="str">
        <f>IFERROR(__xludf.DUMMYFUNCTION("IF(H1260="""","""",
SUM(ARRAYFORMULA(VALUE(SPLIT(H1260,CHAR(10)))))
)"),"")</f>
      </c>
      <c r="J1260" s="17" t="str">
        <f>IFERROR(__xludf.DUMMYFUNCTION("IFERROR(
  TEXTJOIN(CHAR(10),TRUE,FILTER('SUMMARY DATA'!I:I,'SUMMARY DATA'!$A:$A=$A1260,'SUMMARY DATA'!$C:$C=$B1260,'SUMMARY DATA'!$B:$B=""RWS"")),
  IF(
    OR(
      ISNUMBER(SEARCH(""CDM CASH DEPOSIT"",$C1260)),
      ISNUMBER(SEARCH(""CASH DEPOSIT"",$"&amp;"C1260)),
      COUNTIFS('SUMMARY DATA'!$D:$D,$C1260,'SUMMARY DATA'!$B:$B,""RWS"")&lt;&gt;1
    ),
    """",
    IFERROR(TEXTJOIN(CHAR(10),TRUE,FILTER('SUMMARY DATA'!I:I,'SUMMARY DATA'!$D:$D=$C1260,'SUMMARY DATA'!$B:$B=""RWS"")),"""")
  )
)"),"")</f>
      </c>
      <c r="K1260" s="2"/>
      <c r="L1260" s="2"/>
      <c r="M1260" s="2"/>
      <c r="N1260" s="2"/>
      <c r="O1260" s="2"/>
      <c r="P1260" s="2"/>
      <c r="Q1260" s="2"/>
      <c r="R1260" s="2"/>
      <c r="S1260" s="2"/>
      <c r="T1260" s="2"/>
      <c r="U1260" s="2"/>
      <c r="V1260" s="2"/>
      <c r="W1260" s="2"/>
      <c r="X1260" s="2"/>
      <c r="Y1260" s="2"/>
      <c r="Z1260" s="2"/>
      <c r="AA1260" s="2"/>
      <c r="AB1260" s="2"/>
    </row>
    <row r="1261" spans="1:28" customHeight="true">
      <c r="A1261" s="2"/>
      <c r="B1261" s="15">
        <v>45828</v>
      </c>
      <c r="C1261" s="2" t="s">
        <v>1807</v>
      </c>
      <c r="D1261" s="6">
        <v>10</v>
      </c>
      <c r="E1261" s="16" t="str">
        <f>IFERROR(__xludf.DUMMYFUNCTION("IFERROR(
  TEXTJOIN(CHAR(10),TRUE,FILTER('SUMMARY DATA'!E:E,'SUMMARY DATA'!$A:$A=$A362,'SUMMARY DATA'!$C:$C=$B362,'SUMMARY DATA'!$B:$B=""GRP"")),
  IF(
    OR(
      ISNUMBER(SEARCH(""CDM CASH DEPOSIT"",$C362)),
      ISNUMBER(SEARCH(""CASH DEPOSIT"",$C36"&amp;"2)),
      COUNTIFS('SUMMARY DATA'!$D:$D,$C362,'SUMMARY DATA'!$B:$B,""GRP"")&lt;&gt;1
    ),
    """",
    IFERROR(TEXTJOIN(CHAR(10),TRUE,FILTER('SUMMARY DATA'!E:E,'SUMMARY DATA'!$D:$D=$C362,'SUMMARY DATA'!$B:$B=""GRP"")),"""")
  )
)"),"")</f>
      </c>
      <c r="F1261" s="17" t="str">
        <f>IFERROR(__xludf.DUMMYFUNCTION("IFERROR(
  TEXTJOIN(CHAR(10),TRUE,FILTER('SUMMARY DATA'!F:F,'SUMMARY DATA'!$A:$A=$A362,'SUMMARY DATA'!$C:$C=$B362,'SUMMARY DATA'!$B:$B=""GRP"")),
  IF(
    OR(
      ISNUMBER(SEARCH(""CDM CASH DEPOSIT"",$C362)),
      ISNUMBER(SEARCH(""CASH DEPOSIT"",$C36"&amp;"2)),
      COUNTIFS('SUMMARY DATA'!$D:$D,$C362,'SUMMARY DATA'!$B:$B,""GRP"")&lt;&gt;1
    ),
    """",
    IFERROR(TEXTJOIN(CHAR(10),TRUE,FILTER('SUMMARY DATA'!F:F,'SUMMARY DATA'!$D:$D=$C362,'SUMMARY DATA'!$B:$B=""GRP"")),"""")
  )
)"),"")</f>
      </c>
      <c r="G1261" s="17" t="str">
        <f>IFERROR(__xludf.DUMMYFUNCTION("IFERROR(
  TEXTJOIN(CHAR(10),TRUE,FILTER('SUMMARY DATA'!G:G,'SUMMARY DATA'!$A:$A=$A1261,'SUMMARY DATA'!$C:$C=$B1261,'SUMMARY DATA'!$B:$B=""RWS"")),
  IF(
    OR(
      ISNUMBER(SEARCH(""CDM CASH DEPOSIT"",$C1261)),
      ISNUMBER(SEARCH(""CASH DEPOSIT"",$"&amp;"C1261)),
      COUNTIFS('SUMMARY DATA'!$D:$D,$C1261,'SUMMARY DATA'!$B:$B,""RWS"")&lt;&gt;1
    ),
    """",
    IFERROR(TEXTJOIN(CHAR(10),TRUE,FILTER('SUMMARY DATA'!G:G,'SUMMARY DATA'!$D:$D=$C1261,'SUMMARY DATA'!$B:$B=""RWS"")),"""")
  )
)"),"")</f>
      </c>
      <c r="H1261" s="18" t="str">
        <f>IFERROR(__xludf.DUMMYFUNCTION("IFERROR(
  TEXTJOIN(CHAR(10),TRUE,FILTER('SUMMARY DATA'!H:H,'SUMMARY DATA'!$A:$A=$A1261,'SUMMARY DATA'!$C:$C=$B1261,'SUMMARY DATA'!$B:$B=""RWS"",'SUMMARY DATA'!$H:$H=$D1261)),
  IF(
    OR(
      ISNUMBER(SEARCH(""CDM CASH DEPOSIT"",$C1261)),
      ISNUMB"&amp;"ER(SEARCH(""CASH DEPOSIT"",$C1261))
    ),
    """",
    IFERROR(TEXTJOIN(CHAR(10),TRUE,FILTER('SUMMARY DATA'!H:H,'SUMMARY DATA'!$D:$D=$C1261,'SUMMARY DATA'!$B:$B=""RWS"",'SUMMARY DATA'!$H:$H=$D1261)),"""")
  )
)"),"")</f>
      </c>
      <c r="I1261" s="18" t="str">
        <f>IFERROR(__xludf.DUMMYFUNCTION("IF(H1261="""","""",
SUM(ARRAYFORMULA(VALUE(SPLIT(H1261,CHAR(10)))))
)"),"")</f>
      </c>
      <c r="J1261" s="17" t="str">
        <f>IFERROR(__xludf.DUMMYFUNCTION("IFERROR(
  TEXTJOIN(CHAR(10),TRUE,FILTER('SUMMARY DATA'!I:I,'SUMMARY DATA'!$A:$A=$A1261,'SUMMARY DATA'!$C:$C=$B1261,'SUMMARY DATA'!$B:$B=""RWS"")),
  IF(
    OR(
      ISNUMBER(SEARCH(""CDM CASH DEPOSIT"",$C1261)),
      ISNUMBER(SEARCH(""CASH DEPOSIT"",$"&amp;"C1261)),
      COUNTIFS('SUMMARY DATA'!$D:$D,$C1261,'SUMMARY DATA'!$B:$B,""RWS"")&lt;&gt;1
    ),
    """",
    IFERROR(TEXTJOIN(CHAR(10),TRUE,FILTER('SUMMARY DATA'!I:I,'SUMMARY DATA'!$D:$D=$C1261,'SUMMARY DATA'!$B:$B=""RWS"")),"""")
  )
)"),"")</f>
      </c>
      <c r="K1261" s="2"/>
      <c r="L1261" s="2"/>
      <c r="M1261" s="2"/>
      <c r="N1261" s="2"/>
      <c r="O1261" s="2"/>
      <c r="P1261" s="2"/>
      <c r="Q1261" s="2"/>
      <c r="R1261" s="2"/>
      <c r="S1261" s="2"/>
      <c r="T1261" s="2"/>
      <c r="U1261" s="2"/>
      <c r="V1261" s="2"/>
      <c r="W1261" s="2"/>
      <c r="X1261" s="2"/>
      <c r="Y1261" s="2"/>
      <c r="Z1261" s="2"/>
      <c r="AA1261" s="2"/>
      <c r="AB1261" s="2"/>
    </row>
    <row r="1262" spans="1:28" customHeight="true">
      <c r="A1262" s="2"/>
      <c r="B1262" s="15">
        <v>45828</v>
      </c>
      <c r="C1262" s="2" t="s">
        <v>1808</v>
      </c>
      <c r="D1262" s="6">
        <v>10</v>
      </c>
      <c r="E1262" s="16" t="str">
        <f>IFERROR(__xludf.DUMMYFUNCTION("IFERROR(
  TEXTJOIN(CHAR(10),TRUE,FILTER('SUMMARY DATA'!E:E,'SUMMARY DATA'!$A:$A=$A363,'SUMMARY DATA'!$C:$C=$B363,'SUMMARY DATA'!$B:$B=""GRP"")),
  IF(
    OR(
      ISNUMBER(SEARCH(""CDM CASH DEPOSIT"",$C363)),
      ISNUMBER(SEARCH(""CASH DEPOSIT"",$C36"&amp;"3)),
      COUNTIFS('SUMMARY DATA'!$D:$D,$C363,'SUMMARY DATA'!$B:$B,""GRP"")&lt;&gt;1
    ),
    """",
    IFERROR(TEXTJOIN(CHAR(10),TRUE,FILTER('SUMMARY DATA'!E:E,'SUMMARY DATA'!$D:$D=$C363,'SUMMARY DATA'!$B:$B=""GRP"")),"""")
  )
)"),"")</f>
      </c>
      <c r="F1262" s="17" t="str">
        <f>IFERROR(__xludf.DUMMYFUNCTION("IFERROR(
  TEXTJOIN(CHAR(10),TRUE,FILTER('SUMMARY DATA'!F:F,'SUMMARY DATA'!$A:$A=$A363,'SUMMARY DATA'!$C:$C=$B363,'SUMMARY DATA'!$B:$B=""GRP"")),
  IF(
    OR(
      ISNUMBER(SEARCH(""CDM CASH DEPOSIT"",$C363)),
      ISNUMBER(SEARCH(""CASH DEPOSIT"",$C36"&amp;"3)),
      COUNTIFS('SUMMARY DATA'!$D:$D,$C363,'SUMMARY DATA'!$B:$B,""GRP"")&lt;&gt;1
    ),
    """",
    IFERROR(TEXTJOIN(CHAR(10),TRUE,FILTER('SUMMARY DATA'!F:F,'SUMMARY DATA'!$D:$D=$C363,'SUMMARY DATA'!$B:$B=""GRP"")),"""")
  )
)"),"")</f>
      </c>
      <c r="G1262" s="17" t="str">
        <f>IFERROR(__xludf.DUMMYFUNCTION("IFERROR(
  TEXTJOIN(CHAR(10),TRUE,FILTER('SUMMARY DATA'!G:G,'SUMMARY DATA'!$A:$A=$A1262,'SUMMARY DATA'!$C:$C=$B1262,'SUMMARY DATA'!$B:$B=""RWS"")),
  IF(
    OR(
      ISNUMBER(SEARCH(""CDM CASH DEPOSIT"",$C1262)),
      ISNUMBER(SEARCH(""CASH DEPOSIT"",$"&amp;"C1262)),
      COUNTIFS('SUMMARY DATA'!$D:$D,$C1262,'SUMMARY DATA'!$B:$B,""RWS"")&lt;&gt;1
    ),
    """",
    IFERROR(TEXTJOIN(CHAR(10),TRUE,FILTER('SUMMARY DATA'!G:G,'SUMMARY DATA'!$D:$D=$C1262,'SUMMARY DATA'!$B:$B=""RWS"")),"""")
  )
)"),"")</f>
      </c>
      <c r="H1262" s="18" t="str">
        <f>IFERROR(__xludf.DUMMYFUNCTION("IFERROR(
  TEXTJOIN(CHAR(10),TRUE,FILTER('SUMMARY DATA'!H:H,'SUMMARY DATA'!$A:$A=$A1262,'SUMMARY DATA'!$C:$C=$B1262,'SUMMARY DATA'!$B:$B=""RWS"",'SUMMARY DATA'!$H:$H=$D1262)),
  IF(
    OR(
      ISNUMBER(SEARCH(""CDM CASH DEPOSIT"",$C1262)),
      ISNUMB"&amp;"ER(SEARCH(""CASH DEPOSIT"",$C1262))
    ),
    """",
    IFERROR(TEXTJOIN(CHAR(10),TRUE,FILTER('SUMMARY DATA'!H:H,'SUMMARY DATA'!$D:$D=$C1262,'SUMMARY DATA'!$B:$B=""RWS"",'SUMMARY DATA'!$H:$H=$D1262)),"""")
  )
)"),"")</f>
      </c>
      <c r="I1262" s="18" t="str">
        <f>IFERROR(__xludf.DUMMYFUNCTION("IF(H1262="""","""",
SUM(ARRAYFORMULA(VALUE(SPLIT(H1262,CHAR(10)))))
)"),"")</f>
      </c>
      <c r="J1262" s="17" t="str">
        <f>IFERROR(__xludf.DUMMYFUNCTION("IFERROR(
  TEXTJOIN(CHAR(10),TRUE,FILTER('SUMMARY DATA'!I:I,'SUMMARY DATA'!$A:$A=$A1262,'SUMMARY DATA'!$C:$C=$B1262,'SUMMARY DATA'!$B:$B=""RWS"")),
  IF(
    OR(
      ISNUMBER(SEARCH(""CDM CASH DEPOSIT"",$C1262)),
      ISNUMBER(SEARCH(""CASH DEPOSIT"",$"&amp;"C1262)),
      COUNTIFS('SUMMARY DATA'!$D:$D,$C1262,'SUMMARY DATA'!$B:$B,""RWS"")&lt;&gt;1
    ),
    """",
    IFERROR(TEXTJOIN(CHAR(10),TRUE,FILTER('SUMMARY DATA'!I:I,'SUMMARY DATA'!$D:$D=$C1262,'SUMMARY DATA'!$B:$B=""RWS"")),"""")
  )
)"),"")</f>
      </c>
      <c r="K1262" s="2"/>
      <c r="L1262" s="2"/>
      <c r="M1262" s="2"/>
      <c r="N1262" s="2"/>
      <c r="O1262" s="2"/>
      <c r="P1262" s="2"/>
      <c r="Q1262" s="2"/>
      <c r="R1262" s="2"/>
      <c r="S1262" s="2"/>
      <c r="T1262" s="2"/>
      <c r="U1262" s="2"/>
      <c r="V1262" s="2"/>
      <c r="W1262" s="2"/>
      <c r="X1262" s="2"/>
      <c r="Y1262" s="2"/>
      <c r="Z1262" s="2"/>
      <c r="AA1262" s="2"/>
      <c r="AB1262" s="2"/>
    </row>
    <row r="1263" spans="1:28" customHeight="true">
      <c r="A1263" s="2"/>
      <c r="B1263" s="15">
        <v>45828</v>
      </c>
      <c r="C1263" s="2" t="s">
        <v>1809</v>
      </c>
      <c r="D1263" s="6">
        <v>10</v>
      </c>
      <c r="E1263" s="16" t="str">
        <f>IFERROR(__xludf.DUMMYFUNCTION("IFERROR(
  TEXTJOIN(CHAR(10),TRUE,FILTER('SUMMARY DATA'!E:E,'SUMMARY DATA'!$A:$A=$A364,'SUMMARY DATA'!$C:$C=$B364,'SUMMARY DATA'!$B:$B=""GRP"")),
  IF(
    OR(
      ISNUMBER(SEARCH(""CDM CASH DEPOSIT"",$C364)),
      ISNUMBER(SEARCH(""CASH DEPOSIT"",$C36"&amp;"4)),
      COUNTIFS('SUMMARY DATA'!$D:$D,$C364,'SUMMARY DATA'!$B:$B,""GRP"")&lt;&gt;1
    ),
    """",
    IFERROR(TEXTJOIN(CHAR(10),TRUE,FILTER('SUMMARY DATA'!E:E,'SUMMARY DATA'!$D:$D=$C364,'SUMMARY DATA'!$B:$B=""GRP"")),"""")
  )
)"),"")</f>
      </c>
      <c r="F1263" s="17" t="str">
        <f>IFERROR(__xludf.DUMMYFUNCTION("IFERROR(
  TEXTJOIN(CHAR(10),TRUE,FILTER('SUMMARY DATA'!F:F,'SUMMARY DATA'!$A:$A=$A364,'SUMMARY DATA'!$C:$C=$B364,'SUMMARY DATA'!$B:$B=""GRP"")),
  IF(
    OR(
      ISNUMBER(SEARCH(""CDM CASH DEPOSIT"",$C364)),
      ISNUMBER(SEARCH(""CASH DEPOSIT"",$C36"&amp;"4)),
      COUNTIFS('SUMMARY DATA'!$D:$D,$C364,'SUMMARY DATA'!$B:$B,""GRP"")&lt;&gt;1
    ),
    """",
    IFERROR(TEXTJOIN(CHAR(10),TRUE,FILTER('SUMMARY DATA'!F:F,'SUMMARY DATA'!$D:$D=$C364,'SUMMARY DATA'!$B:$B=""GRP"")),"""")
  )
)"),"")</f>
      </c>
      <c r="G1263" s="17" t="str">
        <f>IFERROR(__xludf.DUMMYFUNCTION("IFERROR(
  TEXTJOIN(CHAR(10),TRUE,FILTER('SUMMARY DATA'!G:G,'SUMMARY DATA'!$A:$A=$A1263,'SUMMARY DATA'!$C:$C=$B1263,'SUMMARY DATA'!$B:$B=""RWS"")),
  IF(
    OR(
      ISNUMBER(SEARCH(""CDM CASH DEPOSIT"",$C1263)),
      ISNUMBER(SEARCH(""CASH DEPOSIT"",$"&amp;"C1263)),
      COUNTIFS('SUMMARY DATA'!$D:$D,$C1263,'SUMMARY DATA'!$B:$B,""RWS"")&lt;&gt;1
    ),
    """",
    IFERROR(TEXTJOIN(CHAR(10),TRUE,FILTER('SUMMARY DATA'!G:G,'SUMMARY DATA'!$D:$D=$C1263,'SUMMARY DATA'!$B:$B=""RWS"")),"""")
  )
)"),"")</f>
      </c>
      <c r="H1263" s="18" t="str">
        <f>IFERROR(__xludf.DUMMYFUNCTION("IFERROR(
  TEXTJOIN(CHAR(10),TRUE,FILTER('SUMMARY DATA'!H:H,'SUMMARY DATA'!$A:$A=$A1263,'SUMMARY DATA'!$C:$C=$B1263,'SUMMARY DATA'!$B:$B=""RWS"",'SUMMARY DATA'!$H:$H=$D1263)),
  IF(
    OR(
      ISNUMBER(SEARCH(""CDM CASH DEPOSIT"",$C1263)),
      ISNUMB"&amp;"ER(SEARCH(""CASH DEPOSIT"",$C1263))
    ),
    """",
    IFERROR(TEXTJOIN(CHAR(10),TRUE,FILTER('SUMMARY DATA'!H:H,'SUMMARY DATA'!$D:$D=$C1263,'SUMMARY DATA'!$B:$B=""RWS"",'SUMMARY DATA'!$H:$H=$D1263)),"""")
  )
)"),"")</f>
      </c>
      <c r="I1263" s="18" t="str">
        <f>IFERROR(__xludf.DUMMYFUNCTION("IF(H1263="""","""",
SUM(ARRAYFORMULA(VALUE(SPLIT(H1263,CHAR(10)))))
)"),"")</f>
      </c>
      <c r="J1263" s="17" t="str">
        <f>IFERROR(__xludf.DUMMYFUNCTION("IFERROR(
  TEXTJOIN(CHAR(10),TRUE,FILTER('SUMMARY DATA'!I:I,'SUMMARY DATA'!$A:$A=$A1263,'SUMMARY DATA'!$C:$C=$B1263,'SUMMARY DATA'!$B:$B=""RWS"")),
  IF(
    OR(
      ISNUMBER(SEARCH(""CDM CASH DEPOSIT"",$C1263)),
      ISNUMBER(SEARCH(""CASH DEPOSIT"",$"&amp;"C1263)),
      COUNTIFS('SUMMARY DATA'!$D:$D,$C1263,'SUMMARY DATA'!$B:$B,""RWS"")&lt;&gt;1
    ),
    """",
    IFERROR(TEXTJOIN(CHAR(10),TRUE,FILTER('SUMMARY DATA'!I:I,'SUMMARY DATA'!$D:$D=$C1263,'SUMMARY DATA'!$B:$B=""RWS"")),"""")
  )
)"),"")</f>
      </c>
      <c r="K1263" s="2"/>
      <c r="L1263" s="2"/>
      <c r="M1263" s="2"/>
      <c r="N1263" s="2"/>
      <c r="O1263" s="2"/>
      <c r="P1263" s="2"/>
      <c r="Q1263" s="2"/>
      <c r="R1263" s="2"/>
      <c r="S1263" s="2"/>
      <c r="T1263" s="2"/>
      <c r="U1263" s="2"/>
      <c r="V1263" s="2"/>
      <c r="W1263" s="2"/>
      <c r="X1263" s="2"/>
      <c r="Y1263" s="2"/>
      <c r="Z1263" s="2"/>
      <c r="AA1263" s="2"/>
      <c r="AB1263" s="2"/>
    </row>
    <row r="1264" spans="1:28" customHeight="true">
      <c r="A1264" s="2" t="s">
        <v>1810</v>
      </c>
      <c r="B1264" s="15">
        <v>45829</v>
      </c>
      <c r="C1264" s="2" t="s">
        <v>1811</v>
      </c>
      <c r="D1264" s="6">
        <v>1028</v>
      </c>
      <c r="E1264" s="16" t="str">
        <f>IFERROR(__xludf.DUMMYFUNCTION("IFERROR(
  TEXTJOIN(CHAR(10),TRUE,FILTER('SUMMARY DATA'!E:E,'SUMMARY DATA'!$A:$A=$A365,'SUMMARY DATA'!$C:$C=$B365,'SUMMARY DATA'!$B:$B=""GRP"")),
  IF(
    OR(
      ISNUMBER(SEARCH(""CDM CASH DEPOSIT"",$C365)),
      ISNUMBER(SEARCH(""CASH DEPOSIT"",$C36"&amp;"5)),
      COUNTIFS('SUMMARY DATA'!$D:$D,$C365,'SUMMARY DATA'!$B:$B,""GRP"")&lt;&gt;1
    ),
    """",
    IFERROR(TEXTJOIN(CHAR(10),TRUE,FILTER('SUMMARY DATA'!E:E,'SUMMARY DATA'!$D:$D=$C365,'SUMMARY DATA'!$B:$B=""GRP"")),"""")
  )
)"),"")</f>
      </c>
      <c r="F1264" s="17" t="str">
        <f>IFERROR(__xludf.DUMMYFUNCTION("IFERROR(
  TEXTJOIN(CHAR(10),TRUE,FILTER('SUMMARY DATA'!F:F,'SUMMARY DATA'!$A:$A=$A365,'SUMMARY DATA'!$C:$C=$B365,'SUMMARY DATA'!$B:$B=""GRP"")),
  IF(
    OR(
      ISNUMBER(SEARCH(""CDM CASH DEPOSIT"",$C365)),
      ISNUMBER(SEARCH(""CASH DEPOSIT"",$C36"&amp;"5)),
      COUNTIFS('SUMMARY DATA'!$D:$D,$C365,'SUMMARY DATA'!$B:$B,""GRP"")&lt;&gt;1
    ),
    """",
    IFERROR(TEXTJOIN(CHAR(10),TRUE,FILTER('SUMMARY DATA'!F:F,'SUMMARY DATA'!$D:$D=$C365,'SUMMARY DATA'!$B:$B=""GRP"")),"""")
  )
)"),"")</f>
      </c>
      <c r="G1264" s="17" t="str">
        <f>IFERROR(__xludf.DUMMYFUNCTION("IFERROR(
  TEXTJOIN(CHAR(10),TRUE,FILTER('SUMMARY DATA'!G:G,'SUMMARY DATA'!$A:$A=$A1264,'SUMMARY DATA'!$C:$C=$B1264,'SUMMARY DATA'!$B:$B=""RWS"")),
  IF(
    OR(
      ISNUMBER(SEARCH(""CDM CASH DEPOSIT"",$C1264)),
      ISNUMBER(SEARCH(""CASH DEPOSIT"",$"&amp;"C1264)),
      COUNTIFS('SUMMARY DATA'!$D:$D,$C1264,'SUMMARY DATA'!$B:$B,""RWS"")&lt;&gt;1
    ),
    """",
    IFERROR(TEXTJOIN(CHAR(10),TRUE,FILTER('SUMMARY DATA'!G:G,'SUMMARY DATA'!$D:$D=$C1264,'SUMMARY DATA'!$B:$B=""RWS"")),"""")
  )
)"),"")</f>
      </c>
      <c r="H1264" s="18" t="str">
        <f>IFERROR(__xludf.DUMMYFUNCTION("IFERROR(
  TEXTJOIN(CHAR(10),TRUE,FILTER('SUMMARY DATA'!H:H,'SUMMARY DATA'!$A:$A=$A1264,'SUMMARY DATA'!$C:$C=$B1264,'SUMMARY DATA'!$B:$B=""RWS"",'SUMMARY DATA'!$H:$H=$D1264)),
  IF(
    OR(
      ISNUMBER(SEARCH(""CDM CASH DEPOSIT"",$C1264)),
      ISNUMB"&amp;"ER(SEARCH(""CASH DEPOSIT"",$C1264))
    ),
    """",
    IFERROR(TEXTJOIN(CHAR(10),TRUE,FILTER('SUMMARY DATA'!H:H,'SUMMARY DATA'!$D:$D=$C1264,'SUMMARY DATA'!$B:$B=""RWS"",'SUMMARY DATA'!$H:$H=$D1264)),"""")
  )
)"),"")</f>
      </c>
      <c r="I1264" s="18" t="str">
        <f>IFERROR(__xludf.DUMMYFUNCTION("IF(H1264="""","""",
SUM(ARRAYFORMULA(VALUE(SPLIT(H1264,CHAR(10)))))
)"),"")</f>
      </c>
      <c r="J1264" s="17" t="str">
        <f>IFERROR(__xludf.DUMMYFUNCTION("IFERROR(
  TEXTJOIN(CHAR(10),TRUE,FILTER('SUMMARY DATA'!I:I,'SUMMARY DATA'!$A:$A=$A1264,'SUMMARY DATA'!$C:$C=$B1264,'SUMMARY DATA'!$B:$B=""RWS"")),
  IF(
    OR(
      ISNUMBER(SEARCH(""CDM CASH DEPOSIT"",$C1264)),
      ISNUMBER(SEARCH(""CASH DEPOSIT"",$"&amp;"C1264)),
      COUNTIFS('SUMMARY DATA'!$D:$D,$C1264,'SUMMARY DATA'!$B:$B,""RWS"")&lt;&gt;1
    ),
    """",
    IFERROR(TEXTJOIN(CHAR(10),TRUE,FILTER('SUMMARY DATA'!I:I,'SUMMARY DATA'!$D:$D=$C1264,'SUMMARY DATA'!$B:$B=""RWS"")),"""")
  )
)"),"")</f>
      </c>
      <c r="K1264" s="2"/>
      <c r="L1264" s="2"/>
      <c r="M1264" s="2"/>
      <c r="N1264" s="2"/>
      <c r="O1264" s="2"/>
      <c r="P1264" s="2"/>
      <c r="Q1264" s="2"/>
      <c r="R1264" s="2"/>
      <c r="S1264" s="2"/>
      <c r="T1264" s="2"/>
      <c r="U1264" s="2"/>
      <c r="V1264" s="2"/>
      <c r="W1264" s="2"/>
      <c r="X1264" s="2"/>
      <c r="Y1264" s="2"/>
      <c r="Z1264" s="2"/>
      <c r="AA1264" s="2"/>
      <c r="AB1264" s="2"/>
    </row>
    <row r="1265" spans="1:28" customHeight="true">
      <c r="A1265" s="2" t="s">
        <v>1812</v>
      </c>
      <c r="B1265" s="15">
        <v>45829</v>
      </c>
      <c r="C1265" s="2" t="s">
        <v>1813</v>
      </c>
      <c r="D1265" s="6">
        <v>158</v>
      </c>
      <c r="E1265" s="16" t="str">
        <f>IFERROR(__xludf.DUMMYFUNCTION("IFERROR(
  TEXTJOIN(CHAR(10),TRUE,FILTER('SUMMARY DATA'!E:E,'SUMMARY DATA'!$A:$A=$A366,'SUMMARY DATA'!$C:$C=$B366,'SUMMARY DATA'!$B:$B=""GRP"")),
  IF(
    OR(
      ISNUMBER(SEARCH(""CDM CASH DEPOSIT"",$C366)),
      ISNUMBER(SEARCH(""CASH DEPOSIT"",$C36"&amp;"6)),
      COUNTIFS('SUMMARY DATA'!$D:$D,$C366,'SUMMARY DATA'!$B:$B,""GRP"")&lt;&gt;1
    ),
    """",
    IFERROR(TEXTJOIN(CHAR(10),TRUE,FILTER('SUMMARY DATA'!E:E,'SUMMARY DATA'!$D:$D=$C366,'SUMMARY DATA'!$B:$B=""GRP"")),"""")
  )
)"),"")</f>
      </c>
      <c r="F1265" s="17" t="str">
        <f>IFERROR(__xludf.DUMMYFUNCTION("IFERROR(
  TEXTJOIN(CHAR(10),TRUE,FILTER('SUMMARY DATA'!F:F,'SUMMARY DATA'!$A:$A=$A366,'SUMMARY DATA'!$C:$C=$B366,'SUMMARY DATA'!$B:$B=""GRP"")),
  IF(
    OR(
      ISNUMBER(SEARCH(""CDM CASH DEPOSIT"",$C366)),
      ISNUMBER(SEARCH(""CASH DEPOSIT"",$C36"&amp;"6)),
      COUNTIFS('SUMMARY DATA'!$D:$D,$C366,'SUMMARY DATA'!$B:$B,""GRP"")&lt;&gt;1
    ),
    """",
    IFERROR(TEXTJOIN(CHAR(10),TRUE,FILTER('SUMMARY DATA'!F:F,'SUMMARY DATA'!$D:$D=$C366,'SUMMARY DATA'!$B:$B=""GRP"")),"""")
  )
)"),"")</f>
      </c>
      <c r="G1265" s="17" t="str">
        <f>IFERROR(__xludf.DUMMYFUNCTION("IFERROR(
  TEXTJOIN(CHAR(10),TRUE,FILTER('SUMMARY DATA'!G:G,'SUMMARY DATA'!$A:$A=$A1265,'SUMMARY DATA'!$C:$C=$B1265,'SUMMARY DATA'!$B:$B=""RWS"")),
  IF(
    OR(
      ISNUMBER(SEARCH(""CDM CASH DEPOSIT"",$C1265)),
      ISNUMBER(SEARCH(""CASH DEPOSIT"",$"&amp;"C1265)),
      COUNTIFS('SUMMARY DATA'!$D:$D,$C1265,'SUMMARY DATA'!$B:$B,""RWS"")&lt;&gt;1
    ),
    """",
    IFERROR(TEXTJOIN(CHAR(10),TRUE,FILTER('SUMMARY DATA'!G:G,'SUMMARY DATA'!$D:$D=$C1265,'SUMMARY DATA'!$B:$B=""RWS"")),"""")
  )
)"),"")</f>
      </c>
      <c r="H1265" s="18" t="str">
        <f>IFERROR(__xludf.DUMMYFUNCTION("IFERROR(
  TEXTJOIN(CHAR(10),TRUE,FILTER('SUMMARY DATA'!H:H,'SUMMARY DATA'!$A:$A=$A1265,'SUMMARY DATA'!$C:$C=$B1265,'SUMMARY DATA'!$B:$B=""RWS"",'SUMMARY DATA'!$H:$H=$D1265)),
  IF(
    OR(
      ISNUMBER(SEARCH(""CDM CASH DEPOSIT"",$C1265)),
      ISNUMB"&amp;"ER(SEARCH(""CASH DEPOSIT"",$C1265))
    ),
    """",
    IFERROR(TEXTJOIN(CHAR(10),TRUE,FILTER('SUMMARY DATA'!H:H,'SUMMARY DATA'!$D:$D=$C1265,'SUMMARY DATA'!$B:$B=""RWS"",'SUMMARY DATA'!$H:$H=$D1265)),"""")
  )
)"),"")</f>
      </c>
      <c r="I1265" s="18" t="str">
        <f>IFERROR(__xludf.DUMMYFUNCTION("IF(H1265="""","""",
SUM(ARRAYFORMULA(VALUE(SPLIT(H1265,CHAR(10)))))
)"),"")</f>
      </c>
      <c r="J1265" s="17" t="str">
        <f>IFERROR(__xludf.DUMMYFUNCTION("IFERROR(
  TEXTJOIN(CHAR(10),TRUE,FILTER('SUMMARY DATA'!I:I,'SUMMARY DATA'!$A:$A=$A1265,'SUMMARY DATA'!$C:$C=$B1265,'SUMMARY DATA'!$B:$B=""RWS"")),
  IF(
    OR(
      ISNUMBER(SEARCH(""CDM CASH DEPOSIT"",$C1265)),
      ISNUMBER(SEARCH(""CASH DEPOSIT"",$"&amp;"C1265)),
      COUNTIFS('SUMMARY DATA'!$D:$D,$C1265,'SUMMARY DATA'!$B:$B,""RWS"")&lt;&gt;1
    ),
    """",
    IFERROR(TEXTJOIN(CHAR(10),TRUE,FILTER('SUMMARY DATA'!I:I,'SUMMARY DATA'!$D:$D=$C1265,'SUMMARY DATA'!$B:$B=""RWS"")),"""")
  )
)"),"")</f>
      </c>
      <c r="K1265" s="2"/>
      <c r="L1265" s="2"/>
      <c r="M1265" s="2"/>
      <c r="N1265" s="2"/>
      <c r="O1265" s="2"/>
      <c r="P1265" s="2"/>
      <c r="Q1265" s="2"/>
      <c r="R1265" s="2"/>
      <c r="S1265" s="2"/>
      <c r="T1265" s="2"/>
      <c r="U1265" s="2"/>
      <c r="V1265" s="2"/>
      <c r="W1265" s="2"/>
      <c r="X1265" s="2"/>
      <c r="Y1265" s="2"/>
      <c r="Z1265" s="2"/>
      <c r="AA1265" s="2"/>
      <c r="AB1265" s="2"/>
    </row>
    <row r="1266" spans="1:28" customHeight="true">
      <c r="A1266" s="2"/>
      <c r="B1266" s="15">
        <v>45829</v>
      </c>
      <c r="C1266" s="2" t="s">
        <v>1814</v>
      </c>
      <c r="D1266" s="6">
        <v>130</v>
      </c>
      <c r="E1266" s="16" t="str">
        <f>IFERROR(__xludf.DUMMYFUNCTION("IFERROR(
  TEXTJOIN(CHAR(10),TRUE,FILTER('SUMMARY DATA'!E:E,'SUMMARY DATA'!$A:$A=$A367,'SUMMARY DATA'!$C:$C=$B367,'SUMMARY DATA'!$B:$B=""GRP"")),
  IF(
    OR(
      ISNUMBER(SEARCH(""CDM CASH DEPOSIT"",$C367)),
      ISNUMBER(SEARCH(""CASH DEPOSIT"",$C36"&amp;"7)),
      COUNTIFS('SUMMARY DATA'!$D:$D,$C367,'SUMMARY DATA'!$B:$B,""GRP"")&lt;&gt;1
    ),
    """",
    IFERROR(TEXTJOIN(CHAR(10),TRUE,FILTER('SUMMARY DATA'!E:E,'SUMMARY DATA'!$D:$D=$C367,'SUMMARY DATA'!$B:$B=""GRP"")),"""")
  )
)"),"")</f>
      </c>
      <c r="F1266" s="17" t="str">
        <f>IFERROR(__xludf.DUMMYFUNCTION("IFERROR(
  TEXTJOIN(CHAR(10),TRUE,FILTER('SUMMARY DATA'!F:F,'SUMMARY DATA'!$A:$A=$A367,'SUMMARY DATA'!$C:$C=$B367,'SUMMARY DATA'!$B:$B=""GRP"")),
  IF(
    OR(
      ISNUMBER(SEARCH(""CDM CASH DEPOSIT"",$C367)),
      ISNUMBER(SEARCH(""CASH DEPOSIT"",$C36"&amp;"7)),
      COUNTIFS('SUMMARY DATA'!$D:$D,$C367,'SUMMARY DATA'!$B:$B,""GRP"")&lt;&gt;1
    ),
    """",
    IFERROR(TEXTJOIN(CHAR(10),TRUE,FILTER('SUMMARY DATA'!F:F,'SUMMARY DATA'!$D:$D=$C367,'SUMMARY DATA'!$B:$B=""GRP"")),"""")
  )
)"),"")</f>
      </c>
      <c r="G1266" s="17" t="str">
        <f>IFERROR(__xludf.DUMMYFUNCTION("IFERROR(
  TEXTJOIN(CHAR(10),TRUE,FILTER('SUMMARY DATA'!G:G,'SUMMARY DATA'!$A:$A=$A1266,'SUMMARY DATA'!$C:$C=$B1266,'SUMMARY DATA'!$B:$B=""RWS"")),
  IF(
    OR(
      ISNUMBER(SEARCH(""CDM CASH DEPOSIT"",$C1266)),
      ISNUMBER(SEARCH(""CASH DEPOSIT"",$"&amp;"C1266)),
      COUNTIFS('SUMMARY DATA'!$D:$D,$C1266,'SUMMARY DATA'!$B:$B,""RWS"")&lt;&gt;1
    ),
    """",
    IFERROR(TEXTJOIN(CHAR(10),TRUE,FILTER('SUMMARY DATA'!G:G,'SUMMARY DATA'!$D:$D=$C1266,'SUMMARY DATA'!$B:$B=""RWS"")),"""")
  )
)"),"")</f>
      </c>
      <c r="H1266" s="18" t="str">
        <f>IFERROR(__xludf.DUMMYFUNCTION("IFERROR(
  TEXTJOIN(CHAR(10),TRUE,FILTER('SUMMARY DATA'!H:H,'SUMMARY DATA'!$A:$A=$A1266,'SUMMARY DATA'!$C:$C=$B1266,'SUMMARY DATA'!$B:$B=""RWS"",'SUMMARY DATA'!$H:$H=$D1266)),
  IF(
    OR(
      ISNUMBER(SEARCH(""CDM CASH DEPOSIT"",$C1266)),
      ISNUMB"&amp;"ER(SEARCH(""CASH DEPOSIT"",$C1266))
    ),
    """",
    IFERROR(TEXTJOIN(CHAR(10),TRUE,FILTER('SUMMARY DATA'!H:H,'SUMMARY DATA'!$D:$D=$C1266,'SUMMARY DATA'!$B:$B=""RWS"",'SUMMARY DATA'!$H:$H=$D1266)),"""")
  )
)"),"")</f>
      </c>
      <c r="I1266" s="18" t="str">
        <f>IFERROR(__xludf.DUMMYFUNCTION("IF(H1266="""","""",
SUM(ARRAYFORMULA(VALUE(SPLIT(H1266,CHAR(10)))))
)"),"")</f>
      </c>
      <c r="J1266" s="17" t="str">
        <f>IFERROR(__xludf.DUMMYFUNCTION("IFERROR(
  TEXTJOIN(CHAR(10),TRUE,FILTER('SUMMARY DATA'!I:I,'SUMMARY DATA'!$A:$A=$A1266,'SUMMARY DATA'!$C:$C=$B1266,'SUMMARY DATA'!$B:$B=""RWS"")),
  IF(
    OR(
      ISNUMBER(SEARCH(""CDM CASH DEPOSIT"",$C1266)),
      ISNUMBER(SEARCH(""CASH DEPOSIT"",$"&amp;"C1266)),
      COUNTIFS('SUMMARY DATA'!$D:$D,$C1266,'SUMMARY DATA'!$B:$B,""RWS"")&lt;&gt;1
    ),
    """",
    IFERROR(TEXTJOIN(CHAR(10),TRUE,FILTER('SUMMARY DATA'!I:I,'SUMMARY DATA'!$D:$D=$C1266,'SUMMARY DATA'!$B:$B=""RWS"")),"""")
  )
)"),"")</f>
      </c>
      <c r="K1266" s="2"/>
      <c r="L1266" s="2"/>
      <c r="M1266" s="2"/>
      <c r="N1266" s="2"/>
      <c r="O1266" s="2"/>
      <c r="P1266" s="2"/>
      <c r="Q1266" s="2"/>
      <c r="R1266" s="2"/>
      <c r="S1266" s="2"/>
      <c r="T1266" s="2"/>
      <c r="U1266" s="2"/>
      <c r="V1266" s="2"/>
      <c r="W1266" s="2"/>
      <c r="X1266" s="2"/>
      <c r="Y1266" s="2"/>
      <c r="Z1266" s="2"/>
      <c r="AA1266" s="2"/>
      <c r="AB1266" s="2"/>
    </row>
    <row r="1267" spans="1:28" customHeight="true">
      <c r="A1267" s="2" t="s">
        <v>1810</v>
      </c>
      <c r="B1267" s="15">
        <v>45830</v>
      </c>
      <c r="C1267" s="2" t="s">
        <v>1811</v>
      </c>
      <c r="D1267" s="6">
        <v>74</v>
      </c>
      <c r="E1267" s="16" t="str">
        <f>IFERROR(__xludf.DUMMYFUNCTION("IFERROR(
  TEXTJOIN(CHAR(10),TRUE,FILTER('SUMMARY DATA'!E:E,'SUMMARY DATA'!$A:$A=$A368,'SUMMARY DATA'!$C:$C=$B368,'SUMMARY DATA'!$B:$B=""GRP"")),
  IF(
    OR(
      ISNUMBER(SEARCH(""CDM CASH DEPOSIT"",$C368)),
      ISNUMBER(SEARCH(""CASH DEPOSIT"",$C36"&amp;"8)),
      COUNTIFS('SUMMARY DATA'!$D:$D,$C368,'SUMMARY DATA'!$B:$B,""GRP"")&lt;&gt;1
    ),
    """",
    IFERROR(TEXTJOIN(CHAR(10),TRUE,FILTER('SUMMARY DATA'!E:E,'SUMMARY DATA'!$D:$D=$C368,'SUMMARY DATA'!$B:$B=""GRP"")),"""")
  )
)"),"")</f>
      </c>
      <c r="F1267" s="17" t="str">
        <f>IFERROR(__xludf.DUMMYFUNCTION("IFERROR(
  TEXTJOIN(CHAR(10),TRUE,FILTER('SUMMARY DATA'!F:F,'SUMMARY DATA'!$A:$A=$A368,'SUMMARY DATA'!$C:$C=$B368,'SUMMARY DATA'!$B:$B=""GRP"")),
  IF(
    OR(
      ISNUMBER(SEARCH(""CDM CASH DEPOSIT"",$C368)),
      ISNUMBER(SEARCH(""CASH DEPOSIT"",$C36"&amp;"8)),
      COUNTIFS('SUMMARY DATA'!$D:$D,$C368,'SUMMARY DATA'!$B:$B,""GRP"")&lt;&gt;1
    ),
    """",
    IFERROR(TEXTJOIN(CHAR(10),TRUE,FILTER('SUMMARY DATA'!F:F,'SUMMARY DATA'!$D:$D=$C368,'SUMMARY DATA'!$B:$B=""GRP"")),"""")
  )
)"),"")</f>
      </c>
      <c r="G1267" s="17" t="str">
        <f>IFERROR(__xludf.DUMMYFUNCTION("IFERROR(
  TEXTJOIN(CHAR(10),TRUE,FILTER('SUMMARY DATA'!G:G,'SUMMARY DATA'!$A:$A=$A1267,'SUMMARY DATA'!$C:$C=$B1267,'SUMMARY DATA'!$B:$B=""RWS"")),
  IF(
    OR(
      ISNUMBER(SEARCH(""CDM CASH DEPOSIT"",$C1267)),
      ISNUMBER(SEARCH(""CASH DEPOSIT"",$"&amp;"C1267)),
      COUNTIFS('SUMMARY DATA'!$D:$D,$C1267,'SUMMARY DATA'!$B:$B,""RWS"")&lt;&gt;1
    ),
    """",
    IFERROR(TEXTJOIN(CHAR(10),TRUE,FILTER('SUMMARY DATA'!G:G,'SUMMARY DATA'!$D:$D=$C1267,'SUMMARY DATA'!$B:$B=""RWS"")),"""")
  )
)"),"")</f>
      </c>
      <c r="H1267" s="18" t="str">
        <f>IFERROR(__xludf.DUMMYFUNCTION("IFERROR(
  TEXTJOIN(CHAR(10),TRUE,FILTER('SUMMARY DATA'!H:H,'SUMMARY DATA'!$A:$A=$A1267,'SUMMARY DATA'!$C:$C=$B1267,'SUMMARY DATA'!$B:$B=""RWS"",'SUMMARY DATA'!$H:$H=$D1267)),
  IF(
    OR(
      ISNUMBER(SEARCH(""CDM CASH DEPOSIT"",$C1267)),
      ISNUMB"&amp;"ER(SEARCH(""CASH DEPOSIT"",$C1267))
    ),
    """",
    IFERROR(TEXTJOIN(CHAR(10),TRUE,FILTER('SUMMARY DATA'!H:H,'SUMMARY DATA'!$D:$D=$C1267,'SUMMARY DATA'!$B:$B=""RWS"",'SUMMARY DATA'!$H:$H=$D1267)),"""")
  )
)"),"")</f>
      </c>
      <c r="I1267" s="18" t="str">
        <f>IFERROR(__xludf.DUMMYFUNCTION("IF(H1267="""","""",
SUM(ARRAYFORMULA(VALUE(SPLIT(H1267,CHAR(10)))))
)"),"")</f>
      </c>
      <c r="J1267" s="17" t="str">
        <f>IFERROR(__xludf.DUMMYFUNCTION("IFERROR(
  TEXTJOIN(CHAR(10),TRUE,FILTER('SUMMARY DATA'!I:I,'SUMMARY DATA'!$A:$A=$A1267,'SUMMARY DATA'!$C:$C=$B1267,'SUMMARY DATA'!$B:$B=""RWS"")),
  IF(
    OR(
      ISNUMBER(SEARCH(""CDM CASH DEPOSIT"",$C1267)),
      ISNUMBER(SEARCH(""CASH DEPOSIT"",$"&amp;"C1267)),
      COUNTIFS('SUMMARY DATA'!$D:$D,$C1267,'SUMMARY DATA'!$B:$B,""RWS"")&lt;&gt;1
    ),
    """",
    IFERROR(TEXTJOIN(CHAR(10),TRUE,FILTER('SUMMARY DATA'!I:I,'SUMMARY DATA'!$D:$D=$C1267,'SUMMARY DATA'!$B:$B=""RWS"")),"""")
  )
)"),"")</f>
      </c>
      <c r="K1267" s="2"/>
      <c r="L1267" s="2"/>
      <c r="M1267" s="2"/>
      <c r="N1267" s="2"/>
      <c r="O1267" s="2"/>
      <c r="P1267" s="2"/>
      <c r="Q1267" s="2"/>
      <c r="R1267" s="2"/>
      <c r="S1267" s="2"/>
      <c r="T1267" s="2"/>
      <c r="U1267" s="2"/>
      <c r="V1267" s="2"/>
      <c r="W1267" s="2"/>
      <c r="X1267" s="2"/>
      <c r="Y1267" s="2"/>
      <c r="Z1267" s="2"/>
      <c r="AA1267" s="2"/>
      <c r="AB1267" s="2"/>
    </row>
    <row r="1268" spans="1:28" customHeight="true">
      <c r="A1268" s="2"/>
      <c r="B1268" s="15">
        <v>45830</v>
      </c>
      <c r="C1268" s="2" t="s">
        <v>1815</v>
      </c>
      <c r="D1268" s="6">
        <v>18</v>
      </c>
      <c r="E1268" s="16" t="str">
        <f>IFERROR(__xludf.DUMMYFUNCTION("IFERROR(
  TEXTJOIN(CHAR(10),TRUE,FILTER('SUMMARY DATA'!E:E,'SUMMARY DATA'!$A:$A=$A369,'SUMMARY DATA'!$C:$C=$B369,'SUMMARY DATA'!$B:$B=""GRP"")),
  IF(
    OR(
      ISNUMBER(SEARCH(""CDM CASH DEPOSIT"",$C369)),
      ISNUMBER(SEARCH(""CASH DEPOSIT"",$C36"&amp;"9)),
      COUNTIFS('SUMMARY DATA'!$D:$D,$C369,'SUMMARY DATA'!$B:$B,""GRP"")&lt;&gt;1
    ),
    """",
    IFERROR(TEXTJOIN(CHAR(10),TRUE,FILTER('SUMMARY DATA'!E:E,'SUMMARY DATA'!$D:$D=$C369,'SUMMARY DATA'!$B:$B=""GRP"")),"""")
  )
)"),"")</f>
      </c>
      <c r="F1268" s="17" t="str">
        <f>IFERROR(__xludf.DUMMYFUNCTION("IFERROR(
  TEXTJOIN(CHAR(10),TRUE,FILTER('SUMMARY DATA'!F:F,'SUMMARY DATA'!$A:$A=$A369,'SUMMARY DATA'!$C:$C=$B369,'SUMMARY DATA'!$B:$B=""GRP"")),
  IF(
    OR(
      ISNUMBER(SEARCH(""CDM CASH DEPOSIT"",$C369)),
      ISNUMBER(SEARCH(""CASH DEPOSIT"",$C36"&amp;"9)),
      COUNTIFS('SUMMARY DATA'!$D:$D,$C369,'SUMMARY DATA'!$B:$B,""GRP"")&lt;&gt;1
    ),
    """",
    IFERROR(TEXTJOIN(CHAR(10),TRUE,FILTER('SUMMARY DATA'!F:F,'SUMMARY DATA'!$D:$D=$C369,'SUMMARY DATA'!$B:$B=""GRP"")),"""")
  )
)"),"")</f>
      </c>
      <c r="G1268" s="17" t="str">
        <f>IFERROR(__xludf.DUMMYFUNCTION("IFERROR(
  TEXTJOIN(CHAR(10),TRUE,FILTER('SUMMARY DATA'!G:G,'SUMMARY DATA'!$A:$A=$A1268,'SUMMARY DATA'!$C:$C=$B1268,'SUMMARY DATA'!$B:$B=""RWS"")),
  IF(
    OR(
      ISNUMBER(SEARCH(""CDM CASH DEPOSIT"",$C1268)),
      ISNUMBER(SEARCH(""CASH DEPOSIT"",$"&amp;"C1268)),
      COUNTIFS('SUMMARY DATA'!$D:$D,$C1268,'SUMMARY DATA'!$B:$B,""RWS"")&lt;&gt;1
    ),
    """",
    IFERROR(TEXTJOIN(CHAR(10),TRUE,FILTER('SUMMARY DATA'!G:G,'SUMMARY DATA'!$D:$D=$C1268,'SUMMARY DATA'!$B:$B=""RWS"")),"""")
  )
)"),"")</f>
      </c>
      <c r="H1268" s="18" t="str">
        <f>IFERROR(__xludf.DUMMYFUNCTION("IFERROR(
  TEXTJOIN(CHAR(10),TRUE,FILTER('SUMMARY DATA'!H:H,'SUMMARY DATA'!$A:$A=$A1268,'SUMMARY DATA'!$C:$C=$B1268,'SUMMARY DATA'!$B:$B=""RWS"",'SUMMARY DATA'!$H:$H=$D1268)),
  IF(
    OR(
      ISNUMBER(SEARCH(""CDM CASH DEPOSIT"",$C1268)),
      ISNUMB"&amp;"ER(SEARCH(""CASH DEPOSIT"",$C1268))
    ),
    """",
    IFERROR(TEXTJOIN(CHAR(10),TRUE,FILTER('SUMMARY DATA'!H:H,'SUMMARY DATA'!$D:$D=$C1268,'SUMMARY DATA'!$B:$B=""RWS"",'SUMMARY DATA'!$H:$H=$D1268)),"""")
  )
)"),"")</f>
      </c>
      <c r="I1268" s="18" t="str">
        <f>IFERROR(__xludf.DUMMYFUNCTION("IF(H1268="""","""",
SUM(ARRAYFORMULA(VALUE(SPLIT(H1268,CHAR(10)))))
)"),"")</f>
      </c>
      <c r="J1268" s="17" t="str">
        <f>IFERROR(__xludf.DUMMYFUNCTION("IFERROR(
  TEXTJOIN(CHAR(10),TRUE,FILTER('SUMMARY DATA'!I:I,'SUMMARY DATA'!$A:$A=$A1268,'SUMMARY DATA'!$C:$C=$B1268,'SUMMARY DATA'!$B:$B=""RWS"")),
  IF(
    OR(
      ISNUMBER(SEARCH(""CDM CASH DEPOSIT"",$C1268)),
      ISNUMBER(SEARCH(""CASH DEPOSIT"",$"&amp;"C1268)),
      COUNTIFS('SUMMARY DATA'!$D:$D,$C1268,'SUMMARY DATA'!$B:$B,""RWS"")&lt;&gt;1
    ),
    """",
    IFERROR(TEXTJOIN(CHAR(10),TRUE,FILTER('SUMMARY DATA'!I:I,'SUMMARY DATA'!$D:$D=$C1268,'SUMMARY DATA'!$B:$B=""RWS"")),"""")
  )
)"),"")</f>
      </c>
      <c r="K1268" s="2"/>
      <c r="L1268" s="2"/>
      <c r="M1268" s="2"/>
      <c r="N1268" s="2"/>
      <c r="O1268" s="2"/>
      <c r="P1268" s="2"/>
      <c r="Q1268" s="2"/>
      <c r="R1268" s="2"/>
      <c r="S1268" s="2"/>
      <c r="T1268" s="2"/>
      <c r="U1268" s="2"/>
      <c r="V1268" s="2"/>
      <c r="W1268" s="2"/>
      <c r="X1268" s="2"/>
      <c r="Y1268" s="2"/>
      <c r="Z1268" s="2"/>
      <c r="AA1268" s="2"/>
      <c r="AB1268" s="2"/>
    </row>
    <row r="1269" spans="1:28" customHeight="true">
      <c r="A1269" s="2"/>
      <c r="B1269" s="15">
        <v>45830</v>
      </c>
      <c r="C1269" s="2" t="s">
        <v>1816</v>
      </c>
      <c r="D1269" s="6">
        <v>3.02</v>
      </c>
      <c r="E1269" s="16" t="str">
        <f>IFERROR(__xludf.DUMMYFUNCTION("IFERROR(
  TEXTJOIN(CHAR(10),TRUE,FILTER('SUMMARY DATA'!E:E,'SUMMARY DATA'!$A:$A=$A370,'SUMMARY DATA'!$C:$C=$B370,'SUMMARY DATA'!$B:$B=""GRP"")),
  IF(
    OR(
      ISNUMBER(SEARCH(""CDM CASH DEPOSIT"",$C370)),
      ISNUMBER(SEARCH(""CASH DEPOSIT"",$C37"&amp;"0)),
      COUNTIFS('SUMMARY DATA'!$D:$D,$C370,'SUMMARY DATA'!$B:$B,""GRP"")&lt;&gt;1
    ),
    """",
    IFERROR(TEXTJOIN(CHAR(10),TRUE,FILTER('SUMMARY DATA'!E:E,'SUMMARY DATA'!$D:$D=$C370,'SUMMARY DATA'!$B:$B=""GRP"")),"""")
  )
)"),"")</f>
      </c>
      <c r="F1269" s="17" t="str">
        <f>IFERROR(__xludf.DUMMYFUNCTION("IFERROR(
  TEXTJOIN(CHAR(10),TRUE,FILTER('SUMMARY DATA'!F:F,'SUMMARY DATA'!$A:$A=$A370,'SUMMARY DATA'!$C:$C=$B370,'SUMMARY DATA'!$B:$B=""GRP"")),
  IF(
    OR(
      ISNUMBER(SEARCH(""CDM CASH DEPOSIT"",$C370)),
      ISNUMBER(SEARCH(""CASH DEPOSIT"",$C37"&amp;"0)),
      COUNTIFS('SUMMARY DATA'!$D:$D,$C370,'SUMMARY DATA'!$B:$B,""GRP"")&lt;&gt;1
    ),
    """",
    IFERROR(TEXTJOIN(CHAR(10),TRUE,FILTER('SUMMARY DATA'!F:F,'SUMMARY DATA'!$D:$D=$C370,'SUMMARY DATA'!$B:$B=""GRP"")),"""")
  )
)"),"")</f>
      </c>
      <c r="G1269" s="17" t="str">
        <f>IFERROR(__xludf.DUMMYFUNCTION("IFERROR(
  TEXTJOIN(CHAR(10),TRUE,FILTER('SUMMARY DATA'!G:G,'SUMMARY DATA'!$A:$A=$A1269,'SUMMARY DATA'!$C:$C=$B1269,'SUMMARY DATA'!$B:$B=""RWS"")),
  IF(
    OR(
      ISNUMBER(SEARCH(""CDM CASH DEPOSIT"",$C1269)),
      ISNUMBER(SEARCH(""CASH DEPOSIT"",$"&amp;"C1269)),
      COUNTIFS('SUMMARY DATA'!$D:$D,$C1269,'SUMMARY DATA'!$B:$B,""RWS"")&lt;&gt;1
    ),
    """",
    IFERROR(TEXTJOIN(CHAR(10),TRUE,FILTER('SUMMARY DATA'!G:G,'SUMMARY DATA'!$D:$D=$C1269,'SUMMARY DATA'!$B:$B=""RWS"")),"""")
  )
)"),"")</f>
      </c>
      <c r="H1269" s="18" t="str">
        <f>IFERROR(__xludf.DUMMYFUNCTION("IFERROR(
  TEXTJOIN(CHAR(10),TRUE,FILTER('SUMMARY DATA'!H:H,'SUMMARY DATA'!$A:$A=$A1269,'SUMMARY DATA'!$C:$C=$B1269,'SUMMARY DATA'!$B:$B=""RWS"",'SUMMARY DATA'!$H:$H=$D1269)),
  IF(
    OR(
      ISNUMBER(SEARCH(""CDM CASH DEPOSIT"",$C1269)),
      ISNUMB"&amp;"ER(SEARCH(""CASH DEPOSIT"",$C1269))
    ),
    """",
    IFERROR(TEXTJOIN(CHAR(10),TRUE,FILTER('SUMMARY DATA'!H:H,'SUMMARY DATA'!$D:$D=$C1269,'SUMMARY DATA'!$B:$B=""RWS"",'SUMMARY DATA'!$H:$H=$D1269)),"""")
  )
)"),"")</f>
      </c>
      <c r="I1269" s="18" t="str">
        <f>IFERROR(__xludf.DUMMYFUNCTION("IF(H1269="""","""",
SUM(ARRAYFORMULA(VALUE(SPLIT(H1269,CHAR(10)))))
)"),"")</f>
      </c>
      <c r="J1269" s="17" t="str">
        <f>IFERROR(__xludf.DUMMYFUNCTION("IFERROR(
  TEXTJOIN(CHAR(10),TRUE,FILTER('SUMMARY DATA'!I:I,'SUMMARY DATA'!$A:$A=$A1269,'SUMMARY DATA'!$C:$C=$B1269,'SUMMARY DATA'!$B:$B=""RWS"")),
  IF(
    OR(
      ISNUMBER(SEARCH(""CDM CASH DEPOSIT"",$C1269)),
      ISNUMBER(SEARCH(""CASH DEPOSIT"",$"&amp;"C1269)),
      COUNTIFS('SUMMARY DATA'!$D:$D,$C1269,'SUMMARY DATA'!$B:$B,""RWS"")&lt;&gt;1
    ),
    """",
    IFERROR(TEXTJOIN(CHAR(10),TRUE,FILTER('SUMMARY DATA'!I:I,'SUMMARY DATA'!$D:$D=$C1269,'SUMMARY DATA'!$B:$B=""RWS"")),"""")
  )
)"),"")</f>
      </c>
      <c r="K1269" s="2"/>
      <c r="L1269" s="2"/>
      <c r="M1269" s="2"/>
      <c r="N1269" s="2"/>
      <c r="O1269" s="2"/>
      <c r="P1269" s="2"/>
      <c r="Q1269" s="2"/>
      <c r="R1269" s="2"/>
      <c r="S1269" s="2"/>
      <c r="T1269" s="2"/>
      <c r="U1269" s="2"/>
      <c r="V1269" s="2"/>
      <c r="W1269" s="2"/>
      <c r="X1269" s="2"/>
      <c r="Y1269" s="2"/>
      <c r="Z1269" s="2"/>
      <c r="AA1269" s="2"/>
      <c r="AB1269" s="2"/>
    </row>
    <row r="1270" spans="1:28" customHeight="true">
      <c r="A1270" s="2"/>
      <c r="B1270" s="15">
        <v>45831</v>
      </c>
      <c r="C1270" s="2" t="s">
        <v>1817</v>
      </c>
      <c r="D1270" s="6">
        <v>130</v>
      </c>
      <c r="E1270" s="16" t="str">
        <f>IFERROR(__xludf.DUMMYFUNCTION("IFERROR(
  TEXTJOIN(CHAR(10),TRUE,FILTER('SUMMARY DATA'!E:E,'SUMMARY DATA'!$A:$A=$A371,'SUMMARY DATA'!$C:$C=$B371,'SUMMARY DATA'!$B:$B=""GRP"")),
  IF(
    OR(
      ISNUMBER(SEARCH(""CDM CASH DEPOSIT"",$C371)),
      ISNUMBER(SEARCH(""CASH DEPOSIT"",$C37"&amp;"1)),
      COUNTIFS('SUMMARY DATA'!$D:$D,$C371,'SUMMARY DATA'!$B:$B,""GRP"")&lt;&gt;1
    ),
    """",
    IFERROR(TEXTJOIN(CHAR(10),TRUE,FILTER('SUMMARY DATA'!E:E,'SUMMARY DATA'!$D:$D=$C371,'SUMMARY DATA'!$B:$B=""GRP"")),"""")
  )
)"),"")</f>
      </c>
      <c r="F1270" s="17" t="str">
        <f>IFERROR(__xludf.DUMMYFUNCTION("IFERROR(
  TEXTJOIN(CHAR(10),TRUE,FILTER('SUMMARY DATA'!F:F,'SUMMARY DATA'!$A:$A=$A371,'SUMMARY DATA'!$C:$C=$B371,'SUMMARY DATA'!$B:$B=""GRP"")),
  IF(
    OR(
      ISNUMBER(SEARCH(""CDM CASH DEPOSIT"",$C371)),
      ISNUMBER(SEARCH(""CASH DEPOSIT"",$C37"&amp;"1)),
      COUNTIFS('SUMMARY DATA'!$D:$D,$C371,'SUMMARY DATA'!$B:$B,""GRP"")&lt;&gt;1
    ),
    """",
    IFERROR(TEXTJOIN(CHAR(10),TRUE,FILTER('SUMMARY DATA'!F:F,'SUMMARY DATA'!$D:$D=$C371,'SUMMARY DATA'!$B:$B=""GRP"")),"""")
  )
)"),"")</f>
      </c>
      <c r="G1270" s="17" t="str">
        <f>IFERROR(__xludf.DUMMYFUNCTION("IFERROR(
  TEXTJOIN(CHAR(10),TRUE,FILTER('SUMMARY DATA'!G:G,'SUMMARY DATA'!$A:$A=$A1270,'SUMMARY DATA'!$C:$C=$B1270,'SUMMARY DATA'!$B:$B=""RWS"")),
  IF(
    OR(
      ISNUMBER(SEARCH(""CDM CASH DEPOSIT"",$C1270)),
      ISNUMBER(SEARCH(""CASH DEPOSIT"",$"&amp;"C1270)),
      COUNTIFS('SUMMARY DATA'!$D:$D,$C1270,'SUMMARY DATA'!$B:$B,""RWS"")&lt;&gt;1
    ),
    """",
    IFERROR(TEXTJOIN(CHAR(10),TRUE,FILTER('SUMMARY DATA'!G:G,'SUMMARY DATA'!$D:$D=$C1270,'SUMMARY DATA'!$B:$B=""RWS"")),"""")
  )
)"),"")</f>
      </c>
      <c r="H1270" s="18" t="str">
        <f>IFERROR(__xludf.DUMMYFUNCTION("IFERROR(
  TEXTJOIN(CHAR(10),TRUE,FILTER('SUMMARY DATA'!H:H,'SUMMARY DATA'!$A:$A=$A1270,'SUMMARY DATA'!$C:$C=$B1270,'SUMMARY DATA'!$B:$B=""RWS"",'SUMMARY DATA'!$H:$H=$D1270)),
  IF(
    OR(
      ISNUMBER(SEARCH(""CDM CASH DEPOSIT"",$C1270)),
      ISNUMB"&amp;"ER(SEARCH(""CASH DEPOSIT"",$C1270))
    ),
    """",
    IFERROR(TEXTJOIN(CHAR(10),TRUE,FILTER('SUMMARY DATA'!H:H,'SUMMARY DATA'!$D:$D=$C1270,'SUMMARY DATA'!$B:$B=""RWS"",'SUMMARY DATA'!$H:$H=$D1270)),"""")
  )
)"),"")</f>
      </c>
      <c r="I1270" s="18" t="str">
        <f>IFERROR(__xludf.DUMMYFUNCTION("IF(H1270="""","""",
SUM(ARRAYFORMULA(VALUE(SPLIT(H1270,CHAR(10)))))
)"),"")</f>
      </c>
      <c r="J1270" s="17" t="str">
        <f>IFERROR(__xludf.DUMMYFUNCTION("IFERROR(
  TEXTJOIN(CHAR(10),TRUE,FILTER('SUMMARY DATA'!I:I,'SUMMARY DATA'!$A:$A=$A1270,'SUMMARY DATA'!$C:$C=$B1270,'SUMMARY DATA'!$B:$B=""RWS"")),
  IF(
    OR(
      ISNUMBER(SEARCH(""CDM CASH DEPOSIT"",$C1270)),
      ISNUMBER(SEARCH(""CASH DEPOSIT"",$"&amp;"C1270)),
      COUNTIFS('SUMMARY DATA'!$D:$D,$C1270,'SUMMARY DATA'!$B:$B,""RWS"")&lt;&gt;1
    ),
    """",
    IFERROR(TEXTJOIN(CHAR(10),TRUE,FILTER('SUMMARY DATA'!I:I,'SUMMARY DATA'!$D:$D=$C1270,'SUMMARY DATA'!$B:$B=""RWS"")),"""")
  )
)"),"")</f>
      </c>
      <c r="K1270" s="2"/>
      <c r="L1270" s="2"/>
      <c r="M1270" s="2"/>
      <c r="N1270" s="2"/>
      <c r="O1270" s="2"/>
      <c r="P1270" s="2"/>
      <c r="Q1270" s="2"/>
      <c r="R1270" s="2"/>
      <c r="S1270" s="2"/>
      <c r="T1270" s="2"/>
      <c r="U1270" s="2"/>
      <c r="V1270" s="2"/>
      <c r="W1270" s="2"/>
      <c r="X1270" s="2"/>
      <c r="Y1270" s="2"/>
      <c r="Z1270" s="2"/>
      <c r="AA1270" s="2"/>
      <c r="AB1270" s="2"/>
    </row>
    <row r="1271" spans="1:28" customHeight="true">
      <c r="A1271" s="2"/>
      <c r="B1271" s="15">
        <v>45831</v>
      </c>
      <c r="C1271" s="2" t="s">
        <v>1818</v>
      </c>
      <c r="D1271" s="6">
        <v>49</v>
      </c>
      <c r="E1271" s="16" t="str">
        <f>IFERROR(__xludf.DUMMYFUNCTION("IFERROR(
  TEXTJOIN(CHAR(10),TRUE,FILTER('SUMMARY DATA'!E:E,'SUMMARY DATA'!$A:$A=$A372,'SUMMARY DATA'!$C:$C=$B372,'SUMMARY DATA'!$B:$B=""GRP"")),
  IF(
    OR(
      ISNUMBER(SEARCH(""CDM CASH DEPOSIT"",$C372)),
      ISNUMBER(SEARCH(""CASH DEPOSIT"",$C37"&amp;"2)),
      COUNTIFS('SUMMARY DATA'!$D:$D,$C372,'SUMMARY DATA'!$B:$B,""GRP"")&lt;&gt;1
    ),
    """",
    IFERROR(TEXTJOIN(CHAR(10),TRUE,FILTER('SUMMARY DATA'!E:E,'SUMMARY DATA'!$D:$D=$C372,'SUMMARY DATA'!$B:$B=""GRP"")),"""")
  )
)"),"")</f>
      </c>
      <c r="F1271" s="17" t="str">
        <f>IFERROR(__xludf.DUMMYFUNCTION("IFERROR(
  TEXTJOIN(CHAR(10),TRUE,FILTER('SUMMARY DATA'!F:F,'SUMMARY DATA'!$A:$A=$A372,'SUMMARY DATA'!$C:$C=$B372,'SUMMARY DATA'!$B:$B=""GRP"")),
  IF(
    OR(
      ISNUMBER(SEARCH(""CDM CASH DEPOSIT"",$C372)),
      ISNUMBER(SEARCH(""CASH DEPOSIT"",$C37"&amp;"2)),
      COUNTIFS('SUMMARY DATA'!$D:$D,$C372,'SUMMARY DATA'!$B:$B,""GRP"")&lt;&gt;1
    ),
    """",
    IFERROR(TEXTJOIN(CHAR(10),TRUE,FILTER('SUMMARY DATA'!F:F,'SUMMARY DATA'!$D:$D=$C372,'SUMMARY DATA'!$B:$B=""GRP"")),"""")
  )
)"),"")</f>
      </c>
    </row>
    <row r="1272" spans="1:28" customHeight="true">
      <c r="A1272" s="2"/>
      <c r="B1272" s="15">
        <v>45831</v>
      </c>
      <c r="C1272" s="2" t="s">
        <v>1819</v>
      </c>
      <c r="D1272" s="6">
        <v>10</v>
      </c>
      <c r="E1272" s="16" t="str">
        <f>IFERROR(__xludf.DUMMYFUNCTION("IFERROR(
  TEXTJOIN(CHAR(10),TRUE,FILTER('SUMMARY DATA'!E:E,'SUMMARY DATA'!$A:$A=$A373,'SUMMARY DATA'!$C:$C=$B373,'SUMMARY DATA'!$B:$B=""GRP"")),
  IF(
    OR(
      ISNUMBER(SEARCH(""CDM CASH DEPOSIT"",$C373)),
      ISNUMBER(SEARCH(""CASH DEPOSIT"",$C37"&amp;"3)),
      COUNTIFS('SUMMARY DATA'!$D:$D,$C373,'SUMMARY DATA'!$B:$B,""GRP"")&lt;&gt;1
    ),
    """",
    IFERROR(TEXTJOIN(CHAR(10),TRUE,FILTER('SUMMARY DATA'!E:E,'SUMMARY DATA'!$D:$D=$C373,'SUMMARY DATA'!$B:$B=""GRP"")),"""")
  )
)"),"")</f>
      </c>
      <c r="F1272" s="17" t="str">
        <f>IFERROR(__xludf.DUMMYFUNCTION("IFERROR(
  TEXTJOIN(CHAR(10),TRUE,FILTER('SUMMARY DATA'!F:F,'SUMMARY DATA'!$A:$A=$A373,'SUMMARY DATA'!$C:$C=$B373,'SUMMARY DATA'!$B:$B=""GRP"")),
  IF(
    OR(
      ISNUMBER(SEARCH(""CDM CASH DEPOSIT"",$C373)),
      ISNUMBER(SEARCH(""CASH DEPOSIT"",$C37"&amp;"3)),
      COUNTIFS('SUMMARY DATA'!$D:$D,$C373,'SUMMARY DATA'!$B:$B,""GRP"")&lt;&gt;1
    ),
    """",
    IFERROR(TEXTJOIN(CHAR(10),TRUE,FILTER('SUMMARY DATA'!F:F,'SUMMARY DATA'!$D:$D=$C373,'SUMMARY DATA'!$B:$B=""GRP"")),"""")
  )
)"),"")</f>
      </c>
    </row>
    <row r="1273" spans="1:28" customHeight="true">
      <c r="A1273" s="2"/>
      <c r="B1273" s="15">
        <v>45831</v>
      </c>
      <c r="C1273" s="2" t="s">
        <v>1820</v>
      </c>
      <c r="D1273" s="6">
        <v>8.8</v>
      </c>
      <c r="E1273" s="16" t="str">
        <f>IFERROR(__xludf.DUMMYFUNCTION("IFERROR(
  TEXTJOIN(CHAR(10),TRUE,FILTER('SUMMARY DATA'!E:E,'SUMMARY DATA'!$A:$A=$A374,'SUMMARY DATA'!$C:$C=$B374,'SUMMARY DATA'!$B:$B=""GRP"")),
  IF(
    OR(
      ISNUMBER(SEARCH(""CDM CASH DEPOSIT"",$C374)),
      ISNUMBER(SEARCH(""CASH DEPOSIT"",$C37"&amp;"4)),
      COUNTIFS('SUMMARY DATA'!$D:$D,$C374,'SUMMARY DATA'!$B:$B,""GRP"")&lt;&gt;1
    ),
    """",
    IFERROR(TEXTJOIN(CHAR(10),TRUE,FILTER('SUMMARY DATA'!E:E,'SUMMARY DATA'!$D:$D=$C374,'SUMMARY DATA'!$B:$B=""GRP"")),"""")
  )
)"),"")</f>
      </c>
      <c r="F1273" s="17" t="str">
        <f>IFERROR(__xludf.DUMMYFUNCTION("IFERROR(
  TEXTJOIN(CHAR(10),TRUE,FILTER('SUMMARY DATA'!F:F,'SUMMARY DATA'!$A:$A=$A374,'SUMMARY DATA'!$C:$C=$B374,'SUMMARY DATA'!$B:$B=""GRP"")),
  IF(
    OR(
      ISNUMBER(SEARCH(""CDM CASH DEPOSIT"",$C374)),
      ISNUMBER(SEARCH(""CASH DEPOSIT"",$C37"&amp;"4)),
      COUNTIFS('SUMMARY DATA'!$D:$D,$C374,'SUMMARY DATA'!$B:$B,""GRP"")&lt;&gt;1
    ),
    """",
    IFERROR(TEXTJOIN(CHAR(10),TRUE,FILTER('SUMMARY DATA'!F:F,'SUMMARY DATA'!$D:$D=$C374,'SUMMARY DATA'!$B:$B=""GRP"")),"""")
  )
)"),"")</f>
      </c>
    </row>
    <row r="1274" spans="1:28" customHeight="true">
      <c r="A1274" s="2"/>
      <c r="B1274" s="15">
        <v>45831</v>
      </c>
      <c r="C1274" s="2" t="s">
        <v>1821</v>
      </c>
      <c r="D1274" s="6">
        <v>0.9</v>
      </c>
      <c r="E1274" s="16" t="str">
        <f>IFERROR(__xludf.DUMMYFUNCTION("IFERROR(
  TEXTJOIN(CHAR(10),TRUE,FILTER('SUMMARY DATA'!E:E,'SUMMARY DATA'!$A:$A=$A375,'SUMMARY DATA'!$C:$C=$B375,'SUMMARY DATA'!$B:$B=""GRP"")),
  IF(
    OR(
      ISNUMBER(SEARCH(""CDM CASH DEPOSIT"",$C375)),
      ISNUMBER(SEARCH(""CASH DEPOSIT"",$C37"&amp;"5)),
      COUNTIFS('SUMMARY DATA'!$D:$D,$C375,'SUMMARY DATA'!$B:$B,""GRP"")&lt;&gt;1
    ),
    """",
    IFERROR(TEXTJOIN(CHAR(10),TRUE,FILTER('SUMMARY DATA'!E:E,'SUMMARY DATA'!$D:$D=$C375,'SUMMARY DATA'!$B:$B=""GRP"")),"""")
  )
)"),"")</f>
      </c>
      <c r="F1274" s="17" t="str">
        <f>IFERROR(__xludf.DUMMYFUNCTION("IFERROR(
  TEXTJOIN(CHAR(10),TRUE,FILTER('SUMMARY DATA'!F:F,'SUMMARY DATA'!$A:$A=$A375,'SUMMARY DATA'!$C:$C=$B375,'SUMMARY DATA'!$B:$B=""GRP"")),
  IF(
    OR(
      ISNUMBER(SEARCH(""CDM CASH DEPOSIT"",$C375)),
      ISNUMBER(SEARCH(""CASH DEPOSIT"",$C37"&amp;"5)),
      COUNTIFS('SUMMARY DATA'!$D:$D,$C375,'SUMMARY DATA'!$B:$B,""GRP"")&lt;&gt;1
    ),
    """",
    IFERROR(TEXTJOIN(CHAR(10),TRUE,FILTER('SUMMARY DATA'!F:F,'SUMMARY DATA'!$D:$D=$C375,'SUMMARY DATA'!$B:$B=""GRP"")),"""")
  )
)"),"")</f>
      </c>
    </row>
    <row r="1275" spans="1:28" customHeight="true">
      <c r="A1275" s="2"/>
      <c r="B1275" s="15">
        <v>45832</v>
      </c>
      <c r="C1275" s="2" t="s">
        <v>1822</v>
      </c>
      <c r="D1275" s="6">
        <v>3393</v>
      </c>
      <c r="E1275" s="16" t="str">
        <f>IFERROR(__xludf.DUMMYFUNCTION("IFERROR(
  TEXTJOIN(CHAR(10),TRUE,FILTER('SUMMARY DATA'!E:E,'SUMMARY DATA'!$A:$A=$A376,'SUMMARY DATA'!$C:$C=$B376,'SUMMARY DATA'!$B:$B=""GRP"")),
  IF(
    OR(
      ISNUMBER(SEARCH(""CDM CASH DEPOSIT"",$C376)),
      ISNUMBER(SEARCH(""CASH DEPOSIT"",$C37"&amp;"6)),
      COUNTIFS('SUMMARY DATA'!$D:$D,$C376,'SUMMARY DATA'!$B:$B,""GRP"")&lt;&gt;1
    ),
    """",
    IFERROR(TEXTJOIN(CHAR(10),TRUE,FILTER('SUMMARY DATA'!E:E,'SUMMARY DATA'!$D:$D=$C376,'SUMMARY DATA'!$B:$B=""GRP"")),"""")
  )
)"),"")</f>
      </c>
      <c r="F1275" s="17" t="str">
        <f>IFERROR(__xludf.DUMMYFUNCTION("IFERROR(
  TEXTJOIN(CHAR(10),TRUE,FILTER('SUMMARY DATA'!F:F,'SUMMARY DATA'!$A:$A=$A376,'SUMMARY DATA'!$C:$C=$B376,'SUMMARY DATA'!$B:$B=""GRP"")),
  IF(
    OR(
      ISNUMBER(SEARCH(""CDM CASH DEPOSIT"",$C376)),
      ISNUMBER(SEARCH(""CASH DEPOSIT"",$C37"&amp;"6)),
      COUNTIFS('SUMMARY DATA'!$D:$D,$C376,'SUMMARY DATA'!$B:$B,""GRP"")&lt;&gt;1
    ),
    """",
    IFERROR(TEXTJOIN(CHAR(10),TRUE,FILTER('SUMMARY DATA'!F:F,'SUMMARY DATA'!$D:$D=$C376,'SUMMARY DATA'!$B:$B=""GRP"")),"""")
  )
)"),"")</f>
      </c>
    </row>
    <row r="1276" spans="1:28" customHeight="true">
      <c r="A1276" s="2" t="s">
        <v>1810</v>
      </c>
      <c r="B1276" s="15">
        <v>45832</v>
      </c>
      <c r="C1276" s="2" t="s">
        <v>1811</v>
      </c>
      <c r="D1276" s="6">
        <v>363</v>
      </c>
      <c r="E1276" s="16" t="str">
        <f>IFERROR(__xludf.DUMMYFUNCTION("IFERROR(
  TEXTJOIN(CHAR(10),TRUE,FILTER('SUMMARY DATA'!E:E,'SUMMARY DATA'!$A:$A=$A377,'SUMMARY DATA'!$C:$C=$B377,'SUMMARY DATA'!$B:$B=""GRP"")),
  IF(
    OR(
      ISNUMBER(SEARCH(""CDM CASH DEPOSIT"",$C377)),
      ISNUMBER(SEARCH(""CASH DEPOSIT"",$C37"&amp;"7)),
      COUNTIFS('SUMMARY DATA'!$D:$D,$C377,'SUMMARY DATA'!$B:$B,""GRP"")&lt;&gt;1
    ),
    """",
    IFERROR(TEXTJOIN(CHAR(10),TRUE,FILTER('SUMMARY DATA'!E:E,'SUMMARY DATA'!$D:$D=$C377,'SUMMARY DATA'!$B:$B=""GRP"")),"""")
  )
)"),"")</f>
      </c>
      <c r="F1276" s="17" t="str">
        <f>IFERROR(__xludf.DUMMYFUNCTION("IFERROR(
  TEXTJOIN(CHAR(10),TRUE,FILTER('SUMMARY DATA'!F:F,'SUMMARY DATA'!$A:$A=$A377,'SUMMARY DATA'!$C:$C=$B377,'SUMMARY DATA'!$B:$B=""GRP"")),
  IF(
    OR(
      ISNUMBER(SEARCH(""CDM CASH DEPOSIT"",$C377)),
      ISNUMBER(SEARCH(""CASH DEPOSIT"",$C37"&amp;"7)),
      COUNTIFS('SUMMARY DATA'!$D:$D,$C377,'SUMMARY DATA'!$B:$B,""GRP"")&lt;&gt;1
    ),
    """",
    IFERROR(TEXTJOIN(CHAR(10),TRUE,FILTER('SUMMARY DATA'!F:F,'SUMMARY DATA'!$D:$D=$C377,'SUMMARY DATA'!$B:$B=""GRP"")),"""")
  )
)"),"")</f>
      </c>
    </row>
    <row r="1277" spans="1:28" customHeight="true">
      <c r="A1277" s="2" t="s">
        <v>1823</v>
      </c>
      <c r="B1277" s="15">
        <v>45832</v>
      </c>
      <c r="C1277" s="2" t="s">
        <v>1824</v>
      </c>
      <c r="D1277" s="6">
        <v>291.97</v>
      </c>
      <c r="E1277" s="16" t="str">
        <f>IFERROR(__xludf.DUMMYFUNCTION("IFERROR(
  TEXTJOIN(CHAR(10),TRUE,FILTER('SUMMARY DATA'!E:E,'SUMMARY DATA'!$A:$A=$A378,'SUMMARY DATA'!$C:$C=$B378,'SUMMARY DATA'!$B:$B=""GRP"")),
  IF(
    OR(
      ISNUMBER(SEARCH(""CDM CASH DEPOSIT"",$C378)),
      ISNUMBER(SEARCH(""CASH DEPOSIT"",$C37"&amp;"8)),
      COUNTIFS('SUMMARY DATA'!$D:$D,$C378,'SUMMARY DATA'!$B:$B,""GRP"")&lt;&gt;1
    ),
    """",
    IFERROR(TEXTJOIN(CHAR(10),TRUE,FILTER('SUMMARY DATA'!E:E,'SUMMARY DATA'!$D:$D=$C378,'SUMMARY DATA'!$B:$B=""GRP"")),"""")
  )
)"),"")</f>
      </c>
      <c r="F1277" s="17" t="str">
        <f>IFERROR(__xludf.DUMMYFUNCTION("IFERROR(
  TEXTJOIN(CHAR(10),TRUE,FILTER('SUMMARY DATA'!F:F,'SUMMARY DATA'!$A:$A=$A378,'SUMMARY DATA'!$C:$C=$B378,'SUMMARY DATA'!$B:$B=""GRP"")),
  IF(
    OR(
      ISNUMBER(SEARCH(""CDM CASH DEPOSIT"",$C378)),
      ISNUMBER(SEARCH(""CASH DEPOSIT"",$C37"&amp;"8)),
      COUNTIFS('SUMMARY DATA'!$D:$D,$C378,'SUMMARY DATA'!$B:$B,""GRP"")&lt;&gt;1
    ),
    """",
    IFERROR(TEXTJOIN(CHAR(10),TRUE,FILTER('SUMMARY DATA'!F:F,'SUMMARY DATA'!$D:$D=$C378,'SUMMARY DATA'!$B:$B=""GRP"")),"""")
  )
)"),"")</f>
      </c>
    </row>
    <row r="1278" spans="1:28" customHeight="true">
      <c r="A1278" s="2"/>
      <c r="B1278" s="15">
        <v>45833</v>
      </c>
      <c r="C1278" s="2" t="s">
        <v>1825</v>
      </c>
      <c r="D1278" s="6">
        <v>227.76</v>
      </c>
      <c r="E1278" s="16" t="str">
        <f>IFERROR(__xludf.DUMMYFUNCTION("IFERROR(
  TEXTJOIN(CHAR(10),TRUE,FILTER('SUMMARY DATA'!E:E,'SUMMARY DATA'!$A:$A=$A379,'SUMMARY DATA'!$C:$C=$B379,'SUMMARY DATA'!$B:$B=""GRP"")),
  IF(
    OR(
      ISNUMBER(SEARCH(""CDM CASH DEPOSIT"",$C379)),
      ISNUMBER(SEARCH(""CASH DEPOSIT"",$C37"&amp;"9)),
      COUNTIFS('SUMMARY DATA'!$D:$D,$C379,'SUMMARY DATA'!$B:$B,""GRP"")&lt;&gt;1
    ),
    """",
    IFERROR(TEXTJOIN(CHAR(10),TRUE,FILTER('SUMMARY DATA'!E:E,'SUMMARY DATA'!$D:$D=$C379,'SUMMARY DATA'!$B:$B=""GRP"")),"""")
  )
)"),"")</f>
      </c>
      <c r="F1278" s="17" t="str">
        <f>IFERROR(__xludf.DUMMYFUNCTION("IFERROR(
  TEXTJOIN(CHAR(10),TRUE,FILTER('SUMMARY DATA'!F:F,'SUMMARY DATA'!$A:$A=$A379,'SUMMARY DATA'!$C:$C=$B379,'SUMMARY DATA'!$B:$B=""GRP"")),
  IF(
    OR(
      ISNUMBER(SEARCH(""CDM CASH DEPOSIT"",$C379)),
      ISNUMBER(SEARCH(""CASH DEPOSIT"",$C37"&amp;"9)),
      COUNTIFS('SUMMARY DATA'!$D:$D,$C379,'SUMMARY DATA'!$B:$B,""GRP"")&lt;&gt;1
    ),
    """",
    IFERROR(TEXTJOIN(CHAR(10),TRUE,FILTER('SUMMARY DATA'!F:F,'SUMMARY DATA'!$D:$D=$C379,'SUMMARY DATA'!$B:$B=""GRP"")),"""")
  )
)"),"")</f>
      </c>
    </row>
    <row r="1279" spans="1:28" customHeight="true">
      <c r="A1279" s="2"/>
      <c r="B1279" s="15">
        <v>45833</v>
      </c>
      <c r="C1279" s="2" t="s">
        <v>1826</v>
      </c>
      <c r="D1279" s="6">
        <v>188</v>
      </c>
      <c r="E1279" s="16" t="str">
        <f>IFERROR(__xludf.DUMMYFUNCTION("IFERROR(
  TEXTJOIN(CHAR(10),TRUE,FILTER('SUMMARY DATA'!E:E,'SUMMARY DATA'!$A:$A=$A380,'SUMMARY DATA'!$C:$C=$B380,'SUMMARY DATA'!$B:$B=""GRP"")),
  IF(
    OR(
      ISNUMBER(SEARCH(""CDM CASH DEPOSIT"",$C380)),
      ISNUMBER(SEARCH(""CASH DEPOSIT"",$C38"&amp;"0)),
      COUNTIFS('SUMMARY DATA'!$D:$D,$C380,'SUMMARY DATA'!$B:$B,""GRP"")&lt;&gt;1
    ),
    """",
    IFERROR(TEXTJOIN(CHAR(10),TRUE,FILTER('SUMMARY DATA'!E:E,'SUMMARY DATA'!$D:$D=$C380,'SUMMARY DATA'!$B:$B=""GRP"")),"""")
  )
)"),"")</f>
      </c>
      <c r="F1279" s="17" t="str">
        <f>IFERROR(__xludf.DUMMYFUNCTION("IFERROR(
  TEXTJOIN(CHAR(10),TRUE,FILTER('SUMMARY DATA'!F:F,'SUMMARY DATA'!$A:$A=$A380,'SUMMARY DATA'!$C:$C=$B380,'SUMMARY DATA'!$B:$B=""GRP"")),
  IF(
    OR(
      ISNUMBER(SEARCH(""CDM CASH DEPOSIT"",$C380)),
      ISNUMBER(SEARCH(""CASH DEPOSIT"",$C38"&amp;"0)),
      COUNTIFS('SUMMARY DATA'!$D:$D,$C380,'SUMMARY DATA'!$B:$B,""GRP"")&lt;&gt;1
    ),
    """",
    IFERROR(TEXTJOIN(CHAR(10),TRUE,FILTER('SUMMARY DATA'!F:F,'SUMMARY DATA'!$D:$D=$C380,'SUMMARY DATA'!$B:$B=""GRP"")),"""")
  )
)"),"")</f>
      </c>
    </row>
    <row r="1280" spans="1:28" customHeight="true">
      <c r="A1280" s="2" t="s">
        <v>1446</v>
      </c>
      <c r="B1280" s="15">
        <v>45833</v>
      </c>
      <c r="C1280" s="2" t="s">
        <v>1827</v>
      </c>
      <c r="D1280" s="6">
        <v>10</v>
      </c>
      <c r="E1280" s="16" t="str">
        <f>IFERROR(__xludf.DUMMYFUNCTION("IFERROR(
  TEXTJOIN(CHAR(10),TRUE,FILTER('SUMMARY DATA'!E:E,'SUMMARY DATA'!$A:$A=$A381,'SUMMARY DATA'!$C:$C=$B381,'SUMMARY DATA'!$B:$B=""GRP"")),
  IF(
    OR(
      ISNUMBER(SEARCH(""CDM CASH DEPOSIT"",$C381)),
      ISNUMBER(SEARCH(""CASH DEPOSIT"",$C38"&amp;"1)),
      COUNTIFS('SUMMARY DATA'!$D:$D,$C381,'SUMMARY DATA'!$B:$B,""GRP"")&lt;&gt;1
    ),
    """",
    IFERROR(TEXTJOIN(CHAR(10),TRUE,FILTER('SUMMARY DATA'!E:E,'SUMMARY DATA'!$D:$D=$C381,'SUMMARY DATA'!$B:$B=""GRP"")),"""")
  )
)"),"")</f>
      </c>
      <c r="F1280" s="17" t="str">
        <f>IFERROR(__xludf.DUMMYFUNCTION("IFERROR(
  TEXTJOIN(CHAR(10),TRUE,FILTER('SUMMARY DATA'!F:F,'SUMMARY DATA'!$A:$A=$A381,'SUMMARY DATA'!$C:$C=$B381,'SUMMARY DATA'!$B:$B=""GRP"")),
  IF(
    OR(
      ISNUMBER(SEARCH(""CDM CASH DEPOSIT"",$C381)),
      ISNUMBER(SEARCH(""CASH DEPOSIT"",$C38"&amp;"1)),
      COUNTIFS('SUMMARY DATA'!$D:$D,$C381,'SUMMARY DATA'!$B:$B,""GRP"")&lt;&gt;1
    ),
    """",
    IFERROR(TEXTJOIN(CHAR(10),TRUE,FILTER('SUMMARY DATA'!F:F,'SUMMARY DATA'!$D:$D=$C381,'SUMMARY DATA'!$B:$B=""GRP"")),"""")
  )
)"),"")</f>
      </c>
    </row>
    <row r="1281" spans="1:6" customHeight="true">
      <c r="A1281" s="2"/>
      <c r="B1281" s="15">
        <v>45833</v>
      </c>
      <c r="C1281" s="2" t="s">
        <v>1828</v>
      </c>
      <c r="D1281" s="6">
        <v>0.9</v>
      </c>
      <c r="E1281" s="16" t="str">
        <f>IFERROR(__xludf.DUMMYFUNCTION("IFERROR(
  TEXTJOIN(CHAR(10),TRUE,FILTER('SUMMARY DATA'!E:E,'SUMMARY DATA'!$A:$A=$A382,'SUMMARY DATA'!$C:$C=$B382,'SUMMARY DATA'!$B:$B=""GRP"")),
  IF(
    OR(
      ISNUMBER(SEARCH(""CDM CASH DEPOSIT"",$C382)),
      ISNUMBER(SEARCH(""CASH DEPOSIT"",$C38"&amp;"2)),
      COUNTIFS('SUMMARY DATA'!$D:$D,$C382,'SUMMARY DATA'!$B:$B,""GRP"")&lt;&gt;1
    ),
    """",
    IFERROR(TEXTJOIN(CHAR(10),TRUE,FILTER('SUMMARY DATA'!E:E,'SUMMARY DATA'!$D:$D=$C382,'SUMMARY DATA'!$B:$B=""GRP"")),"""")
  )
)"),"")</f>
      </c>
      <c r="F1281" s="17" t="str">
        <f>IFERROR(__xludf.DUMMYFUNCTION("IFERROR(
  TEXTJOIN(CHAR(10),TRUE,FILTER('SUMMARY DATA'!F:F,'SUMMARY DATA'!$A:$A=$A382,'SUMMARY DATA'!$C:$C=$B382,'SUMMARY DATA'!$B:$B=""GRP"")),
  IF(
    OR(
      ISNUMBER(SEARCH(""CDM CASH DEPOSIT"",$C382)),
      ISNUMBER(SEARCH(""CASH DEPOSIT"",$C38"&amp;"2)),
      COUNTIFS('SUMMARY DATA'!$D:$D,$C382,'SUMMARY DATA'!$B:$B,""GRP"")&lt;&gt;1
    ),
    """",
    IFERROR(TEXTJOIN(CHAR(10),TRUE,FILTER('SUMMARY DATA'!F:F,'SUMMARY DATA'!$D:$D=$C382,'SUMMARY DATA'!$B:$B=""GRP"")),"""")
  )
)"),"")</f>
      </c>
    </row>
    <row r="1282" spans="1:6" customHeight="true">
      <c r="A1282" s="2"/>
      <c r="B1282" s="15">
        <v>45834</v>
      </c>
      <c r="C1282" s="2" t="s">
        <v>1829</v>
      </c>
      <c r="D1282" s="6">
        <v>552</v>
      </c>
      <c r="E1282" s="16" t="str">
        <f>IFERROR(__xludf.DUMMYFUNCTION("IFERROR(
  TEXTJOIN(CHAR(10),TRUE,FILTER('SUMMARY DATA'!E:E,'SUMMARY DATA'!$A:$A=$A383,'SUMMARY DATA'!$C:$C=$B383,'SUMMARY DATA'!$B:$B=""GRP"")),
  IF(
    OR(
      ISNUMBER(SEARCH(""CDM CASH DEPOSIT"",$C383)),
      ISNUMBER(SEARCH(""CASH DEPOSIT"",$C38"&amp;"3)),
      COUNTIFS('SUMMARY DATA'!$D:$D,$C383,'SUMMARY DATA'!$B:$B,""GRP"")&lt;&gt;1
    ),
    """",
    IFERROR(TEXTJOIN(CHAR(10),TRUE,FILTER('SUMMARY DATA'!E:E,'SUMMARY DATA'!$D:$D=$C383,'SUMMARY DATA'!$B:$B=""GRP"")),"""")
  )
)"),"")</f>
      </c>
      <c r="F1282" s="17" t="str">
        <f>IFERROR(__xludf.DUMMYFUNCTION("IFERROR(
  TEXTJOIN(CHAR(10),TRUE,FILTER('SUMMARY DATA'!F:F,'SUMMARY DATA'!$A:$A=$A383,'SUMMARY DATA'!$C:$C=$B383,'SUMMARY DATA'!$B:$B=""GRP"")),
  IF(
    OR(
      ISNUMBER(SEARCH(""CDM CASH DEPOSIT"",$C383)),
      ISNUMBER(SEARCH(""CASH DEPOSIT"",$C38"&amp;"3)),
      COUNTIFS('SUMMARY DATA'!$D:$D,$C383,'SUMMARY DATA'!$B:$B,""GRP"")&lt;&gt;1
    ),
    """",
    IFERROR(TEXTJOIN(CHAR(10),TRUE,FILTER('SUMMARY DATA'!F:F,'SUMMARY DATA'!$D:$D=$C383,'SUMMARY DATA'!$B:$B=""GRP"")),"""")
  )
)"),"")</f>
      </c>
    </row>
    <row r="1283" spans="1:6" customHeight="true">
      <c r="A1283" s="2" t="s">
        <v>1830</v>
      </c>
      <c r="B1283" s="15">
        <v>45834</v>
      </c>
      <c r="C1283" s="2" t="s">
        <v>1831</v>
      </c>
      <c r="D1283" s="6">
        <v>174</v>
      </c>
      <c r="E1283" s="16" t="str">
        <f>IFERROR(__xludf.DUMMYFUNCTION("IFERROR(
  TEXTJOIN(CHAR(10),TRUE,FILTER('SUMMARY DATA'!E:E,'SUMMARY DATA'!$A:$A=$A384,'SUMMARY DATA'!$C:$C=$B384,'SUMMARY DATA'!$B:$B=""GRP"")),
  IF(
    OR(
      ISNUMBER(SEARCH(""CDM CASH DEPOSIT"",$C384)),
      ISNUMBER(SEARCH(""CASH DEPOSIT"",$C38"&amp;"4)),
      COUNTIFS('SUMMARY DATA'!$D:$D,$C384,'SUMMARY DATA'!$B:$B,""GRP"")&lt;&gt;1
    ),
    """",
    IFERROR(TEXTJOIN(CHAR(10),TRUE,FILTER('SUMMARY DATA'!E:E,'SUMMARY DATA'!$D:$D=$C384,'SUMMARY DATA'!$B:$B=""GRP"")),"""")
  )
)"),"")</f>
      </c>
      <c r="F1283" s="17" t="str">
        <f>IFERROR(__xludf.DUMMYFUNCTION("IFERROR(
  TEXTJOIN(CHAR(10),TRUE,FILTER('SUMMARY DATA'!F:F,'SUMMARY DATA'!$A:$A=$A384,'SUMMARY DATA'!$C:$C=$B384,'SUMMARY DATA'!$B:$B=""GRP"")),
  IF(
    OR(
      ISNUMBER(SEARCH(""CDM CASH DEPOSIT"",$C384)),
      ISNUMBER(SEARCH(""CASH DEPOSIT"",$C38"&amp;"4)),
      COUNTIFS('SUMMARY DATA'!$D:$D,$C384,'SUMMARY DATA'!$B:$B,""GRP"")&lt;&gt;1
    ),
    """",
    IFERROR(TEXTJOIN(CHAR(10),TRUE,FILTER('SUMMARY DATA'!F:F,'SUMMARY DATA'!$D:$D=$C384,'SUMMARY DATA'!$B:$B=""GRP"")),"""")
  )
)"),"")</f>
      </c>
    </row>
    <row r="1284" spans="1:6" customHeight="true">
      <c r="A1284" s="2"/>
      <c r="B1284" s="15">
        <v>45834</v>
      </c>
      <c r="C1284" s="2" t="s">
        <v>1832</v>
      </c>
      <c r="D1284" s="6">
        <v>119</v>
      </c>
      <c r="E1284" s="16" t="str">
        <f>IFERROR(__xludf.DUMMYFUNCTION("IFERROR(
  TEXTJOIN(CHAR(10),TRUE,FILTER('SUMMARY DATA'!E:E,'SUMMARY DATA'!$A:$A=$A385,'SUMMARY DATA'!$C:$C=$B385,'SUMMARY DATA'!$B:$B=""GRP"")),
  IF(
    OR(
      ISNUMBER(SEARCH(""CDM CASH DEPOSIT"",$C385)),
      ISNUMBER(SEARCH(""CASH DEPOSIT"",$C38"&amp;"5)),
      COUNTIFS('SUMMARY DATA'!$D:$D,$C385,'SUMMARY DATA'!$B:$B,""GRP"")&lt;&gt;1
    ),
    """",
    IFERROR(TEXTJOIN(CHAR(10),TRUE,FILTER('SUMMARY DATA'!E:E,'SUMMARY DATA'!$D:$D=$C385,'SUMMARY DATA'!$B:$B=""GRP"")),"""")
  )
)"),"")</f>
      </c>
      <c r="F1284" s="17" t="str">
        <f>IFERROR(__xludf.DUMMYFUNCTION("IFERROR(
  TEXTJOIN(CHAR(10),TRUE,FILTER('SUMMARY DATA'!F:F,'SUMMARY DATA'!$A:$A=$A385,'SUMMARY DATA'!$C:$C=$B385,'SUMMARY DATA'!$B:$B=""GRP"")),
  IF(
    OR(
      ISNUMBER(SEARCH(""CDM CASH DEPOSIT"",$C385)),
      ISNUMBER(SEARCH(""CASH DEPOSIT"",$C38"&amp;"5)),
      COUNTIFS('SUMMARY DATA'!$D:$D,$C385,'SUMMARY DATA'!$B:$B,""GRP"")&lt;&gt;1
    ),
    """",
    IFERROR(TEXTJOIN(CHAR(10),TRUE,FILTER('SUMMARY DATA'!F:F,'SUMMARY DATA'!$D:$D=$C385,'SUMMARY DATA'!$B:$B=""GRP"")),"""")
  )
)"),"")</f>
      </c>
    </row>
    <row r="1285" spans="1:6" customHeight="true">
      <c r="A1285" s="2" t="s">
        <v>1446</v>
      </c>
      <c r="B1285" s="15">
        <v>45834</v>
      </c>
      <c r="C1285" s="2" t="s">
        <v>1833</v>
      </c>
      <c r="D1285" s="6">
        <v>10</v>
      </c>
      <c r="E1285" s="16" t="str">
        <f>IFERROR(__xludf.DUMMYFUNCTION("IFERROR(
  TEXTJOIN(CHAR(10),TRUE,FILTER('SUMMARY DATA'!E:E,'SUMMARY DATA'!$A:$A=$A386,'SUMMARY DATA'!$C:$C=$B386,'SUMMARY DATA'!$B:$B=""GRP"")),
  IF(
    OR(
      ISNUMBER(SEARCH(""CDM CASH DEPOSIT"",$C386)),
      ISNUMBER(SEARCH(""CASH DEPOSIT"",$C38"&amp;"6)),
      COUNTIFS('SUMMARY DATA'!$D:$D,$C386,'SUMMARY DATA'!$B:$B,""GRP"")&lt;&gt;1
    ),
    """",
    IFERROR(TEXTJOIN(CHAR(10),TRUE,FILTER('SUMMARY DATA'!E:E,'SUMMARY DATA'!$D:$D=$C386,'SUMMARY DATA'!$B:$B=""GRP"")),"""")
  )
)"),"")</f>
      </c>
      <c r="F1285" s="17" t="str">
        <f>IFERROR(__xludf.DUMMYFUNCTION("IFERROR(
  TEXTJOIN(CHAR(10),TRUE,FILTER('SUMMARY DATA'!F:F,'SUMMARY DATA'!$A:$A=$A386,'SUMMARY DATA'!$C:$C=$B386,'SUMMARY DATA'!$B:$B=""GRP"")),
  IF(
    OR(
      ISNUMBER(SEARCH(""CDM CASH DEPOSIT"",$C386)),
      ISNUMBER(SEARCH(""CASH DEPOSIT"",$C38"&amp;"6)),
      COUNTIFS('SUMMARY DATA'!$D:$D,$C386,'SUMMARY DATA'!$B:$B,""GRP"")&lt;&gt;1
    ),
    """",
    IFERROR(TEXTJOIN(CHAR(10),TRUE,FILTER('SUMMARY DATA'!F:F,'SUMMARY DATA'!$D:$D=$C386,'SUMMARY DATA'!$B:$B=""GRP"")),"""")
  )
)"),"")</f>
      </c>
    </row>
    <row r="1286" spans="1:6" customHeight="true">
      <c r="A1286" s="2"/>
      <c r="B1286" s="15">
        <v>45834</v>
      </c>
      <c r="C1286" s="2" t="s">
        <v>1834</v>
      </c>
      <c r="D1286" s="6">
        <v>10</v>
      </c>
      <c r="E1286" s="16" t="str">
        <f>IFERROR(__xludf.DUMMYFUNCTION("IFERROR(
  TEXTJOIN(CHAR(10),TRUE,FILTER('SUMMARY DATA'!E:E,'SUMMARY DATA'!$A:$A=$A387,'SUMMARY DATA'!$C:$C=$B387,'SUMMARY DATA'!$B:$B=""GRP"")),
  IF(
    OR(
      ISNUMBER(SEARCH(""CDM CASH DEPOSIT"",$C387)),
      ISNUMBER(SEARCH(""CASH DEPOSIT"",$C38"&amp;"7)),
      COUNTIFS('SUMMARY DATA'!$D:$D,$C387,'SUMMARY DATA'!$B:$B,""GRP"")&lt;&gt;1
    ),
    """",
    IFERROR(TEXTJOIN(CHAR(10),TRUE,FILTER('SUMMARY DATA'!E:E,'SUMMARY DATA'!$D:$D=$C387,'SUMMARY DATA'!$B:$B=""GRP"")),"""")
  )
)"),"")</f>
      </c>
      <c r="F1286" s="17" t="str">
        <f>IFERROR(__xludf.DUMMYFUNCTION("IFERROR(
  TEXTJOIN(CHAR(10),TRUE,FILTER('SUMMARY DATA'!F:F,'SUMMARY DATA'!$A:$A=$A387,'SUMMARY DATA'!$C:$C=$B387,'SUMMARY DATA'!$B:$B=""GRP"")),
  IF(
    OR(
      ISNUMBER(SEARCH(""CDM CASH DEPOSIT"",$C387)),
      ISNUMBER(SEARCH(""CASH DEPOSIT"",$C38"&amp;"7)),
      COUNTIFS('SUMMARY DATA'!$D:$D,$C387,'SUMMARY DATA'!$B:$B,""GRP"")&lt;&gt;1
    ),
    """",
    IFERROR(TEXTJOIN(CHAR(10),TRUE,FILTER('SUMMARY DATA'!F:F,'SUMMARY DATA'!$D:$D=$C387,'SUMMARY DATA'!$B:$B=""GRP"")),"""")
  )
)"),"")</f>
      </c>
    </row>
    <row r="1287" spans="1:6" customHeight="true">
      <c r="A1287" s="2"/>
      <c r="B1287" s="15">
        <v>45834</v>
      </c>
      <c r="C1287" s="2" t="s">
        <v>1835</v>
      </c>
      <c r="D1287" s="6">
        <v>10</v>
      </c>
      <c r="E1287" s="16" t="str">
        <f>IFERROR(__xludf.DUMMYFUNCTION("IFERROR(
  TEXTJOIN(CHAR(10),TRUE,FILTER('SUMMARY DATA'!E:E,'SUMMARY DATA'!$A:$A=$A388,'SUMMARY DATA'!$C:$C=$B388,'SUMMARY DATA'!$B:$B=""GRP"")),
  IF(
    OR(
      ISNUMBER(SEARCH(""CDM CASH DEPOSIT"",$C388)),
      ISNUMBER(SEARCH(""CASH DEPOSIT"",$C38"&amp;"8)),
      COUNTIFS('SUMMARY DATA'!$D:$D,$C388,'SUMMARY DATA'!$B:$B,""GRP"")&lt;&gt;1
    ),
    """",
    IFERROR(TEXTJOIN(CHAR(10),TRUE,FILTER('SUMMARY DATA'!E:E,'SUMMARY DATA'!$D:$D=$C388,'SUMMARY DATA'!$B:$B=""GRP"")),"""")
  )
)"),"")</f>
      </c>
      <c r="F1287" s="17" t="str">
        <f>IFERROR(__xludf.DUMMYFUNCTION("IFERROR(
  TEXTJOIN(CHAR(10),TRUE,FILTER('SUMMARY DATA'!F:F,'SUMMARY DATA'!$A:$A=$A388,'SUMMARY DATA'!$C:$C=$B388,'SUMMARY DATA'!$B:$B=""GRP"")),
  IF(
    OR(
      ISNUMBER(SEARCH(""CDM CASH DEPOSIT"",$C388)),
      ISNUMBER(SEARCH(""CASH DEPOSIT"",$C38"&amp;"8)),
      COUNTIFS('SUMMARY DATA'!$D:$D,$C388,'SUMMARY DATA'!$B:$B,""GRP"")&lt;&gt;1
    ),
    """",
    IFERROR(TEXTJOIN(CHAR(10),TRUE,FILTER('SUMMARY DATA'!F:F,'SUMMARY DATA'!$D:$D=$C388,'SUMMARY DATA'!$B:$B=""GRP"")),"""")
  )
)"),"")</f>
      </c>
    </row>
    <row r="1288" spans="1:6" customHeight="true">
      <c r="A1288" s="2"/>
      <c r="B1288" s="15">
        <v>45835</v>
      </c>
      <c r="C1288" s="2" t="s">
        <v>1836</v>
      </c>
      <c r="D1288" s="6">
        <v>192.77</v>
      </c>
      <c r="E1288" s="16" t="str">
        <f>IFERROR(__xludf.DUMMYFUNCTION("IFERROR(
  TEXTJOIN(CHAR(10),TRUE,FILTER('SUMMARY DATA'!E:E,'SUMMARY DATA'!$A:$A=$A389,'SUMMARY DATA'!$C:$C=$B389,'SUMMARY DATA'!$B:$B=""GRP"")),
  IF(
    OR(
      ISNUMBER(SEARCH(""CDM CASH DEPOSIT"",$C389)),
      ISNUMBER(SEARCH(""CASH DEPOSIT"",$C38"&amp;"9)),
      COUNTIFS('SUMMARY DATA'!$D:$D,$C389,'SUMMARY DATA'!$B:$B,""GRP"")&lt;&gt;1
    ),
    """",
    IFERROR(TEXTJOIN(CHAR(10),TRUE,FILTER('SUMMARY DATA'!E:E,'SUMMARY DATA'!$D:$D=$C389,'SUMMARY DATA'!$B:$B=""GRP"")),"""")
  )
)"),"")</f>
      </c>
      <c r="F1288" s="17" t="str">
        <f>IFERROR(__xludf.DUMMYFUNCTION("IFERROR(
  TEXTJOIN(CHAR(10),TRUE,FILTER('SUMMARY DATA'!F:F,'SUMMARY DATA'!$A:$A=$A389,'SUMMARY DATA'!$C:$C=$B389,'SUMMARY DATA'!$B:$B=""GRP"")),
  IF(
    OR(
      ISNUMBER(SEARCH(""CDM CASH DEPOSIT"",$C389)),
      ISNUMBER(SEARCH(""CASH DEPOSIT"",$C38"&amp;"9)),
      COUNTIFS('SUMMARY DATA'!$D:$D,$C389,'SUMMARY DATA'!$B:$B,""GRP"")&lt;&gt;1
    ),
    """",
    IFERROR(TEXTJOIN(CHAR(10),TRUE,FILTER('SUMMARY DATA'!F:F,'SUMMARY DATA'!$D:$D=$C389,'SUMMARY DATA'!$B:$B=""GRP"")),"""")
  )
)"),"")</f>
      </c>
    </row>
    <row r="1289" spans="1:6" customHeight="true">
      <c r="A1289" s="2" t="s">
        <v>1837</v>
      </c>
      <c r="B1289" s="15">
        <v>45835</v>
      </c>
      <c r="C1289" s="2" t="s">
        <v>1838</v>
      </c>
      <c r="D1289" s="6">
        <v>128</v>
      </c>
      <c r="E1289" s="16" t="str">
        <f>IFERROR(__xludf.DUMMYFUNCTION("IFERROR(
  TEXTJOIN(CHAR(10),TRUE,FILTER('SUMMARY DATA'!E:E,'SUMMARY DATA'!$A:$A=$A390,'SUMMARY DATA'!$C:$C=$B390,'SUMMARY DATA'!$B:$B=""GRP"")),
  IF(
    OR(
      ISNUMBER(SEARCH(""CDM CASH DEPOSIT"",$C390)),
      ISNUMBER(SEARCH(""CASH DEPOSIT"",$C39"&amp;"0)),
      COUNTIFS('SUMMARY DATA'!$D:$D,$C390,'SUMMARY DATA'!$B:$B,""GRP"")&lt;&gt;1
    ),
    """",
    IFERROR(TEXTJOIN(CHAR(10),TRUE,FILTER('SUMMARY DATA'!E:E,'SUMMARY DATA'!$D:$D=$C390,'SUMMARY DATA'!$B:$B=""GRP"")),"""")
  )
)"),"")</f>
      </c>
      <c r="F1289" s="17" t="str">
        <f>IFERROR(__xludf.DUMMYFUNCTION("IFERROR(
  TEXTJOIN(CHAR(10),TRUE,FILTER('SUMMARY DATA'!F:F,'SUMMARY DATA'!$A:$A=$A390,'SUMMARY DATA'!$C:$C=$B390,'SUMMARY DATA'!$B:$B=""GRP"")),
  IF(
    OR(
      ISNUMBER(SEARCH(""CDM CASH DEPOSIT"",$C390)),
      ISNUMBER(SEARCH(""CASH DEPOSIT"",$C39"&amp;"0)),
      COUNTIFS('SUMMARY DATA'!$D:$D,$C390,'SUMMARY DATA'!$B:$B,""GRP"")&lt;&gt;1
    ),
    """",
    IFERROR(TEXTJOIN(CHAR(10),TRUE,FILTER('SUMMARY DATA'!F:F,'SUMMARY DATA'!$D:$D=$C390,'SUMMARY DATA'!$B:$B=""GRP"")),"""")
  )
)"),"")</f>
      </c>
    </row>
    <row r="1290" spans="1:6" customHeight="true">
      <c r="A1290" s="2"/>
      <c r="B1290" s="15">
        <v>45835</v>
      </c>
      <c r="C1290" s="2" t="s">
        <v>1839</v>
      </c>
      <c r="D1290" s="6">
        <v>10</v>
      </c>
      <c r="E1290" s="16" t="str">
        <f>IFERROR(__xludf.DUMMYFUNCTION("IFERROR(
  TEXTJOIN(CHAR(10),TRUE,FILTER('SUMMARY DATA'!E:E,'SUMMARY DATA'!$A:$A=$A391,'SUMMARY DATA'!$C:$C=$B391,'SUMMARY DATA'!$B:$B=""GRP"")),
  IF(
    OR(
      ISNUMBER(SEARCH(""CDM CASH DEPOSIT"",$C391)),
      ISNUMBER(SEARCH(""CASH DEPOSIT"",$C39"&amp;"1)),
      COUNTIFS('SUMMARY DATA'!$D:$D,$C391,'SUMMARY DATA'!$B:$B,""GRP"")&lt;&gt;1
    ),
    """",
    IFERROR(TEXTJOIN(CHAR(10),TRUE,FILTER('SUMMARY DATA'!E:E,'SUMMARY DATA'!$D:$D=$C391,'SUMMARY DATA'!$B:$B=""GRP"")),"""")
  )
)"),"")</f>
      </c>
      <c r="F1290" s="17" t="str">
        <f>IFERROR(__xludf.DUMMYFUNCTION("IFERROR(
  TEXTJOIN(CHAR(10),TRUE,FILTER('SUMMARY DATA'!F:F,'SUMMARY DATA'!$A:$A=$A391,'SUMMARY DATA'!$C:$C=$B391,'SUMMARY DATA'!$B:$B=""GRP"")),
  IF(
    OR(
      ISNUMBER(SEARCH(""CDM CASH DEPOSIT"",$C391)),
      ISNUMBER(SEARCH(""CASH DEPOSIT"",$C39"&amp;"1)),
      COUNTIFS('SUMMARY DATA'!$D:$D,$C391,'SUMMARY DATA'!$B:$B,""GRP"")&lt;&gt;1
    ),
    """",
    IFERROR(TEXTJOIN(CHAR(10),TRUE,FILTER('SUMMARY DATA'!F:F,'SUMMARY DATA'!$D:$D=$C391,'SUMMARY DATA'!$B:$B=""GRP"")),"""")
  )
)"),"")</f>
      </c>
    </row>
    <row r="1291" spans="1:6" customHeight="true">
      <c r="A1291" s="2"/>
      <c r="B1291" s="15">
        <v>45836</v>
      </c>
      <c r="C1291" s="2" t="s">
        <v>1840</v>
      </c>
      <c r="D1291" s="6">
        <v>1971.54</v>
      </c>
      <c r="E1291" s="16" t="str">
        <f>IFERROR(__xludf.DUMMYFUNCTION("IFERROR(
  TEXTJOIN(CHAR(10),TRUE,FILTER('SUMMARY DATA'!E:E,'SUMMARY DATA'!$A:$A=$A392,'SUMMARY DATA'!$C:$C=$B392,'SUMMARY DATA'!$B:$B=""GRP"")),
  IF(
    OR(
      ISNUMBER(SEARCH(""CDM CASH DEPOSIT"",$C392)),
      ISNUMBER(SEARCH(""CASH DEPOSIT"",$C39"&amp;"2)),
      COUNTIFS('SUMMARY DATA'!$D:$D,$C392,'SUMMARY DATA'!$B:$B,""GRP"")&lt;&gt;1
    ),
    """",
    IFERROR(TEXTJOIN(CHAR(10),TRUE,FILTER('SUMMARY DATA'!E:E,'SUMMARY DATA'!$D:$D=$C392,'SUMMARY DATA'!$B:$B=""GRP"")),"""")
  )
)"),"")</f>
      </c>
      <c r="F1291" s="17" t="str">
        <f>IFERROR(__xludf.DUMMYFUNCTION("IFERROR(
  TEXTJOIN(CHAR(10),TRUE,FILTER('SUMMARY DATA'!F:F,'SUMMARY DATA'!$A:$A=$A392,'SUMMARY DATA'!$C:$C=$B392,'SUMMARY DATA'!$B:$B=""GRP"")),
  IF(
    OR(
      ISNUMBER(SEARCH(""CDM CASH DEPOSIT"",$C392)),
      ISNUMBER(SEARCH(""CASH DEPOSIT"",$C39"&amp;"2)),
      COUNTIFS('SUMMARY DATA'!$D:$D,$C392,'SUMMARY DATA'!$B:$B,""GRP"")&lt;&gt;1
    ),
    """",
    IFERROR(TEXTJOIN(CHAR(10),TRUE,FILTER('SUMMARY DATA'!F:F,'SUMMARY DATA'!$D:$D=$C392,'SUMMARY DATA'!$B:$B=""GRP"")),"""")
  )
)"),"")</f>
      </c>
    </row>
    <row r="1292" spans="1:6" customHeight="true">
      <c r="A1292" s="2"/>
      <c r="B1292" s="15">
        <v>45836</v>
      </c>
      <c r="C1292" s="2" t="s">
        <v>1841</v>
      </c>
      <c r="D1292" s="6">
        <v>194.76</v>
      </c>
      <c r="E1292" s="16" t="str">
        <f>IFERROR(__xludf.DUMMYFUNCTION("IFERROR(
  TEXTJOIN(CHAR(10),TRUE,FILTER('SUMMARY DATA'!E:E,'SUMMARY DATA'!$A:$A=$A393,'SUMMARY DATA'!$C:$C=$B393,'SUMMARY DATA'!$B:$B=""GRP"")),
  IF(
    OR(
      ISNUMBER(SEARCH(""CDM CASH DEPOSIT"",$C393)),
      ISNUMBER(SEARCH(""CASH DEPOSIT"",$C39"&amp;"3)),
      COUNTIFS('SUMMARY DATA'!$D:$D,$C393,'SUMMARY DATA'!$B:$B,""GRP"")&lt;&gt;1
    ),
    """",
    IFERROR(TEXTJOIN(CHAR(10),TRUE,FILTER('SUMMARY DATA'!E:E,'SUMMARY DATA'!$D:$D=$C393,'SUMMARY DATA'!$B:$B=""GRP"")),"""")
  )
)"),"")</f>
      </c>
      <c r="F1292" s="17" t="str">
        <f>IFERROR(__xludf.DUMMYFUNCTION("IFERROR(
  TEXTJOIN(CHAR(10),TRUE,FILTER('SUMMARY DATA'!F:F,'SUMMARY DATA'!$A:$A=$A393,'SUMMARY DATA'!$C:$C=$B393,'SUMMARY DATA'!$B:$B=""GRP"")),
  IF(
    OR(
      ISNUMBER(SEARCH(""CDM CASH DEPOSIT"",$C393)),
      ISNUMBER(SEARCH(""CASH DEPOSIT"",$C39"&amp;"3)),
      COUNTIFS('SUMMARY DATA'!$D:$D,$C393,'SUMMARY DATA'!$B:$B,""GRP"")&lt;&gt;1
    ),
    """",
    IFERROR(TEXTJOIN(CHAR(10),TRUE,FILTER('SUMMARY DATA'!F:F,'SUMMARY DATA'!$D:$D=$C393,'SUMMARY DATA'!$B:$B=""GRP"")),"""")
  )
)"),"")</f>
      </c>
    </row>
    <row r="1293" spans="1:6" customHeight="true">
      <c r="A1293" s="2"/>
      <c r="B1293" s="15">
        <v>45836</v>
      </c>
      <c r="C1293" s="2" t="s">
        <v>1842</v>
      </c>
      <c r="D1293" s="6">
        <v>143</v>
      </c>
      <c r="E1293" s="16" t="str">
        <f>IFERROR(__xludf.DUMMYFUNCTION("IFERROR(
  TEXTJOIN(CHAR(10),TRUE,FILTER('SUMMARY DATA'!E:E,'SUMMARY DATA'!$A:$A=$A394,'SUMMARY DATA'!$C:$C=$B394,'SUMMARY DATA'!$B:$B=""GRP"")),
  IF(
    OR(
      ISNUMBER(SEARCH(""CDM CASH DEPOSIT"",$C394)),
      ISNUMBER(SEARCH(""CASH DEPOSIT"",$C39"&amp;"4)),
      COUNTIFS('SUMMARY DATA'!$D:$D,$C394,'SUMMARY DATA'!$B:$B,""GRP"")&lt;&gt;1
    ),
    """",
    IFERROR(TEXTJOIN(CHAR(10),TRUE,FILTER('SUMMARY DATA'!E:E,'SUMMARY DATA'!$D:$D=$C394,'SUMMARY DATA'!$B:$B=""GRP"")),"""")
  )
)"),"")</f>
      </c>
      <c r="F1293" s="17" t="str">
        <f>IFERROR(__xludf.DUMMYFUNCTION("IFERROR(
  TEXTJOIN(CHAR(10),TRUE,FILTER('SUMMARY DATA'!F:F,'SUMMARY DATA'!$A:$A=$A394,'SUMMARY DATA'!$C:$C=$B394,'SUMMARY DATA'!$B:$B=""GRP"")),
  IF(
    OR(
      ISNUMBER(SEARCH(""CDM CASH DEPOSIT"",$C394)),
      ISNUMBER(SEARCH(""CASH DEPOSIT"",$C39"&amp;"4)),
      COUNTIFS('SUMMARY DATA'!$D:$D,$C394,'SUMMARY DATA'!$B:$B,""GRP"")&lt;&gt;1
    ),
    """",
    IFERROR(TEXTJOIN(CHAR(10),TRUE,FILTER('SUMMARY DATA'!F:F,'SUMMARY DATA'!$D:$D=$C394,'SUMMARY DATA'!$B:$B=""GRP"")),"""")
  )
)"),"")</f>
      </c>
    </row>
    <row r="1294" spans="1:6" customHeight="true">
      <c r="A1294" s="2"/>
      <c r="B1294" s="15">
        <v>45837</v>
      </c>
      <c r="C1294" s="2" t="s">
        <v>1843</v>
      </c>
      <c r="D1294" s="6">
        <v>546</v>
      </c>
      <c r="E1294" s="16" t="str">
        <f>IFERROR(__xludf.DUMMYFUNCTION("IFERROR(
  TEXTJOIN(CHAR(10),TRUE,FILTER('SUMMARY DATA'!E:E,'SUMMARY DATA'!$A:$A=$A395,'SUMMARY DATA'!$C:$C=$B395,'SUMMARY DATA'!$B:$B=""GRP"")),
  IF(
    OR(
      ISNUMBER(SEARCH(""CDM CASH DEPOSIT"",$C395)),
      ISNUMBER(SEARCH(""CASH DEPOSIT"",$C39"&amp;"5)),
      COUNTIFS('SUMMARY DATA'!$D:$D,$C395,'SUMMARY DATA'!$B:$B,""GRP"")&lt;&gt;1
    ),
    """",
    IFERROR(TEXTJOIN(CHAR(10),TRUE,FILTER('SUMMARY DATA'!E:E,'SUMMARY DATA'!$D:$D=$C395,'SUMMARY DATA'!$B:$B=""GRP"")),"""")
  )
)"),"")</f>
      </c>
      <c r="F1294" s="17" t="str">
        <f>IFERROR(__xludf.DUMMYFUNCTION("IFERROR(
  TEXTJOIN(CHAR(10),TRUE,FILTER('SUMMARY DATA'!F:F,'SUMMARY DATA'!$A:$A=$A395,'SUMMARY DATA'!$C:$C=$B395,'SUMMARY DATA'!$B:$B=""GRP"")),
  IF(
    OR(
      ISNUMBER(SEARCH(""CDM CASH DEPOSIT"",$C395)),
      ISNUMBER(SEARCH(""CASH DEPOSIT"",$C39"&amp;"5)),
      COUNTIFS('SUMMARY DATA'!$D:$D,$C395,'SUMMARY DATA'!$B:$B,""GRP"")&lt;&gt;1
    ),
    """",
    IFERROR(TEXTJOIN(CHAR(10),TRUE,FILTER('SUMMARY DATA'!F:F,'SUMMARY DATA'!$D:$D=$C395,'SUMMARY DATA'!$B:$B=""GRP"")),"""")
  )
)"),"")</f>
      </c>
    </row>
    <row r="1295" spans="1:6" customHeight="true">
      <c r="A1295" s="2" t="s">
        <v>1844</v>
      </c>
      <c r="B1295" s="15">
        <v>45837</v>
      </c>
      <c r="C1295" s="2" t="s">
        <v>1845</v>
      </c>
      <c r="D1295" s="6">
        <v>10</v>
      </c>
      <c r="E1295" s="16" t="str">
        <f>IFERROR(__xludf.DUMMYFUNCTION("IFERROR(
  TEXTJOIN(CHAR(10),TRUE,FILTER('SUMMARY DATA'!E:E,'SUMMARY DATA'!$A:$A=$A396,'SUMMARY DATA'!$C:$C=$B396,'SUMMARY DATA'!$B:$B=""GRP"")),
  IF(
    OR(
      ISNUMBER(SEARCH(""CDM CASH DEPOSIT"",$C396)),
      ISNUMBER(SEARCH(""CASH DEPOSIT"",$C39"&amp;"6)),
      COUNTIFS('SUMMARY DATA'!$D:$D,$C396,'SUMMARY DATA'!$B:$B,""GRP"")&lt;&gt;1
    ),
    """",
    IFERROR(TEXTJOIN(CHAR(10),TRUE,FILTER('SUMMARY DATA'!E:E,'SUMMARY DATA'!$D:$D=$C396,'SUMMARY DATA'!$B:$B=""GRP"")),"""")
  )
)"),"")</f>
      </c>
      <c r="F1295" s="17" t="str">
        <f>IFERROR(__xludf.DUMMYFUNCTION("IFERROR(
  TEXTJOIN(CHAR(10),TRUE,FILTER('SUMMARY DATA'!F:F,'SUMMARY DATA'!$A:$A=$A396,'SUMMARY DATA'!$C:$C=$B396,'SUMMARY DATA'!$B:$B=""GRP"")),
  IF(
    OR(
      ISNUMBER(SEARCH(""CDM CASH DEPOSIT"",$C396)),
      ISNUMBER(SEARCH(""CASH DEPOSIT"",$C39"&amp;"6)),
      COUNTIFS('SUMMARY DATA'!$D:$D,$C396,'SUMMARY DATA'!$B:$B,""GRP"")&lt;&gt;1
    ),
    """",
    IFERROR(TEXTJOIN(CHAR(10),TRUE,FILTER('SUMMARY DATA'!F:F,'SUMMARY DATA'!$D:$D=$C396,'SUMMARY DATA'!$B:$B=""GRP"")),"""")
  )
)"),"")</f>
      </c>
    </row>
    <row r="1296" spans="1:6" customHeight="true">
      <c r="A1296" s="2"/>
      <c r="B1296" s="15">
        <v>45838</v>
      </c>
      <c r="C1296" s="2" t="s">
        <v>1846</v>
      </c>
      <c r="D1296" s="6">
        <v>1657</v>
      </c>
      <c r="E1296" s="16" t="str">
        <f>IFERROR(__xludf.DUMMYFUNCTION("IFERROR(
  TEXTJOIN(CHAR(10),TRUE,FILTER('SUMMARY DATA'!E:E,'SUMMARY DATA'!$A:$A=$A397,'SUMMARY DATA'!$C:$C=$B397,'SUMMARY DATA'!$B:$B=""GRP"")),
  IF(
    OR(
      ISNUMBER(SEARCH(""CDM CASH DEPOSIT"",$C397)),
      ISNUMBER(SEARCH(""CASH DEPOSIT"",$C39"&amp;"7)),
      COUNTIFS('SUMMARY DATA'!$D:$D,$C397,'SUMMARY DATA'!$B:$B,""GRP"")&lt;&gt;1
    ),
    """",
    IFERROR(TEXTJOIN(CHAR(10),TRUE,FILTER('SUMMARY DATA'!E:E,'SUMMARY DATA'!$D:$D=$C397,'SUMMARY DATA'!$B:$B=""GRP"")),"""")
  )
)"),"")</f>
      </c>
      <c r="F1296" s="17" t="str">
        <f>IFERROR(__xludf.DUMMYFUNCTION("IFERROR(
  TEXTJOIN(CHAR(10),TRUE,FILTER('SUMMARY DATA'!F:F,'SUMMARY DATA'!$A:$A=$A397,'SUMMARY DATA'!$C:$C=$B397,'SUMMARY DATA'!$B:$B=""GRP"")),
  IF(
    OR(
      ISNUMBER(SEARCH(""CDM CASH DEPOSIT"",$C397)),
      ISNUMBER(SEARCH(""CASH DEPOSIT"",$C39"&amp;"7)),
      COUNTIFS('SUMMARY DATA'!$D:$D,$C397,'SUMMARY DATA'!$B:$B,""GRP"")&lt;&gt;1
    ),
    """",
    IFERROR(TEXTJOIN(CHAR(10),TRUE,FILTER('SUMMARY DATA'!F:F,'SUMMARY DATA'!$D:$D=$C397,'SUMMARY DATA'!$B:$B=""GRP"")),"""")
  )
)"),"")</f>
      </c>
    </row>
    <row r="1297" spans="1:6" customHeight="true">
      <c r="A1297" s="2" t="s">
        <v>1446</v>
      </c>
      <c r="B1297" s="15">
        <v>45838</v>
      </c>
      <c r="C1297" s="2" t="s">
        <v>980</v>
      </c>
      <c r="D1297" s="6">
        <v>560</v>
      </c>
      <c r="E1297" s="16" t="str">
        <f>IFERROR(__xludf.DUMMYFUNCTION("IFERROR(
  TEXTJOIN(CHAR(10),TRUE,FILTER('SUMMARY DATA'!E:E,'SUMMARY DATA'!$A:$A=$A398,'SUMMARY DATA'!$C:$C=$B398,'SUMMARY DATA'!$B:$B=""GRP"")),
  IF(
    OR(
      ISNUMBER(SEARCH(""CDM CASH DEPOSIT"",$C398)),
      ISNUMBER(SEARCH(""CASH DEPOSIT"",$C39"&amp;"8)),
      COUNTIFS('SUMMARY DATA'!$D:$D,$C398,'SUMMARY DATA'!$B:$B,""GRP"")&lt;&gt;1
    ),
    """",
    IFERROR(TEXTJOIN(CHAR(10),TRUE,FILTER('SUMMARY DATA'!E:E,'SUMMARY DATA'!$D:$D=$C398,'SUMMARY DATA'!$B:$B=""GRP"")),"""")
  )
)"),"")</f>
      </c>
      <c r="F1297" s="17" t="str">
        <f>IFERROR(__xludf.DUMMYFUNCTION("IFERROR(
  TEXTJOIN(CHAR(10),TRUE,FILTER('SUMMARY DATA'!F:F,'SUMMARY DATA'!$A:$A=$A398,'SUMMARY DATA'!$C:$C=$B398,'SUMMARY DATA'!$B:$B=""GRP"")),
  IF(
    OR(
      ISNUMBER(SEARCH(""CDM CASH DEPOSIT"",$C398)),
      ISNUMBER(SEARCH(""CASH DEPOSIT"",$C39"&amp;"8)),
      COUNTIFS('SUMMARY DATA'!$D:$D,$C398,'SUMMARY DATA'!$B:$B,""GRP"")&lt;&gt;1
    ),
    """",
    IFERROR(TEXTJOIN(CHAR(10),TRUE,FILTER('SUMMARY DATA'!F:F,'SUMMARY DATA'!$D:$D=$C398,'SUMMARY DATA'!$B:$B=""GRP"")),"""")
  )
)"),"")</f>
      </c>
    </row>
    <row r="1298" spans="1:6" customHeight="true">
      <c r="A1298" s="2"/>
      <c r="B1298" s="15">
        <v>45838</v>
      </c>
      <c r="C1298" s="2" t="s">
        <v>1847</v>
      </c>
      <c r="D1298" s="6">
        <v>349.8</v>
      </c>
      <c r="E1298" s="16" t="str">
        <f>IFERROR(__xludf.DUMMYFUNCTION("IFERROR(
  TEXTJOIN(CHAR(10),TRUE,FILTER('SUMMARY DATA'!E:E,'SUMMARY DATA'!$A:$A=$A399,'SUMMARY DATA'!$C:$C=$B399,'SUMMARY DATA'!$B:$B=""GRP"")),
  IF(
    OR(
      ISNUMBER(SEARCH(""CDM CASH DEPOSIT"",$C399)),
      ISNUMBER(SEARCH(""CASH DEPOSIT"",$C39"&amp;"9)),
      COUNTIFS('SUMMARY DATA'!$D:$D,$C399,'SUMMARY DATA'!$B:$B,""GRP"")&lt;&gt;1
    ),
    """",
    IFERROR(TEXTJOIN(CHAR(10),TRUE,FILTER('SUMMARY DATA'!E:E,'SUMMARY DATA'!$D:$D=$C399,'SUMMARY DATA'!$B:$B=""GRP"")),"""")
  )
)"),"")</f>
      </c>
      <c r="F1298" s="17" t="str">
        <f>IFERROR(__xludf.DUMMYFUNCTION("IFERROR(
  TEXTJOIN(CHAR(10),TRUE,FILTER('SUMMARY DATA'!F:F,'SUMMARY DATA'!$A:$A=$A399,'SUMMARY DATA'!$C:$C=$B399,'SUMMARY DATA'!$B:$B=""GRP"")),
  IF(
    OR(
      ISNUMBER(SEARCH(""CDM CASH DEPOSIT"",$C399)),
      ISNUMBER(SEARCH(""CASH DEPOSIT"",$C39"&amp;"9)),
      COUNTIFS('SUMMARY DATA'!$D:$D,$C399,'SUMMARY DATA'!$B:$B,""GRP"")&lt;&gt;1
    ),
    """",
    IFERROR(TEXTJOIN(CHAR(10),TRUE,FILTER('SUMMARY DATA'!F:F,'SUMMARY DATA'!$D:$D=$C399,'SUMMARY DATA'!$B:$B=""GRP"")),"""")
  )
)"),"")</f>
      </c>
    </row>
    <row r="1299" spans="1:6" customHeight="true">
      <c r="A1299" s="2" t="s">
        <v>1848</v>
      </c>
      <c r="B1299" s="15">
        <v>45838</v>
      </c>
      <c r="C1299" s="2" t="s">
        <v>1849</v>
      </c>
      <c r="D1299" s="6">
        <v>263</v>
      </c>
      <c r="E1299" s="16" t="str">
        <f>IFERROR(__xludf.DUMMYFUNCTION("IFERROR(
  TEXTJOIN(CHAR(10),TRUE,FILTER('SUMMARY DATA'!E:E,'SUMMARY DATA'!$A:$A=$A400,'SUMMARY DATA'!$C:$C=$B400,'SUMMARY DATA'!$B:$B=""GRP"")),
  IF(
    OR(
      ISNUMBER(SEARCH(""CDM CASH DEPOSIT"",$C400)),
      ISNUMBER(SEARCH(""CASH DEPOSIT"",$C40"&amp;"0)),
      COUNTIFS('SUMMARY DATA'!$D:$D,$C400,'SUMMARY DATA'!$B:$B,""GRP"")&lt;&gt;1
    ),
    """",
    IFERROR(TEXTJOIN(CHAR(10),TRUE,FILTER('SUMMARY DATA'!E:E,'SUMMARY DATA'!$D:$D=$C400,'SUMMARY DATA'!$B:$B=""GRP"")),"""")
  )
)"),"")</f>
      </c>
      <c r="F1299" s="17" t="str">
        <f>IFERROR(__xludf.DUMMYFUNCTION("IFERROR(
  TEXTJOIN(CHAR(10),TRUE,FILTER('SUMMARY DATA'!F:F,'SUMMARY DATA'!$A:$A=$A400,'SUMMARY DATA'!$C:$C=$B400,'SUMMARY DATA'!$B:$B=""GRP"")),
  IF(
    OR(
      ISNUMBER(SEARCH(""CDM CASH DEPOSIT"",$C400)),
      ISNUMBER(SEARCH(""CASH DEPOSIT"",$C40"&amp;"0)),
      COUNTIFS('SUMMARY DATA'!$D:$D,$C400,'SUMMARY DATA'!$B:$B,""GRP"")&lt;&gt;1
    ),
    """",
    IFERROR(TEXTJOIN(CHAR(10),TRUE,FILTER('SUMMARY DATA'!F:F,'SUMMARY DATA'!$D:$D=$C400,'SUMMARY DATA'!$B:$B=""GRP"")),"""")
  )
)"),"")</f>
      </c>
    </row>
    <row r="1300" spans="1:6" customHeight="true">
      <c r="A1300" s="2"/>
      <c r="B1300" s="15">
        <v>45838</v>
      </c>
      <c r="C1300" s="2" t="s">
        <v>1850</v>
      </c>
      <c r="D1300" s="6">
        <v>189</v>
      </c>
      <c r="E1300" s="16" t="str">
        <f>IFERROR(__xludf.DUMMYFUNCTION("IFERROR(
  TEXTJOIN(CHAR(10),TRUE,FILTER('SUMMARY DATA'!E:E,'SUMMARY DATA'!$A:$A=$A401,'SUMMARY DATA'!$C:$C=$B401,'SUMMARY DATA'!$B:$B=""GRP"")),
  IF(
    OR(
      ISNUMBER(SEARCH(""CDM CASH DEPOSIT"",$C401)),
      ISNUMBER(SEARCH(""CASH DEPOSIT"",$C40"&amp;"1)),
      COUNTIFS('SUMMARY DATA'!$D:$D,$C401,'SUMMARY DATA'!$B:$B,""GRP"")&lt;&gt;1
    ),
    """",
    IFERROR(TEXTJOIN(CHAR(10),TRUE,FILTER('SUMMARY DATA'!E:E,'SUMMARY DATA'!$D:$D=$C401,'SUMMARY DATA'!$B:$B=""GRP"")),"""")
  )
)"),"")</f>
      </c>
      <c r="F1300" s="17" t="str">
        <f>IFERROR(__xludf.DUMMYFUNCTION("IFERROR(
  TEXTJOIN(CHAR(10),TRUE,FILTER('SUMMARY DATA'!F:F,'SUMMARY DATA'!$A:$A=$A401,'SUMMARY DATA'!$C:$C=$B401,'SUMMARY DATA'!$B:$B=""GRP"")),
  IF(
    OR(
      ISNUMBER(SEARCH(""CDM CASH DEPOSIT"",$C401)),
      ISNUMBER(SEARCH(""CASH DEPOSIT"",$C40"&amp;"1)),
      COUNTIFS('SUMMARY DATA'!$D:$D,$C401,'SUMMARY DATA'!$B:$B,""GRP"")&lt;&gt;1
    ),
    """",
    IFERROR(TEXTJOIN(CHAR(10),TRUE,FILTER('SUMMARY DATA'!F:F,'SUMMARY DATA'!$D:$D=$C401,'SUMMARY DATA'!$B:$B=""GRP"")),"""")
  )
)"),"")</f>
      </c>
    </row>
    <row r="1301" spans="1:6" customHeight="true">
      <c r="A1301" s="2" t="s">
        <v>1851</v>
      </c>
      <c r="B1301" s="15">
        <v>45838</v>
      </c>
      <c r="C1301" s="2" t="s">
        <v>1852</v>
      </c>
      <c r="D1301" s="6">
        <v>75</v>
      </c>
      <c r="E1301" s="16" t="str">
        <f>IFERROR(__xludf.DUMMYFUNCTION("IFERROR(
  TEXTJOIN(CHAR(10),TRUE,FILTER('SUMMARY DATA'!E:E,'SUMMARY DATA'!$A:$A=$A402,'SUMMARY DATA'!$C:$C=$B402,'SUMMARY DATA'!$B:$B=""GRP"")),
  IF(
    OR(
      ISNUMBER(SEARCH(""CDM CASH DEPOSIT"",$C402)),
      ISNUMBER(SEARCH(""CASH DEPOSIT"",$C40"&amp;"2)),
      COUNTIFS('SUMMARY DATA'!$D:$D,$C402,'SUMMARY DATA'!$B:$B,""GRP"")&lt;&gt;1
    ),
    """",
    IFERROR(TEXTJOIN(CHAR(10),TRUE,FILTER('SUMMARY DATA'!E:E,'SUMMARY DATA'!$D:$D=$C402,'SUMMARY DATA'!$B:$B=""GRP"")),"""")
  )
)"),"")</f>
      </c>
      <c r="F1301" s="17" t="str">
        <f>IFERROR(__xludf.DUMMYFUNCTION("IFERROR(
  TEXTJOIN(CHAR(10),TRUE,FILTER('SUMMARY DATA'!F:F,'SUMMARY DATA'!$A:$A=$A402,'SUMMARY DATA'!$C:$C=$B402,'SUMMARY DATA'!$B:$B=""GRP"")),
  IF(
    OR(
      ISNUMBER(SEARCH(""CDM CASH DEPOSIT"",$C402)),
      ISNUMBER(SEARCH(""CASH DEPOSIT"",$C40"&amp;"2)),
      COUNTIFS('SUMMARY DATA'!$D:$D,$C402,'SUMMARY DATA'!$B:$B,""GRP"")&lt;&gt;1
    ),
    """",
    IFERROR(TEXTJOIN(CHAR(10),TRUE,FILTER('SUMMARY DATA'!F:F,'SUMMARY DATA'!$D:$D=$C402,'SUMMARY DATA'!$B:$B=""GRP"")),"""")
  )
)"),"")</f>
      </c>
    </row>
    <row r="1302" spans="1:6" customHeight="true">
      <c r="A1302" s="2"/>
      <c r="B1302" s="15">
        <v>45838</v>
      </c>
      <c r="C1302" s="2" t="s">
        <v>199</v>
      </c>
      <c r="D1302" s="6">
        <v>49</v>
      </c>
      <c r="E1302" s="16" t="str">
        <f>IFERROR(__xludf.DUMMYFUNCTION("IFERROR(
  TEXTJOIN(CHAR(10),TRUE,FILTER('SUMMARY DATA'!E:E,'SUMMARY DATA'!$A:$A=$A403,'SUMMARY DATA'!$C:$C=$B403,'SUMMARY DATA'!$B:$B=""GRP"")),
  IF(
    OR(
      ISNUMBER(SEARCH(""CDM CASH DEPOSIT"",$C403)),
      ISNUMBER(SEARCH(""CASH DEPOSIT"",$C40"&amp;"3)),
      COUNTIFS('SUMMARY DATA'!$D:$D,$C403,'SUMMARY DATA'!$B:$B,""GRP"")&lt;&gt;1
    ),
    """",
    IFERROR(TEXTJOIN(CHAR(10),TRUE,FILTER('SUMMARY DATA'!E:E,'SUMMARY DATA'!$D:$D=$C403,'SUMMARY DATA'!$B:$B=""GRP"")),"""")
  )
)"),"")</f>
      </c>
      <c r="F1302" s="17" t="str">
        <f>IFERROR(__xludf.DUMMYFUNCTION("IFERROR(
  TEXTJOIN(CHAR(10),TRUE,FILTER('SUMMARY DATA'!F:F,'SUMMARY DATA'!$A:$A=$A403,'SUMMARY DATA'!$C:$C=$B403,'SUMMARY DATA'!$B:$B=""GRP"")),
  IF(
    OR(
      ISNUMBER(SEARCH(""CDM CASH DEPOSIT"",$C403)),
      ISNUMBER(SEARCH(""CASH DEPOSIT"",$C40"&amp;"3)),
      COUNTIFS('SUMMARY DATA'!$D:$D,$C403,'SUMMARY DATA'!$B:$B,""GRP"")&lt;&gt;1
    ),
    """",
    IFERROR(TEXTJOIN(CHAR(10),TRUE,FILTER('SUMMARY DATA'!F:F,'SUMMARY DATA'!$D:$D=$C403,'SUMMARY DATA'!$B:$B=""GRP"")),"""")
  )
)"),"")</f>
      </c>
    </row>
    <row r="1303" spans="1:6" customHeight="true">
      <c r="A1303" s="2"/>
      <c r="B1303" s="15">
        <v>45838</v>
      </c>
      <c r="C1303" s="2" t="s">
        <v>1107</v>
      </c>
      <c r="D1303" s="6">
        <v>2</v>
      </c>
      <c r="E1303" s="16" t="str">
        <f>IFERROR(__xludf.DUMMYFUNCTION("IFERROR(
  TEXTJOIN(CHAR(10),TRUE,FILTER('SUMMARY DATA'!E:E,'SUMMARY DATA'!$A:$A=$A404,'SUMMARY DATA'!$C:$C=$B404,'SUMMARY DATA'!$B:$B=""GRP"")),
  IF(
    OR(
      ISNUMBER(SEARCH(""CDM CASH DEPOSIT"",$C404)),
      ISNUMBER(SEARCH(""CASH DEPOSIT"",$C40"&amp;"4)),
      COUNTIFS('SUMMARY DATA'!$D:$D,$C404,'SUMMARY DATA'!$B:$B,""GRP"")&lt;&gt;1
    ),
    """",
    IFERROR(TEXTJOIN(CHAR(10),TRUE,FILTER('SUMMARY DATA'!E:E,'SUMMARY DATA'!$D:$D=$C404,'SUMMARY DATA'!$B:$B=""GRP"")),"""")
  )
)"),"")</f>
      </c>
      <c r="F1303" s="17" t="str">
        <f>IFERROR(__xludf.DUMMYFUNCTION("IFERROR(
  TEXTJOIN(CHAR(10),TRUE,FILTER('SUMMARY DATA'!F:F,'SUMMARY DATA'!$A:$A=$A404,'SUMMARY DATA'!$C:$C=$B404,'SUMMARY DATA'!$B:$B=""GRP"")),
  IF(
    OR(
      ISNUMBER(SEARCH(""CDM CASH DEPOSIT"",$C404)),
      ISNUMBER(SEARCH(""CASH DEPOSIT"",$C40"&amp;"4)),
      COUNTIFS('SUMMARY DATA'!$D:$D,$C404,'SUMMARY DATA'!$B:$B,""GRP"")&lt;&gt;1
    ),
    """",
    IFERROR(TEXTJOIN(CHAR(10),TRUE,FILTER('SUMMARY DATA'!F:F,'SUMMARY DATA'!$D:$D=$C404,'SUMMARY DATA'!$B:$B=""GRP"")),"""")
  )
)"),"")</f>
      </c>
    </row>
    <row r="1304" spans="1:6" customHeight="true">
      <c r="A1304" s="2" t="s">
        <v>1853</v>
      </c>
      <c r="B1304" s="15">
        <v>45869</v>
      </c>
      <c r="C1304" s="2" t="s">
        <v>887</v>
      </c>
      <c r="D1304" s="6">
        <v>48.1</v>
      </c>
      <c r="E1304" s="16" t="str">
        <f>IFERROR(__xludf.DUMMYFUNCTION("IFERROR(
  TEXTJOIN(CHAR(10),TRUE,FILTER('SUMMARY DATA'!E:E,'SUMMARY DATA'!$A:$A=$A405,'SUMMARY DATA'!$C:$C=$B405,'SUMMARY DATA'!$B:$B=""GRP"")),
  IF(
    OR(
      ISNUMBER(SEARCH(""CDM CASH DEPOSIT"",$C405)),
      ISNUMBER(SEARCH(""CASH DEPOSIT"",$C40"&amp;"5)),
      COUNTIFS('SUMMARY DATA'!$D:$D,$C405,'SUMMARY DATA'!$B:$B,""GRP"")&lt;&gt;1
    ),
    """",
    IFERROR(TEXTJOIN(CHAR(10),TRUE,FILTER('SUMMARY DATA'!E:E,'SUMMARY DATA'!$D:$D=$C405,'SUMMARY DATA'!$B:$B=""GRP"")),"""")
  )
)"),"")</f>
      </c>
      <c r="F1304" s="17" t="str">
        <f>IFERROR(__xludf.DUMMYFUNCTION("IFERROR(
  TEXTJOIN(CHAR(10),TRUE,FILTER('SUMMARY DATA'!F:F,'SUMMARY DATA'!$A:$A=$A405,'SUMMARY DATA'!$C:$C=$B405,'SUMMARY DATA'!$B:$B=""GRP"")),
  IF(
    OR(
      ISNUMBER(SEARCH(""CDM CASH DEPOSIT"",$C405)),
      ISNUMBER(SEARCH(""CASH DEPOSIT"",$C40"&amp;"5)),
      COUNTIFS('SUMMARY DATA'!$D:$D,$C405,'SUMMARY DATA'!$B:$B,""GRP"")&lt;&gt;1
    ),
    """",
    IFERROR(TEXTJOIN(CHAR(10),TRUE,FILTER('SUMMARY DATA'!F:F,'SUMMARY DATA'!$D:$D=$C405,'SUMMARY DATA'!$B:$B=""GRP"")),"""")
  )
)"),"")</f>
      </c>
    </row>
    <row r="1305" spans="1:6" customHeight="true">
      <c r="A1305" s="2" t="s">
        <v>1854</v>
      </c>
      <c r="B1305" s="15">
        <v>45869</v>
      </c>
      <c r="C1305" s="2" t="s">
        <v>1855</v>
      </c>
      <c r="D1305" s="6">
        <v>109.98</v>
      </c>
      <c r="E1305" s="16" t="str">
        <f>IFERROR(__xludf.DUMMYFUNCTION("IFERROR(
  TEXTJOIN(CHAR(10),TRUE,FILTER('SUMMARY DATA'!E:E,'SUMMARY DATA'!$A:$A=$A406,'SUMMARY DATA'!$C:$C=$B406,'SUMMARY DATA'!$B:$B=""GRP"")),
  IF(
    OR(
      ISNUMBER(SEARCH(""CDM CASH DEPOSIT"",$C406)),
      ISNUMBER(SEARCH(""CASH DEPOSIT"",$C40"&amp;"6)),
      COUNTIFS('SUMMARY DATA'!$D:$D,$C406,'SUMMARY DATA'!$B:$B,""GRP"")&lt;&gt;1
    ),
    """",
    IFERROR(TEXTJOIN(CHAR(10),TRUE,FILTER('SUMMARY DATA'!E:E,'SUMMARY DATA'!$D:$D=$C406,'SUMMARY DATA'!$B:$B=""GRP"")),"""")
  )
)"),"")</f>
      </c>
      <c r="F1305" s="17" t="str">
        <f>IFERROR(__xludf.DUMMYFUNCTION("IFERROR(
  TEXTJOIN(CHAR(10),TRUE,FILTER('SUMMARY DATA'!F:F,'SUMMARY DATA'!$A:$A=$A406,'SUMMARY DATA'!$C:$C=$B406,'SUMMARY DATA'!$B:$B=""GRP"")),
  IF(
    OR(
      ISNUMBER(SEARCH(""CDM CASH DEPOSIT"",$C406)),
      ISNUMBER(SEARCH(""CASH DEPOSIT"",$C40"&amp;"6)),
      COUNTIFS('SUMMARY DATA'!$D:$D,$C406,'SUMMARY DATA'!$B:$B,""GRP"")&lt;&gt;1
    ),
    """",
    IFERROR(TEXTJOIN(CHAR(10),TRUE,FILTER('SUMMARY DATA'!F:F,'SUMMARY DATA'!$D:$D=$C406,'SUMMARY DATA'!$B:$B=""GRP"")),"""")
  )
)"),"")</f>
      </c>
    </row>
    <row r="1306" spans="1:6" customHeight="true">
      <c r="A1306" s="2" t="s">
        <v>1856</v>
      </c>
      <c r="B1306" s="15">
        <v>45869</v>
      </c>
      <c r="C1306" s="2" t="s">
        <v>1857</v>
      </c>
      <c r="D1306" s="6">
        <v>10</v>
      </c>
      <c r="E1306" s="16" t="str">
        <f>IFERROR(__xludf.DUMMYFUNCTION("IFERROR(
  TEXTJOIN(CHAR(10),TRUE,FILTER('SUMMARY DATA'!E:E,'SUMMARY DATA'!$A:$A=$A407,'SUMMARY DATA'!$C:$C=$B407,'SUMMARY DATA'!$B:$B=""GRP"")),
  IF(
    OR(
      ISNUMBER(SEARCH(""CDM CASH DEPOSIT"",$C407)),
      ISNUMBER(SEARCH(""CASH DEPOSIT"",$C40"&amp;"7)),
      COUNTIFS('SUMMARY DATA'!$D:$D,$C407,'SUMMARY DATA'!$B:$B,""GRP"")&lt;&gt;1
    ),
    """",
    IFERROR(TEXTJOIN(CHAR(10),TRUE,FILTER('SUMMARY DATA'!E:E,'SUMMARY DATA'!$D:$D=$C407,'SUMMARY DATA'!$B:$B=""GRP"")),"""")
  )
)"),"")</f>
      </c>
      <c r="F1306" s="17" t="str">
        <f>IFERROR(__xludf.DUMMYFUNCTION("IFERROR(
  TEXTJOIN(CHAR(10),TRUE,FILTER('SUMMARY DATA'!F:F,'SUMMARY DATA'!$A:$A=$A407,'SUMMARY DATA'!$C:$C=$B407,'SUMMARY DATA'!$B:$B=""GRP"")),
  IF(
    OR(
      ISNUMBER(SEARCH(""CDM CASH DEPOSIT"",$C407)),
      ISNUMBER(SEARCH(""CASH DEPOSIT"",$C40"&amp;"7)),
      COUNTIFS('SUMMARY DATA'!$D:$D,$C407,'SUMMARY DATA'!$B:$B,""GRP"")&lt;&gt;1
    ),
    """",
    IFERROR(TEXTJOIN(CHAR(10),TRUE,FILTER('SUMMARY DATA'!F:F,'SUMMARY DATA'!$D:$D=$C407,'SUMMARY DATA'!$B:$B=""GRP"")),"""")
  )
)"),"")</f>
      </c>
    </row>
    <row r="1307" spans="1:6" customHeight="true">
      <c r="A1307" s="2" t="s">
        <v>1858</v>
      </c>
      <c r="B1307" s="15">
        <v>45869</v>
      </c>
      <c r="C1307" s="2" t="s">
        <v>1859</v>
      </c>
      <c r="D1307" s="6">
        <v>10</v>
      </c>
      <c r="E1307" s="16" t="str">
        <f>IFERROR(__xludf.DUMMYFUNCTION("IFERROR(
  TEXTJOIN(CHAR(10),TRUE,FILTER('SUMMARY DATA'!E:E,'SUMMARY DATA'!$A:$A=$A408,'SUMMARY DATA'!$C:$C=$B408,'SUMMARY DATA'!$B:$B=""GRP"")),
  IF(
    OR(
      ISNUMBER(SEARCH(""CDM CASH DEPOSIT"",$C408)),
      ISNUMBER(SEARCH(""CASH DEPOSIT"",$C40"&amp;"8)),
      COUNTIFS('SUMMARY DATA'!$D:$D,$C408,'SUMMARY DATA'!$B:$B,""GRP"")&lt;&gt;1
    ),
    """",
    IFERROR(TEXTJOIN(CHAR(10),TRUE,FILTER('SUMMARY DATA'!E:E,'SUMMARY DATA'!$D:$D=$C408,'SUMMARY DATA'!$B:$B=""GRP"")),"""")
  )
)"),"")</f>
      </c>
      <c r="F1307" s="17" t="str">
        <f>IFERROR(__xludf.DUMMYFUNCTION("IFERROR(
  TEXTJOIN(CHAR(10),TRUE,FILTER('SUMMARY DATA'!F:F,'SUMMARY DATA'!$A:$A=$A408,'SUMMARY DATA'!$C:$C=$B408,'SUMMARY DATA'!$B:$B=""GRP"")),
  IF(
    OR(
      ISNUMBER(SEARCH(""CDM CASH DEPOSIT"",$C408)),
      ISNUMBER(SEARCH(""CASH DEPOSIT"",$C40"&amp;"8)),
      COUNTIFS('SUMMARY DATA'!$D:$D,$C408,'SUMMARY DATA'!$B:$B,""GRP"")&lt;&gt;1
    ),
    """",
    IFERROR(TEXTJOIN(CHAR(10),TRUE,FILTER('SUMMARY DATA'!F:F,'SUMMARY DATA'!$D:$D=$C408,'SUMMARY DATA'!$B:$B=""GRP"")),"""")
  )
)"),"")</f>
      </c>
    </row>
    <row r="1308" spans="1:6" customHeight="true">
      <c r="A1308" s="2" t="s">
        <v>1860</v>
      </c>
      <c r="B1308" s="15">
        <v>45869</v>
      </c>
      <c r="C1308" s="2" t="s">
        <v>1861</v>
      </c>
      <c r="D1308" s="6">
        <v>149</v>
      </c>
      <c r="E1308" s="16" t="str">
        <f>IFERROR(__xludf.DUMMYFUNCTION("IFERROR(
  TEXTJOIN(CHAR(10),TRUE,FILTER('SUMMARY DATA'!E:E,'SUMMARY DATA'!$A:$A=$A409,'SUMMARY DATA'!$C:$C=$B409,'SUMMARY DATA'!$B:$B=""GRP"")),
  IF(
    OR(
      ISNUMBER(SEARCH(""CDM CASH DEPOSIT"",$C409)),
      ISNUMBER(SEARCH(""CASH DEPOSIT"",$C40"&amp;"9)),
      COUNTIFS('SUMMARY DATA'!$D:$D,$C409,'SUMMARY DATA'!$B:$B,""GRP"")&lt;&gt;1
    ),
    """",
    IFERROR(TEXTJOIN(CHAR(10),TRUE,FILTER('SUMMARY DATA'!E:E,'SUMMARY DATA'!$D:$D=$C409,'SUMMARY DATA'!$B:$B=""GRP"")),"""")
  )
)"),"")</f>
      </c>
      <c r="F1308" s="17" t="str">
        <f>IFERROR(__xludf.DUMMYFUNCTION("IFERROR(
  TEXTJOIN(CHAR(10),TRUE,FILTER('SUMMARY DATA'!F:F,'SUMMARY DATA'!$A:$A=$A409,'SUMMARY DATA'!$C:$C=$B409,'SUMMARY DATA'!$B:$B=""GRP"")),
  IF(
    OR(
      ISNUMBER(SEARCH(""CDM CASH DEPOSIT"",$C409)),
      ISNUMBER(SEARCH(""CASH DEPOSIT"",$C40"&amp;"9)),
      COUNTIFS('SUMMARY DATA'!$D:$D,$C409,'SUMMARY DATA'!$B:$B,""GRP"")&lt;&gt;1
    ),
    """",
    IFERROR(TEXTJOIN(CHAR(10),TRUE,FILTER('SUMMARY DATA'!F:F,'SUMMARY DATA'!$D:$D=$C409,'SUMMARY DATA'!$B:$B=""GRP"")),"""")
  )
)"),"")</f>
      </c>
    </row>
    <row r="1309" spans="1:6" customHeight="true">
      <c r="A1309" s="2" t="s">
        <v>1862</v>
      </c>
      <c r="B1309" s="15">
        <v>45869</v>
      </c>
      <c r="C1309" s="2" t="s">
        <v>1863</v>
      </c>
      <c r="D1309" s="6">
        <v>286.45</v>
      </c>
      <c r="E1309" s="16" t="str">
        <f>IFERROR(__xludf.DUMMYFUNCTION("IFERROR(
  TEXTJOIN(CHAR(10),TRUE,FILTER('SUMMARY DATA'!E:E,'SUMMARY DATA'!$A:$A=$A410,'SUMMARY DATA'!$C:$C=$B410,'SUMMARY DATA'!$B:$B=""GRP"")),
  IF(
    OR(
      ISNUMBER(SEARCH(""CDM CASH DEPOSIT"",$C410)),
      ISNUMBER(SEARCH(""CASH DEPOSIT"",$C41"&amp;"0)),
      COUNTIFS('SUMMARY DATA'!$D:$D,$C410,'SUMMARY DATA'!$B:$B,""GRP"")&lt;&gt;1
    ),
    """",
    IFERROR(TEXTJOIN(CHAR(10),TRUE,FILTER('SUMMARY DATA'!E:E,'SUMMARY DATA'!$D:$D=$C410,'SUMMARY DATA'!$B:$B=""GRP"")),"""")
  )
)"),"")</f>
      </c>
      <c r="F1309" s="17" t="str">
        <f>IFERROR(__xludf.DUMMYFUNCTION("IFERROR(
  TEXTJOIN(CHAR(10),TRUE,FILTER('SUMMARY DATA'!F:F,'SUMMARY DATA'!$A:$A=$A410,'SUMMARY DATA'!$C:$C=$B410,'SUMMARY DATA'!$B:$B=""GRP"")),
  IF(
    OR(
      ISNUMBER(SEARCH(""CDM CASH DEPOSIT"",$C410)),
      ISNUMBER(SEARCH(""CASH DEPOSIT"",$C41"&amp;"0)),
      COUNTIFS('SUMMARY DATA'!$D:$D,$C410,'SUMMARY DATA'!$B:$B,""GRP"")&lt;&gt;1
    ),
    """",
    IFERROR(TEXTJOIN(CHAR(10),TRUE,FILTER('SUMMARY DATA'!F:F,'SUMMARY DATA'!$D:$D=$C410,'SUMMARY DATA'!$B:$B=""GRP"")),"""")
  )
)"),"")</f>
      </c>
    </row>
    <row r="1310" spans="1:6" customHeight="true">
      <c r="A1310" s="2" t="s">
        <v>1864</v>
      </c>
      <c r="B1310" s="15">
        <v>45869</v>
      </c>
      <c r="C1310" s="2" t="s">
        <v>1865</v>
      </c>
      <c r="D1310" s="6">
        <v>6</v>
      </c>
      <c r="E1310" s="16" t="str">
        <f>IFERROR(__xludf.DUMMYFUNCTION("IFERROR(
  TEXTJOIN(CHAR(10),TRUE,FILTER('SUMMARY DATA'!E:E,'SUMMARY DATA'!$A:$A=$A411,'SUMMARY DATA'!$C:$C=$B411,'SUMMARY DATA'!$B:$B=""GRP"")),
  IF(
    OR(
      ISNUMBER(SEARCH(""CDM CASH DEPOSIT"",$C411)),
      ISNUMBER(SEARCH(""CASH DEPOSIT"",$C41"&amp;"1)),
      COUNTIFS('SUMMARY DATA'!$D:$D,$C411,'SUMMARY DATA'!$B:$B,""GRP"")&lt;&gt;1
    ),
    """",
    IFERROR(TEXTJOIN(CHAR(10),TRUE,FILTER('SUMMARY DATA'!E:E,'SUMMARY DATA'!$D:$D=$C411,'SUMMARY DATA'!$B:$B=""GRP"")),"""")
  )
)"),"")</f>
      </c>
      <c r="F1310" s="17" t="str">
        <f>IFERROR(__xludf.DUMMYFUNCTION("IFERROR(
  TEXTJOIN(CHAR(10),TRUE,FILTER('SUMMARY DATA'!F:F,'SUMMARY DATA'!$A:$A=$A411,'SUMMARY DATA'!$C:$C=$B411,'SUMMARY DATA'!$B:$B=""GRP"")),
  IF(
    OR(
      ISNUMBER(SEARCH(""CDM CASH DEPOSIT"",$C411)),
      ISNUMBER(SEARCH(""CASH DEPOSIT"",$C41"&amp;"1)),
      COUNTIFS('SUMMARY DATA'!$D:$D,$C411,'SUMMARY DATA'!$B:$B,""GRP"")&lt;&gt;1
    ),
    """",
    IFERROR(TEXTJOIN(CHAR(10),TRUE,FILTER('SUMMARY DATA'!F:F,'SUMMARY DATA'!$D:$D=$C411,'SUMMARY DATA'!$B:$B=""GRP"")),"""")
  )
)"),"")</f>
      </c>
    </row>
    <row r="1311" spans="1:6" customHeight="true">
      <c r="A1311" s="2"/>
      <c r="B1311" s="15">
        <v>45868</v>
      </c>
      <c r="C1311" s="2" t="s">
        <v>1866</v>
      </c>
      <c r="D1311" s="6">
        <v>89.57</v>
      </c>
      <c r="E1311" s="16" t="str">
        <f>IFERROR(__xludf.DUMMYFUNCTION("IFERROR(
  TEXTJOIN(CHAR(10),TRUE,FILTER('SUMMARY DATA'!E:E,'SUMMARY DATA'!$A:$A=$A412,'SUMMARY DATA'!$C:$C=$B412,'SUMMARY DATA'!$B:$B=""GRP"")),
  IF(
    OR(
      ISNUMBER(SEARCH(""CDM CASH DEPOSIT"",$C412)),
      ISNUMBER(SEARCH(""CASH DEPOSIT"",$C41"&amp;"2)),
      COUNTIFS('SUMMARY DATA'!$D:$D,$C412,'SUMMARY DATA'!$B:$B,""GRP"")&lt;&gt;1
    ),
    """",
    IFERROR(TEXTJOIN(CHAR(10),TRUE,FILTER('SUMMARY DATA'!E:E,'SUMMARY DATA'!$D:$D=$C412,'SUMMARY DATA'!$B:$B=""GRP"")),"""")
  )
)"),"")</f>
      </c>
      <c r="F1311" s="17" t="str">
        <f>IFERROR(__xludf.DUMMYFUNCTION("IFERROR(
  TEXTJOIN(CHAR(10),TRUE,FILTER('SUMMARY DATA'!F:F,'SUMMARY DATA'!$A:$A=$A412,'SUMMARY DATA'!$C:$C=$B412,'SUMMARY DATA'!$B:$B=""GRP"")),
  IF(
    OR(
      ISNUMBER(SEARCH(""CDM CASH DEPOSIT"",$C412)),
      ISNUMBER(SEARCH(""CASH DEPOSIT"",$C41"&amp;"2)),
      COUNTIFS('SUMMARY DATA'!$D:$D,$C412,'SUMMARY DATA'!$B:$B,""GRP"")&lt;&gt;1
    ),
    """",
    IFERROR(TEXTJOIN(CHAR(10),TRUE,FILTER('SUMMARY DATA'!F:F,'SUMMARY DATA'!$D:$D=$C412,'SUMMARY DATA'!$B:$B=""GRP"")),"""")
  )
)"),"")</f>
      </c>
    </row>
    <row r="1312" spans="1:6" customHeight="true">
      <c r="A1312" s="2" t="s">
        <v>1867</v>
      </c>
      <c r="B1312" s="15">
        <v>45868</v>
      </c>
      <c r="C1312" s="2" t="s">
        <v>1868</v>
      </c>
      <c r="D1312" s="6">
        <v>6</v>
      </c>
      <c r="E1312" s="16" t="str">
        <f>IFERROR(__xludf.DUMMYFUNCTION("IFERROR(
  TEXTJOIN(CHAR(10),TRUE,FILTER('SUMMARY DATA'!E:E,'SUMMARY DATA'!$A:$A=$A413,'SUMMARY DATA'!$C:$C=$B413,'SUMMARY DATA'!$B:$B=""GRP"")),
  IF(
    OR(
      ISNUMBER(SEARCH(""CDM CASH DEPOSIT"",$C413)),
      ISNUMBER(SEARCH(""CASH DEPOSIT"",$C41"&amp;"3)),
      COUNTIFS('SUMMARY DATA'!$D:$D,$C413,'SUMMARY DATA'!$B:$B,""GRP"")&lt;&gt;1
    ),
    """",
    IFERROR(TEXTJOIN(CHAR(10),TRUE,FILTER('SUMMARY DATA'!E:E,'SUMMARY DATA'!$D:$D=$C413,'SUMMARY DATA'!$B:$B=""GRP"")),"""")
  )
)"),"")</f>
      </c>
      <c r="F1312" s="17" t="str">
        <f>IFERROR(__xludf.DUMMYFUNCTION("IFERROR(
  TEXTJOIN(CHAR(10),TRUE,FILTER('SUMMARY DATA'!F:F,'SUMMARY DATA'!$A:$A=$A413,'SUMMARY DATA'!$C:$C=$B413,'SUMMARY DATA'!$B:$B=""GRP"")),
  IF(
    OR(
      ISNUMBER(SEARCH(""CDM CASH DEPOSIT"",$C413)),
      ISNUMBER(SEARCH(""CASH DEPOSIT"",$C41"&amp;"3)),
      COUNTIFS('SUMMARY DATA'!$D:$D,$C413,'SUMMARY DATA'!$B:$B,""GRP"")&lt;&gt;1
    ),
    """",
    IFERROR(TEXTJOIN(CHAR(10),TRUE,FILTER('SUMMARY DATA'!F:F,'SUMMARY DATA'!$D:$D=$C413,'SUMMARY DATA'!$B:$B=""GRP"")),"""")
  )
)"),"")</f>
      </c>
    </row>
    <row r="1313" spans="1:6" customHeight="true">
      <c r="A1313" s="2" t="s">
        <v>1869</v>
      </c>
      <c r="B1313" s="15">
        <v>45868</v>
      </c>
      <c r="C1313" s="2" t="s">
        <v>1870</v>
      </c>
      <c r="D1313" s="6">
        <v>20</v>
      </c>
      <c r="E1313" s="16" t="str">
        <f>IFERROR(__xludf.DUMMYFUNCTION("IFERROR(
  TEXTJOIN(CHAR(10),TRUE,FILTER('SUMMARY DATA'!E:E,'SUMMARY DATA'!$A:$A=$A414,'SUMMARY DATA'!$C:$C=$B414,'SUMMARY DATA'!$B:$B=""GRP"")),
  IF(
    OR(
      ISNUMBER(SEARCH(""CDM CASH DEPOSIT"",$C414)),
      ISNUMBER(SEARCH(""CASH DEPOSIT"",$C41"&amp;"4)),
      COUNTIFS('SUMMARY DATA'!$D:$D,$C414,'SUMMARY DATA'!$B:$B,""GRP"")&lt;&gt;1
    ),
    """",
    IFERROR(TEXTJOIN(CHAR(10),TRUE,FILTER('SUMMARY DATA'!E:E,'SUMMARY DATA'!$D:$D=$C414,'SUMMARY DATA'!$B:$B=""GRP"")),"""")
  )
)"),"")</f>
      </c>
      <c r="F1313" s="17" t="str">
        <f>IFERROR(__xludf.DUMMYFUNCTION("IFERROR(
  TEXTJOIN(CHAR(10),TRUE,FILTER('SUMMARY DATA'!F:F,'SUMMARY DATA'!$A:$A=$A414,'SUMMARY DATA'!$C:$C=$B414,'SUMMARY DATA'!$B:$B=""GRP"")),
  IF(
    OR(
      ISNUMBER(SEARCH(""CDM CASH DEPOSIT"",$C414)),
      ISNUMBER(SEARCH(""CASH DEPOSIT"",$C41"&amp;"4)),
      COUNTIFS('SUMMARY DATA'!$D:$D,$C414,'SUMMARY DATA'!$B:$B,""GRP"")&lt;&gt;1
    ),
    """",
    IFERROR(TEXTJOIN(CHAR(10),TRUE,FILTER('SUMMARY DATA'!F:F,'SUMMARY DATA'!$D:$D=$C414,'SUMMARY DATA'!$B:$B=""GRP"")),"""")
  )
)"),"")</f>
      </c>
    </row>
    <row r="1314" spans="1:6" customHeight="true">
      <c r="A1314" s="2"/>
      <c r="B1314" s="15">
        <v>45868</v>
      </c>
      <c r="C1314" s="2" t="s">
        <v>1871</v>
      </c>
      <c r="D1314" s="6">
        <v>66.9</v>
      </c>
      <c r="E1314" s="16" t="str">
        <f>IFERROR(__xludf.DUMMYFUNCTION("IFERROR(
  TEXTJOIN(CHAR(10),TRUE,FILTER('SUMMARY DATA'!E:E,'SUMMARY DATA'!$A:$A=$A415,'SUMMARY DATA'!$C:$C=$B415,'SUMMARY DATA'!$B:$B=""GRP"")),
  IF(
    OR(
      ISNUMBER(SEARCH(""CDM CASH DEPOSIT"",$C415)),
      ISNUMBER(SEARCH(""CASH DEPOSIT"",$C41"&amp;"5)),
      COUNTIFS('SUMMARY DATA'!$D:$D,$C415,'SUMMARY DATA'!$B:$B,""GRP"")&lt;&gt;1
    ),
    """",
    IFERROR(TEXTJOIN(CHAR(10),TRUE,FILTER('SUMMARY DATA'!E:E,'SUMMARY DATA'!$D:$D=$C415,'SUMMARY DATA'!$B:$B=""GRP"")),"""")
  )
)"),"")</f>
      </c>
      <c r="F1314" s="17" t="str">
        <f>IFERROR(__xludf.DUMMYFUNCTION("IFERROR(
  TEXTJOIN(CHAR(10),TRUE,FILTER('SUMMARY DATA'!F:F,'SUMMARY DATA'!$A:$A=$A415,'SUMMARY DATA'!$C:$C=$B415,'SUMMARY DATA'!$B:$B=""GRP"")),
  IF(
    OR(
      ISNUMBER(SEARCH(""CDM CASH DEPOSIT"",$C415)),
      ISNUMBER(SEARCH(""CASH DEPOSIT"",$C41"&amp;"5)),
      COUNTIFS('SUMMARY DATA'!$D:$D,$C415,'SUMMARY DATA'!$B:$B,""GRP"")&lt;&gt;1
    ),
    """",
    IFERROR(TEXTJOIN(CHAR(10),TRUE,FILTER('SUMMARY DATA'!F:F,'SUMMARY DATA'!$D:$D=$C415,'SUMMARY DATA'!$B:$B=""GRP"")),"""")
  )
)"),"")</f>
      </c>
    </row>
    <row r="1315" spans="1:6" customHeight="true">
      <c r="A1315" s="2"/>
      <c r="B1315" s="15">
        <v>45868</v>
      </c>
      <c r="C1315" s="2" t="s">
        <v>1872</v>
      </c>
      <c r="D1315" s="6">
        <v>180.24</v>
      </c>
      <c r="E1315" s="16" t="str">
        <f>IFERROR(__xludf.DUMMYFUNCTION("IFERROR(
  TEXTJOIN(CHAR(10),TRUE,FILTER('SUMMARY DATA'!E:E,'SUMMARY DATA'!$A:$A=$A416,'SUMMARY DATA'!$C:$C=$B416,'SUMMARY DATA'!$B:$B=""GRP"")),
  IF(
    OR(
      ISNUMBER(SEARCH(""CDM CASH DEPOSIT"",$C416)),
      ISNUMBER(SEARCH(""CASH DEPOSIT"",$C41"&amp;"6)),
      COUNTIFS('SUMMARY DATA'!$D:$D,$C416,'SUMMARY DATA'!$B:$B,""GRP"")&lt;&gt;1
    ),
    """",
    IFERROR(TEXTJOIN(CHAR(10),TRUE,FILTER('SUMMARY DATA'!E:E,'SUMMARY DATA'!$D:$D=$C416,'SUMMARY DATA'!$B:$B=""GRP"")),"""")
  )
)"),"")</f>
      </c>
      <c r="F1315" s="17" t="str">
        <f>IFERROR(__xludf.DUMMYFUNCTION("IFERROR(
  TEXTJOIN(CHAR(10),TRUE,FILTER('SUMMARY DATA'!F:F,'SUMMARY DATA'!$A:$A=$A416,'SUMMARY DATA'!$C:$C=$B416,'SUMMARY DATA'!$B:$B=""GRP"")),
  IF(
    OR(
      ISNUMBER(SEARCH(""CDM CASH DEPOSIT"",$C416)),
      ISNUMBER(SEARCH(""CASH DEPOSIT"",$C41"&amp;"6)),
      COUNTIFS('SUMMARY DATA'!$D:$D,$C416,'SUMMARY DATA'!$B:$B,""GRP"")&lt;&gt;1
    ),
    """",
    IFERROR(TEXTJOIN(CHAR(10),TRUE,FILTER('SUMMARY DATA'!F:F,'SUMMARY DATA'!$D:$D=$C416,'SUMMARY DATA'!$B:$B=""GRP"")),"""")
  )
)"),"")</f>
      </c>
    </row>
    <row r="1316" spans="1:6" customHeight="true">
      <c r="A1316" s="2" t="s">
        <v>1873</v>
      </c>
      <c r="B1316" s="15">
        <v>45868</v>
      </c>
      <c r="C1316" s="2" t="s">
        <v>1874</v>
      </c>
      <c r="D1316" s="6">
        <v>221.19</v>
      </c>
      <c r="E1316" s="16" t="str">
        <f>IFERROR(__xludf.DUMMYFUNCTION("IFERROR(
  TEXTJOIN(CHAR(10),TRUE,FILTER('SUMMARY DATA'!E:E,'SUMMARY DATA'!$A:$A=$A417,'SUMMARY DATA'!$C:$C=$B417,'SUMMARY DATA'!$B:$B=""GRP"")),
  IF(
    OR(
      ISNUMBER(SEARCH(""CDM CASH DEPOSIT"",$C417)),
      ISNUMBER(SEARCH(""CASH DEPOSIT"",$C41"&amp;"7)),
      COUNTIFS('SUMMARY DATA'!$D:$D,$C417,'SUMMARY DATA'!$B:$B,""GRP"")&lt;&gt;1
    ),
    """",
    IFERROR(TEXTJOIN(CHAR(10),TRUE,FILTER('SUMMARY DATA'!E:E,'SUMMARY DATA'!$D:$D=$C417,'SUMMARY DATA'!$B:$B=""GRP"")),"""")
  )
)"),"")</f>
      </c>
      <c r="F1316" s="17" t="str">
        <f>IFERROR(__xludf.DUMMYFUNCTION("IFERROR(
  TEXTJOIN(CHAR(10),TRUE,FILTER('SUMMARY DATA'!F:F,'SUMMARY DATA'!$A:$A=$A417,'SUMMARY DATA'!$C:$C=$B417,'SUMMARY DATA'!$B:$B=""GRP"")),
  IF(
    OR(
      ISNUMBER(SEARCH(""CDM CASH DEPOSIT"",$C417)),
      ISNUMBER(SEARCH(""CASH DEPOSIT"",$C41"&amp;"7)),
      COUNTIFS('SUMMARY DATA'!$D:$D,$C417,'SUMMARY DATA'!$B:$B,""GRP"")&lt;&gt;1
    ),
    """",
    IFERROR(TEXTJOIN(CHAR(10),TRUE,FILTER('SUMMARY DATA'!F:F,'SUMMARY DATA'!$D:$D=$C417,'SUMMARY DATA'!$B:$B=""GRP"")),"""")
  )
)"),"")</f>
      </c>
    </row>
    <row r="1317" spans="1:6" customHeight="true">
      <c r="A1317" s="2"/>
      <c r="B1317" s="15">
        <v>45868</v>
      </c>
      <c r="C1317" s="2" t="s">
        <v>1875</v>
      </c>
      <c r="D1317" s="6">
        <v>309.94</v>
      </c>
      <c r="E1317" s="16" t="str">
        <f>IFERROR(__xludf.DUMMYFUNCTION("IFERROR(
  TEXTJOIN(CHAR(10),TRUE,FILTER('SUMMARY DATA'!E:E,'SUMMARY DATA'!$A:$A=$A418,'SUMMARY DATA'!$C:$C=$B418,'SUMMARY DATA'!$B:$B=""GRP"")),
  IF(
    OR(
      ISNUMBER(SEARCH(""CDM CASH DEPOSIT"",$C418)),
      ISNUMBER(SEARCH(""CASH DEPOSIT"",$C41"&amp;"8)),
      COUNTIFS('SUMMARY DATA'!$D:$D,$C418,'SUMMARY DATA'!$B:$B,""GRP"")&lt;&gt;1
    ),
    """",
    IFERROR(TEXTJOIN(CHAR(10),TRUE,FILTER('SUMMARY DATA'!E:E,'SUMMARY DATA'!$D:$D=$C418,'SUMMARY DATA'!$B:$B=""GRP"")),"""")
  )
)"),"")</f>
      </c>
      <c r="F1317" s="17" t="str">
        <f>IFERROR(__xludf.DUMMYFUNCTION("IFERROR(
  TEXTJOIN(CHAR(10),TRUE,FILTER('SUMMARY DATA'!F:F,'SUMMARY DATA'!$A:$A=$A418,'SUMMARY DATA'!$C:$C=$B418,'SUMMARY DATA'!$B:$B=""GRP"")),
  IF(
    OR(
      ISNUMBER(SEARCH(""CDM CASH DEPOSIT"",$C418)),
      ISNUMBER(SEARCH(""CASH DEPOSIT"",$C41"&amp;"8)),
      COUNTIFS('SUMMARY DATA'!$D:$D,$C418,'SUMMARY DATA'!$B:$B,""GRP"")&lt;&gt;1
    ),
    """",
    IFERROR(TEXTJOIN(CHAR(10),TRUE,FILTER('SUMMARY DATA'!F:F,'SUMMARY DATA'!$D:$D=$C418,'SUMMARY DATA'!$B:$B=""GRP"")),"""")
  )
)"),"")</f>
      </c>
    </row>
    <row r="1318" spans="1:6" customHeight="true">
      <c r="A1318" s="2"/>
      <c r="B1318" s="15">
        <v>45868</v>
      </c>
      <c r="C1318" s="2" t="s">
        <v>1876</v>
      </c>
      <c r="D1318" s="6">
        <v>7</v>
      </c>
      <c r="E1318" s="16" t="str">
        <f>IFERROR(__xludf.DUMMYFUNCTION("IFERROR(
  TEXTJOIN(CHAR(10),TRUE,FILTER('SUMMARY DATA'!E:E,'SUMMARY DATA'!$A:$A=$A419,'SUMMARY DATA'!$C:$C=$B419,'SUMMARY DATA'!$B:$B=""GRP"")),
  IF(
    OR(
      ISNUMBER(SEARCH(""CDM CASH DEPOSIT"",$C419)),
      ISNUMBER(SEARCH(""CASH DEPOSIT"",$C41"&amp;"9)),
      COUNTIFS('SUMMARY DATA'!$D:$D,$C419,'SUMMARY DATA'!$B:$B,""GRP"")&lt;&gt;1
    ),
    """",
    IFERROR(TEXTJOIN(CHAR(10),TRUE,FILTER('SUMMARY DATA'!E:E,'SUMMARY DATA'!$D:$D=$C419,'SUMMARY DATA'!$B:$B=""GRP"")),"""")
  )
)"),"")</f>
      </c>
      <c r="F1318" s="17" t="str">
        <f>IFERROR(__xludf.DUMMYFUNCTION("IFERROR(
  TEXTJOIN(CHAR(10),TRUE,FILTER('SUMMARY DATA'!F:F,'SUMMARY DATA'!$A:$A=$A419,'SUMMARY DATA'!$C:$C=$B419,'SUMMARY DATA'!$B:$B=""GRP"")),
  IF(
    OR(
      ISNUMBER(SEARCH(""CDM CASH DEPOSIT"",$C419)),
      ISNUMBER(SEARCH(""CASH DEPOSIT"",$C41"&amp;"9)),
      COUNTIFS('SUMMARY DATA'!$D:$D,$C419,'SUMMARY DATA'!$B:$B,""GRP"")&lt;&gt;1
    ),
    """",
    IFERROR(TEXTJOIN(CHAR(10),TRUE,FILTER('SUMMARY DATA'!F:F,'SUMMARY DATA'!$D:$D=$C419,'SUMMARY DATA'!$B:$B=""GRP"")),"""")
  )
)"),"")</f>
      </c>
    </row>
    <row r="1319" spans="1:6" customHeight="true">
      <c r="A1319" s="2" t="s">
        <v>1877</v>
      </c>
      <c r="B1319" s="15">
        <v>45867</v>
      </c>
      <c r="C1319" s="2" t="s">
        <v>1878</v>
      </c>
      <c r="D1319" s="6">
        <v>0.8</v>
      </c>
      <c r="E1319" s="16" t="str">
        <f>IFERROR(__xludf.DUMMYFUNCTION("IFERROR(
  TEXTJOIN(CHAR(10),TRUE,FILTER('SUMMARY DATA'!E:E,'SUMMARY DATA'!$A:$A=$A420,'SUMMARY DATA'!$C:$C=$B420,'SUMMARY DATA'!$B:$B=""GRP"")),
  IF(
    OR(
      ISNUMBER(SEARCH(""CDM CASH DEPOSIT"",$C420)),
      ISNUMBER(SEARCH(""CASH DEPOSIT"",$C42"&amp;"0)),
      COUNTIFS('SUMMARY DATA'!$D:$D,$C420,'SUMMARY DATA'!$B:$B,""GRP"")&lt;&gt;1
    ),
    """",
    IFERROR(TEXTJOIN(CHAR(10),TRUE,FILTER('SUMMARY DATA'!E:E,'SUMMARY DATA'!$D:$D=$C420,'SUMMARY DATA'!$B:$B=""GRP"")),"""")
  )
)"),"")</f>
      </c>
      <c r="F1319" s="17" t="str">
        <f>IFERROR(__xludf.DUMMYFUNCTION("IFERROR(
  TEXTJOIN(CHAR(10),TRUE,FILTER('SUMMARY DATA'!F:F,'SUMMARY DATA'!$A:$A=$A420,'SUMMARY DATA'!$C:$C=$B420,'SUMMARY DATA'!$B:$B=""GRP"")),
  IF(
    OR(
      ISNUMBER(SEARCH(""CDM CASH DEPOSIT"",$C420)),
      ISNUMBER(SEARCH(""CASH DEPOSIT"",$C42"&amp;"0)),
      COUNTIFS('SUMMARY DATA'!$D:$D,$C420,'SUMMARY DATA'!$B:$B,""GRP"")&lt;&gt;1
    ),
    """",
    IFERROR(TEXTJOIN(CHAR(10),TRUE,FILTER('SUMMARY DATA'!F:F,'SUMMARY DATA'!$D:$D=$C420,'SUMMARY DATA'!$B:$B=""GRP"")),"""")
  )
)"),"")</f>
      </c>
    </row>
    <row r="1320" spans="1:6" customHeight="true">
      <c r="A1320" s="2"/>
      <c r="B1320" s="15">
        <v>45867</v>
      </c>
      <c r="C1320" s="2" t="s">
        <v>1879</v>
      </c>
      <c r="D1320" s="6">
        <v>786.9</v>
      </c>
      <c r="E1320" s="16" t="str">
        <f>IFERROR(__xludf.DUMMYFUNCTION("IFERROR(
  TEXTJOIN(CHAR(10),TRUE,FILTER('SUMMARY DATA'!E:E,'SUMMARY DATA'!$A:$A=$A421,'SUMMARY DATA'!$C:$C=$B421,'SUMMARY DATA'!$B:$B=""GRP"")),
  IF(
    OR(
      ISNUMBER(SEARCH(""CDM CASH DEPOSIT"",$C421)),
      ISNUMBER(SEARCH(""CASH DEPOSIT"",$C42"&amp;"1)),
      COUNTIFS('SUMMARY DATA'!$D:$D,$C421,'SUMMARY DATA'!$B:$B,""GRP"")&lt;&gt;1
    ),
    """",
    IFERROR(TEXTJOIN(CHAR(10),TRUE,FILTER('SUMMARY DATA'!E:E,'SUMMARY DATA'!$D:$D=$C421,'SUMMARY DATA'!$B:$B=""GRP"")),"""")
  )
)"),"")</f>
      </c>
      <c r="F1320" s="17" t="str">
        <f>IFERROR(__xludf.DUMMYFUNCTION("IFERROR(
  TEXTJOIN(CHAR(10),TRUE,FILTER('SUMMARY DATA'!F:F,'SUMMARY DATA'!$A:$A=$A421,'SUMMARY DATA'!$C:$C=$B421,'SUMMARY DATA'!$B:$B=""GRP"")),
  IF(
    OR(
      ISNUMBER(SEARCH(""CDM CASH DEPOSIT"",$C421)),
      ISNUMBER(SEARCH(""CASH DEPOSIT"",$C42"&amp;"1)),
      COUNTIFS('SUMMARY DATA'!$D:$D,$C421,'SUMMARY DATA'!$B:$B,""GRP"")&lt;&gt;1
    ),
    """",
    IFERROR(TEXTJOIN(CHAR(10),TRUE,FILTER('SUMMARY DATA'!F:F,'SUMMARY DATA'!$D:$D=$C421,'SUMMARY DATA'!$B:$B=""GRP"")),"""")
  )
)"),"")</f>
      </c>
    </row>
    <row r="1321" spans="1:6" customHeight="true">
      <c r="A1321" s="2"/>
      <c r="B1321" s="15">
        <v>45867</v>
      </c>
      <c r="C1321" s="2" t="s">
        <v>1880</v>
      </c>
      <c r="D1321" s="6">
        <v>29.8</v>
      </c>
      <c r="E1321" s="16" t="str">
        <f>IFERROR(__xludf.DUMMYFUNCTION("IFERROR(
  TEXTJOIN(CHAR(10),TRUE,FILTER('SUMMARY DATA'!E:E,'SUMMARY DATA'!$A:$A=$A422,'SUMMARY DATA'!$C:$C=$B422,'SUMMARY DATA'!$B:$B=""GRP"")),
  IF(
    OR(
      ISNUMBER(SEARCH(""CDM CASH DEPOSIT"",$C422)),
      ISNUMBER(SEARCH(""CASH DEPOSIT"",$C42"&amp;"2)),
      COUNTIFS('SUMMARY DATA'!$D:$D,$C422,'SUMMARY DATA'!$B:$B,""GRP"")&lt;&gt;1
    ),
    """",
    IFERROR(TEXTJOIN(CHAR(10),TRUE,FILTER('SUMMARY DATA'!E:E,'SUMMARY DATA'!$D:$D=$C422,'SUMMARY DATA'!$B:$B=""GRP"")),"""")
  )
)"),"")</f>
      </c>
      <c r="F1321" s="17" t="str">
        <f>IFERROR(__xludf.DUMMYFUNCTION("IFERROR(
  TEXTJOIN(CHAR(10),TRUE,FILTER('SUMMARY DATA'!F:F,'SUMMARY DATA'!$A:$A=$A422,'SUMMARY DATA'!$C:$C=$B422,'SUMMARY DATA'!$B:$B=""GRP"")),
  IF(
    OR(
      ISNUMBER(SEARCH(""CDM CASH DEPOSIT"",$C422)),
      ISNUMBER(SEARCH(""CASH DEPOSIT"",$C42"&amp;"2)),
      COUNTIFS('SUMMARY DATA'!$D:$D,$C422,'SUMMARY DATA'!$B:$B,""GRP"")&lt;&gt;1
    ),
    """",
    IFERROR(TEXTJOIN(CHAR(10),TRUE,FILTER('SUMMARY DATA'!F:F,'SUMMARY DATA'!$D:$D=$C422,'SUMMARY DATA'!$B:$B=""GRP"")),"""")
  )
)"),"")</f>
      </c>
    </row>
    <row r="1322" spans="1:6" customHeight="true">
      <c r="A1322" s="2" t="s">
        <v>1881</v>
      </c>
      <c r="B1322" s="15">
        <v>45867</v>
      </c>
      <c r="C1322" s="2" t="s">
        <v>1882</v>
      </c>
      <c r="D1322" s="6">
        <v>217.87</v>
      </c>
      <c r="E1322" s="16" t="str">
        <f>IFERROR(__xludf.DUMMYFUNCTION("IFERROR(
  TEXTJOIN(CHAR(10),TRUE,FILTER('SUMMARY DATA'!E:E,'SUMMARY DATA'!$A:$A=$A423,'SUMMARY DATA'!$C:$C=$B423,'SUMMARY DATA'!$B:$B=""GRP"")),
  IF(
    OR(
      ISNUMBER(SEARCH(""CDM CASH DEPOSIT"",$C423)),
      ISNUMBER(SEARCH(""CASH DEPOSIT"",$C42"&amp;"3)),
      COUNTIFS('SUMMARY DATA'!$D:$D,$C423,'SUMMARY DATA'!$B:$B,""GRP"")&lt;&gt;1
    ),
    """",
    IFERROR(TEXTJOIN(CHAR(10),TRUE,FILTER('SUMMARY DATA'!E:E,'SUMMARY DATA'!$D:$D=$C423,'SUMMARY DATA'!$B:$B=""GRP"")),"""")
  )
)"),"")</f>
      </c>
      <c r="F1322" s="17" t="str">
        <f>IFERROR(__xludf.DUMMYFUNCTION("IFERROR(
  TEXTJOIN(CHAR(10),TRUE,FILTER('SUMMARY DATA'!F:F,'SUMMARY DATA'!$A:$A=$A423,'SUMMARY DATA'!$C:$C=$B423,'SUMMARY DATA'!$B:$B=""GRP"")),
  IF(
    OR(
      ISNUMBER(SEARCH(""CDM CASH DEPOSIT"",$C423)),
      ISNUMBER(SEARCH(""CASH DEPOSIT"",$C42"&amp;"3)),
      COUNTIFS('SUMMARY DATA'!$D:$D,$C423,'SUMMARY DATA'!$B:$B,""GRP"")&lt;&gt;1
    ),
    """",
    IFERROR(TEXTJOIN(CHAR(10),TRUE,FILTER('SUMMARY DATA'!F:F,'SUMMARY DATA'!$D:$D=$C423,'SUMMARY DATA'!$B:$B=""GRP"")),"""")
  )
)"),"")</f>
      </c>
    </row>
    <row r="1323" spans="1:6" customHeight="true">
      <c r="A1323" s="2"/>
      <c r="B1323" s="15">
        <v>45867</v>
      </c>
      <c r="C1323" s="2" t="s">
        <v>1883</v>
      </c>
      <c r="D1323" s="6">
        <v>277.57</v>
      </c>
      <c r="E1323" s="16" t="str">
        <f>IFERROR(__xludf.DUMMYFUNCTION("IFERROR(
  TEXTJOIN(CHAR(10),TRUE,FILTER('SUMMARY DATA'!E:E,'SUMMARY DATA'!$A:$A=$A424,'SUMMARY DATA'!$C:$C=$B424,'SUMMARY DATA'!$B:$B=""GRP"")),
  IF(
    OR(
      ISNUMBER(SEARCH(""CDM CASH DEPOSIT"",$C424)),
      ISNUMBER(SEARCH(""CASH DEPOSIT"",$C42"&amp;"4)),
      COUNTIFS('SUMMARY DATA'!$D:$D,$C424,'SUMMARY DATA'!$B:$B,""GRP"")&lt;&gt;1
    ),
    """",
    IFERROR(TEXTJOIN(CHAR(10),TRUE,FILTER('SUMMARY DATA'!E:E,'SUMMARY DATA'!$D:$D=$C424,'SUMMARY DATA'!$B:$B=""GRP"")),"""")
  )
)"),"")</f>
      </c>
      <c r="F1323" s="17" t="str">
        <f>IFERROR(__xludf.DUMMYFUNCTION("IFERROR(
  TEXTJOIN(CHAR(10),TRUE,FILTER('SUMMARY DATA'!F:F,'SUMMARY DATA'!$A:$A=$A424,'SUMMARY DATA'!$C:$C=$B424,'SUMMARY DATA'!$B:$B=""GRP"")),
  IF(
    OR(
      ISNUMBER(SEARCH(""CDM CASH DEPOSIT"",$C424)),
      ISNUMBER(SEARCH(""CASH DEPOSIT"",$C42"&amp;"4)),
      COUNTIFS('SUMMARY DATA'!$D:$D,$C424,'SUMMARY DATA'!$B:$B,""GRP"")&lt;&gt;1
    ),
    """",
    IFERROR(TEXTJOIN(CHAR(10),TRUE,FILTER('SUMMARY DATA'!F:F,'SUMMARY DATA'!$D:$D=$C424,'SUMMARY DATA'!$B:$B=""GRP"")),"""")
  )
)"),"")</f>
      </c>
    </row>
    <row r="1324" spans="1:6" customHeight="true">
      <c r="A1324" s="2" t="s">
        <v>1884</v>
      </c>
      <c r="B1324" s="15">
        <v>45867</v>
      </c>
      <c r="C1324" s="2" t="s">
        <v>1885</v>
      </c>
      <c r="D1324" s="6">
        <v>367</v>
      </c>
      <c r="E1324" s="16" t="str">
        <f>IFERROR(__xludf.DUMMYFUNCTION("IFERROR(
  TEXTJOIN(CHAR(10),TRUE,FILTER('SUMMARY DATA'!E:E,'SUMMARY DATA'!$A:$A=$A425,'SUMMARY DATA'!$C:$C=$B425,'SUMMARY DATA'!$B:$B=""GRP"")),
  IF(
    OR(
      ISNUMBER(SEARCH(""CDM CASH DEPOSIT"",$C425)),
      ISNUMBER(SEARCH(""CASH DEPOSIT"",$C42"&amp;"5)),
      COUNTIFS('SUMMARY DATA'!$D:$D,$C425,'SUMMARY DATA'!$B:$B,""GRP"")&lt;&gt;1
    ),
    """",
    IFERROR(TEXTJOIN(CHAR(10),TRUE,FILTER('SUMMARY DATA'!E:E,'SUMMARY DATA'!$D:$D=$C425,'SUMMARY DATA'!$B:$B=""GRP"")),"""")
  )
)"),"")</f>
      </c>
      <c r="F1324" s="17" t="str">
        <f>IFERROR(__xludf.DUMMYFUNCTION("IFERROR(
  TEXTJOIN(CHAR(10),TRUE,FILTER('SUMMARY DATA'!F:F,'SUMMARY DATA'!$A:$A=$A425,'SUMMARY DATA'!$C:$C=$B425,'SUMMARY DATA'!$B:$B=""GRP"")),
  IF(
    OR(
      ISNUMBER(SEARCH(""CDM CASH DEPOSIT"",$C425)),
      ISNUMBER(SEARCH(""CASH DEPOSIT"",$C42"&amp;"5)),
      COUNTIFS('SUMMARY DATA'!$D:$D,$C425,'SUMMARY DATA'!$B:$B,""GRP"")&lt;&gt;1
    ),
    """",
    IFERROR(TEXTJOIN(CHAR(10),TRUE,FILTER('SUMMARY DATA'!F:F,'SUMMARY DATA'!$D:$D=$C425,'SUMMARY DATA'!$B:$B=""GRP"")),"""")
  )
)"),"")</f>
      </c>
    </row>
    <row r="1325" spans="1:6" customHeight="true">
      <c r="A1325" s="2"/>
      <c r="B1325" s="15">
        <v>45867</v>
      </c>
      <c r="C1325" s="2" t="s">
        <v>1886</v>
      </c>
      <c r="D1325" s="6">
        <v>107.96</v>
      </c>
      <c r="E1325" s="16" t="str">
        <f>IFERROR(__xludf.DUMMYFUNCTION("IFERROR(
  TEXTJOIN(CHAR(10),TRUE,FILTER('SUMMARY DATA'!E:E,'SUMMARY DATA'!$A:$A=$A426,'SUMMARY DATA'!$C:$C=$B426,'SUMMARY DATA'!$B:$B=""GRP"")),
  IF(
    OR(
      ISNUMBER(SEARCH(""CDM CASH DEPOSIT"",$C426)),
      ISNUMBER(SEARCH(""CASH DEPOSIT"",$C42"&amp;"6)),
      COUNTIFS('SUMMARY DATA'!$D:$D,$C426,'SUMMARY DATA'!$B:$B,""GRP"")&lt;&gt;1
    ),
    """",
    IFERROR(TEXTJOIN(CHAR(10),TRUE,FILTER('SUMMARY DATA'!E:E,'SUMMARY DATA'!$D:$D=$C426,'SUMMARY DATA'!$B:$B=""GRP"")),"""")
  )
)"),"")</f>
      </c>
      <c r="F1325" s="17" t="str">
        <f>IFERROR(__xludf.DUMMYFUNCTION("IFERROR(
  TEXTJOIN(CHAR(10),TRUE,FILTER('SUMMARY DATA'!F:F,'SUMMARY DATA'!$A:$A=$A426,'SUMMARY DATA'!$C:$C=$B426,'SUMMARY DATA'!$B:$B=""GRP"")),
  IF(
    OR(
      ISNUMBER(SEARCH(""CDM CASH DEPOSIT"",$C426)),
      ISNUMBER(SEARCH(""CASH DEPOSIT"",$C42"&amp;"6)),
      COUNTIFS('SUMMARY DATA'!$D:$D,$C426,'SUMMARY DATA'!$B:$B,""GRP"")&lt;&gt;1
    ),
    """",
    IFERROR(TEXTJOIN(CHAR(10),TRUE,FILTER('SUMMARY DATA'!F:F,'SUMMARY DATA'!$D:$D=$C426,'SUMMARY DATA'!$B:$B=""GRP"")),"""")
  )
)"),"")</f>
      </c>
    </row>
    <row r="1326" spans="1:6" customHeight="true">
      <c r="A1326" s="2"/>
      <c r="B1326" s="15">
        <v>45867</v>
      </c>
      <c r="C1326" s="2" t="s">
        <v>1887</v>
      </c>
      <c r="D1326" s="6">
        <v>63</v>
      </c>
      <c r="E1326" s="16" t="str">
        <f>IFERROR(__xludf.DUMMYFUNCTION("IFERROR(
  TEXTJOIN(CHAR(10),TRUE,FILTER('SUMMARY DATA'!E:E,'SUMMARY DATA'!$A:$A=$A427,'SUMMARY DATA'!$C:$C=$B427,'SUMMARY DATA'!$B:$B=""GRP"")),
  IF(
    OR(
      ISNUMBER(SEARCH(""CDM CASH DEPOSIT"",$C427)),
      ISNUMBER(SEARCH(""CASH DEPOSIT"",$C42"&amp;"7)),
      COUNTIFS('SUMMARY DATA'!$D:$D,$C427,'SUMMARY DATA'!$B:$B,""GRP"")&lt;&gt;1
    ),
    """",
    IFERROR(TEXTJOIN(CHAR(10),TRUE,FILTER('SUMMARY DATA'!E:E,'SUMMARY DATA'!$D:$D=$C427,'SUMMARY DATA'!$B:$B=""GRP"")),"""")
  )
)"),"")</f>
      </c>
      <c r="F1326" s="17" t="str">
        <f>IFERROR(__xludf.DUMMYFUNCTION("IFERROR(
  TEXTJOIN(CHAR(10),TRUE,FILTER('SUMMARY DATA'!F:F,'SUMMARY DATA'!$A:$A=$A427,'SUMMARY DATA'!$C:$C=$B427,'SUMMARY DATA'!$B:$B=""GRP"")),
  IF(
    OR(
      ISNUMBER(SEARCH(""CDM CASH DEPOSIT"",$C427)),
      ISNUMBER(SEARCH(""CASH DEPOSIT"",$C42"&amp;"7)),
      COUNTIFS('SUMMARY DATA'!$D:$D,$C427,'SUMMARY DATA'!$B:$B,""GRP"")&lt;&gt;1
    ),
    """",
    IFERROR(TEXTJOIN(CHAR(10),TRUE,FILTER('SUMMARY DATA'!F:F,'SUMMARY DATA'!$D:$D=$C427,'SUMMARY DATA'!$B:$B=""GRP"")),"""")
  )
)"),"")</f>
      </c>
    </row>
    <row r="1327" spans="1:6" customHeight="true">
      <c r="A1327" s="2" t="s">
        <v>1888</v>
      </c>
      <c r="B1327" s="15">
        <v>45867</v>
      </c>
      <c r="C1327" s="2" t="s">
        <v>1889</v>
      </c>
      <c r="D1327" s="6">
        <v>15</v>
      </c>
      <c r="E1327" s="16" t="str">
        <f>IFERROR(__xludf.DUMMYFUNCTION("IFERROR(
  TEXTJOIN(CHAR(10),TRUE,FILTER('SUMMARY DATA'!E:E,'SUMMARY DATA'!$A:$A=$A428,'SUMMARY DATA'!$C:$C=$B428,'SUMMARY DATA'!$B:$B=""GRP"")),
  IF(
    OR(
      ISNUMBER(SEARCH(""CDM CASH DEPOSIT"",$C428)),
      ISNUMBER(SEARCH(""CASH DEPOSIT"",$C42"&amp;"8)),
      COUNTIFS('SUMMARY DATA'!$D:$D,$C428,'SUMMARY DATA'!$B:$B,""GRP"")&lt;&gt;1
    ),
    """",
    IFERROR(TEXTJOIN(CHAR(10),TRUE,FILTER('SUMMARY DATA'!E:E,'SUMMARY DATA'!$D:$D=$C428,'SUMMARY DATA'!$B:$B=""GRP"")),"""")
  )
)"),"")</f>
      </c>
      <c r="F1327" s="17" t="str">
        <f>IFERROR(__xludf.DUMMYFUNCTION("IFERROR(
  TEXTJOIN(CHAR(10),TRUE,FILTER('SUMMARY DATA'!F:F,'SUMMARY DATA'!$A:$A=$A428,'SUMMARY DATA'!$C:$C=$B428,'SUMMARY DATA'!$B:$B=""GRP"")),
  IF(
    OR(
      ISNUMBER(SEARCH(""CDM CASH DEPOSIT"",$C428)),
      ISNUMBER(SEARCH(""CASH DEPOSIT"",$C42"&amp;"8)),
      COUNTIFS('SUMMARY DATA'!$D:$D,$C428,'SUMMARY DATA'!$B:$B,""GRP"")&lt;&gt;1
    ),
    """",
    IFERROR(TEXTJOIN(CHAR(10),TRUE,FILTER('SUMMARY DATA'!F:F,'SUMMARY DATA'!$D:$D=$C428,'SUMMARY DATA'!$B:$B=""GRP"")),"""")
  )
)"),"")</f>
      </c>
    </row>
    <row r="1328" spans="1:6" customHeight="true">
      <c r="A1328" s="2"/>
      <c r="B1328" s="15">
        <v>45867</v>
      </c>
      <c r="C1328" s="2" t="s">
        <v>1751</v>
      </c>
      <c r="D1328" s="6">
        <v>26</v>
      </c>
      <c r="E1328" s="16" t="str">
        <f>IFERROR(__xludf.DUMMYFUNCTION("IFERROR(
  TEXTJOIN(CHAR(10),TRUE,FILTER('SUMMARY DATA'!E:E,'SUMMARY DATA'!$A:$A=$A429,'SUMMARY DATA'!$C:$C=$B429,'SUMMARY DATA'!$B:$B=""GRP"")),
  IF(
    OR(
      ISNUMBER(SEARCH(""CDM CASH DEPOSIT"",$C429)),
      ISNUMBER(SEARCH(""CASH DEPOSIT"",$C42"&amp;"9)),
      COUNTIFS('SUMMARY DATA'!$D:$D,$C429,'SUMMARY DATA'!$B:$B,""GRP"")&lt;&gt;1
    ),
    """",
    IFERROR(TEXTJOIN(CHAR(10),TRUE,FILTER('SUMMARY DATA'!E:E,'SUMMARY DATA'!$D:$D=$C429,'SUMMARY DATA'!$B:$B=""GRP"")),"""")
  )
)"),"")</f>
      </c>
      <c r="F1328" s="17" t="str">
        <f>IFERROR(__xludf.DUMMYFUNCTION("IFERROR(
  TEXTJOIN(CHAR(10),TRUE,FILTER('SUMMARY DATA'!F:F,'SUMMARY DATA'!$A:$A=$A429,'SUMMARY DATA'!$C:$C=$B429,'SUMMARY DATA'!$B:$B=""GRP"")),
  IF(
    OR(
      ISNUMBER(SEARCH(""CDM CASH DEPOSIT"",$C429)),
      ISNUMBER(SEARCH(""CASH DEPOSIT"",$C42"&amp;"9)),
      COUNTIFS('SUMMARY DATA'!$D:$D,$C429,'SUMMARY DATA'!$B:$B,""GRP"")&lt;&gt;1
    ),
    """",
    IFERROR(TEXTJOIN(CHAR(10),TRUE,FILTER('SUMMARY DATA'!F:F,'SUMMARY DATA'!$D:$D=$C429,'SUMMARY DATA'!$B:$B=""GRP"")),"""")
  )
)"),"")</f>
      </c>
    </row>
    <row r="1329" spans="1:6" customHeight="true">
      <c r="A1329" s="2"/>
      <c r="B1329" s="15">
        <v>45866</v>
      </c>
      <c r="C1329" s="2" t="s">
        <v>1890</v>
      </c>
      <c r="D1329" s="6">
        <v>10.01</v>
      </c>
      <c r="E1329" s="16" t="str">
        <f>IFERROR(__xludf.DUMMYFUNCTION("IFERROR(
  TEXTJOIN(CHAR(10),TRUE,FILTER('SUMMARY DATA'!E:E,'SUMMARY DATA'!$A:$A=$A430,'SUMMARY DATA'!$C:$C=$B430,'SUMMARY DATA'!$B:$B=""GRP"")),
  IF(
    OR(
      ISNUMBER(SEARCH(""CDM CASH DEPOSIT"",$C430)),
      ISNUMBER(SEARCH(""CASH DEPOSIT"",$C43"&amp;"0)),
      COUNTIFS('SUMMARY DATA'!$D:$D,$C430,'SUMMARY DATA'!$B:$B,""GRP"")&lt;&gt;1
    ),
    """",
    IFERROR(TEXTJOIN(CHAR(10),TRUE,FILTER('SUMMARY DATA'!E:E,'SUMMARY DATA'!$D:$D=$C430,'SUMMARY DATA'!$B:$B=""GRP"")),"""")
  )
)"),"")</f>
      </c>
      <c r="F1329" s="17" t="str">
        <f>IFERROR(__xludf.DUMMYFUNCTION("IFERROR(
  TEXTJOIN(CHAR(10),TRUE,FILTER('SUMMARY DATA'!F:F,'SUMMARY DATA'!$A:$A=$A430,'SUMMARY DATA'!$C:$C=$B430,'SUMMARY DATA'!$B:$B=""GRP"")),
  IF(
    OR(
      ISNUMBER(SEARCH(""CDM CASH DEPOSIT"",$C430)),
      ISNUMBER(SEARCH(""CASH DEPOSIT"",$C43"&amp;"0)),
      COUNTIFS('SUMMARY DATA'!$D:$D,$C430,'SUMMARY DATA'!$B:$B,""GRP"")&lt;&gt;1
    ),
    """",
    IFERROR(TEXTJOIN(CHAR(10),TRUE,FILTER('SUMMARY DATA'!F:F,'SUMMARY DATA'!$D:$D=$C430,'SUMMARY DATA'!$B:$B=""GRP"")),"""")
  )
)"),"")</f>
      </c>
    </row>
    <row r="1330" spans="1:6" customHeight="true">
      <c r="A1330" s="2" t="s">
        <v>1891</v>
      </c>
      <c r="B1330" s="15">
        <v>45866</v>
      </c>
      <c r="C1330" s="2" t="s">
        <v>1892</v>
      </c>
      <c r="D1330" s="6">
        <v>10</v>
      </c>
      <c r="E1330" s="16" t="str">
        <f>IFERROR(__xludf.DUMMYFUNCTION("IFERROR(
  TEXTJOIN(CHAR(10),TRUE,FILTER('SUMMARY DATA'!E:E,'SUMMARY DATA'!$A:$A=$A431,'SUMMARY DATA'!$C:$C=$B431,'SUMMARY DATA'!$B:$B=""GRP"")),
  IF(
    OR(
      ISNUMBER(SEARCH(""CDM CASH DEPOSIT"",$C431)),
      ISNUMBER(SEARCH(""CASH DEPOSIT"",$C43"&amp;"1)),
      COUNTIFS('SUMMARY DATA'!$D:$D,$C431,'SUMMARY DATA'!$B:$B,""GRP"")&lt;&gt;1
    ),
    """",
    IFERROR(TEXTJOIN(CHAR(10),TRUE,FILTER('SUMMARY DATA'!E:E,'SUMMARY DATA'!$D:$D=$C431,'SUMMARY DATA'!$B:$B=""GRP"")),"""")
  )
)"),"")</f>
      </c>
      <c r="F1330" s="17" t="str">
        <f>IFERROR(__xludf.DUMMYFUNCTION("IFERROR(
  TEXTJOIN(CHAR(10),TRUE,FILTER('SUMMARY DATA'!F:F,'SUMMARY DATA'!$A:$A=$A431,'SUMMARY DATA'!$C:$C=$B431,'SUMMARY DATA'!$B:$B=""GRP"")),
  IF(
    OR(
      ISNUMBER(SEARCH(""CDM CASH DEPOSIT"",$C431)),
      ISNUMBER(SEARCH(""CASH DEPOSIT"",$C43"&amp;"1)),
      COUNTIFS('SUMMARY DATA'!$D:$D,$C431,'SUMMARY DATA'!$B:$B,""GRP"")&lt;&gt;1
    ),
    """",
    IFERROR(TEXTJOIN(CHAR(10),TRUE,FILTER('SUMMARY DATA'!F:F,'SUMMARY DATA'!$D:$D=$C431,'SUMMARY DATA'!$B:$B=""GRP"")),"""")
  )
)"),"")</f>
      </c>
    </row>
    <row r="1331" spans="1:6" customHeight="true">
      <c r="A1331" s="2"/>
      <c r="B1331" s="15">
        <v>45866</v>
      </c>
      <c r="C1331" s="2" t="s">
        <v>1893</v>
      </c>
      <c r="D1331" s="6">
        <v>126.64</v>
      </c>
      <c r="E1331" s="16" t="str">
        <f>IFERROR(__xludf.DUMMYFUNCTION("IFERROR(
  TEXTJOIN(CHAR(10),TRUE,FILTER('SUMMARY DATA'!E:E,'SUMMARY DATA'!$A:$A=$A432,'SUMMARY DATA'!$C:$C=$B432,'SUMMARY DATA'!$B:$B=""GRP"")),
  IF(
    OR(
      ISNUMBER(SEARCH(""CDM CASH DEPOSIT"",$C432)),
      ISNUMBER(SEARCH(""CASH DEPOSIT"",$C43"&amp;"2)),
      COUNTIFS('SUMMARY DATA'!$D:$D,$C432,'SUMMARY DATA'!$B:$B,""GRP"")&lt;&gt;1
    ),
    """",
    IFERROR(TEXTJOIN(CHAR(10),TRUE,FILTER('SUMMARY DATA'!E:E,'SUMMARY DATA'!$D:$D=$C432,'SUMMARY DATA'!$B:$B=""GRP"")),"""")
  )
)"),"")</f>
      </c>
      <c r="F1331" s="17" t="str">
        <f>IFERROR(__xludf.DUMMYFUNCTION("IFERROR(
  TEXTJOIN(CHAR(10),TRUE,FILTER('SUMMARY DATA'!F:F,'SUMMARY DATA'!$A:$A=$A432,'SUMMARY DATA'!$C:$C=$B432,'SUMMARY DATA'!$B:$B=""GRP"")),
  IF(
    OR(
      ISNUMBER(SEARCH(""CDM CASH DEPOSIT"",$C432)),
      ISNUMBER(SEARCH(""CASH DEPOSIT"",$C43"&amp;"2)),
      COUNTIFS('SUMMARY DATA'!$D:$D,$C432,'SUMMARY DATA'!$B:$B,""GRP"")&lt;&gt;1
    ),
    """",
    IFERROR(TEXTJOIN(CHAR(10),TRUE,FILTER('SUMMARY DATA'!F:F,'SUMMARY DATA'!$D:$D=$C432,'SUMMARY DATA'!$B:$B=""GRP"")),"""")
  )
)"),"")</f>
      </c>
    </row>
    <row r="1332" spans="1:6" customHeight="true">
      <c r="A1332" s="2" t="s">
        <v>1894</v>
      </c>
      <c r="B1332" s="15">
        <v>45866</v>
      </c>
      <c r="C1332" s="2" t="s">
        <v>1895</v>
      </c>
      <c r="D1332" s="6">
        <v>6</v>
      </c>
      <c r="E1332" s="16" t="str">
        <f>IFERROR(__xludf.DUMMYFUNCTION("IFERROR(
  TEXTJOIN(CHAR(10),TRUE,FILTER('SUMMARY DATA'!E:E,'SUMMARY DATA'!$A:$A=$A433,'SUMMARY DATA'!$C:$C=$B433,'SUMMARY DATA'!$B:$B=""GRP"")),
  IF(
    OR(
      ISNUMBER(SEARCH(""CDM CASH DEPOSIT"",$C433)),
      ISNUMBER(SEARCH(""CASH DEPOSIT"",$C43"&amp;"3)),
      COUNTIFS('SUMMARY DATA'!$D:$D,$C433,'SUMMARY DATA'!$B:$B,""GRP"")&lt;&gt;1
    ),
    """",
    IFERROR(TEXTJOIN(CHAR(10),TRUE,FILTER('SUMMARY DATA'!E:E,'SUMMARY DATA'!$D:$D=$C433,'SUMMARY DATA'!$B:$B=""GRP"")),"""")
  )
)"),"")</f>
      </c>
      <c r="F1332" s="17" t="str">
        <f>IFERROR(__xludf.DUMMYFUNCTION("IFERROR(
  TEXTJOIN(CHAR(10),TRUE,FILTER('SUMMARY DATA'!F:F,'SUMMARY DATA'!$A:$A=$A433,'SUMMARY DATA'!$C:$C=$B433,'SUMMARY DATA'!$B:$B=""GRP"")),
  IF(
    OR(
      ISNUMBER(SEARCH(""CDM CASH DEPOSIT"",$C433)),
      ISNUMBER(SEARCH(""CASH DEPOSIT"",$C43"&amp;"3)),
      COUNTIFS('SUMMARY DATA'!$D:$D,$C433,'SUMMARY DATA'!$B:$B,""GRP"")&lt;&gt;1
    ),
    """",
    IFERROR(TEXTJOIN(CHAR(10),TRUE,FILTER('SUMMARY DATA'!F:F,'SUMMARY DATA'!$D:$D=$C433,'SUMMARY DATA'!$B:$B=""GRP"")),"""")
  )
)"),"")</f>
      </c>
    </row>
    <row r="1333" spans="1:6" customHeight="true">
      <c r="A1333" s="2" t="s">
        <v>1896</v>
      </c>
      <c r="B1333" s="15">
        <v>45866</v>
      </c>
      <c r="C1333" s="2" t="s">
        <v>1897</v>
      </c>
      <c r="D1333" s="6">
        <v>70</v>
      </c>
      <c r="E1333" s="16" t="str">
        <f>IFERROR(__xludf.DUMMYFUNCTION("IFERROR(
  TEXTJOIN(CHAR(10),TRUE,FILTER('SUMMARY DATA'!E:E,'SUMMARY DATA'!$A:$A=$A434,'SUMMARY DATA'!$C:$C=$B434,'SUMMARY DATA'!$B:$B=""GRP"")),
  IF(
    OR(
      ISNUMBER(SEARCH(""CDM CASH DEPOSIT"",$C434)),
      ISNUMBER(SEARCH(""CASH DEPOSIT"",$C43"&amp;"4)),
      COUNTIFS('SUMMARY DATA'!$D:$D,$C434,'SUMMARY DATA'!$B:$B,""GRP"")&lt;&gt;1
    ),
    """",
    IFERROR(TEXTJOIN(CHAR(10),TRUE,FILTER('SUMMARY DATA'!E:E,'SUMMARY DATA'!$D:$D=$C434,'SUMMARY DATA'!$B:$B=""GRP"")),"""")
  )
)"),"")</f>
      </c>
      <c r="F1333" s="17" t="str">
        <f>IFERROR(__xludf.DUMMYFUNCTION("IFERROR(
  TEXTJOIN(CHAR(10),TRUE,FILTER('SUMMARY DATA'!F:F,'SUMMARY DATA'!$A:$A=$A434,'SUMMARY DATA'!$C:$C=$B434,'SUMMARY DATA'!$B:$B=""GRP"")),
  IF(
    OR(
      ISNUMBER(SEARCH(""CDM CASH DEPOSIT"",$C434)),
      ISNUMBER(SEARCH(""CASH DEPOSIT"",$C43"&amp;"4)),
      COUNTIFS('SUMMARY DATA'!$D:$D,$C434,'SUMMARY DATA'!$B:$B,""GRP"")&lt;&gt;1
    ),
    """",
    IFERROR(TEXTJOIN(CHAR(10),TRUE,FILTER('SUMMARY DATA'!F:F,'SUMMARY DATA'!$D:$D=$C434,'SUMMARY DATA'!$B:$B=""GRP"")),"""")
  )
)"),"")</f>
      </c>
    </row>
    <row r="1334" spans="1:6" customHeight="true">
      <c r="A1334" s="2"/>
      <c r="B1334" s="15">
        <v>45866</v>
      </c>
      <c r="C1334" s="2" t="s">
        <v>1898</v>
      </c>
      <c r="D1334" s="6">
        <v>769.3</v>
      </c>
      <c r="E1334" s="16" t="str">
        <f>IFERROR(__xludf.DUMMYFUNCTION("IFERROR(
  TEXTJOIN(CHAR(10),TRUE,FILTER('SUMMARY DATA'!E:E,'SUMMARY DATA'!$A:$A=$A435,'SUMMARY DATA'!$C:$C=$B435,'SUMMARY DATA'!$B:$B=""GRP"")),
  IF(
    OR(
      ISNUMBER(SEARCH(""CDM CASH DEPOSIT"",$C435)),
      ISNUMBER(SEARCH(""CASH DEPOSIT"",$C43"&amp;"5)),
      COUNTIFS('SUMMARY DATA'!$D:$D,$C435,'SUMMARY DATA'!$B:$B,""GRP"")&lt;&gt;1
    ),
    """",
    IFERROR(TEXTJOIN(CHAR(10),TRUE,FILTER('SUMMARY DATA'!E:E,'SUMMARY DATA'!$D:$D=$C435,'SUMMARY DATA'!$B:$B=""GRP"")),"""")
  )
)"),"")</f>
      </c>
      <c r="F1334" s="17" t="str">
        <f>IFERROR(__xludf.DUMMYFUNCTION("IFERROR(
  TEXTJOIN(CHAR(10),TRUE,FILTER('SUMMARY DATA'!F:F,'SUMMARY DATA'!$A:$A=$A435,'SUMMARY DATA'!$C:$C=$B435,'SUMMARY DATA'!$B:$B=""GRP"")),
  IF(
    OR(
      ISNUMBER(SEARCH(""CDM CASH DEPOSIT"",$C435)),
      ISNUMBER(SEARCH(""CASH DEPOSIT"",$C43"&amp;"5)),
      COUNTIFS('SUMMARY DATA'!$D:$D,$C435,'SUMMARY DATA'!$B:$B,""GRP"")&lt;&gt;1
    ),
    """",
    IFERROR(TEXTJOIN(CHAR(10),TRUE,FILTER('SUMMARY DATA'!F:F,'SUMMARY DATA'!$D:$D=$C435,'SUMMARY DATA'!$B:$B=""GRP"")),"""")
  )
)"),"")</f>
      </c>
    </row>
    <row r="1335" spans="1:6" customHeight="true">
      <c r="A1335" s="2" t="s">
        <v>1899</v>
      </c>
      <c r="B1335" s="15">
        <v>45866</v>
      </c>
      <c r="C1335" s="2" t="s">
        <v>1900</v>
      </c>
      <c r="D1335" s="6">
        <v>418.6</v>
      </c>
      <c r="E1335" s="16" t="str">
        <f>IFERROR(__xludf.DUMMYFUNCTION("IFERROR(
  TEXTJOIN(CHAR(10),TRUE,FILTER('SUMMARY DATA'!E:E,'SUMMARY DATA'!$A:$A=$A436,'SUMMARY DATA'!$C:$C=$B436,'SUMMARY DATA'!$B:$B=""GRP"")),
  IF(
    OR(
      ISNUMBER(SEARCH(""CDM CASH DEPOSIT"",$C436)),
      ISNUMBER(SEARCH(""CASH DEPOSIT"",$C43"&amp;"6)),
      COUNTIFS('SUMMARY DATA'!$D:$D,$C436,'SUMMARY DATA'!$B:$B,""GRP"")&lt;&gt;1
    ),
    """",
    IFERROR(TEXTJOIN(CHAR(10),TRUE,FILTER('SUMMARY DATA'!E:E,'SUMMARY DATA'!$D:$D=$C436,'SUMMARY DATA'!$B:$B=""GRP"")),"""")
  )
)"),"")</f>
      </c>
      <c r="F1335" s="17" t="str">
        <f>IFERROR(__xludf.DUMMYFUNCTION("IFERROR(
  TEXTJOIN(CHAR(10),TRUE,FILTER('SUMMARY DATA'!F:F,'SUMMARY DATA'!$A:$A=$A436,'SUMMARY DATA'!$C:$C=$B436,'SUMMARY DATA'!$B:$B=""GRP"")),
  IF(
    OR(
      ISNUMBER(SEARCH(""CDM CASH DEPOSIT"",$C436)),
      ISNUMBER(SEARCH(""CASH DEPOSIT"",$C43"&amp;"6)),
      COUNTIFS('SUMMARY DATA'!$D:$D,$C436,'SUMMARY DATA'!$B:$B,""GRP"")&lt;&gt;1
    ),
    """",
    IFERROR(TEXTJOIN(CHAR(10),TRUE,FILTER('SUMMARY DATA'!F:F,'SUMMARY DATA'!$D:$D=$C436,'SUMMARY DATA'!$B:$B=""GRP"")),"""")
  )
)"),"")</f>
      </c>
    </row>
    <row r="1336" spans="1:6" customHeight="true">
      <c r="A1336" s="2" t="s">
        <v>1901</v>
      </c>
      <c r="B1336" s="15">
        <v>45865</v>
      </c>
      <c r="C1336" s="2" t="s">
        <v>1902</v>
      </c>
      <c r="D1336" s="6">
        <v>30</v>
      </c>
      <c r="E1336" s="16" t="str">
        <f>IFERROR(__xludf.DUMMYFUNCTION("IFERROR(
  TEXTJOIN(CHAR(10),TRUE,FILTER('SUMMARY DATA'!E:E,'SUMMARY DATA'!$A:$A=$A437,'SUMMARY DATA'!$C:$C=$B437,'SUMMARY DATA'!$B:$B=""GRP"")),
  IF(
    OR(
      ISNUMBER(SEARCH(""CDM CASH DEPOSIT"",$C437)),
      ISNUMBER(SEARCH(""CASH DEPOSIT"",$C43"&amp;"7)),
      COUNTIFS('SUMMARY DATA'!$D:$D,$C437,'SUMMARY DATA'!$B:$B,""GRP"")&lt;&gt;1
    ),
    """",
    IFERROR(TEXTJOIN(CHAR(10),TRUE,FILTER('SUMMARY DATA'!E:E,'SUMMARY DATA'!$D:$D=$C437,'SUMMARY DATA'!$B:$B=""GRP"")),"""")
  )
)"),"")</f>
      </c>
      <c r="F1336" s="17" t="str">
        <f>IFERROR(__xludf.DUMMYFUNCTION("IFERROR(
  TEXTJOIN(CHAR(10),TRUE,FILTER('SUMMARY DATA'!F:F,'SUMMARY DATA'!$A:$A=$A437,'SUMMARY DATA'!$C:$C=$B437,'SUMMARY DATA'!$B:$B=""GRP"")),
  IF(
    OR(
      ISNUMBER(SEARCH(""CDM CASH DEPOSIT"",$C437)),
      ISNUMBER(SEARCH(""CASH DEPOSIT"",$C43"&amp;"7)),
      COUNTIFS('SUMMARY DATA'!$D:$D,$C437,'SUMMARY DATA'!$B:$B,""GRP"")&lt;&gt;1
    ),
    """",
    IFERROR(TEXTJOIN(CHAR(10),TRUE,FILTER('SUMMARY DATA'!F:F,'SUMMARY DATA'!$D:$D=$C437,'SUMMARY DATA'!$B:$B=""GRP"")),"""")
  )
)"),"")</f>
      </c>
    </row>
    <row r="1337" spans="1:6" customHeight="true">
      <c r="A1337" s="2" t="s">
        <v>1903</v>
      </c>
      <c r="B1337" s="15">
        <v>45865</v>
      </c>
      <c r="C1337" s="2" t="s">
        <v>1904</v>
      </c>
      <c r="D1337" s="6">
        <v>76.75</v>
      </c>
      <c r="E1337" s="16" t="str">
        <f>IFERROR(__xludf.DUMMYFUNCTION("IFERROR(
  TEXTJOIN(CHAR(10),TRUE,FILTER('SUMMARY DATA'!E:E,'SUMMARY DATA'!$A:$A=$A438,'SUMMARY DATA'!$C:$C=$B438,'SUMMARY DATA'!$B:$B=""GRP"")),
  IF(
    OR(
      ISNUMBER(SEARCH(""CDM CASH DEPOSIT"",$C438)),
      ISNUMBER(SEARCH(""CASH DEPOSIT"",$C43"&amp;"8)),
      COUNTIFS('SUMMARY DATA'!$D:$D,$C438,'SUMMARY DATA'!$B:$B,""GRP"")&lt;&gt;1
    ),
    """",
    IFERROR(TEXTJOIN(CHAR(10),TRUE,FILTER('SUMMARY DATA'!E:E,'SUMMARY DATA'!$D:$D=$C438,'SUMMARY DATA'!$B:$B=""GRP"")),"""")
  )
)"),"")</f>
      </c>
      <c r="F1337" s="17" t="str">
        <f>IFERROR(__xludf.DUMMYFUNCTION("IFERROR(
  TEXTJOIN(CHAR(10),TRUE,FILTER('SUMMARY DATA'!F:F,'SUMMARY DATA'!$A:$A=$A438,'SUMMARY DATA'!$C:$C=$B438,'SUMMARY DATA'!$B:$B=""GRP"")),
  IF(
    OR(
      ISNUMBER(SEARCH(""CDM CASH DEPOSIT"",$C438)),
      ISNUMBER(SEARCH(""CASH DEPOSIT"",$C43"&amp;"8)),
      COUNTIFS('SUMMARY DATA'!$D:$D,$C438,'SUMMARY DATA'!$B:$B,""GRP"")&lt;&gt;1
    ),
    """",
    IFERROR(TEXTJOIN(CHAR(10),TRUE,FILTER('SUMMARY DATA'!F:F,'SUMMARY DATA'!$D:$D=$C438,'SUMMARY DATA'!$B:$B=""GRP"")),"""")
  )
)"),"")</f>
      </c>
    </row>
    <row r="1338" spans="1:6" customHeight="true">
      <c r="A1338" s="2"/>
      <c r="B1338" s="15">
        <v>45865</v>
      </c>
      <c r="C1338" s="2" t="s">
        <v>1905</v>
      </c>
      <c r="D1338" s="6">
        <v>83.86</v>
      </c>
      <c r="E1338" s="16" t="str">
        <f>IFERROR(__xludf.DUMMYFUNCTION("IFERROR(
  TEXTJOIN(CHAR(10),TRUE,FILTER('SUMMARY DATA'!E:E,'SUMMARY DATA'!$A:$A=$A439,'SUMMARY DATA'!$C:$C=$B439,'SUMMARY DATA'!$B:$B=""GRP"")),
  IF(
    OR(
      ISNUMBER(SEARCH(""CDM CASH DEPOSIT"",$C439)),
      ISNUMBER(SEARCH(""CASH DEPOSIT"",$C43"&amp;"9)),
      COUNTIFS('SUMMARY DATA'!$D:$D,$C439,'SUMMARY DATA'!$B:$B,""GRP"")&lt;&gt;1
    ),
    """",
    IFERROR(TEXTJOIN(CHAR(10),TRUE,FILTER('SUMMARY DATA'!E:E,'SUMMARY DATA'!$D:$D=$C439,'SUMMARY DATA'!$B:$B=""GRP"")),"""")
  )
)"),"")</f>
      </c>
      <c r="F1338" s="17" t="str">
        <f>IFERROR(__xludf.DUMMYFUNCTION("IFERROR(
  TEXTJOIN(CHAR(10),TRUE,FILTER('SUMMARY DATA'!F:F,'SUMMARY DATA'!$A:$A=$A439,'SUMMARY DATA'!$C:$C=$B439,'SUMMARY DATA'!$B:$B=""GRP"")),
  IF(
    OR(
      ISNUMBER(SEARCH(""CDM CASH DEPOSIT"",$C439)),
      ISNUMBER(SEARCH(""CASH DEPOSIT"",$C43"&amp;"9)),
      COUNTIFS('SUMMARY DATA'!$D:$D,$C439,'SUMMARY DATA'!$B:$B,""GRP"")&lt;&gt;1
    ),
    """",
    IFERROR(TEXTJOIN(CHAR(10),TRUE,FILTER('SUMMARY DATA'!F:F,'SUMMARY DATA'!$D:$D=$C439,'SUMMARY DATA'!$B:$B=""GRP"")),"""")
  )
)"),"")</f>
      </c>
    </row>
    <row r="1339" spans="1:6" customHeight="true">
      <c r="A1339" s="2" t="s">
        <v>1906</v>
      </c>
      <c r="B1339" s="15">
        <v>45865</v>
      </c>
      <c r="C1339" s="2" t="s">
        <v>1907</v>
      </c>
      <c r="D1339" s="6">
        <v>10</v>
      </c>
      <c r="E1339" s="16" t="str">
        <f>IFERROR(__xludf.DUMMYFUNCTION("IFERROR(
  TEXTJOIN(CHAR(10),TRUE,FILTER('SUMMARY DATA'!E:E,'SUMMARY DATA'!$A:$A=$A440,'SUMMARY DATA'!$C:$C=$B440,'SUMMARY DATA'!$B:$B=""GRP"")),
  IF(
    OR(
      ISNUMBER(SEARCH(""CDM CASH DEPOSIT"",$C440)),
      ISNUMBER(SEARCH(""CASH DEPOSIT"",$C44"&amp;"0)),
      COUNTIFS('SUMMARY DATA'!$D:$D,$C440,'SUMMARY DATA'!$B:$B,""GRP"")&lt;&gt;1
    ),
    """",
    IFERROR(TEXTJOIN(CHAR(10),TRUE,FILTER('SUMMARY DATA'!E:E,'SUMMARY DATA'!$D:$D=$C440,'SUMMARY DATA'!$B:$B=""GRP"")),"""")
  )
)"),"")</f>
      </c>
      <c r="F1339" s="17" t="str">
        <f>IFERROR(__xludf.DUMMYFUNCTION("IFERROR(
  TEXTJOIN(CHAR(10),TRUE,FILTER('SUMMARY DATA'!F:F,'SUMMARY DATA'!$A:$A=$A440,'SUMMARY DATA'!$C:$C=$B440,'SUMMARY DATA'!$B:$B=""GRP"")),
  IF(
    OR(
      ISNUMBER(SEARCH(""CDM CASH DEPOSIT"",$C440)),
      ISNUMBER(SEARCH(""CASH DEPOSIT"",$C44"&amp;"0)),
      COUNTIFS('SUMMARY DATA'!$D:$D,$C440,'SUMMARY DATA'!$B:$B,""GRP"")&lt;&gt;1
    ),
    """",
    IFERROR(TEXTJOIN(CHAR(10),TRUE,FILTER('SUMMARY DATA'!F:F,'SUMMARY DATA'!$D:$D=$C440,'SUMMARY DATA'!$B:$B=""GRP"")),"""")
  )
)"),"")</f>
      </c>
    </row>
    <row r="1340" spans="1:6" customHeight="true">
      <c r="A1340" s="2"/>
      <c r="B1340" s="15">
        <v>45865</v>
      </c>
      <c r="C1340" s="2" t="s">
        <v>1908</v>
      </c>
      <c r="D1340" s="6">
        <v>22.97</v>
      </c>
      <c r="E1340" s="16" t="str">
        <f>IFERROR(__xludf.DUMMYFUNCTION("IFERROR(
  TEXTJOIN(CHAR(10),TRUE,FILTER('SUMMARY DATA'!E:E,'SUMMARY DATA'!$A:$A=$A441,'SUMMARY DATA'!$C:$C=$B441,'SUMMARY DATA'!$B:$B=""GRP"")),
  IF(
    OR(
      ISNUMBER(SEARCH(""CDM CASH DEPOSIT"",$C441)),
      ISNUMBER(SEARCH(""CASH DEPOSIT"",$C44"&amp;"1)),
      COUNTIFS('SUMMARY DATA'!$D:$D,$C441,'SUMMARY DATA'!$B:$B,""GRP"")&lt;&gt;1
    ),
    """",
    IFERROR(TEXTJOIN(CHAR(10),TRUE,FILTER('SUMMARY DATA'!E:E,'SUMMARY DATA'!$D:$D=$C441,'SUMMARY DATA'!$B:$B=""GRP"")),"""")
  )
)"),"")</f>
      </c>
      <c r="F1340" s="17" t="str">
        <f>IFERROR(__xludf.DUMMYFUNCTION("IFERROR(
  TEXTJOIN(CHAR(10),TRUE,FILTER('SUMMARY DATA'!F:F,'SUMMARY DATA'!$A:$A=$A441,'SUMMARY DATA'!$C:$C=$B441,'SUMMARY DATA'!$B:$B=""GRP"")),
  IF(
    OR(
      ISNUMBER(SEARCH(""CDM CASH DEPOSIT"",$C441)),
      ISNUMBER(SEARCH(""CASH DEPOSIT"",$C44"&amp;"1)),
      COUNTIFS('SUMMARY DATA'!$D:$D,$C441,'SUMMARY DATA'!$B:$B,""GRP"")&lt;&gt;1
    ),
    """",
    IFERROR(TEXTJOIN(CHAR(10),TRUE,FILTER('SUMMARY DATA'!F:F,'SUMMARY DATA'!$D:$D=$C441,'SUMMARY DATA'!$B:$B=""GRP"")),"""")
  )
)"),"")</f>
      </c>
    </row>
    <row r="1341" spans="1:6" customHeight="true">
      <c r="A1341" s="2"/>
      <c r="B1341" s="15">
        <v>45865</v>
      </c>
      <c r="C1341" s="2" t="s">
        <v>1909</v>
      </c>
      <c r="D1341" s="6">
        <v>113.97</v>
      </c>
      <c r="E1341" s="16" t="str">
        <f>IFERROR(__xludf.DUMMYFUNCTION("IFERROR(
  TEXTJOIN(CHAR(10),TRUE,FILTER('SUMMARY DATA'!E:E,'SUMMARY DATA'!$A:$A=$A442,'SUMMARY DATA'!$C:$C=$B442,'SUMMARY DATA'!$B:$B=""GRP"")),
  IF(
    OR(
      ISNUMBER(SEARCH(""CDM CASH DEPOSIT"",$C442)),
      ISNUMBER(SEARCH(""CASH DEPOSIT"",$C44"&amp;"2)),
      COUNTIFS('SUMMARY DATA'!$D:$D,$C442,'SUMMARY DATA'!$B:$B,""GRP"")&lt;&gt;1
    ),
    """",
    IFERROR(TEXTJOIN(CHAR(10),TRUE,FILTER('SUMMARY DATA'!E:E,'SUMMARY DATA'!$D:$D=$C442,'SUMMARY DATA'!$B:$B=""GRP"")),"""")
  )
)"),"")</f>
      </c>
      <c r="F1341" s="17" t="str">
        <f>IFERROR(__xludf.DUMMYFUNCTION("IFERROR(
  TEXTJOIN(CHAR(10),TRUE,FILTER('SUMMARY DATA'!F:F,'SUMMARY DATA'!$A:$A=$A442,'SUMMARY DATA'!$C:$C=$B442,'SUMMARY DATA'!$B:$B=""GRP"")),
  IF(
    OR(
      ISNUMBER(SEARCH(""CDM CASH DEPOSIT"",$C442)),
      ISNUMBER(SEARCH(""CASH DEPOSIT"",$C44"&amp;"2)),
      COUNTIFS('SUMMARY DATA'!$D:$D,$C442,'SUMMARY DATA'!$B:$B,""GRP"")&lt;&gt;1
    ),
    """",
    IFERROR(TEXTJOIN(CHAR(10),TRUE,FILTER('SUMMARY DATA'!F:F,'SUMMARY DATA'!$D:$D=$C442,'SUMMARY DATA'!$B:$B=""GRP"")),"""")
  )
)"),"")</f>
      </c>
    </row>
    <row r="1342" spans="1:6" customHeight="true">
      <c r="A1342" s="2"/>
      <c r="B1342" s="15">
        <v>45865</v>
      </c>
      <c r="C1342" s="2" t="s">
        <v>1910</v>
      </c>
      <c r="D1342" s="6">
        <v>12.25</v>
      </c>
      <c r="E1342" s="16" t="str">
        <f>IFERROR(__xludf.DUMMYFUNCTION("IFERROR(
  TEXTJOIN(CHAR(10),TRUE,FILTER('SUMMARY DATA'!E:E,'SUMMARY DATA'!$A:$A=$A443,'SUMMARY DATA'!$C:$C=$B443,'SUMMARY DATA'!$B:$B=""GRP"")),
  IF(
    OR(
      ISNUMBER(SEARCH(""CDM CASH DEPOSIT"",$C443)),
      ISNUMBER(SEARCH(""CASH DEPOSIT"",$C44"&amp;"3)),
      COUNTIFS('SUMMARY DATA'!$D:$D,$C443,'SUMMARY DATA'!$B:$B,""GRP"")&lt;&gt;1
    ),
    """",
    IFERROR(TEXTJOIN(CHAR(10),TRUE,FILTER('SUMMARY DATA'!E:E,'SUMMARY DATA'!$D:$D=$C443,'SUMMARY DATA'!$B:$B=""GRP"")),"""")
  )
)"),"")</f>
      </c>
      <c r="F1342" s="17" t="str">
        <f>IFERROR(__xludf.DUMMYFUNCTION("IFERROR(
  TEXTJOIN(CHAR(10),TRUE,FILTER('SUMMARY DATA'!F:F,'SUMMARY DATA'!$A:$A=$A443,'SUMMARY DATA'!$C:$C=$B443,'SUMMARY DATA'!$B:$B=""GRP"")),
  IF(
    OR(
      ISNUMBER(SEARCH(""CDM CASH DEPOSIT"",$C443)),
      ISNUMBER(SEARCH(""CASH DEPOSIT"",$C44"&amp;"3)),
      COUNTIFS('SUMMARY DATA'!$D:$D,$C443,'SUMMARY DATA'!$B:$B,""GRP"")&lt;&gt;1
    ),
    """",
    IFERROR(TEXTJOIN(CHAR(10),TRUE,FILTER('SUMMARY DATA'!F:F,'SUMMARY DATA'!$D:$D=$C443,'SUMMARY DATA'!$B:$B=""GRP"")),"""")
  )
)"),"")</f>
      </c>
    </row>
    <row r="1343" spans="1:6" customHeight="true">
      <c r="A1343" s="2" t="s">
        <v>1911</v>
      </c>
      <c r="B1343" s="15">
        <v>45865</v>
      </c>
      <c r="C1343" s="2" t="s">
        <v>1912</v>
      </c>
      <c r="D1343" s="6">
        <v>59.99</v>
      </c>
      <c r="E1343" s="16" t="str">
        <f>IFERROR(__xludf.DUMMYFUNCTION("IFERROR(
  TEXTJOIN(CHAR(10),TRUE,FILTER('SUMMARY DATA'!E:E,'SUMMARY DATA'!$A:$A=$A444,'SUMMARY DATA'!$C:$C=$B444,'SUMMARY DATA'!$B:$B=""GRP"")),
  IF(
    OR(
      ISNUMBER(SEARCH(""CDM CASH DEPOSIT"",$C444)),
      ISNUMBER(SEARCH(""CASH DEPOSIT"",$C44"&amp;"4)),
      COUNTIFS('SUMMARY DATA'!$D:$D,$C444,'SUMMARY DATA'!$B:$B,""GRP"")&lt;&gt;1
    ),
    """",
    IFERROR(TEXTJOIN(CHAR(10),TRUE,FILTER('SUMMARY DATA'!E:E,'SUMMARY DATA'!$D:$D=$C444,'SUMMARY DATA'!$B:$B=""GRP"")),"""")
  )
)"),"")</f>
      </c>
      <c r="F1343" s="17" t="str">
        <f>IFERROR(__xludf.DUMMYFUNCTION("IFERROR(
  TEXTJOIN(CHAR(10),TRUE,FILTER('SUMMARY DATA'!F:F,'SUMMARY DATA'!$A:$A=$A444,'SUMMARY DATA'!$C:$C=$B444,'SUMMARY DATA'!$B:$B=""GRP"")),
  IF(
    OR(
      ISNUMBER(SEARCH(""CDM CASH DEPOSIT"",$C444)),
      ISNUMBER(SEARCH(""CASH DEPOSIT"",$C44"&amp;"4)),
      COUNTIFS('SUMMARY DATA'!$D:$D,$C444,'SUMMARY DATA'!$B:$B,""GRP"")&lt;&gt;1
    ),
    """",
    IFERROR(TEXTJOIN(CHAR(10),TRUE,FILTER('SUMMARY DATA'!F:F,'SUMMARY DATA'!$D:$D=$C444,'SUMMARY DATA'!$B:$B=""GRP"")),"""")
  )
)"),"")</f>
      </c>
    </row>
    <row r="1344" spans="1:6" customHeight="true">
      <c r="A1344" s="2" t="s">
        <v>1913</v>
      </c>
      <c r="B1344" s="15">
        <v>45865</v>
      </c>
      <c r="C1344" s="2" t="s">
        <v>1914</v>
      </c>
      <c r="D1344" s="6">
        <v>199.59</v>
      </c>
      <c r="E1344" s="16" t="str">
        <f>IFERROR(__xludf.DUMMYFUNCTION("IFERROR(
  TEXTJOIN(CHAR(10),TRUE,FILTER('SUMMARY DATA'!E:E,'SUMMARY DATA'!$A:$A=$A445,'SUMMARY DATA'!$C:$C=$B445,'SUMMARY DATA'!$B:$B=""GRP"")),
  IF(
    OR(
      ISNUMBER(SEARCH(""CDM CASH DEPOSIT"",$C445)),
      ISNUMBER(SEARCH(""CASH DEPOSIT"",$C44"&amp;"5)),
      COUNTIFS('SUMMARY DATA'!$D:$D,$C445,'SUMMARY DATA'!$B:$B,""GRP"")&lt;&gt;1
    ),
    """",
    IFERROR(TEXTJOIN(CHAR(10),TRUE,FILTER('SUMMARY DATA'!E:E,'SUMMARY DATA'!$D:$D=$C445,'SUMMARY DATA'!$B:$B=""GRP"")),"""")
  )
)"),"")</f>
      </c>
      <c r="F1344" s="17" t="str">
        <f>IFERROR(__xludf.DUMMYFUNCTION("IFERROR(
  TEXTJOIN(CHAR(10),TRUE,FILTER('SUMMARY DATA'!F:F,'SUMMARY DATA'!$A:$A=$A445,'SUMMARY DATA'!$C:$C=$B445,'SUMMARY DATA'!$B:$B=""GRP"")),
  IF(
    OR(
      ISNUMBER(SEARCH(""CDM CASH DEPOSIT"",$C445)),
      ISNUMBER(SEARCH(""CASH DEPOSIT"",$C44"&amp;"5)),
      COUNTIFS('SUMMARY DATA'!$D:$D,$C445,'SUMMARY DATA'!$B:$B,""GRP"")&lt;&gt;1
    ),
    """",
    IFERROR(TEXTJOIN(CHAR(10),TRUE,FILTER('SUMMARY DATA'!F:F,'SUMMARY DATA'!$D:$D=$C445,'SUMMARY DATA'!$B:$B=""GRP"")),"""")
  )
)"),"")</f>
      </c>
    </row>
    <row r="1345" spans="1:6" customHeight="true">
      <c r="A1345" s="2" t="s">
        <v>1293</v>
      </c>
      <c r="B1345" s="15">
        <v>45864</v>
      </c>
      <c r="C1345" s="2" t="s">
        <v>1294</v>
      </c>
      <c r="D1345" s="6">
        <v>40</v>
      </c>
      <c r="E1345" s="16" t="str">
        <f>IFERROR(__xludf.DUMMYFUNCTION("IFERROR(
  TEXTJOIN(CHAR(10),TRUE,FILTER('SUMMARY DATA'!E:E,'SUMMARY DATA'!$A:$A=$A446,'SUMMARY DATA'!$C:$C=$B446,'SUMMARY DATA'!$B:$B=""GRP"")),
  IF(
    OR(
      ISNUMBER(SEARCH(""CDM CASH DEPOSIT"",$C446)),
      ISNUMBER(SEARCH(""CASH DEPOSIT"",$C44"&amp;"6)),
      COUNTIFS('SUMMARY DATA'!$D:$D,$C446,'SUMMARY DATA'!$B:$B,""GRP"")&lt;&gt;1
    ),
    """",
    IFERROR(TEXTJOIN(CHAR(10),TRUE,FILTER('SUMMARY DATA'!E:E,'SUMMARY DATA'!$D:$D=$C446,'SUMMARY DATA'!$B:$B=""GRP"")),"""")
  )
)"),"")</f>
      </c>
      <c r="F1345" s="17" t="str">
        <f>IFERROR(__xludf.DUMMYFUNCTION("IFERROR(
  TEXTJOIN(CHAR(10),TRUE,FILTER('SUMMARY DATA'!F:F,'SUMMARY DATA'!$A:$A=$A446,'SUMMARY DATA'!$C:$C=$B446,'SUMMARY DATA'!$B:$B=""GRP"")),
  IF(
    OR(
      ISNUMBER(SEARCH(""CDM CASH DEPOSIT"",$C446)),
      ISNUMBER(SEARCH(""CASH DEPOSIT"",$C44"&amp;"6)),
      COUNTIFS('SUMMARY DATA'!$D:$D,$C446,'SUMMARY DATA'!$B:$B,""GRP"")&lt;&gt;1
    ),
    """",
    IFERROR(TEXTJOIN(CHAR(10),TRUE,FILTER('SUMMARY DATA'!F:F,'SUMMARY DATA'!$D:$D=$C446,'SUMMARY DATA'!$B:$B=""GRP"")),"""")
  )
)"),"")</f>
      </c>
    </row>
    <row r="1346" spans="1:6" customHeight="true">
      <c r="A1346" s="2"/>
      <c r="B1346" s="15">
        <v>45864</v>
      </c>
      <c r="C1346" s="2" t="s">
        <v>1915</v>
      </c>
      <c r="D1346" s="6">
        <v>129</v>
      </c>
      <c r="E1346" s="16" t="str">
        <f>IFERROR(__xludf.DUMMYFUNCTION("IFERROR(
  TEXTJOIN(CHAR(10),TRUE,FILTER('SUMMARY DATA'!E:E,'SUMMARY DATA'!$A:$A=$A447,'SUMMARY DATA'!$C:$C=$B447,'SUMMARY DATA'!$B:$B=""GRP"")),
  IF(
    OR(
      ISNUMBER(SEARCH(""CDM CASH DEPOSIT"",$C447)),
      ISNUMBER(SEARCH(""CASH DEPOSIT"",$C44"&amp;"7)),
      COUNTIFS('SUMMARY DATA'!$D:$D,$C447,'SUMMARY DATA'!$B:$B,""GRP"")&lt;&gt;1
    ),
    """",
    IFERROR(TEXTJOIN(CHAR(10),TRUE,FILTER('SUMMARY DATA'!E:E,'SUMMARY DATA'!$D:$D=$C447,'SUMMARY DATA'!$B:$B=""GRP"")),"""")
  )
)"),"")</f>
      </c>
      <c r="F1346" s="17" t="str">
        <f>IFERROR(__xludf.DUMMYFUNCTION("IFERROR(
  TEXTJOIN(CHAR(10),TRUE,FILTER('SUMMARY DATA'!F:F,'SUMMARY DATA'!$A:$A=$A447,'SUMMARY DATA'!$C:$C=$B447,'SUMMARY DATA'!$B:$B=""GRP"")),
  IF(
    OR(
      ISNUMBER(SEARCH(""CDM CASH DEPOSIT"",$C447)),
      ISNUMBER(SEARCH(""CASH DEPOSIT"",$C44"&amp;"7)),
      COUNTIFS('SUMMARY DATA'!$D:$D,$C447,'SUMMARY DATA'!$B:$B,""GRP"")&lt;&gt;1
    ),
    """",
    IFERROR(TEXTJOIN(CHAR(10),TRUE,FILTER('SUMMARY DATA'!F:F,'SUMMARY DATA'!$D:$D=$C447,'SUMMARY DATA'!$B:$B=""GRP"")),"""")
  )
)"),"")</f>
      </c>
    </row>
    <row r="1347" spans="1:6" customHeight="true">
      <c r="A1347" s="2" t="s">
        <v>1916</v>
      </c>
      <c r="B1347" s="15">
        <v>45864</v>
      </c>
      <c r="C1347" s="2" t="s">
        <v>1917</v>
      </c>
      <c r="D1347" s="6">
        <v>40</v>
      </c>
      <c r="E1347" s="16" t="str">
        <f>IFERROR(__xludf.DUMMYFUNCTION("IFERROR(
  TEXTJOIN(CHAR(10),TRUE,FILTER('SUMMARY DATA'!E:E,'SUMMARY DATA'!$A:$A=$A448,'SUMMARY DATA'!$C:$C=$B448,'SUMMARY DATA'!$B:$B=""GRP"")),
  IF(
    OR(
      ISNUMBER(SEARCH(""CDM CASH DEPOSIT"",$C448)),
      ISNUMBER(SEARCH(""CASH DEPOSIT"",$C44"&amp;"8)),
      COUNTIFS('SUMMARY DATA'!$D:$D,$C448,'SUMMARY DATA'!$B:$B,""GRP"")&lt;&gt;1
    ),
    """",
    IFERROR(TEXTJOIN(CHAR(10),TRUE,FILTER('SUMMARY DATA'!E:E,'SUMMARY DATA'!$D:$D=$C448,'SUMMARY DATA'!$B:$B=""GRP"")),"""")
  )
)"),"")</f>
      </c>
      <c r="F1347" s="17" t="str">
        <f>IFERROR(__xludf.DUMMYFUNCTION("IFERROR(
  TEXTJOIN(CHAR(10),TRUE,FILTER('SUMMARY DATA'!F:F,'SUMMARY DATA'!$A:$A=$A448,'SUMMARY DATA'!$C:$C=$B448,'SUMMARY DATA'!$B:$B=""GRP"")),
  IF(
    OR(
      ISNUMBER(SEARCH(""CDM CASH DEPOSIT"",$C448)),
      ISNUMBER(SEARCH(""CASH DEPOSIT"",$C44"&amp;"8)),
      COUNTIFS('SUMMARY DATA'!$D:$D,$C448,'SUMMARY DATA'!$B:$B,""GRP"")&lt;&gt;1
    ),
    """",
    IFERROR(TEXTJOIN(CHAR(10),TRUE,FILTER('SUMMARY DATA'!F:F,'SUMMARY DATA'!$D:$D=$C448,'SUMMARY DATA'!$B:$B=""GRP"")),"""")
  )
)"),"")</f>
      </c>
    </row>
    <row r="1348" spans="1:6" customHeight="true">
      <c r="A1348" s="2"/>
      <c r="B1348" s="15">
        <v>45864</v>
      </c>
      <c r="C1348" s="2" t="s">
        <v>1918</v>
      </c>
      <c r="D1348" s="6">
        <v>678.17</v>
      </c>
      <c r="E1348" s="16" t="str">
        <f>IFERROR(__xludf.DUMMYFUNCTION("IFERROR(
  TEXTJOIN(CHAR(10),TRUE,FILTER('SUMMARY DATA'!E:E,'SUMMARY DATA'!$A:$A=$A449,'SUMMARY DATA'!$C:$C=$B449,'SUMMARY DATA'!$B:$B=""GRP"")),
  IF(
    OR(
      ISNUMBER(SEARCH(""CDM CASH DEPOSIT"",$C449)),
      ISNUMBER(SEARCH(""CASH DEPOSIT"",$C44"&amp;"9)),
      COUNTIFS('SUMMARY DATA'!$D:$D,$C449,'SUMMARY DATA'!$B:$B,""GRP"")&lt;&gt;1
    ),
    """",
    IFERROR(TEXTJOIN(CHAR(10),TRUE,FILTER('SUMMARY DATA'!E:E,'SUMMARY DATA'!$D:$D=$C449,'SUMMARY DATA'!$B:$B=""GRP"")),"""")
  )
)"),"")</f>
      </c>
      <c r="F1348" s="17" t="str">
        <f>IFERROR(__xludf.DUMMYFUNCTION("IFERROR(
  TEXTJOIN(CHAR(10),TRUE,FILTER('SUMMARY DATA'!F:F,'SUMMARY DATA'!$A:$A=$A449,'SUMMARY DATA'!$C:$C=$B449,'SUMMARY DATA'!$B:$B=""GRP"")),
  IF(
    OR(
      ISNUMBER(SEARCH(""CDM CASH DEPOSIT"",$C449)),
      ISNUMBER(SEARCH(""CASH DEPOSIT"",$C44"&amp;"9)),
      COUNTIFS('SUMMARY DATA'!$D:$D,$C449,'SUMMARY DATA'!$B:$B,""GRP"")&lt;&gt;1
    ),
    """",
    IFERROR(TEXTJOIN(CHAR(10),TRUE,FILTER('SUMMARY DATA'!F:F,'SUMMARY DATA'!$D:$D=$C449,'SUMMARY DATA'!$B:$B=""GRP"")),"""")
  )
)"),"")</f>
      </c>
    </row>
    <row r="1349" spans="1:6" customHeight="true">
      <c r="A1349" s="2" t="s">
        <v>1919</v>
      </c>
      <c r="B1349" s="15">
        <v>45864</v>
      </c>
      <c r="C1349" s="2" t="s">
        <v>1920</v>
      </c>
      <c r="D1349" s="6">
        <v>383</v>
      </c>
      <c r="E1349" s="16" t="str">
        <f>IFERROR(__xludf.DUMMYFUNCTION("IFERROR(
  TEXTJOIN(CHAR(10),TRUE,FILTER('SUMMARY DATA'!E:E,'SUMMARY DATA'!$A:$A=$A450,'SUMMARY DATA'!$C:$C=$B450,'SUMMARY DATA'!$B:$B=""GRP"")),
  IF(
    OR(
      ISNUMBER(SEARCH(""CDM CASH DEPOSIT"",$C450)),
      ISNUMBER(SEARCH(""CASH DEPOSIT"",$C45"&amp;"0)),
      COUNTIFS('SUMMARY DATA'!$D:$D,$C450,'SUMMARY DATA'!$B:$B,""GRP"")&lt;&gt;1
    ),
    """",
    IFERROR(TEXTJOIN(CHAR(10),TRUE,FILTER('SUMMARY DATA'!E:E,'SUMMARY DATA'!$D:$D=$C450,'SUMMARY DATA'!$B:$B=""GRP"")),"""")
  )
)"),"")</f>
      </c>
      <c r="F1349" s="17" t="str">
        <f>IFERROR(__xludf.DUMMYFUNCTION("IFERROR(
  TEXTJOIN(CHAR(10),TRUE,FILTER('SUMMARY DATA'!F:F,'SUMMARY DATA'!$A:$A=$A450,'SUMMARY DATA'!$C:$C=$B450,'SUMMARY DATA'!$B:$B=""GRP"")),
  IF(
    OR(
      ISNUMBER(SEARCH(""CDM CASH DEPOSIT"",$C450)),
      ISNUMBER(SEARCH(""CASH DEPOSIT"",$C45"&amp;"0)),
      COUNTIFS('SUMMARY DATA'!$D:$D,$C450,'SUMMARY DATA'!$B:$B,""GRP"")&lt;&gt;1
    ),
    """",
    IFERROR(TEXTJOIN(CHAR(10),TRUE,FILTER('SUMMARY DATA'!F:F,'SUMMARY DATA'!$D:$D=$C450,'SUMMARY DATA'!$B:$B=""GRP"")),"""")
  )
)"),"")</f>
      </c>
    </row>
    <row r="1350" spans="1:6" customHeight="true">
      <c r="A1350" s="2" t="s">
        <v>1921</v>
      </c>
      <c r="B1350" s="15">
        <v>45864</v>
      </c>
      <c r="C1350" s="2" t="s">
        <v>1922</v>
      </c>
      <c r="D1350" s="6">
        <v>27.99</v>
      </c>
      <c r="E1350" s="16" t="str">
        <f>IFERROR(__xludf.DUMMYFUNCTION("IFERROR(
  TEXTJOIN(CHAR(10),TRUE,FILTER('SUMMARY DATA'!E:E,'SUMMARY DATA'!$A:$A=$A451,'SUMMARY DATA'!$C:$C=$B451,'SUMMARY DATA'!$B:$B=""GRP"")),
  IF(
    OR(
      ISNUMBER(SEARCH(""CDM CASH DEPOSIT"",$C451)),
      ISNUMBER(SEARCH(""CASH DEPOSIT"",$C45"&amp;"1)),
      COUNTIFS('SUMMARY DATA'!$D:$D,$C451,'SUMMARY DATA'!$B:$B,""GRP"")&lt;&gt;1
    ),
    """",
    IFERROR(TEXTJOIN(CHAR(10),TRUE,FILTER('SUMMARY DATA'!E:E,'SUMMARY DATA'!$D:$D=$C451,'SUMMARY DATA'!$B:$B=""GRP"")),"""")
  )
)"),"")</f>
      </c>
      <c r="F1350" s="17" t="str">
        <f>IFERROR(__xludf.DUMMYFUNCTION("IFERROR(
  TEXTJOIN(CHAR(10),TRUE,FILTER('SUMMARY DATA'!F:F,'SUMMARY DATA'!$A:$A=$A451,'SUMMARY DATA'!$C:$C=$B451,'SUMMARY DATA'!$B:$B=""GRP"")),
  IF(
    OR(
      ISNUMBER(SEARCH(""CDM CASH DEPOSIT"",$C451)),
      ISNUMBER(SEARCH(""CASH DEPOSIT"",$C45"&amp;"1)),
      COUNTIFS('SUMMARY DATA'!$D:$D,$C451,'SUMMARY DATA'!$B:$B,""GRP"")&lt;&gt;1
    ),
    """",
    IFERROR(TEXTJOIN(CHAR(10),TRUE,FILTER('SUMMARY DATA'!F:F,'SUMMARY DATA'!$D:$D=$C451,'SUMMARY DATA'!$B:$B=""GRP"")),"""")
  )
)"),"")</f>
      </c>
    </row>
    <row r="1351" spans="1:6" customHeight="true">
      <c r="A1351" s="2"/>
      <c r="B1351" s="15">
        <v>45864</v>
      </c>
      <c r="C1351" s="2" t="s">
        <v>1239</v>
      </c>
      <c r="D1351" s="6">
        <v>47</v>
      </c>
      <c r="E1351" s="16" t="str">
        <f>IFERROR(__xludf.DUMMYFUNCTION("IFERROR(
  TEXTJOIN(CHAR(10),TRUE,FILTER('SUMMARY DATA'!E:E,'SUMMARY DATA'!$A:$A=$A452,'SUMMARY DATA'!$C:$C=$B452,'SUMMARY DATA'!$B:$B=""GRP"")),
  IF(
    OR(
      ISNUMBER(SEARCH(""CDM CASH DEPOSIT"",$C452)),
      ISNUMBER(SEARCH(""CASH DEPOSIT"",$C45"&amp;"2)),
      COUNTIFS('SUMMARY DATA'!$D:$D,$C452,'SUMMARY DATA'!$B:$B,""GRP"")&lt;&gt;1
    ),
    """",
    IFERROR(TEXTJOIN(CHAR(10),TRUE,FILTER('SUMMARY DATA'!E:E,'SUMMARY DATA'!$D:$D=$C452,'SUMMARY DATA'!$B:$B=""GRP"")),"""")
  )
)"),"")</f>
      </c>
      <c r="F1351" s="17" t="str">
        <f>IFERROR(__xludf.DUMMYFUNCTION("IFERROR(
  TEXTJOIN(CHAR(10),TRUE,FILTER('SUMMARY DATA'!F:F,'SUMMARY DATA'!$A:$A=$A452,'SUMMARY DATA'!$C:$C=$B452,'SUMMARY DATA'!$B:$B=""GRP"")),
  IF(
    OR(
      ISNUMBER(SEARCH(""CDM CASH DEPOSIT"",$C452)),
      ISNUMBER(SEARCH(""CASH DEPOSIT"",$C45"&amp;"2)),
      COUNTIFS('SUMMARY DATA'!$D:$D,$C452,'SUMMARY DATA'!$B:$B,""GRP"")&lt;&gt;1
    ),
    """",
    IFERROR(TEXTJOIN(CHAR(10),TRUE,FILTER('SUMMARY DATA'!F:F,'SUMMARY DATA'!$D:$D=$C452,'SUMMARY DATA'!$B:$B=""GRP"")),"""")
  )
)"),"")</f>
      </c>
    </row>
    <row r="1352" spans="1:6" customHeight="true">
      <c r="A1352" s="2"/>
      <c r="B1352" s="15">
        <v>45864</v>
      </c>
      <c r="C1352" s="2" t="s">
        <v>1923</v>
      </c>
      <c r="D1352" s="6">
        <v>49.99</v>
      </c>
      <c r="E1352" s="16" t="str">
        <f>IFERROR(__xludf.DUMMYFUNCTION("IFERROR(
  TEXTJOIN(CHAR(10),TRUE,FILTER('SUMMARY DATA'!E:E,'SUMMARY DATA'!$A:$A=$A453,'SUMMARY DATA'!$C:$C=$B453,'SUMMARY DATA'!$B:$B=""GRP"")),
  IF(
    OR(
      ISNUMBER(SEARCH(""CDM CASH DEPOSIT"",$C453)),
      ISNUMBER(SEARCH(""CASH DEPOSIT"",$C45"&amp;"3)),
      COUNTIFS('SUMMARY DATA'!$D:$D,$C453,'SUMMARY DATA'!$B:$B,""GRP"")&lt;&gt;1
    ),
    """",
    IFERROR(TEXTJOIN(CHAR(10),TRUE,FILTER('SUMMARY DATA'!E:E,'SUMMARY DATA'!$D:$D=$C453,'SUMMARY DATA'!$B:$B=""GRP"")),"""")
  )
)"),"")</f>
      </c>
      <c r="F1352" s="17" t="str">
        <f>IFERROR(__xludf.DUMMYFUNCTION("IFERROR(
  TEXTJOIN(CHAR(10),TRUE,FILTER('SUMMARY DATA'!F:F,'SUMMARY DATA'!$A:$A=$A453,'SUMMARY DATA'!$C:$C=$B453,'SUMMARY DATA'!$B:$B=""GRP"")),
  IF(
    OR(
      ISNUMBER(SEARCH(""CDM CASH DEPOSIT"",$C453)),
      ISNUMBER(SEARCH(""CASH DEPOSIT"",$C45"&amp;"3)),
      COUNTIFS('SUMMARY DATA'!$D:$D,$C453,'SUMMARY DATA'!$B:$B,""GRP"")&lt;&gt;1
    ),
    """",
    IFERROR(TEXTJOIN(CHAR(10),TRUE,FILTER('SUMMARY DATA'!F:F,'SUMMARY DATA'!$D:$D=$C453,'SUMMARY DATA'!$B:$B=""GRP"")),"""")
  )
)"),"")</f>
      </c>
    </row>
    <row r="1353" spans="1:6" customHeight="true">
      <c r="A1353" s="2" t="s">
        <v>1924</v>
      </c>
      <c r="B1353" s="15">
        <v>45864</v>
      </c>
      <c r="C1353" s="2" t="s">
        <v>48</v>
      </c>
      <c r="D1353" s="6">
        <v>40</v>
      </c>
      <c r="E1353" s="16" t="str">
        <f>IFERROR(__xludf.DUMMYFUNCTION("IFERROR(
  TEXTJOIN(CHAR(10),TRUE,FILTER('SUMMARY DATA'!E:E,'SUMMARY DATA'!$A:$A=$A454,'SUMMARY DATA'!$C:$C=$B454,'SUMMARY DATA'!$B:$B=""GRP"")),
  IF(
    OR(
      ISNUMBER(SEARCH(""CDM CASH DEPOSIT"",$C454)),
      ISNUMBER(SEARCH(""CASH DEPOSIT"",$C45"&amp;"4)),
      COUNTIFS('SUMMARY DATA'!$D:$D,$C454,'SUMMARY DATA'!$B:$B,""GRP"")&lt;&gt;1
    ),
    """",
    IFERROR(TEXTJOIN(CHAR(10),TRUE,FILTER('SUMMARY DATA'!E:E,'SUMMARY DATA'!$D:$D=$C454,'SUMMARY DATA'!$B:$B=""GRP"")),"""")
  )
)"),"")</f>
      </c>
      <c r="F1353" s="17" t="str">
        <f>IFERROR(__xludf.DUMMYFUNCTION("IFERROR(
  TEXTJOIN(CHAR(10),TRUE,FILTER('SUMMARY DATA'!F:F,'SUMMARY DATA'!$A:$A=$A454,'SUMMARY DATA'!$C:$C=$B454,'SUMMARY DATA'!$B:$B=""GRP"")),
  IF(
    OR(
      ISNUMBER(SEARCH(""CDM CASH DEPOSIT"",$C454)),
      ISNUMBER(SEARCH(""CASH DEPOSIT"",$C45"&amp;"4)),
      COUNTIFS('SUMMARY DATA'!$D:$D,$C454,'SUMMARY DATA'!$B:$B,""GRP"")&lt;&gt;1
    ),
    """",
    IFERROR(TEXTJOIN(CHAR(10),TRUE,FILTER('SUMMARY DATA'!F:F,'SUMMARY DATA'!$D:$D=$C454,'SUMMARY DATA'!$B:$B=""GRP"")),"""")
  )
)"),"")</f>
      </c>
    </row>
    <row r="1354" spans="1:6" customHeight="true">
      <c r="A1354" s="2" t="s">
        <v>1925</v>
      </c>
      <c r="B1354" s="15">
        <v>45863</v>
      </c>
      <c r="C1354" s="2" t="s">
        <v>566</v>
      </c>
      <c r="D1354" s="6">
        <v>9.13</v>
      </c>
      <c r="E1354" s="16" t="str">
        <f>IFERROR(__xludf.DUMMYFUNCTION("IFERROR(
  TEXTJOIN(CHAR(10),TRUE,FILTER('SUMMARY DATA'!E:E,'SUMMARY DATA'!$A:$A=$A455,'SUMMARY DATA'!$C:$C=$B455,'SUMMARY DATA'!$B:$B=""GRP"")),
  IF(
    OR(
      ISNUMBER(SEARCH(""CDM CASH DEPOSIT"",$C455)),
      ISNUMBER(SEARCH(""CASH DEPOSIT"",$C45"&amp;"5)),
      COUNTIFS('SUMMARY DATA'!$D:$D,$C455,'SUMMARY DATA'!$B:$B,""GRP"")&lt;&gt;1
    ),
    """",
    IFERROR(TEXTJOIN(CHAR(10),TRUE,FILTER('SUMMARY DATA'!E:E,'SUMMARY DATA'!$D:$D=$C455,'SUMMARY DATA'!$B:$B=""GRP"")),"""")
  )
)"),"")</f>
      </c>
      <c r="F1354" s="17" t="str">
        <f>IFERROR(__xludf.DUMMYFUNCTION("IFERROR(
  TEXTJOIN(CHAR(10),TRUE,FILTER('SUMMARY DATA'!F:F,'SUMMARY DATA'!$A:$A=$A455,'SUMMARY DATA'!$C:$C=$B455,'SUMMARY DATA'!$B:$B=""GRP"")),
  IF(
    OR(
      ISNUMBER(SEARCH(""CDM CASH DEPOSIT"",$C455)),
      ISNUMBER(SEARCH(""CASH DEPOSIT"",$C45"&amp;"5)),
      COUNTIFS('SUMMARY DATA'!$D:$D,$C455,'SUMMARY DATA'!$B:$B,""GRP"")&lt;&gt;1
    ),
    """",
    IFERROR(TEXTJOIN(CHAR(10),TRUE,FILTER('SUMMARY DATA'!F:F,'SUMMARY DATA'!$D:$D=$C455,'SUMMARY DATA'!$B:$B=""GRP"")),"""")
  )
)"),"")</f>
      </c>
    </row>
    <row r="1355" spans="1:6" customHeight="true">
      <c r="A1355" s="2"/>
      <c r="B1355" s="15">
        <v>45863</v>
      </c>
      <c r="C1355" s="2" t="s">
        <v>1926</v>
      </c>
      <c r="D1355" s="6">
        <v>59.98</v>
      </c>
      <c r="E1355" s="16" t="str">
        <f>IFERROR(__xludf.DUMMYFUNCTION("IFERROR(
  TEXTJOIN(CHAR(10),TRUE,FILTER('SUMMARY DATA'!E:E,'SUMMARY DATA'!$A:$A=$A456,'SUMMARY DATA'!$C:$C=$B456,'SUMMARY DATA'!$B:$B=""GRP"")),
  IF(
    OR(
      ISNUMBER(SEARCH(""CDM CASH DEPOSIT"",$C456)),
      ISNUMBER(SEARCH(""CASH DEPOSIT"",$C45"&amp;"6)),
      COUNTIFS('SUMMARY DATA'!$D:$D,$C456,'SUMMARY DATA'!$B:$B,""GRP"")&lt;&gt;1
    ),
    """",
    IFERROR(TEXTJOIN(CHAR(10),TRUE,FILTER('SUMMARY DATA'!E:E,'SUMMARY DATA'!$D:$D=$C456,'SUMMARY DATA'!$B:$B=""GRP"")),"""")
  )
)"),"")</f>
      </c>
      <c r="F1355" s="17" t="str">
        <f>IFERROR(__xludf.DUMMYFUNCTION("IFERROR(
  TEXTJOIN(CHAR(10),TRUE,FILTER('SUMMARY DATA'!F:F,'SUMMARY DATA'!$A:$A=$A456,'SUMMARY DATA'!$C:$C=$B456,'SUMMARY DATA'!$B:$B=""GRP"")),
  IF(
    OR(
      ISNUMBER(SEARCH(""CDM CASH DEPOSIT"",$C456)),
      ISNUMBER(SEARCH(""CASH DEPOSIT"",$C45"&amp;"6)),
      COUNTIFS('SUMMARY DATA'!$D:$D,$C456,'SUMMARY DATA'!$B:$B,""GRP"")&lt;&gt;1
    ),
    """",
    IFERROR(TEXTJOIN(CHAR(10),TRUE,FILTER('SUMMARY DATA'!F:F,'SUMMARY DATA'!$D:$D=$C456,'SUMMARY DATA'!$B:$B=""GRP"")),"""")
  )
)"),"")</f>
      </c>
    </row>
    <row r="1356" spans="1:6" customHeight="true">
      <c r="A1356" s="2" t="s">
        <v>1927</v>
      </c>
      <c r="B1356" s="15">
        <v>45863</v>
      </c>
      <c r="C1356" s="2" t="s">
        <v>1928</v>
      </c>
      <c r="D1356" s="6">
        <v>127.38</v>
      </c>
      <c r="E1356" s="16" t="str">
        <f>IFERROR(__xludf.DUMMYFUNCTION("IFERROR(
  TEXTJOIN(CHAR(10),TRUE,FILTER('SUMMARY DATA'!E:E,'SUMMARY DATA'!$A:$A=$A457,'SUMMARY DATA'!$C:$C=$B457,'SUMMARY DATA'!$B:$B=""GRP"")),
  IF(
    OR(
      ISNUMBER(SEARCH(""CDM CASH DEPOSIT"",$C457)),
      ISNUMBER(SEARCH(""CASH DEPOSIT"",$C45"&amp;"7)),
      COUNTIFS('SUMMARY DATA'!$D:$D,$C457,'SUMMARY DATA'!$B:$B,""GRP"")&lt;&gt;1
    ),
    """",
    IFERROR(TEXTJOIN(CHAR(10),TRUE,FILTER('SUMMARY DATA'!E:E,'SUMMARY DATA'!$D:$D=$C457,'SUMMARY DATA'!$B:$B=""GRP"")),"""")
  )
)"),"")</f>
      </c>
      <c r="F1356" s="17" t="str">
        <f>IFERROR(__xludf.DUMMYFUNCTION("IFERROR(
  TEXTJOIN(CHAR(10),TRUE,FILTER('SUMMARY DATA'!F:F,'SUMMARY DATA'!$A:$A=$A457,'SUMMARY DATA'!$C:$C=$B457,'SUMMARY DATA'!$B:$B=""GRP"")),
  IF(
    OR(
      ISNUMBER(SEARCH(""CDM CASH DEPOSIT"",$C457)),
      ISNUMBER(SEARCH(""CASH DEPOSIT"",$C45"&amp;"7)),
      COUNTIFS('SUMMARY DATA'!$D:$D,$C457,'SUMMARY DATA'!$B:$B,""GRP"")&lt;&gt;1
    ),
    """",
    IFERROR(TEXTJOIN(CHAR(10),TRUE,FILTER('SUMMARY DATA'!F:F,'SUMMARY DATA'!$D:$D=$C457,'SUMMARY DATA'!$B:$B=""GRP"")),"""")
  )
)"),"")</f>
      </c>
    </row>
    <row r="1357" spans="1:6" customHeight="true">
      <c r="A1357" s="2"/>
      <c r="B1357" s="15">
        <v>45863</v>
      </c>
      <c r="C1357" s="2" t="s">
        <v>1929</v>
      </c>
      <c r="D1357" s="6">
        <v>6.99</v>
      </c>
      <c r="E1357" s="16" t="str">
        <f>IFERROR(__xludf.DUMMYFUNCTION("IFERROR(
  TEXTJOIN(CHAR(10),TRUE,FILTER('SUMMARY DATA'!E:E,'SUMMARY DATA'!$A:$A=$A458,'SUMMARY DATA'!$C:$C=$B458,'SUMMARY DATA'!$B:$B=""GRP"")),
  IF(
    OR(
      ISNUMBER(SEARCH(""CDM CASH DEPOSIT"",$C458)),
      ISNUMBER(SEARCH(""CASH DEPOSIT"",$C45"&amp;"8)),
      COUNTIFS('SUMMARY DATA'!$D:$D,$C458,'SUMMARY DATA'!$B:$B,""GRP"")&lt;&gt;1
    ),
    """",
    IFERROR(TEXTJOIN(CHAR(10),TRUE,FILTER('SUMMARY DATA'!E:E,'SUMMARY DATA'!$D:$D=$C458,'SUMMARY DATA'!$B:$B=""GRP"")),"""")
  )
)"),"")</f>
      </c>
      <c r="F1357" s="17" t="str">
        <f>IFERROR(__xludf.DUMMYFUNCTION("IFERROR(
  TEXTJOIN(CHAR(10),TRUE,FILTER('SUMMARY DATA'!F:F,'SUMMARY DATA'!$A:$A=$A458,'SUMMARY DATA'!$C:$C=$B458,'SUMMARY DATA'!$B:$B=""GRP"")),
  IF(
    OR(
      ISNUMBER(SEARCH(""CDM CASH DEPOSIT"",$C458)),
      ISNUMBER(SEARCH(""CASH DEPOSIT"",$C45"&amp;"8)),
      COUNTIFS('SUMMARY DATA'!$D:$D,$C458,'SUMMARY DATA'!$B:$B,""GRP"")&lt;&gt;1
    ),
    """",
    IFERROR(TEXTJOIN(CHAR(10),TRUE,FILTER('SUMMARY DATA'!F:F,'SUMMARY DATA'!$D:$D=$C458,'SUMMARY DATA'!$B:$B=""GRP"")),"""")
  )
)"),"")</f>
      </c>
    </row>
    <row r="1358" spans="1:6" customHeight="true">
      <c r="A1358" s="2" t="s">
        <v>1930</v>
      </c>
      <c r="B1358" s="15">
        <v>45863</v>
      </c>
      <c r="C1358" s="2" t="s">
        <v>1931</v>
      </c>
      <c r="D1358" s="6">
        <v>20</v>
      </c>
      <c r="E1358" s="16" t="str">
        <f>IFERROR(__xludf.DUMMYFUNCTION("IFERROR(
  TEXTJOIN(CHAR(10),TRUE,FILTER('SUMMARY DATA'!E:E,'SUMMARY DATA'!$A:$A=$A459,'SUMMARY DATA'!$C:$C=$B459,'SUMMARY DATA'!$B:$B=""GRP"")),
  IF(
    OR(
      ISNUMBER(SEARCH(""CDM CASH DEPOSIT"",$C459)),
      ISNUMBER(SEARCH(""CASH DEPOSIT"",$C45"&amp;"9)),
      COUNTIFS('SUMMARY DATA'!$D:$D,$C459,'SUMMARY DATA'!$B:$B,""GRP"")&lt;&gt;1
    ),
    """",
    IFERROR(TEXTJOIN(CHAR(10),TRUE,FILTER('SUMMARY DATA'!E:E,'SUMMARY DATA'!$D:$D=$C459,'SUMMARY DATA'!$B:$B=""GRP"")),"""")
  )
)"),"")</f>
      </c>
      <c r="F1358" s="17" t="str">
        <f>IFERROR(__xludf.DUMMYFUNCTION("IFERROR(
  TEXTJOIN(CHAR(10),TRUE,FILTER('SUMMARY DATA'!F:F,'SUMMARY DATA'!$A:$A=$A459,'SUMMARY DATA'!$C:$C=$B459,'SUMMARY DATA'!$B:$B=""GRP"")),
  IF(
    OR(
      ISNUMBER(SEARCH(""CDM CASH DEPOSIT"",$C459)),
      ISNUMBER(SEARCH(""CASH DEPOSIT"",$C45"&amp;"9)),
      COUNTIFS('SUMMARY DATA'!$D:$D,$C459,'SUMMARY DATA'!$B:$B,""GRP"")&lt;&gt;1
    ),
    """",
    IFERROR(TEXTJOIN(CHAR(10),TRUE,FILTER('SUMMARY DATA'!F:F,'SUMMARY DATA'!$D:$D=$C459,'SUMMARY DATA'!$B:$B=""GRP"")),"""")
  )
)"),"")</f>
      </c>
    </row>
    <row r="1359" spans="1:6" customHeight="true">
      <c r="A1359" s="2"/>
      <c r="B1359" s="15">
        <v>45863</v>
      </c>
      <c r="C1359" s="2" t="s">
        <v>1932</v>
      </c>
      <c r="D1359" s="6">
        <v>30.8</v>
      </c>
      <c r="E1359" s="16" t="str">
        <f>IFERROR(__xludf.DUMMYFUNCTION("IFERROR(
  TEXTJOIN(CHAR(10),TRUE,FILTER('SUMMARY DATA'!E:E,'SUMMARY DATA'!$A:$A=$A460,'SUMMARY DATA'!$C:$C=$B460,'SUMMARY DATA'!$B:$B=""GRP"")),
  IF(
    OR(
      ISNUMBER(SEARCH(""CDM CASH DEPOSIT"",$C460)),
      ISNUMBER(SEARCH(""CASH DEPOSIT"",$C46"&amp;"0)),
      COUNTIFS('SUMMARY DATA'!$D:$D,$C460,'SUMMARY DATA'!$B:$B,""GRP"")&lt;&gt;1
    ),
    """",
    IFERROR(TEXTJOIN(CHAR(10),TRUE,FILTER('SUMMARY DATA'!E:E,'SUMMARY DATA'!$D:$D=$C460,'SUMMARY DATA'!$B:$B=""GRP"")),"""")
  )
)"),"")</f>
      </c>
      <c r="F1359" s="17" t="str">
        <f>IFERROR(__xludf.DUMMYFUNCTION("IFERROR(
  TEXTJOIN(CHAR(10),TRUE,FILTER('SUMMARY DATA'!F:F,'SUMMARY DATA'!$A:$A=$A460,'SUMMARY DATA'!$C:$C=$B460,'SUMMARY DATA'!$B:$B=""GRP"")),
  IF(
    OR(
      ISNUMBER(SEARCH(""CDM CASH DEPOSIT"",$C460)),
      ISNUMBER(SEARCH(""CASH DEPOSIT"",$C46"&amp;"0)),
      COUNTIFS('SUMMARY DATA'!$D:$D,$C460,'SUMMARY DATA'!$B:$B,""GRP"")&lt;&gt;1
    ),
    """",
    IFERROR(TEXTJOIN(CHAR(10),TRUE,FILTER('SUMMARY DATA'!F:F,'SUMMARY DATA'!$D:$D=$C460,'SUMMARY DATA'!$B:$B=""GRP"")),"""")
  )
)"),"")</f>
      </c>
    </row>
    <row r="1360" spans="1:6" customHeight="true">
      <c r="A1360" s="2"/>
      <c r="B1360" s="15">
        <v>45863</v>
      </c>
      <c r="C1360" s="2" t="s">
        <v>1933</v>
      </c>
      <c r="D1360" s="6">
        <v>7.7</v>
      </c>
      <c r="E1360" s="16" t="str">
        <f>IFERROR(__xludf.DUMMYFUNCTION("IFERROR(
  TEXTJOIN(CHAR(10),TRUE,FILTER('SUMMARY DATA'!E:E,'SUMMARY DATA'!$A:$A=$A461,'SUMMARY DATA'!$C:$C=$B461,'SUMMARY DATA'!$B:$B=""GRP"")),
  IF(
    OR(
      ISNUMBER(SEARCH(""CDM CASH DEPOSIT"",$C461)),
      ISNUMBER(SEARCH(""CASH DEPOSIT"",$C46"&amp;"1)),
      COUNTIFS('SUMMARY DATA'!$D:$D,$C461,'SUMMARY DATA'!$B:$B,""GRP"")&lt;&gt;1
    ),
    """",
    IFERROR(TEXTJOIN(CHAR(10),TRUE,FILTER('SUMMARY DATA'!E:E,'SUMMARY DATA'!$D:$D=$C461,'SUMMARY DATA'!$B:$B=""GRP"")),"""")
  )
)"),"")</f>
      </c>
      <c r="F1360" s="17" t="str">
        <f>IFERROR(__xludf.DUMMYFUNCTION("IFERROR(
  TEXTJOIN(CHAR(10),TRUE,FILTER('SUMMARY DATA'!F:F,'SUMMARY DATA'!$A:$A=$A461,'SUMMARY DATA'!$C:$C=$B461,'SUMMARY DATA'!$B:$B=""GRP"")),
  IF(
    OR(
      ISNUMBER(SEARCH(""CDM CASH DEPOSIT"",$C461)),
      ISNUMBER(SEARCH(""CASH DEPOSIT"",$C46"&amp;"1)),
      COUNTIFS('SUMMARY DATA'!$D:$D,$C461,'SUMMARY DATA'!$B:$B,""GRP"")&lt;&gt;1
    ),
    """",
    IFERROR(TEXTJOIN(CHAR(10),TRUE,FILTER('SUMMARY DATA'!F:F,'SUMMARY DATA'!$D:$D=$C461,'SUMMARY DATA'!$B:$B=""GRP"")),"""")
  )
)"),"")</f>
      </c>
    </row>
    <row r="1361" spans="1:6" customHeight="true">
      <c r="A1361" s="2" t="s">
        <v>1934</v>
      </c>
      <c r="B1361" s="15">
        <v>45863</v>
      </c>
      <c r="C1361" s="2" t="s">
        <v>1935</v>
      </c>
      <c r="D1361" s="6">
        <v>7.7</v>
      </c>
      <c r="E1361" s="16" t="str">
        <f>IFERROR(__xludf.DUMMYFUNCTION("IFERROR(
  TEXTJOIN(CHAR(10),TRUE,FILTER('SUMMARY DATA'!E:E,'SUMMARY DATA'!$A:$A=$A462,'SUMMARY DATA'!$C:$C=$B462,'SUMMARY DATA'!$B:$B=""GRP"")),
  IF(
    OR(
      ISNUMBER(SEARCH(""CDM CASH DEPOSIT"",$C462)),
      ISNUMBER(SEARCH(""CASH DEPOSIT"",$C46"&amp;"2)),
      COUNTIFS('SUMMARY DATA'!$D:$D,$C462,'SUMMARY DATA'!$B:$B,""GRP"")&lt;&gt;1
    ),
    """",
    IFERROR(TEXTJOIN(CHAR(10),TRUE,FILTER('SUMMARY DATA'!E:E,'SUMMARY DATA'!$D:$D=$C462,'SUMMARY DATA'!$B:$B=""GRP"")),"""")
  )
)"),"")</f>
      </c>
      <c r="F1361" s="17" t="str">
        <f>IFERROR(__xludf.DUMMYFUNCTION("IFERROR(
  TEXTJOIN(CHAR(10),TRUE,FILTER('SUMMARY DATA'!F:F,'SUMMARY DATA'!$A:$A=$A462,'SUMMARY DATA'!$C:$C=$B462,'SUMMARY DATA'!$B:$B=""GRP"")),
  IF(
    OR(
      ISNUMBER(SEARCH(""CDM CASH DEPOSIT"",$C462)),
      ISNUMBER(SEARCH(""CASH DEPOSIT"",$C46"&amp;"2)),
      COUNTIFS('SUMMARY DATA'!$D:$D,$C462,'SUMMARY DATA'!$B:$B,""GRP"")&lt;&gt;1
    ),
    """",
    IFERROR(TEXTJOIN(CHAR(10),TRUE,FILTER('SUMMARY DATA'!F:F,'SUMMARY DATA'!$D:$D=$C462,'SUMMARY DATA'!$B:$B=""GRP"")),"""")
  )
)"),"")</f>
      </c>
    </row>
    <row r="1362" spans="1:6" customHeight="true">
      <c r="A1362" s="2" t="s">
        <v>1936</v>
      </c>
      <c r="B1362" s="15">
        <v>45862</v>
      </c>
      <c r="C1362" s="2" t="s">
        <v>1937</v>
      </c>
      <c r="D1362" s="6">
        <v>200</v>
      </c>
      <c r="E1362" s="16" t="str">
        <f>IFERROR(__xludf.DUMMYFUNCTION("IFERROR(
  TEXTJOIN(CHAR(10),TRUE,FILTER('SUMMARY DATA'!E:E,'SUMMARY DATA'!$A:$A=$A463,'SUMMARY DATA'!$C:$C=$B463,'SUMMARY DATA'!$B:$B=""GRP"")),
  IF(
    OR(
      ISNUMBER(SEARCH(""CDM CASH DEPOSIT"",$C463)),
      ISNUMBER(SEARCH(""CASH DEPOSIT"",$C46"&amp;"3)),
      COUNTIFS('SUMMARY DATA'!$D:$D,$C463,'SUMMARY DATA'!$B:$B,""GRP"")&lt;&gt;1
    ),
    """",
    IFERROR(TEXTJOIN(CHAR(10),TRUE,FILTER('SUMMARY DATA'!E:E,'SUMMARY DATA'!$D:$D=$C463,'SUMMARY DATA'!$B:$B=""GRP"")),"""")
  )
)"),"")</f>
      </c>
      <c r="F1362" s="17" t="str">
        <f>IFERROR(__xludf.DUMMYFUNCTION("IFERROR(
  TEXTJOIN(CHAR(10),TRUE,FILTER('SUMMARY DATA'!F:F,'SUMMARY DATA'!$A:$A=$A463,'SUMMARY DATA'!$C:$C=$B463,'SUMMARY DATA'!$B:$B=""GRP"")),
  IF(
    OR(
      ISNUMBER(SEARCH(""CDM CASH DEPOSIT"",$C463)),
      ISNUMBER(SEARCH(""CASH DEPOSIT"",$C46"&amp;"3)),
      COUNTIFS('SUMMARY DATA'!$D:$D,$C463,'SUMMARY DATA'!$B:$B,""GRP"")&lt;&gt;1
    ),
    """",
    IFERROR(TEXTJOIN(CHAR(10),TRUE,FILTER('SUMMARY DATA'!F:F,'SUMMARY DATA'!$D:$D=$C463,'SUMMARY DATA'!$B:$B=""GRP"")),"""")
  )
)"),"")</f>
      </c>
    </row>
    <row r="1363" spans="1:6" customHeight="true">
      <c r="A1363" s="2" t="s">
        <v>1938</v>
      </c>
      <c r="B1363" s="15">
        <v>45862</v>
      </c>
      <c r="C1363" s="2" t="s">
        <v>1939</v>
      </c>
      <c r="D1363" s="6">
        <v>10</v>
      </c>
      <c r="E1363" s="16" t="str">
        <f>IFERROR(__xludf.DUMMYFUNCTION("IFERROR(
  TEXTJOIN(CHAR(10),TRUE,FILTER('SUMMARY DATA'!E:E,'SUMMARY DATA'!$A:$A=$A464,'SUMMARY DATA'!$C:$C=$B464,'SUMMARY DATA'!$B:$B=""GRP"")),
  IF(
    OR(
      ISNUMBER(SEARCH(""CDM CASH DEPOSIT"",$C464)),
      ISNUMBER(SEARCH(""CASH DEPOSIT"",$C46"&amp;"4)),
      COUNTIFS('SUMMARY DATA'!$D:$D,$C464,'SUMMARY DATA'!$B:$B,""GRP"")&lt;&gt;1
    ),
    """",
    IFERROR(TEXTJOIN(CHAR(10),TRUE,FILTER('SUMMARY DATA'!E:E,'SUMMARY DATA'!$D:$D=$C464,'SUMMARY DATA'!$B:$B=""GRP"")),"""")
  )
)"),"")</f>
      </c>
      <c r="F1363" s="17" t="str">
        <f>IFERROR(__xludf.DUMMYFUNCTION("IFERROR(
  TEXTJOIN(CHAR(10),TRUE,FILTER('SUMMARY DATA'!F:F,'SUMMARY DATA'!$A:$A=$A464,'SUMMARY DATA'!$C:$C=$B464,'SUMMARY DATA'!$B:$B=""GRP"")),
  IF(
    OR(
      ISNUMBER(SEARCH(""CDM CASH DEPOSIT"",$C464)),
      ISNUMBER(SEARCH(""CASH DEPOSIT"",$C46"&amp;"4)),
      COUNTIFS('SUMMARY DATA'!$D:$D,$C464,'SUMMARY DATA'!$B:$B,""GRP"")&lt;&gt;1
    ),
    """",
    IFERROR(TEXTJOIN(CHAR(10),TRUE,FILTER('SUMMARY DATA'!F:F,'SUMMARY DATA'!$D:$D=$C464,'SUMMARY DATA'!$B:$B=""GRP"")),"""")
  )
)"),"")</f>
      </c>
    </row>
    <row r="1364" spans="1:6" customHeight="true">
      <c r="A1364" s="2" t="s">
        <v>1938</v>
      </c>
      <c r="B1364" s="15">
        <v>45862</v>
      </c>
      <c r="C1364" s="2" t="s">
        <v>1939</v>
      </c>
      <c r="D1364" s="6">
        <v>66.88</v>
      </c>
      <c r="E1364" s="16" t="str">
        <f>IFERROR(__xludf.DUMMYFUNCTION("IFERROR(
  TEXTJOIN(CHAR(10),TRUE,FILTER('SUMMARY DATA'!E:E,'SUMMARY DATA'!$A:$A=$A465,'SUMMARY DATA'!$C:$C=$B465,'SUMMARY DATA'!$B:$B=""GRP"")),
  IF(
    OR(
      ISNUMBER(SEARCH(""CDM CASH DEPOSIT"",$C465)),
      ISNUMBER(SEARCH(""CASH DEPOSIT"",$C46"&amp;"5)),
      COUNTIFS('SUMMARY DATA'!$D:$D,$C465,'SUMMARY DATA'!$B:$B,""GRP"")&lt;&gt;1
    ),
    """",
    IFERROR(TEXTJOIN(CHAR(10),TRUE,FILTER('SUMMARY DATA'!E:E,'SUMMARY DATA'!$D:$D=$C465,'SUMMARY DATA'!$B:$B=""GRP"")),"""")
  )
)"),"")</f>
      </c>
      <c r="F1364" s="17" t="str">
        <f>IFERROR(__xludf.DUMMYFUNCTION("IFERROR(
  TEXTJOIN(CHAR(10),TRUE,FILTER('SUMMARY DATA'!F:F,'SUMMARY DATA'!$A:$A=$A465,'SUMMARY DATA'!$C:$C=$B465,'SUMMARY DATA'!$B:$B=""GRP"")),
  IF(
    OR(
      ISNUMBER(SEARCH(""CDM CASH DEPOSIT"",$C465)),
      ISNUMBER(SEARCH(""CASH DEPOSIT"",$C46"&amp;"5)),
      COUNTIFS('SUMMARY DATA'!$D:$D,$C465,'SUMMARY DATA'!$B:$B,""GRP"")&lt;&gt;1
    ),
    """",
    IFERROR(TEXTJOIN(CHAR(10),TRUE,FILTER('SUMMARY DATA'!F:F,'SUMMARY DATA'!$D:$D=$C465,'SUMMARY DATA'!$B:$B=""GRP"")),"""")
  )
)"),"")</f>
      </c>
    </row>
    <row r="1365" spans="1:6" customHeight="true">
      <c r="A1365" s="2" t="s">
        <v>1940</v>
      </c>
      <c r="B1365" s="15">
        <v>45862</v>
      </c>
      <c r="C1365" s="2" t="s">
        <v>1941</v>
      </c>
      <c r="D1365" s="6">
        <v>141.8</v>
      </c>
      <c r="E1365" s="16" t="str">
        <f>IFERROR(__xludf.DUMMYFUNCTION("IFERROR(
  TEXTJOIN(CHAR(10),TRUE,FILTER('SUMMARY DATA'!E:E,'SUMMARY DATA'!$A:$A=$A466,'SUMMARY DATA'!$C:$C=$B466,'SUMMARY DATA'!$B:$B=""GRP"")),
  IF(
    OR(
      ISNUMBER(SEARCH(""CDM CASH DEPOSIT"",$C466)),
      ISNUMBER(SEARCH(""CASH DEPOSIT"",$C46"&amp;"6)),
      COUNTIFS('SUMMARY DATA'!$D:$D,$C466,'SUMMARY DATA'!$B:$B,""GRP"")&lt;&gt;1
    ),
    """",
    IFERROR(TEXTJOIN(CHAR(10),TRUE,FILTER('SUMMARY DATA'!E:E,'SUMMARY DATA'!$D:$D=$C466,'SUMMARY DATA'!$B:$B=""GRP"")),"""")
  )
)"),"")</f>
      </c>
      <c r="F1365" s="17" t="str">
        <f>IFERROR(__xludf.DUMMYFUNCTION("IFERROR(
  TEXTJOIN(CHAR(10),TRUE,FILTER('SUMMARY DATA'!F:F,'SUMMARY DATA'!$A:$A=$A466,'SUMMARY DATA'!$C:$C=$B466,'SUMMARY DATA'!$B:$B=""GRP"")),
  IF(
    OR(
      ISNUMBER(SEARCH(""CDM CASH DEPOSIT"",$C466)),
      ISNUMBER(SEARCH(""CASH DEPOSIT"",$C46"&amp;"6)),
      COUNTIFS('SUMMARY DATA'!$D:$D,$C466,'SUMMARY DATA'!$B:$B,""GRP"")&lt;&gt;1
    ),
    """",
    IFERROR(TEXTJOIN(CHAR(10),TRUE,FILTER('SUMMARY DATA'!F:F,'SUMMARY DATA'!$D:$D=$C466,'SUMMARY DATA'!$B:$B=""GRP"")),"""")
  )
)"),"")</f>
      </c>
    </row>
    <row r="1366" spans="1:6" customHeight="true">
      <c r="A1366" s="2" t="s">
        <v>1925</v>
      </c>
      <c r="B1366" s="15">
        <v>45862</v>
      </c>
      <c r="C1366" s="2" t="s">
        <v>1942</v>
      </c>
      <c r="D1366" s="6">
        <v>54.86</v>
      </c>
      <c r="E1366" s="16" t="str">
        <f>IFERROR(__xludf.DUMMYFUNCTION("IFERROR(
  TEXTJOIN(CHAR(10),TRUE,FILTER('SUMMARY DATA'!E:E,'SUMMARY DATA'!$A:$A=$A467,'SUMMARY DATA'!$C:$C=$B467,'SUMMARY DATA'!$B:$B=""GRP"")),
  IF(
    OR(
      ISNUMBER(SEARCH(""CDM CASH DEPOSIT"",$C467)),
      ISNUMBER(SEARCH(""CASH DEPOSIT"",$C46"&amp;"7)),
      COUNTIFS('SUMMARY DATA'!$D:$D,$C467,'SUMMARY DATA'!$B:$B,""GRP"")&lt;&gt;1
    ),
    """",
    IFERROR(TEXTJOIN(CHAR(10),TRUE,FILTER('SUMMARY DATA'!E:E,'SUMMARY DATA'!$D:$D=$C467,'SUMMARY DATA'!$B:$B=""GRP"")),"""")
  )
)"),"")</f>
      </c>
      <c r="F1366" s="17" t="str">
        <f>IFERROR(__xludf.DUMMYFUNCTION("IFERROR(
  TEXTJOIN(CHAR(10),TRUE,FILTER('SUMMARY DATA'!F:F,'SUMMARY DATA'!$A:$A=$A467,'SUMMARY DATA'!$C:$C=$B467,'SUMMARY DATA'!$B:$B=""GRP"")),
  IF(
    OR(
      ISNUMBER(SEARCH(""CDM CASH DEPOSIT"",$C467)),
      ISNUMBER(SEARCH(""CASH DEPOSIT"",$C46"&amp;"7)),
      COUNTIFS('SUMMARY DATA'!$D:$D,$C467,'SUMMARY DATA'!$B:$B,""GRP"")&lt;&gt;1
    ),
    """",
    IFERROR(TEXTJOIN(CHAR(10),TRUE,FILTER('SUMMARY DATA'!F:F,'SUMMARY DATA'!$D:$D=$C467,'SUMMARY DATA'!$B:$B=""GRP"")),"""")
  )
)"),"")</f>
      </c>
    </row>
    <row r="1367" spans="1:6" customHeight="true">
      <c r="A1367" s="2" t="s">
        <v>1943</v>
      </c>
      <c r="B1367" s="15">
        <v>45862</v>
      </c>
      <c r="C1367" s="2" t="s">
        <v>1944</v>
      </c>
      <c r="D1367" s="6">
        <v>65</v>
      </c>
      <c r="E1367" s="16" t="str">
        <f>IFERROR(__xludf.DUMMYFUNCTION("IFERROR(
  TEXTJOIN(CHAR(10),TRUE,FILTER('SUMMARY DATA'!E:E,'SUMMARY DATA'!$A:$A=$A468,'SUMMARY DATA'!$C:$C=$B468,'SUMMARY DATA'!$B:$B=""GRP"")),
  IF(
    OR(
      ISNUMBER(SEARCH(""CDM CASH DEPOSIT"",$C468)),
      ISNUMBER(SEARCH(""CASH DEPOSIT"",$C46"&amp;"8)),
      COUNTIFS('SUMMARY DATA'!$D:$D,$C468,'SUMMARY DATA'!$B:$B,""GRP"")&lt;&gt;1
    ),
    """",
    IFERROR(TEXTJOIN(CHAR(10),TRUE,FILTER('SUMMARY DATA'!E:E,'SUMMARY DATA'!$D:$D=$C468,'SUMMARY DATA'!$B:$B=""GRP"")),"""")
  )
)"),"")</f>
      </c>
      <c r="F1367" s="17" t="str">
        <f>IFERROR(__xludf.DUMMYFUNCTION("IFERROR(
  TEXTJOIN(CHAR(10),TRUE,FILTER('SUMMARY DATA'!F:F,'SUMMARY DATA'!$A:$A=$A468,'SUMMARY DATA'!$C:$C=$B468,'SUMMARY DATA'!$B:$B=""GRP"")),
  IF(
    OR(
      ISNUMBER(SEARCH(""CDM CASH DEPOSIT"",$C468)),
      ISNUMBER(SEARCH(""CASH DEPOSIT"",$C46"&amp;"8)),
      COUNTIFS('SUMMARY DATA'!$D:$D,$C468,'SUMMARY DATA'!$B:$B,""GRP"")&lt;&gt;1
    ),
    """",
    IFERROR(TEXTJOIN(CHAR(10),TRUE,FILTER('SUMMARY DATA'!F:F,'SUMMARY DATA'!$D:$D=$C468,'SUMMARY DATA'!$B:$B=""GRP"")),"""")
  )
)"),"")</f>
      </c>
    </row>
    <row r="1368" spans="1:6" customHeight="true">
      <c r="A1368" s="2" t="s">
        <v>1945</v>
      </c>
      <c r="B1368" s="15">
        <v>45861</v>
      </c>
      <c r="C1368" s="2" t="s">
        <v>1946</v>
      </c>
      <c r="D1368" s="6">
        <v>293.44</v>
      </c>
      <c r="E1368" s="16" t="str">
        <f>IFERROR(__xludf.DUMMYFUNCTION("IFERROR(
  TEXTJOIN(CHAR(10),TRUE,FILTER('SUMMARY DATA'!E:E,'SUMMARY DATA'!$A:$A=$A469,'SUMMARY DATA'!$C:$C=$B469,'SUMMARY DATA'!$B:$B=""GRP"")),
  IF(
    OR(
      ISNUMBER(SEARCH(""CDM CASH DEPOSIT"",$C469)),
      ISNUMBER(SEARCH(""CASH DEPOSIT"",$C46"&amp;"9)),
      COUNTIFS('SUMMARY DATA'!$D:$D,$C469,'SUMMARY DATA'!$B:$B,""GRP"")&lt;&gt;1
    ),
    """",
    IFERROR(TEXTJOIN(CHAR(10),TRUE,FILTER('SUMMARY DATA'!E:E,'SUMMARY DATA'!$D:$D=$C469,'SUMMARY DATA'!$B:$B=""GRP"")),"""")
  )
)"),"")</f>
      </c>
      <c r="F1368" s="17" t="str">
        <f>IFERROR(__xludf.DUMMYFUNCTION("IFERROR(
  TEXTJOIN(CHAR(10),TRUE,FILTER('SUMMARY DATA'!F:F,'SUMMARY DATA'!$A:$A=$A469,'SUMMARY DATA'!$C:$C=$B469,'SUMMARY DATA'!$B:$B=""GRP"")),
  IF(
    OR(
      ISNUMBER(SEARCH(""CDM CASH DEPOSIT"",$C469)),
      ISNUMBER(SEARCH(""CASH DEPOSIT"",$C46"&amp;"9)),
      COUNTIFS('SUMMARY DATA'!$D:$D,$C469,'SUMMARY DATA'!$B:$B,""GRP"")&lt;&gt;1
    ),
    """",
    IFERROR(TEXTJOIN(CHAR(10),TRUE,FILTER('SUMMARY DATA'!F:F,'SUMMARY DATA'!$D:$D=$C469,'SUMMARY DATA'!$B:$B=""GRP"")),"""")
  )
)"),"")</f>
      </c>
    </row>
    <row r="1369" spans="1:6" customHeight="true">
      <c r="A1369" s="2" t="s">
        <v>1947</v>
      </c>
      <c r="B1369" s="15">
        <v>45861</v>
      </c>
      <c r="C1369" s="2" t="s">
        <v>1948</v>
      </c>
      <c r="D1369" s="6">
        <v>55</v>
      </c>
      <c r="E1369" s="16" t="str">
        <f>IFERROR(__xludf.DUMMYFUNCTION("IFERROR(
  TEXTJOIN(CHAR(10),TRUE,FILTER('SUMMARY DATA'!E:E,'SUMMARY DATA'!$A:$A=$A470,'SUMMARY DATA'!$C:$C=$B470,'SUMMARY DATA'!$B:$B=""GRP"")),
  IF(
    OR(
      ISNUMBER(SEARCH(""CDM CASH DEPOSIT"",$C470)),
      ISNUMBER(SEARCH(""CASH DEPOSIT"",$C47"&amp;"0)),
      COUNTIFS('SUMMARY DATA'!$D:$D,$C470,'SUMMARY DATA'!$B:$B,""GRP"")&lt;&gt;1
    ),
    """",
    IFERROR(TEXTJOIN(CHAR(10),TRUE,FILTER('SUMMARY DATA'!E:E,'SUMMARY DATA'!$D:$D=$C470,'SUMMARY DATA'!$B:$B=""GRP"")),"""")
  )
)"),"")</f>
      </c>
      <c r="F1369" s="17" t="str">
        <f>IFERROR(__xludf.DUMMYFUNCTION("IFERROR(
  TEXTJOIN(CHAR(10),TRUE,FILTER('SUMMARY DATA'!F:F,'SUMMARY DATA'!$A:$A=$A470,'SUMMARY DATA'!$C:$C=$B470,'SUMMARY DATA'!$B:$B=""GRP"")),
  IF(
    OR(
      ISNUMBER(SEARCH(""CDM CASH DEPOSIT"",$C470)),
      ISNUMBER(SEARCH(""CASH DEPOSIT"",$C47"&amp;"0)),
      COUNTIFS('SUMMARY DATA'!$D:$D,$C470,'SUMMARY DATA'!$B:$B,""GRP"")&lt;&gt;1
    ),
    """",
    IFERROR(TEXTJOIN(CHAR(10),TRUE,FILTER('SUMMARY DATA'!F:F,'SUMMARY DATA'!$D:$D=$C470,'SUMMARY DATA'!$B:$B=""GRP"")),"""")
  )
)"),"")</f>
      </c>
    </row>
    <row r="1370" spans="1:6" customHeight="true">
      <c r="A1370" s="2"/>
      <c r="B1370" s="15">
        <v>45861</v>
      </c>
      <c r="C1370" s="2" t="s">
        <v>1949</v>
      </c>
      <c r="D1370" s="6">
        <v>49.99</v>
      </c>
      <c r="E1370" s="16" t="str">
        <f>IFERROR(__xludf.DUMMYFUNCTION("IFERROR(
  TEXTJOIN(CHAR(10),TRUE,FILTER('SUMMARY DATA'!E:E,'SUMMARY DATA'!$A:$A=$A471,'SUMMARY DATA'!$C:$C=$B471,'SUMMARY DATA'!$B:$B=""GRP"")),
  IF(
    OR(
      ISNUMBER(SEARCH(""CDM CASH DEPOSIT"",$C471)),
      ISNUMBER(SEARCH(""CASH DEPOSIT"",$C47"&amp;"1)),
      COUNTIFS('SUMMARY DATA'!$D:$D,$C471,'SUMMARY DATA'!$B:$B,""GRP"")&lt;&gt;1
    ),
    """",
    IFERROR(TEXTJOIN(CHAR(10),TRUE,FILTER('SUMMARY DATA'!E:E,'SUMMARY DATA'!$D:$D=$C471,'SUMMARY DATA'!$B:$B=""GRP"")),"""")
  )
)"),"")</f>
      </c>
      <c r="F1370" s="17" t="str">
        <f>IFERROR(__xludf.DUMMYFUNCTION("IFERROR(
  TEXTJOIN(CHAR(10),TRUE,FILTER('SUMMARY DATA'!F:F,'SUMMARY DATA'!$A:$A=$A471,'SUMMARY DATA'!$C:$C=$B471,'SUMMARY DATA'!$B:$B=""GRP"")),
  IF(
    OR(
      ISNUMBER(SEARCH(""CDM CASH DEPOSIT"",$C471)),
      ISNUMBER(SEARCH(""CASH DEPOSIT"",$C47"&amp;"1)),
      COUNTIFS('SUMMARY DATA'!$D:$D,$C471,'SUMMARY DATA'!$B:$B,""GRP"")&lt;&gt;1
    ),
    """",
    IFERROR(TEXTJOIN(CHAR(10),TRUE,FILTER('SUMMARY DATA'!F:F,'SUMMARY DATA'!$D:$D=$C471,'SUMMARY DATA'!$B:$B=""GRP"")),"""")
  )
)"),"")</f>
      </c>
    </row>
    <row r="1371" spans="1:6" customHeight="true">
      <c r="A1371" s="2"/>
      <c r="B1371" s="15">
        <v>45861</v>
      </c>
      <c r="C1371" s="2" t="s">
        <v>1239</v>
      </c>
      <c r="D1371" s="6">
        <v>60.94</v>
      </c>
      <c r="E1371" s="16" t="str">
        <f>IFERROR(__xludf.DUMMYFUNCTION("IFERROR(
  TEXTJOIN(CHAR(10),TRUE,FILTER('SUMMARY DATA'!E:E,'SUMMARY DATA'!$A:$A=$A472,'SUMMARY DATA'!$C:$C=$B472,'SUMMARY DATA'!$B:$B=""GRP"")),
  IF(
    OR(
      ISNUMBER(SEARCH(""CDM CASH DEPOSIT"",$C472)),
      ISNUMBER(SEARCH(""CASH DEPOSIT"",$C47"&amp;"2)),
      COUNTIFS('SUMMARY DATA'!$D:$D,$C472,'SUMMARY DATA'!$B:$B,""GRP"")&lt;&gt;1
    ),
    """",
    IFERROR(TEXTJOIN(CHAR(10),TRUE,FILTER('SUMMARY DATA'!E:E,'SUMMARY DATA'!$D:$D=$C472,'SUMMARY DATA'!$B:$B=""GRP"")),"""")
  )
)"),"")</f>
      </c>
      <c r="F1371" s="17" t="str">
        <f>IFERROR(__xludf.DUMMYFUNCTION("IFERROR(
  TEXTJOIN(CHAR(10),TRUE,FILTER('SUMMARY DATA'!F:F,'SUMMARY DATA'!$A:$A=$A472,'SUMMARY DATA'!$C:$C=$B472,'SUMMARY DATA'!$B:$B=""GRP"")),
  IF(
    OR(
      ISNUMBER(SEARCH(""CDM CASH DEPOSIT"",$C472)),
      ISNUMBER(SEARCH(""CASH DEPOSIT"",$C47"&amp;"2)),
      COUNTIFS('SUMMARY DATA'!$D:$D,$C472,'SUMMARY DATA'!$B:$B,""GRP"")&lt;&gt;1
    ),
    """",
    IFERROR(TEXTJOIN(CHAR(10),TRUE,FILTER('SUMMARY DATA'!F:F,'SUMMARY DATA'!$D:$D=$C472,'SUMMARY DATA'!$B:$B=""GRP"")),"""")
  )
)"),"")</f>
      </c>
    </row>
    <row r="1372" spans="1:6" customHeight="true">
      <c r="A1372" s="2" t="s">
        <v>1950</v>
      </c>
      <c r="B1372" s="15">
        <v>45861</v>
      </c>
      <c r="C1372" s="2" t="s">
        <v>1951</v>
      </c>
      <c r="D1372" s="6">
        <v>21</v>
      </c>
      <c r="E1372" s="16" t="str">
        <f>IFERROR(__xludf.DUMMYFUNCTION("IFERROR(
  TEXTJOIN(CHAR(10),TRUE,FILTER('SUMMARY DATA'!E:E,'SUMMARY DATA'!$A:$A=$A473,'SUMMARY DATA'!$C:$C=$B473,'SUMMARY DATA'!$B:$B=""GRP"")),
  IF(
    OR(
      ISNUMBER(SEARCH(""CDM CASH DEPOSIT"",$C473)),
      ISNUMBER(SEARCH(""CASH DEPOSIT"",$C47"&amp;"3)),
      COUNTIFS('SUMMARY DATA'!$D:$D,$C473,'SUMMARY DATA'!$B:$B,""GRP"")&lt;&gt;1
    ),
    """",
    IFERROR(TEXTJOIN(CHAR(10),TRUE,FILTER('SUMMARY DATA'!E:E,'SUMMARY DATA'!$D:$D=$C473,'SUMMARY DATA'!$B:$B=""GRP"")),"""")
  )
)"),"")</f>
      </c>
      <c r="F1372" s="17" t="str">
        <f>IFERROR(__xludf.DUMMYFUNCTION("IFERROR(
  TEXTJOIN(CHAR(10),TRUE,FILTER('SUMMARY DATA'!F:F,'SUMMARY DATA'!$A:$A=$A473,'SUMMARY DATA'!$C:$C=$B473,'SUMMARY DATA'!$B:$B=""GRP"")),
  IF(
    OR(
      ISNUMBER(SEARCH(""CDM CASH DEPOSIT"",$C473)),
      ISNUMBER(SEARCH(""CASH DEPOSIT"",$C47"&amp;"3)),
      COUNTIFS('SUMMARY DATA'!$D:$D,$C473,'SUMMARY DATA'!$B:$B,""GRP"")&lt;&gt;1
    ),
    """",
    IFERROR(TEXTJOIN(CHAR(10),TRUE,FILTER('SUMMARY DATA'!F:F,'SUMMARY DATA'!$D:$D=$C473,'SUMMARY DATA'!$B:$B=""GRP"")),"""")
  )
)"),"")</f>
      </c>
    </row>
    <row r="1373" spans="1:6" customHeight="true">
      <c r="A1373" s="2"/>
      <c r="B1373" s="15">
        <v>45861</v>
      </c>
      <c r="C1373" s="2" t="s">
        <v>1952</v>
      </c>
      <c r="D1373" s="6">
        <v>132.46</v>
      </c>
      <c r="E1373" s="16" t="str">
        <f>IFERROR(__xludf.DUMMYFUNCTION("IFERROR(
  TEXTJOIN(CHAR(10),TRUE,FILTER('SUMMARY DATA'!E:E,'SUMMARY DATA'!$A:$A=$A474,'SUMMARY DATA'!$C:$C=$B474,'SUMMARY DATA'!$B:$B=""GRP"")),
  IF(
    OR(
      ISNUMBER(SEARCH(""CDM CASH DEPOSIT"",$C474)),
      ISNUMBER(SEARCH(""CASH DEPOSIT"",$C47"&amp;"4)),
      COUNTIFS('SUMMARY DATA'!$D:$D,$C474,'SUMMARY DATA'!$B:$B,""GRP"")&lt;&gt;1
    ),
    """",
    IFERROR(TEXTJOIN(CHAR(10),TRUE,FILTER('SUMMARY DATA'!E:E,'SUMMARY DATA'!$D:$D=$C474,'SUMMARY DATA'!$B:$B=""GRP"")),"""")
  )
)"),"")</f>
      </c>
      <c r="F1373" s="17" t="str">
        <f>IFERROR(__xludf.DUMMYFUNCTION("IFERROR(
  TEXTJOIN(CHAR(10),TRUE,FILTER('SUMMARY DATA'!F:F,'SUMMARY DATA'!$A:$A=$A474,'SUMMARY DATA'!$C:$C=$B474,'SUMMARY DATA'!$B:$B=""GRP"")),
  IF(
    OR(
      ISNUMBER(SEARCH(""CDM CASH DEPOSIT"",$C474)),
      ISNUMBER(SEARCH(""CASH DEPOSIT"",$C47"&amp;"4)),
      COUNTIFS('SUMMARY DATA'!$D:$D,$C474,'SUMMARY DATA'!$B:$B,""GRP"")&lt;&gt;1
    ),
    """",
    IFERROR(TEXTJOIN(CHAR(10),TRUE,FILTER('SUMMARY DATA'!F:F,'SUMMARY DATA'!$D:$D=$C474,'SUMMARY DATA'!$B:$B=""GRP"")),"""")
  )
)"),"")</f>
      </c>
    </row>
    <row r="1374" spans="1:6" customHeight="true">
      <c r="A1374" s="2" t="s">
        <v>1953</v>
      </c>
      <c r="B1374" s="15">
        <v>45861</v>
      </c>
      <c r="C1374" s="2" t="s">
        <v>1954</v>
      </c>
      <c r="D1374" s="6">
        <v>35.96</v>
      </c>
      <c r="E1374" s="16" t="str">
        <f>IFERROR(__xludf.DUMMYFUNCTION("IFERROR(
  TEXTJOIN(CHAR(10),TRUE,FILTER('SUMMARY DATA'!E:E,'SUMMARY DATA'!$A:$A=$A475,'SUMMARY DATA'!$C:$C=$B475,'SUMMARY DATA'!$B:$B=""GRP"")),
  IF(
    OR(
      ISNUMBER(SEARCH(""CDM CASH DEPOSIT"",$C475)),
      ISNUMBER(SEARCH(""CASH DEPOSIT"",$C47"&amp;"5)),
      COUNTIFS('SUMMARY DATA'!$D:$D,$C475,'SUMMARY DATA'!$B:$B,""GRP"")&lt;&gt;1
    ),
    """",
    IFERROR(TEXTJOIN(CHAR(10),TRUE,FILTER('SUMMARY DATA'!E:E,'SUMMARY DATA'!$D:$D=$C475,'SUMMARY DATA'!$B:$B=""GRP"")),"""")
  )
)"),"")</f>
      </c>
      <c r="F1374" s="17" t="str">
        <f>IFERROR(__xludf.DUMMYFUNCTION("IFERROR(
  TEXTJOIN(CHAR(10),TRUE,FILTER('SUMMARY DATA'!F:F,'SUMMARY DATA'!$A:$A=$A475,'SUMMARY DATA'!$C:$C=$B475,'SUMMARY DATA'!$B:$B=""GRP"")),
  IF(
    OR(
      ISNUMBER(SEARCH(""CDM CASH DEPOSIT"",$C475)),
      ISNUMBER(SEARCH(""CASH DEPOSIT"",$C47"&amp;"5)),
      COUNTIFS('SUMMARY DATA'!$D:$D,$C475,'SUMMARY DATA'!$B:$B,""GRP"")&lt;&gt;1
    ),
    """",
    IFERROR(TEXTJOIN(CHAR(10),TRUE,FILTER('SUMMARY DATA'!F:F,'SUMMARY DATA'!$D:$D=$C475,'SUMMARY DATA'!$B:$B=""GRP"")),"""")
  )
)"),"")</f>
      </c>
    </row>
    <row r="1375" spans="1:6" customHeight="true">
      <c r="A1375" s="2"/>
      <c r="B1375" s="15">
        <v>45861</v>
      </c>
      <c r="C1375" s="2" t="s">
        <v>1955</v>
      </c>
      <c r="D1375" s="6">
        <v>16</v>
      </c>
      <c r="E1375" s="16" t="str">
        <f>IFERROR(__xludf.DUMMYFUNCTION("IFERROR(
  TEXTJOIN(CHAR(10),TRUE,FILTER('SUMMARY DATA'!E:E,'SUMMARY DATA'!$A:$A=$A476,'SUMMARY DATA'!$C:$C=$B476,'SUMMARY DATA'!$B:$B=""GRP"")),
  IF(
    OR(
      ISNUMBER(SEARCH(""CDM CASH DEPOSIT"",$C476)),
      ISNUMBER(SEARCH(""CASH DEPOSIT"",$C47"&amp;"6)),
      COUNTIFS('SUMMARY DATA'!$D:$D,$C476,'SUMMARY DATA'!$B:$B,""GRP"")&lt;&gt;1
    ),
    """",
    IFERROR(TEXTJOIN(CHAR(10),TRUE,FILTER('SUMMARY DATA'!E:E,'SUMMARY DATA'!$D:$D=$C476,'SUMMARY DATA'!$B:$B=""GRP"")),"""")
  )
)"),"")</f>
      </c>
      <c r="F1375" s="17" t="str">
        <f>IFERROR(__xludf.DUMMYFUNCTION("IFERROR(
  TEXTJOIN(CHAR(10),TRUE,FILTER('SUMMARY DATA'!F:F,'SUMMARY DATA'!$A:$A=$A476,'SUMMARY DATA'!$C:$C=$B476,'SUMMARY DATA'!$B:$B=""GRP"")),
  IF(
    OR(
      ISNUMBER(SEARCH(""CDM CASH DEPOSIT"",$C476)),
      ISNUMBER(SEARCH(""CASH DEPOSIT"",$C47"&amp;"6)),
      COUNTIFS('SUMMARY DATA'!$D:$D,$C476,'SUMMARY DATA'!$B:$B,""GRP"")&lt;&gt;1
    ),
    """",
    IFERROR(TEXTJOIN(CHAR(10),TRUE,FILTER('SUMMARY DATA'!F:F,'SUMMARY DATA'!$D:$D=$C476,'SUMMARY DATA'!$B:$B=""GRP"")),"""")
  )
)"),"")</f>
      </c>
    </row>
    <row r="1376" spans="1:6" customHeight="true">
      <c r="A1376" s="2" t="s">
        <v>1956</v>
      </c>
      <c r="B1376" s="15">
        <v>45861</v>
      </c>
      <c r="C1376" s="2" t="s">
        <v>1957</v>
      </c>
      <c r="D1376" s="6">
        <v>209.96</v>
      </c>
      <c r="E1376" s="16" t="str">
        <f>IFERROR(__xludf.DUMMYFUNCTION("IFERROR(
  TEXTJOIN(CHAR(10),TRUE,FILTER('SUMMARY DATA'!E:E,'SUMMARY DATA'!$A:$A=$A477,'SUMMARY DATA'!$C:$C=$B477,'SUMMARY DATA'!$B:$B=""GRP"")),
  IF(
    OR(
      ISNUMBER(SEARCH(""CDM CASH DEPOSIT"",$C477)),
      ISNUMBER(SEARCH(""CASH DEPOSIT"",$C47"&amp;"7)),
      COUNTIFS('SUMMARY DATA'!$D:$D,$C477,'SUMMARY DATA'!$B:$B,""GRP"")&lt;&gt;1
    ),
    """",
    IFERROR(TEXTJOIN(CHAR(10),TRUE,FILTER('SUMMARY DATA'!E:E,'SUMMARY DATA'!$D:$D=$C477,'SUMMARY DATA'!$B:$B=""GRP"")),"""")
  )
)"),"")</f>
      </c>
      <c r="F1376" s="17" t="str">
        <f>IFERROR(__xludf.DUMMYFUNCTION("IFERROR(
  TEXTJOIN(CHAR(10),TRUE,FILTER('SUMMARY DATA'!F:F,'SUMMARY DATA'!$A:$A=$A477,'SUMMARY DATA'!$C:$C=$B477,'SUMMARY DATA'!$B:$B=""GRP"")),
  IF(
    OR(
      ISNUMBER(SEARCH(""CDM CASH DEPOSIT"",$C477)),
      ISNUMBER(SEARCH(""CASH DEPOSIT"",$C47"&amp;"7)),
      COUNTIFS('SUMMARY DATA'!$D:$D,$C477,'SUMMARY DATA'!$B:$B,""GRP"")&lt;&gt;1
    ),
    """",
    IFERROR(TEXTJOIN(CHAR(10),TRUE,FILTER('SUMMARY DATA'!F:F,'SUMMARY DATA'!$D:$D=$C477,'SUMMARY DATA'!$B:$B=""GRP"")),"""")
  )
)"),"")</f>
      </c>
    </row>
    <row r="1377" spans="1:6" customHeight="true">
      <c r="A1377" s="2" t="s">
        <v>1958</v>
      </c>
      <c r="B1377" s="15">
        <v>45861</v>
      </c>
      <c r="C1377" s="2" t="s">
        <v>1959</v>
      </c>
      <c r="D1377" s="6">
        <v>72.8</v>
      </c>
      <c r="E1377" s="16" t="str">
        <f>IFERROR(__xludf.DUMMYFUNCTION("IFERROR(
  TEXTJOIN(CHAR(10),TRUE,FILTER('SUMMARY DATA'!E:E,'SUMMARY DATA'!$A:$A=$A478,'SUMMARY DATA'!$C:$C=$B478,'SUMMARY DATA'!$B:$B=""GRP"")),
  IF(
    OR(
      ISNUMBER(SEARCH(""CDM CASH DEPOSIT"",$C478)),
      ISNUMBER(SEARCH(""CASH DEPOSIT"",$C47"&amp;"8)),
      COUNTIFS('SUMMARY DATA'!$D:$D,$C478,'SUMMARY DATA'!$B:$B,""GRP"")&lt;&gt;1
    ),
    """",
    IFERROR(TEXTJOIN(CHAR(10),TRUE,FILTER('SUMMARY DATA'!E:E,'SUMMARY DATA'!$D:$D=$C478,'SUMMARY DATA'!$B:$B=""GRP"")),"""")
  )
)"),"")</f>
      </c>
      <c r="F1377" s="17" t="str">
        <f>IFERROR(__xludf.DUMMYFUNCTION("IFERROR(
  TEXTJOIN(CHAR(10),TRUE,FILTER('SUMMARY DATA'!F:F,'SUMMARY DATA'!$A:$A=$A478,'SUMMARY DATA'!$C:$C=$B478,'SUMMARY DATA'!$B:$B=""GRP"")),
  IF(
    OR(
      ISNUMBER(SEARCH(""CDM CASH DEPOSIT"",$C478)),
      ISNUMBER(SEARCH(""CASH DEPOSIT"",$C47"&amp;"8)),
      COUNTIFS('SUMMARY DATA'!$D:$D,$C478,'SUMMARY DATA'!$B:$B,""GRP"")&lt;&gt;1
    ),
    """",
    IFERROR(TEXTJOIN(CHAR(10),TRUE,FILTER('SUMMARY DATA'!F:F,'SUMMARY DATA'!$D:$D=$C478,'SUMMARY DATA'!$B:$B=""GRP"")),"""")
  )
)"),"")</f>
      </c>
    </row>
    <row r="1378" spans="1:6" customHeight="true">
      <c r="A1378" s="2"/>
      <c r="B1378" s="15">
        <v>45860</v>
      </c>
      <c r="C1378" s="2" t="s">
        <v>1960</v>
      </c>
      <c r="D1378" s="6">
        <v>247.5</v>
      </c>
      <c r="E1378" s="16" t="str">
        <f>IFERROR(__xludf.DUMMYFUNCTION("IFERROR(
  TEXTJOIN(CHAR(10),TRUE,FILTER('SUMMARY DATA'!E:E,'SUMMARY DATA'!$A:$A=$A479,'SUMMARY DATA'!$C:$C=$B479,'SUMMARY DATA'!$B:$B=""GRP"")),
  IF(
    OR(
      ISNUMBER(SEARCH(""CDM CASH DEPOSIT"",$C479)),
      ISNUMBER(SEARCH(""CASH DEPOSIT"",$C47"&amp;"9)),
      COUNTIFS('SUMMARY DATA'!$D:$D,$C479,'SUMMARY DATA'!$B:$B,""GRP"")&lt;&gt;1
    ),
    """",
    IFERROR(TEXTJOIN(CHAR(10),TRUE,FILTER('SUMMARY DATA'!E:E,'SUMMARY DATA'!$D:$D=$C479,'SUMMARY DATA'!$B:$B=""GRP"")),"""")
  )
)"),"")</f>
      </c>
      <c r="F1378" s="17" t="str">
        <f>IFERROR(__xludf.DUMMYFUNCTION("IFERROR(
  TEXTJOIN(CHAR(10),TRUE,FILTER('SUMMARY DATA'!F:F,'SUMMARY DATA'!$A:$A=$A479,'SUMMARY DATA'!$C:$C=$B479,'SUMMARY DATA'!$B:$B=""GRP"")),
  IF(
    OR(
      ISNUMBER(SEARCH(""CDM CASH DEPOSIT"",$C479)),
      ISNUMBER(SEARCH(""CASH DEPOSIT"",$C47"&amp;"9)),
      COUNTIFS('SUMMARY DATA'!$D:$D,$C479,'SUMMARY DATA'!$B:$B,""GRP"")&lt;&gt;1
    ),
    """",
    IFERROR(TEXTJOIN(CHAR(10),TRUE,FILTER('SUMMARY DATA'!F:F,'SUMMARY DATA'!$D:$D=$C479,'SUMMARY DATA'!$B:$B=""GRP"")),"""")
  )
)"),"")</f>
      </c>
    </row>
    <row r="1379" spans="1:6" customHeight="true">
      <c r="A1379" s="2" t="s">
        <v>1958</v>
      </c>
      <c r="B1379" s="15">
        <v>45860</v>
      </c>
      <c r="C1379" s="2" t="s">
        <v>48</v>
      </c>
      <c r="D1379" s="6">
        <v>2050</v>
      </c>
      <c r="E1379" s="16" t="str">
        <f>IFERROR(__xludf.DUMMYFUNCTION("IFERROR(
  TEXTJOIN(CHAR(10),TRUE,FILTER('SUMMARY DATA'!E:E,'SUMMARY DATA'!$A:$A=$A480,'SUMMARY DATA'!$C:$C=$B480,'SUMMARY DATA'!$B:$B=""GRP"")),
  IF(
    OR(
      ISNUMBER(SEARCH(""CDM CASH DEPOSIT"",$C480)),
      ISNUMBER(SEARCH(""CASH DEPOSIT"",$C48"&amp;"0)),
      COUNTIFS('SUMMARY DATA'!$D:$D,$C480,'SUMMARY DATA'!$B:$B,""GRP"")&lt;&gt;1
    ),
    """",
    IFERROR(TEXTJOIN(CHAR(10),TRUE,FILTER('SUMMARY DATA'!E:E,'SUMMARY DATA'!$D:$D=$C480,'SUMMARY DATA'!$B:$B=""GRP"")),"""")
  )
)"),"")</f>
      </c>
      <c r="F1379" s="17" t="str">
        <f>IFERROR(__xludf.DUMMYFUNCTION("IFERROR(
  TEXTJOIN(CHAR(10),TRUE,FILTER('SUMMARY DATA'!F:F,'SUMMARY DATA'!$A:$A=$A480,'SUMMARY DATA'!$C:$C=$B480,'SUMMARY DATA'!$B:$B=""GRP"")),
  IF(
    OR(
      ISNUMBER(SEARCH(""CDM CASH DEPOSIT"",$C480)),
      ISNUMBER(SEARCH(""CASH DEPOSIT"",$C48"&amp;"0)),
      COUNTIFS('SUMMARY DATA'!$D:$D,$C480,'SUMMARY DATA'!$B:$B,""GRP"")&lt;&gt;1
    ),
    """",
    IFERROR(TEXTJOIN(CHAR(10),TRUE,FILTER('SUMMARY DATA'!F:F,'SUMMARY DATA'!$D:$D=$C480,'SUMMARY DATA'!$B:$B=""GRP"")),"""")
  )
)"),"")</f>
      </c>
    </row>
    <row r="1380" spans="1:6" customHeight="true">
      <c r="A1380" s="2" t="s">
        <v>1961</v>
      </c>
      <c r="B1380" s="15">
        <v>45860</v>
      </c>
      <c r="C1380" s="2" t="s">
        <v>1962</v>
      </c>
      <c r="D1380" s="6">
        <v>393</v>
      </c>
      <c r="E1380" s="16" t="str">
        <f>IFERROR(__xludf.DUMMYFUNCTION("IFERROR(
  TEXTJOIN(CHAR(10),TRUE,FILTER('SUMMARY DATA'!E:E,'SUMMARY DATA'!$A:$A=$A481,'SUMMARY DATA'!$C:$C=$B481,'SUMMARY DATA'!$B:$B=""GRP"")),
  IF(
    OR(
      ISNUMBER(SEARCH(""CDM CASH DEPOSIT"",$C481)),
      ISNUMBER(SEARCH(""CASH DEPOSIT"",$C48"&amp;"1)),
      COUNTIFS('SUMMARY DATA'!$D:$D,$C481,'SUMMARY DATA'!$B:$B,""GRP"")&lt;&gt;1
    ),
    """",
    IFERROR(TEXTJOIN(CHAR(10),TRUE,FILTER('SUMMARY DATA'!E:E,'SUMMARY DATA'!$D:$D=$C481,'SUMMARY DATA'!$B:$B=""GRP"")),"""")
  )
)"),"")</f>
      </c>
      <c r="F1380" s="17" t="str">
        <f>IFERROR(__xludf.DUMMYFUNCTION("IFERROR(
  TEXTJOIN(CHAR(10),TRUE,FILTER('SUMMARY DATA'!F:F,'SUMMARY DATA'!$A:$A=$A481,'SUMMARY DATA'!$C:$C=$B481,'SUMMARY DATA'!$B:$B=""GRP"")),
  IF(
    OR(
      ISNUMBER(SEARCH(""CDM CASH DEPOSIT"",$C481)),
      ISNUMBER(SEARCH(""CASH DEPOSIT"",$C48"&amp;"1)),
      COUNTIFS('SUMMARY DATA'!$D:$D,$C481,'SUMMARY DATA'!$B:$B,""GRP"")&lt;&gt;1
    ),
    """",
    IFERROR(TEXTJOIN(CHAR(10),TRUE,FILTER('SUMMARY DATA'!F:F,'SUMMARY DATA'!$D:$D=$C481,'SUMMARY DATA'!$B:$B=""GRP"")),"""")
  )
)"),"")</f>
      </c>
    </row>
    <row r="1381" spans="1:6" customHeight="true">
      <c r="A1381" s="2"/>
      <c r="B1381" s="15">
        <v>45860</v>
      </c>
      <c r="C1381" s="2" t="s">
        <v>1963</v>
      </c>
      <c r="D1381" s="6">
        <v>51.55</v>
      </c>
      <c r="E1381" s="16" t="str">
        <f>IFERROR(__xludf.DUMMYFUNCTION("IFERROR(
  TEXTJOIN(CHAR(10),TRUE,FILTER('SUMMARY DATA'!E:E,'SUMMARY DATA'!$A:$A=$A482,'SUMMARY DATA'!$C:$C=$B482,'SUMMARY DATA'!$B:$B=""GRP"")),
  IF(
    OR(
      ISNUMBER(SEARCH(""CDM CASH DEPOSIT"",$C482)),
      ISNUMBER(SEARCH(""CASH DEPOSIT"",$C48"&amp;"2)),
      COUNTIFS('SUMMARY DATA'!$D:$D,$C482,'SUMMARY DATA'!$B:$B,""GRP"")&lt;&gt;1
    ),
    """",
    IFERROR(TEXTJOIN(CHAR(10),TRUE,FILTER('SUMMARY DATA'!E:E,'SUMMARY DATA'!$D:$D=$C482,'SUMMARY DATA'!$B:$B=""GRP"")),"""")
  )
)"),"")</f>
      </c>
      <c r="F1381" s="17" t="str">
        <f>IFERROR(__xludf.DUMMYFUNCTION("IFERROR(
  TEXTJOIN(CHAR(10),TRUE,FILTER('SUMMARY DATA'!F:F,'SUMMARY DATA'!$A:$A=$A482,'SUMMARY DATA'!$C:$C=$B482,'SUMMARY DATA'!$B:$B=""GRP"")),
  IF(
    OR(
      ISNUMBER(SEARCH(""CDM CASH DEPOSIT"",$C482)),
      ISNUMBER(SEARCH(""CASH DEPOSIT"",$C48"&amp;"2)),
      COUNTIFS('SUMMARY DATA'!$D:$D,$C482,'SUMMARY DATA'!$B:$B,""GRP"")&lt;&gt;1
    ),
    """",
    IFERROR(TEXTJOIN(CHAR(10),TRUE,FILTER('SUMMARY DATA'!F:F,'SUMMARY DATA'!$D:$D=$C482,'SUMMARY DATA'!$B:$B=""GRP"")),"""")
  )
)"),"")</f>
      </c>
    </row>
    <row r="1382" spans="1:6" customHeight="true">
      <c r="A1382" s="2"/>
      <c r="B1382" s="15">
        <v>45860</v>
      </c>
      <c r="C1382" s="2" t="s">
        <v>87</v>
      </c>
      <c r="D1382" s="6">
        <v>2</v>
      </c>
      <c r="E1382" s="16" t="str">
        <f>IFERROR(__xludf.DUMMYFUNCTION("IFERROR(
  TEXTJOIN(CHAR(10),TRUE,FILTER('SUMMARY DATA'!E:E,'SUMMARY DATA'!$A:$A=$A483,'SUMMARY DATA'!$C:$C=$B483,'SUMMARY DATA'!$B:$B=""GRP"")),
  IF(
    OR(
      ISNUMBER(SEARCH(""CDM CASH DEPOSIT"",$C483)),
      ISNUMBER(SEARCH(""CASH DEPOSIT"",$C48"&amp;"3)),
      COUNTIFS('SUMMARY DATA'!$D:$D,$C483,'SUMMARY DATA'!$B:$B,""GRP"")&lt;&gt;1
    ),
    """",
    IFERROR(TEXTJOIN(CHAR(10),TRUE,FILTER('SUMMARY DATA'!E:E,'SUMMARY DATA'!$D:$D=$C483,'SUMMARY DATA'!$B:$B=""GRP"")),"""")
  )
)"),"")</f>
      </c>
      <c r="F1382" s="17" t="str">
        <f>IFERROR(__xludf.DUMMYFUNCTION("IFERROR(
  TEXTJOIN(CHAR(10),TRUE,FILTER('SUMMARY DATA'!F:F,'SUMMARY DATA'!$A:$A=$A483,'SUMMARY DATA'!$C:$C=$B483,'SUMMARY DATA'!$B:$B=""GRP"")),
  IF(
    OR(
      ISNUMBER(SEARCH(""CDM CASH DEPOSIT"",$C483)),
      ISNUMBER(SEARCH(""CASH DEPOSIT"",$C48"&amp;"3)),
      COUNTIFS('SUMMARY DATA'!$D:$D,$C483,'SUMMARY DATA'!$B:$B,""GRP"")&lt;&gt;1
    ),
    """",
    IFERROR(TEXTJOIN(CHAR(10),TRUE,FILTER('SUMMARY DATA'!F:F,'SUMMARY DATA'!$D:$D=$C483,'SUMMARY DATA'!$B:$B=""GRP"")),"""")
  )
)"),"")</f>
      </c>
    </row>
    <row r="1383" spans="1:6" customHeight="true">
      <c r="A1383" s="2"/>
      <c r="B1383" s="15">
        <v>45860</v>
      </c>
      <c r="C1383" s="2" t="s">
        <v>1964</v>
      </c>
      <c r="D1383" s="6">
        <v>10</v>
      </c>
      <c r="E1383" s="16" t="str">
        <f>IFERROR(__xludf.DUMMYFUNCTION("IFERROR(
  TEXTJOIN(CHAR(10),TRUE,FILTER('SUMMARY DATA'!E:E,'SUMMARY DATA'!$A:$A=$A484,'SUMMARY DATA'!$C:$C=$B484,'SUMMARY DATA'!$B:$B=""GRP"")),
  IF(
    OR(
      ISNUMBER(SEARCH(""CDM CASH DEPOSIT"",$C484)),
      ISNUMBER(SEARCH(""CASH DEPOSIT"",$C48"&amp;"4)),
      COUNTIFS('SUMMARY DATA'!$D:$D,$C484,'SUMMARY DATA'!$B:$B,""GRP"")&lt;&gt;1
    ),
    """",
    IFERROR(TEXTJOIN(CHAR(10),TRUE,FILTER('SUMMARY DATA'!E:E,'SUMMARY DATA'!$D:$D=$C484,'SUMMARY DATA'!$B:$B=""GRP"")),"""")
  )
)"),"")</f>
      </c>
      <c r="F1383" s="17" t="str">
        <f>IFERROR(__xludf.DUMMYFUNCTION("IFERROR(
  TEXTJOIN(CHAR(10),TRUE,FILTER('SUMMARY DATA'!F:F,'SUMMARY DATA'!$A:$A=$A484,'SUMMARY DATA'!$C:$C=$B484,'SUMMARY DATA'!$B:$B=""GRP"")),
  IF(
    OR(
      ISNUMBER(SEARCH(""CDM CASH DEPOSIT"",$C484)),
      ISNUMBER(SEARCH(""CASH DEPOSIT"",$C48"&amp;"4)),
      COUNTIFS('SUMMARY DATA'!$D:$D,$C484,'SUMMARY DATA'!$B:$B,""GRP"")&lt;&gt;1
    ),
    """",
    IFERROR(TEXTJOIN(CHAR(10),TRUE,FILTER('SUMMARY DATA'!F:F,'SUMMARY DATA'!$D:$D=$C484,'SUMMARY DATA'!$B:$B=""GRP"")),"""")
  )
)"),"")</f>
      </c>
    </row>
    <row r="1384" spans="1:6" customHeight="true">
      <c r="A1384" s="2" t="s">
        <v>1965</v>
      </c>
      <c r="B1384" s="15">
        <v>45859</v>
      </c>
      <c r="C1384" s="2" t="s">
        <v>1966</v>
      </c>
      <c r="D1384" s="6">
        <v>140</v>
      </c>
      <c r="E1384" s="16" t="str">
        <f>IFERROR(__xludf.DUMMYFUNCTION("IFERROR(
  TEXTJOIN(CHAR(10),TRUE,FILTER('SUMMARY DATA'!E:E,'SUMMARY DATA'!$A:$A=$A485,'SUMMARY DATA'!$C:$C=$B485,'SUMMARY DATA'!$B:$B=""GRP"")),
  IF(
    OR(
      ISNUMBER(SEARCH(""CDM CASH DEPOSIT"",$C485)),
      ISNUMBER(SEARCH(""CASH DEPOSIT"",$C48"&amp;"5)),
      COUNTIFS('SUMMARY DATA'!$D:$D,$C485,'SUMMARY DATA'!$B:$B,""GRP"")&lt;&gt;1
    ),
    """",
    IFERROR(TEXTJOIN(CHAR(10),TRUE,FILTER('SUMMARY DATA'!E:E,'SUMMARY DATA'!$D:$D=$C485,'SUMMARY DATA'!$B:$B=""GRP"")),"""")
  )
)"),"")</f>
      </c>
      <c r="F1384" s="17" t="str">
        <f>IFERROR(__xludf.DUMMYFUNCTION("IFERROR(
  TEXTJOIN(CHAR(10),TRUE,FILTER('SUMMARY DATA'!F:F,'SUMMARY DATA'!$A:$A=$A485,'SUMMARY DATA'!$C:$C=$B485,'SUMMARY DATA'!$B:$B=""GRP"")),
  IF(
    OR(
      ISNUMBER(SEARCH(""CDM CASH DEPOSIT"",$C485)),
      ISNUMBER(SEARCH(""CASH DEPOSIT"",$C48"&amp;"5)),
      COUNTIFS('SUMMARY DATA'!$D:$D,$C485,'SUMMARY DATA'!$B:$B,""GRP"")&lt;&gt;1
    ),
    """",
    IFERROR(TEXTJOIN(CHAR(10),TRUE,FILTER('SUMMARY DATA'!F:F,'SUMMARY DATA'!$D:$D=$C485,'SUMMARY DATA'!$B:$B=""GRP"")),"""")
  )
)"),"")</f>
      </c>
    </row>
    <row r="1385" spans="1:6" customHeight="true">
      <c r="A1385" s="2" t="s">
        <v>1967</v>
      </c>
      <c r="B1385" s="15">
        <v>45859</v>
      </c>
      <c r="C1385" s="2" t="s">
        <v>1968</v>
      </c>
      <c r="D1385" s="6">
        <v>20.37</v>
      </c>
      <c r="E1385" s="16" t="str">
        <f>IFERROR(__xludf.DUMMYFUNCTION("IFERROR(
  TEXTJOIN(CHAR(10),TRUE,FILTER('SUMMARY DATA'!E:E,'SUMMARY DATA'!$A:$A=$A486,'SUMMARY DATA'!$C:$C=$B486,'SUMMARY DATA'!$B:$B=""GRP"")),
  IF(
    OR(
      ISNUMBER(SEARCH(""CDM CASH DEPOSIT"",$C486)),
      ISNUMBER(SEARCH(""CASH DEPOSIT"",$C48"&amp;"6)),
      COUNTIFS('SUMMARY DATA'!$D:$D,$C486,'SUMMARY DATA'!$B:$B,""GRP"")&lt;&gt;1
    ),
    """",
    IFERROR(TEXTJOIN(CHAR(10),TRUE,FILTER('SUMMARY DATA'!E:E,'SUMMARY DATA'!$D:$D=$C486,'SUMMARY DATA'!$B:$B=""GRP"")),"""")
  )
)"),"")</f>
      </c>
      <c r="F1385" s="17" t="str">
        <f>IFERROR(__xludf.DUMMYFUNCTION("IFERROR(
  TEXTJOIN(CHAR(10),TRUE,FILTER('SUMMARY DATA'!F:F,'SUMMARY DATA'!$A:$A=$A486,'SUMMARY DATA'!$C:$C=$B486,'SUMMARY DATA'!$B:$B=""GRP"")),
  IF(
    OR(
      ISNUMBER(SEARCH(""CDM CASH DEPOSIT"",$C486)),
      ISNUMBER(SEARCH(""CASH DEPOSIT"",$C48"&amp;"6)),
      COUNTIFS('SUMMARY DATA'!$D:$D,$C486,'SUMMARY DATA'!$B:$B,""GRP"")&lt;&gt;1
    ),
    """",
    IFERROR(TEXTJOIN(CHAR(10),TRUE,FILTER('SUMMARY DATA'!F:F,'SUMMARY DATA'!$D:$D=$C486,'SUMMARY DATA'!$B:$B=""GRP"")),"""")
  )
)"),"")</f>
      </c>
    </row>
    <row r="1386" spans="1:6" customHeight="true">
      <c r="A1386" s="2"/>
      <c r="B1386" s="15">
        <v>45859</v>
      </c>
      <c r="C1386" s="2" t="s">
        <v>48</v>
      </c>
      <c r="D1386" s="6">
        <v>370</v>
      </c>
      <c r="E1386" s="16" t="str">
        <f>IFERROR(__xludf.DUMMYFUNCTION("IFERROR(
  TEXTJOIN(CHAR(10),TRUE,FILTER('SUMMARY DATA'!E:E,'SUMMARY DATA'!$A:$A=$A487,'SUMMARY DATA'!$C:$C=$B487,'SUMMARY DATA'!$B:$B=""GRP"")),
  IF(
    OR(
      ISNUMBER(SEARCH(""CDM CASH DEPOSIT"",$C487)),
      ISNUMBER(SEARCH(""CASH DEPOSIT"",$C48"&amp;"7)),
      COUNTIFS('SUMMARY DATA'!$D:$D,$C487,'SUMMARY DATA'!$B:$B,""GRP"")&lt;&gt;1
    ),
    """",
    IFERROR(TEXTJOIN(CHAR(10),TRUE,FILTER('SUMMARY DATA'!E:E,'SUMMARY DATA'!$D:$D=$C487,'SUMMARY DATA'!$B:$B=""GRP"")),"""")
  )
)"),"")</f>
      </c>
      <c r="F1386" s="17" t="str">
        <f>IFERROR(__xludf.DUMMYFUNCTION("IFERROR(
  TEXTJOIN(CHAR(10),TRUE,FILTER('SUMMARY DATA'!F:F,'SUMMARY DATA'!$A:$A=$A487,'SUMMARY DATA'!$C:$C=$B487,'SUMMARY DATA'!$B:$B=""GRP"")),
  IF(
    OR(
      ISNUMBER(SEARCH(""CDM CASH DEPOSIT"",$C487)),
      ISNUMBER(SEARCH(""CASH DEPOSIT"",$C48"&amp;"7)),
      COUNTIFS('SUMMARY DATA'!$D:$D,$C487,'SUMMARY DATA'!$B:$B,""GRP"")&lt;&gt;1
    ),
    """",
    IFERROR(TEXTJOIN(CHAR(10),TRUE,FILTER('SUMMARY DATA'!F:F,'SUMMARY DATA'!$D:$D=$C487,'SUMMARY DATA'!$B:$B=""GRP"")),"""")
  )
)"),"")</f>
      </c>
    </row>
    <row r="1387" spans="1:6" customHeight="true">
      <c r="A1387" s="2" t="s">
        <v>1969</v>
      </c>
      <c r="B1387" s="15">
        <v>45859</v>
      </c>
      <c r="C1387" s="2" t="s">
        <v>1970</v>
      </c>
      <c r="D1387" s="6">
        <v>10</v>
      </c>
      <c r="E1387" s="16" t="str">
        <f>IFERROR(__xludf.DUMMYFUNCTION("IFERROR(
  TEXTJOIN(CHAR(10),TRUE,FILTER('SUMMARY DATA'!E:E,'SUMMARY DATA'!$A:$A=$A488,'SUMMARY DATA'!$C:$C=$B488,'SUMMARY DATA'!$B:$B=""GRP"")),
  IF(
    OR(
      ISNUMBER(SEARCH(""CDM CASH DEPOSIT"",$C488)),
      ISNUMBER(SEARCH(""CASH DEPOSIT"",$C48"&amp;"8)),
      COUNTIFS('SUMMARY DATA'!$D:$D,$C488,'SUMMARY DATA'!$B:$B,""GRP"")&lt;&gt;1
    ),
    """",
    IFERROR(TEXTJOIN(CHAR(10),TRUE,FILTER('SUMMARY DATA'!E:E,'SUMMARY DATA'!$D:$D=$C488,'SUMMARY DATA'!$B:$B=""GRP"")),"""")
  )
)"),"")</f>
      </c>
      <c r="F1387" s="17" t="str">
        <f>IFERROR(__xludf.DUMMYFUNCTION("IFERROR(
  TEXTJOIN(CHAR(10),TRUE,FILTER('SUMMARY DATA'!F:F,'SUMMARY DATA'!$A:$A=$A488,'SUMMARY DATA'!$C:$C=$B488,'SUMMARY DATA'!$B:$B=""GRP"")),
  IF(
    OR(
      ISNUMBER(SEARCH(""CDM CASH DEPOSIT"",$C488)),
      ISNUMBER(SEARCH(""CASH DEPOSIT"",$C48"&amp;"8)),
      COUNTIFS('SUMMARY DATA'!$D:$D,$C488,'SUMMARY DATA'!$B:$B,""GRP"")&lt;&gt;1
    ),
    """",
    IFERROR(TEXTJOIN(CHAR(10),TRUE,FILTER('SUMMARY DATA'!F:F,'SUMMARY DATA'!$D:$D=$C488,'SUMMARY DATA'!$B:$B=""GRP"")),"""")
  )
)"),"")</f>
      </c>
    </row>
    <row r="1388" spans="1:6" customHeight="true">
      <c r="A1388" s="2"/>
      <c r="B1388" s="15">
        <v>45859</v>
      </c>
      <c r="C1388" s="2" t="s">
        <v>1971</v>
      </c>
      <c r="D1388" s="6">
        <v>10</v>
      </c>
      <c r="E1388" s="16" t="str">
        <f>IFERROR(__xludf.DUMMYFUNCTION("IFERROR(
  TEXTJOIN(CHAR(10),TRUE,FILTER('SUMMARY DATA'!E:E,'SUMMARY DATA'!$A:$A=$A489,'SUMMARY DATA'!$C:$C=$B489,'SUMMARY DATA'!$B:$B=""GRP"")),
  IF(
    OR(
      ISNUMBER(SEARCH(""CDM CASH DEPOSIT"",$C489)),
      ISNUMBER(SEARCH(""CASH DEPOSIT"",$C48"&amp;"9)),
      COUNTIFS('SUMMARY DATA'!$D:$D,$C489,'SUMMARY DATA'!$B:$B,""GRP"")&lt;&gt;1
    ),
    """",
    IFERROR(TEXTJOIN(CHAR(10),TRUE,FILTER('SUMMARY DATA'!E:E,'SUMMARY DATA'!$D:$D=$C489,'SUMMARY DATA'!$B:$B=""GRP"")),"""")
  )
)"),"")</f>
      </c>
      <c r="F1388" s="17" t="str">
        <f>IFERROR(__xludf.DUMMYFUNCTION("IFERROR(
  TEXTJOIN(CHAR(10),TRUE,FILTER('SUMMARY DATA'!F:F,'SUMMARY DATA'!$A:$A=$A489,'SUMMARY DATA'!$C:$C=$B489,'SUMMARY DATA'!$B:$B=""GRP"")),
  IF(
    OR(
      ISNUMBER(SEARCH(""CDM CASH DEPOSIT"",$C489)),
      ISNUMBER(SEARCH(""CASH DEPOSIT"",$C48"&amp;"9)),
      COUNTIFS('SUMMARY DATA'!$D:$D,$C489,'SUMMARY DATA'!$B:$B,""GRP"")&lt;&gt;1
    ),
    """",
    IFERROR(TEXTJOIN(CHAR(10),TRUE,FILTER('SUMMARY DATA'!F:F,'SUMMARY DATA'!$D:$D=$C489,'SUMMARY DATA'!$B:$B=""GRP"")),"""")
  )
)"),"")</f>
      </c>
    </row>
    <row r="1389" spans="1:6" customHeight="true">
      <c r="A1389" s="2" t="s">
        <v>1972</v>
      </c>
      <c r="B1389" s="15">
        <v>45857</v>
      </c>
      <c r="C1389" s="2" t="s">
        <v>1973</v>
      </c>
      <c r="D1389" s="6">
        <v>51</v>
      </c>
      <c r="E1389" s="16" t="str">
        <f>IFERROR(__xludf.DUMMYFUNCTION("IFERROR(
  TEXTJOIN(CHAR(10),TRUE,FILTER('SUMMARY DATA'!E:E,'SUMMARY DATA'!$A:$A=$A490,'SUMMARY DATA'!$C:$C=$B490,'SUMMARY DATA'!$B:$B=""GRP"")),
  IF(
    OR(
      ISNUMBER(SEARCH(""CDM CASH DEPOSIT"",$C490)),
      ISNUMBER(SEARCH(""CASH DEPOSIT"",$C49"&amp;"0)),
      COUNTIFS('SUMMARY DATA'!$D:$D,$C490,'SUMMARY DATA'!$B:$B,""GRP"")&lt;&gt;1
    ),
    """",
    IFERROR(TEXTJOIN(CHAR(10),TRUE,FILTER('SUMMARY DATA'!E:E,'SUMMARY DATA'!$D:$D=$C490,'SUMMARY DATA'!$B:$B=""GRP"")),"""")
  )
)"),"")</f>
      </c>
      <c r="F1389" s="17" t="str">
        <f>IFERROR(__xludf.DUMMYFUNCTION("IFERROR(
  TEXTJOIN(CHAR(10),TRUE,FILTER('SUMMARY DATA'!F:F,'SUMMARY DATA'!$A:$A=$A490,'SUMMARY DATA'!$C:$C=$B490,'SUMMARY DATA'!$B:$B=""GRP"")),
  IF(
    OR(
      ISNUMBER(SEARCH(""CDM CASH DEPOSIT"",$C490)),
      ISNUMBER(SEARCH(""CASH DEPOSIT"",$C49"&amp;"0)),
      COUNTIFS('SUMMARY DATA'!$D:$D,$C490,'SUMMARY DATA'!$B:$B,""GRP"")&lt;&gt;1
    ),
    """",
    IFERROR(TEXTJOIN(CHAR(10),TRUE,FILTER('SUMMARY DATA'!F:F,'SUMMARY DATA'!$D:$D=$C490,'SUMMARY DATA'!$B:$B=""GRP"")),"""")
  )
)"),"")</f>
      </c>
    </row>
    <row r="1390" spans="1:6" customHeight="true">
      <c r="A1390" s="2" t="s">
        <v>1974</v>
      </c>
      <c r="B1390" s="15">
        <v>45857</v>
      </c>
      <c r="C1390" s="2" t="s">
        <v>1975</v>
      </c>
      <c r="D1390" s="6">
        <v>69.99</v>
      </c>
      <c r="E1390" s="16" t="str">
        <f>IFERROR(__xludf.DUMMYFUNCTION("IFERROR(
  TEXTJOIN(CHAR(10),TRUE,FILTER('SUMMARY DATA'!E:E,'SUMMARY DATA'!$A:$A=$A491,'SUMMARY DATA'!$C:$C=$B491,'SUMMARY DATA'!$B:$B=""GRP"")),
  IF(
    OR(
      ISNUMBER(SEARCH(""CDM CASH DEPOSIT"",$C491)),
      ISNUMBER(SEARCH(""CASH DEPOSIT"",$C49"&amp;"1)),
      COUNTIFS('SUMMARY DATA'!$D:$D,$C491,'SUMMARY DATA'!$B:$B,""GRP"")&lt;&gt;1
    ),
    """",
    IFERROR(TEXTJOIN(CHAR(10),TRUE,FILTER('SUMMARY DATA'!E:E,'SUMMARY DATA'!$D:$D=$C491,'SUMMARY DATA'!$B:$B=""GRP"")),"""")
  )
)"),"")</f>
      </c>
      <c r="F1390" s="17" t="str">
        <f>IFERROR(__xludf.DUMMYFUNCTION("IFERROR(
  TEXTJOIN(CHAR(10),TRUE,FILTER('SUMMARY DATA'!F:F,'SUMMARY DATA'!$A:$A=$A491,'SUMMARY DATA'!$C:$C=$B491,'SUMMARY DATA'!$B:$B=""GRP"")),
  IF(
    OR(
      ISNUMBER(SEARCH(""CDM CASH DEPOSIT"",$C491)),
      ISNUMBER(SEARCH(""CASH DEPOSIT"",$C49"&amp;"1)),
      COUNTIFS('SUMMARY DATA'!$D:$D,$C491,'SUMMARY DATA'!$B:$B,""GRP"")&lt;&gt;1
    ),
    """",
    IFERROR(TEXTJOIN(CHAR(10),TRUE,FILTER('SUMMARY DATA'!F:F,'SUMMARY DATA'!$D:$D=$C491,'SUMMARY DATA'!$B:$B=""GRP"")),"""")
  )
)"),"")</f>
      </c>
    </row>
    <row r="1391" spans="1:6" customHeight="true">
      <c r="A1391" s="2"/>
      <c r="B1391" s="15">
        <v>45857</v>
      </c>
      <c r="C1391" s="2" t="s">
        <v>1976</v>
      </c>
      <c r="D1391" s="6">
        <v>0.1</v>
      </c>
      <c r="E1391" s="16" t="str">
        <f>IFERROR(__xludf.DUMMYFUNCTION("IFERROR(
  TEXTJOIN(CHAR(10),TRUE,FILTER('SUMMARY DATA'!E:E,'SUMMARY DATA'!$A:$A=$A492,'SUMMARY DATA'!$C:$C=$B492,'SUMMARY DATA'!$B:$B=""GRP"")),
  IF(
    OR(
      ISNUMBER(SEARCH(""CDM CASH DEPOSIT"",$C492)),
      ISNUMBER(SEARCH(""CASH DEPOSIT"",$C49"&amp;"2)),
      COUNTIFS('SUMMARY DATA'!$D:$D,$C492,'SUMMARY DATA'!$B:$B,""GRP"")&lt;&gt;1
    ),
    """",
    IFERROR(TEXTJOIN(CHAR(10),TRUE,FILTER('SUMMARY DATA'!E:E,'SUMMARY DATA'!$D:$D=$C492,'SUMMARY DATA'!$B:$B=""GRP"")),"""")
  )
)"),"")</f>
      </c>
      <c r="F1391" s="17" t="str">
        <f>IFERROR(__xludf.DUMMYFUNCTION("IFERROR(
  TEXTJOIN(CHAR(10),TRUE,FILTER('SUMMARY DATA'!F:F,'SUMMARY DATA'!$A:$A=$A492,'SUMMARY DATA'!$C:$C=$B492,'SUMMARY DATA'!$B:$B=""GRP"")),
  IF(
    OR(
      ISNUMBER(SEARCH(""CDM CASH DEPOSIT"",$C492)),
      ISNUMBER(SEARCH(""CASH DEPOSIT"",$C49"&amp;"2)),
      COUNTIFS('SUMMARY DATA'!$D:$D,$C492,'SUMMARY DATA'!$B:$B,""GRP"")&lt;&gt;1
    ),
    """",
    IFERROR(TEXTJOIN(CHAR(10),TRUE,FILTER('SUMMARY DATA'!F:F,'SUMMARY DATA'!$D:$D=$C492,'SUMMARY DATA'!$B:$B=""GRP"")),"""")
  )
)"),"")</f>
      </c>
    </row>
    <row r="1392" spans="1:6" customHeight="true">
      <c r="A1392" s="2"/>
      <c r="B1392" s="15">
        <v>45857</v>
      </c>
      <c r="C1392" s="2" t="s">
        <v>1977</v>
      </c>
      <c r="D1392" s="6">
        <v>1</v>
      </c>
      <c r="E1392" s="16" t="str">
        <f>IFERROR(__xludf.DUMMYFUNCTION("IFERROR(
  TEXTJOIN(CHAR(10),TRUE,FILTER('SUMMARY DATA'!E:E,'SUMMARY DATA'!$A:$A=$A493,'SUMMARY DATA'!$C:$C=$B493,'SUMMARY DATA'!$B:$B=""GRP"")),
  IF(
    OR(
      ISNUMBER(SEARCH(""CDM CASH DEPOSIT"",$C493)),
      ISNUMBER(SEARCH(""CASH DEPOSIT"",$C49"&amp;"3)),
      COUNTIFS('SUMMARY DATA'!$D:$D,$C493,'SUMMARY DATA'!$B:$B,""GRP"")&lt;&gt;1
    ),
    """",
    IFERROR(TEXTJOIN(CHAR(10),TRUE,FILTER('SUMMARY DATA'!E:E,'SUMMARY DATA'!$D:$D=$C493,'SUMMARY DATA'!$B:$B=""GRP"")),"""")
  )
)"),"")</f>
      </c>
      <c r="F1392" s="17" t="str">
        <f>IFERROR(__xludf.DUMMYFUNCTION("IFERROR(
  TEXTJOIN(CHAR(10),TRUE,FILTER('SUMMARY DATA'!F:F,'SUMMARY DATA'!$A:$A=$A493,'SUMMARY DATA'!$C:$C=$B493,'SUMMARY DATA'!$B:$B=""GRP"")),
  IF(
    OR(
      ISNUMBER(SEARCH(""CDM CASH DEPOSIT"",$C493)),
      ISNUMBER(SEARCH(""CASH DEPOSIT"",$C49"&amp;"3)),
      COUNTIFS('SUMMARY DATA'!$D:$D,$C493,'SUMMARY DATA'!$B:$B,""GRP"")&lt;&gt;1
    ),
    """",
    IFERROR(TEXTJOIN(CHAR(10),TRUE,FILTER('SUMMARY DATA'!F:F,'SUMMARY DATA'!$D:$D=$C493,'SUMMARY DATA'!$B:$B=""GRP"")),"""")
  )
)"),"")</f>
      </c>
    </row>
    <row r="1393" spans="1:6" customHeight="true">
      <c r="A1393" s="2"/>
      <c r="B1393" s="15">
        <v>45856</v>
      </c>
      <c r="C1393" s="2" t="s">
        <v>1978</v>
      </c>
      <c r="D1393" s="6">
        <v>20</v>
      </c>
      <c r="E1393" s="16" t="str">
        <f>IFERROR(__xludf.DUMMYFUNCTION("IFERROR(
  TEXTJOIN(CHAR(10),TRUE,FILTER('SUMMARY DATA'!E:E,'SUMMARY DATA'!$A:$A=$A494,'SUMMARY DATA'!$C:$C=$B494,'SUMMARY DATA'!$B:$B=""GRP"")),
  IF(
    OR(
      ISNUMBER(SEARCH(""CDM CASH DEPOSIT"",$C494)),
      ISNUMBER(SEARCH(""CASH DEPOSIT"",$C49"&amp;"4)),
      COUNTIFS('SUMMARY DATA'!$D:$D,$C494,'SUMMARY DATA'!$B:$B,""GRP"")&lt;&gt;1
    ),
    """",
    IFERROR(TEXTJOIN(CHAR(10),TRUE,FILTER('SUMMARY DATA'!E:E,'SUMMARY DATA'!$D:$D=$C494,'SUMMARY DATA'!$B:$B=""GRP"")),"""")
  )
)"),"")</f>
      </c>
      <c r="F1393" s="17" t="str">
        <f>IFERROR(__xludf.DUMMYFUNCTION("IFERROR(
  TEXTJOIN(CHAR(10),TRUE,FILTER('SUMMARY DATA'!F:F,'SUMMARY DATA'!$A:$A=$A494,'SUMMARY DATA'!$C:$C=$B494,'SUMMARY DATA'!$B:$B=""GRP"")),
  IF(
    OR(
      ISNUMBER(SEARCH(""CDM CASH DEPOSIT"",$C494)),
      ISNUMBER(SEARCH(""CASH DEPOSIT"",$C49"&amp;"4)),
      COUNTIFS('SUMMARY DATA'!$D:$D,$C494,'SUMMARY DATA'!$B:$B,""GRP"")&lt;&gt;1
    ),
    """",
    IFERROR(TEXTJOIN(CHAR(10),TRUE,FILTER('SUMMARY DATA'!F:F,'SUMMARY DATA'!$D:$D=$C494,'SUMMARY DATA'!$B:$B=""GRP"")),"""")
  )
)"),"")</f>
      </c>
    </row>
    <row r="1394" spans="1:6" customHeight="true">
      <c r="A1394" s="2"/>
      <c r="B1394" s="15">
        <v>45856</v>
      </c>
      <c r="C1394" s="2" t="s">
        <v>1890</v>
      </c>
      <c r="D1394" s="6">
        <v>14.99</v>
      </c>
      <c r="E1394" s="16" t="str">
        <f>IFERROR(__xludf.DUMMYFUNCTION("IFERROR(
  TEXTJOIN(CHAR(10),TRUE,FILTER('SUMMARY DATA'!E:E,'SUMMARY DATA'!$A:$A=$A495,'SUMMARY DATA'!$C:$C=$B495,'SUMMARY DATA'!$B:$B=""GRP"")),
  IF(
    OR(
      ISNUMBER(SEARCH(""CDM CASH DEPOSIT"",$C495)),
      ISNUMBER(SEARCH(""CASH DEPOSIT"",$C49"&amp;"5)),
      COUNTIFS('SUMMARY DATA'!$D:$D,$C495,'SUMMARY DATA'!$B:$B,""GRP"")&lt;&gt;1
    ),
    """",
    IFERROR(TEXTJOIN(CHAR(10),TRUE,FILTER('SUMMARY DATA'!E:E,'SUMMARY DATA'!$D:$D=$C495,'SUMMARY DATA'!$B:$B=""GRP"")),"""")
  )
)"),"")</f>
      </c>
      <c r="F1394" s="17" t="str">
        <f>IFERROR(__xludf.DUMMYFUNCTION("IFERROR(
  TEXTJOIN(CHAR(10),TRUE,FILTER('SUMMARY DATA'!F:F,'SUMMARY DATA'!$A:$A=$A495,'SUMMARY DATA'!$C:$C=$B495,'SUMMARY DATA'!$B:$B=""GRP"")),
  IF(
    OR(
      ISNUMBER(SEARCH(""CDM CASH DEPOSIT"",$C495)),
      ISNUMBER(SEARCH(""CASH DEPOSIT"",$C49"&amp;"5)),
      COUNTIFS('SUMMARY DATA'!$D:$D,$C495,'SUMMARY DATA'!$B:$B,""GRP"")&lt;&gt;1
    ),
    """",
    IFERROR(TEXTJOIN(CHAR(10),TRUE,FILTER('SUMMARY DATA'!F:F,'SUMMARY DATA'!$D:$D=$C495,'SUMMARY DATA'!$B:$B=""GRP"")),"""")
  )
)"),"")</f>
      </c>
    </row>
    <row r="1395" spans="1:6" customHeight="true">
      <c r="A1395" s="2"/>
      <c r="B1395" s="15">
        <v>45856</v>
      </c>
      <c r="C1395" s="2" t="s">
        <v>1979</v>
      </c>
      <c r="D1395" s="6">
        <v>2657</v>
      </c>
      <c r="E1395" s="16" t="str">
        <f>IFERROR(__xludf.DUMMYFUNCTION("IFERROR(
  TEXTJOIN(CHAR(10),TRUE,FILTER('SUMMARY DATA'!E:E,'SUMMARY DATA'!$A:$A=$A496,'SUMMARY DATA'!$C:$C=$B496,'SUMMARY DATA'!$B:$B=""GRP"")),
  IF(
    OR(
      ISNUMBER(SEARCH(""CDM CASH DEPOSIT"",$C496)),
      ISNUMBER(SEARCH(""CASH DEPOSIT"",$C49"&amp;"6)),
      COUNTIFS('SUMMARY DATA'!$D:$D,$C496,'SUMMARY DATA'!$B:$B,""GRP"")&lt;&gt;1
    ),
    """",
    IFERROR(TEXTJOIN(CHAR(10),TRUE,FILTER('SUMMARY DATA'!E:E,'SUMMARY DATA'!$D:$D=$C496,'SUMMARY DATA'!$B:$B=""GRP"")),"""")
  )
)"),"")</f>
      </c>
      <c r="F1395" s="17" t="str">
        <f>IFERROR(__xludf.DUMMYFUNCTION("IFERROR(
  TEXTJOIN(CHAR(10),TRUE,FILTER('SUMMARY DATA'!F:F,'SUMMARY DATA'!$A:$A=$A496,'SUMMARY DATA'!$C:$C=$B496,'SUMMARY DATA'!$B:$B=""GRP"")),
  IF(
    OR(
      ISNUMBER(SEARCH(""CDM CASH DEPOSIT"",$C496)),
      ISNUMBER(SEARCH(""CASH DEPOSIT"",$C49"&amp;"6)),
      COUNTIFS('SUMMARY DATA'!$D:$D,$C496,'SUMMARY DATA'!$B:$B,""GRP"")&lt;&gt;1
    ),
    """",
    IFERROR(TEXTJOIN(CHAR(10),TRUE,FILTER('SUMMARY DATA'!F:F,'SUMMARY DATA'!$D:$D=$C496,'SUMMARY DATA'!$B:$B=""GRP"")),"""")
  )
)"),"")</f>
      </c>
    </row>
    <row r="1396" spans="1:6" customHeight="true">
      <c r="A1396" s="2"/>
      <c r="B1396" s="15">
        <v>45856</v>
      </c>
      <c r="C1396" s="2" t="s">
        <v>1980</v>
      </c>
      <c r="D1396" s="6">
        <v>5</v>
      </c>
      <c r="E1396" s="16" t="str">
        <f>IFERROR(__xludf.DUMMYFUNCTION("IFERROR(
  TEXTJOIN(CHAR(10),TRUE,FILTER('SUMMARY DATA'!E:E,'SUMMARY DATA'!$A:$A=$A497,'SUMMARY DATA'!$C:$C=$B497,'SUMMARY DATA'!$B:$B=""GRP"")),
  IF(
    OR(
      ISNUMBER(SEARCH(""CDM CASH DEPOSIT"",$C497)),
      ISNUMBER(SEARCH(""CASH DEPOSIT"",$C49"&amp;"7)),
      COUNTIFS('SUMMARY DATA'!$D:$D,$C497,'SUMMARY DATA'!$B:$B,""GRP"")&lt;&gt;1
    ),
    """",
    IFERROR(TEXTJOIN(CHAR(10),TRUE,FILTER('SUMMARY DATA'!E:E,'SUMMARY DATA'!$D:$D=$C497,'SUMMARY DATA'!$B:$B=""GRP"")),"""")
  )
)"),"")</f>
      </c>
      <c r="F1396" s="17" t="str">
        <f>IFERROR(__xludf.DUMMYFUNCTION("IFERROR(
  TEXTJOIN(CHAR(10),TRUE,FILTER('SUMMARY DATA'!F:F,'SUMMARY DATA'!$A:$A=$A497,'SUMMARY DATA'!$C:$C=$B497,'SUMMARY DATA'!$B:$B=""GRP"")),
  IF(
    OR(
      ISNUMBER(SEARCH(""CDM CASH DEPOSIT"",$C497)),
      ISNUMBER(SEARCH(""CASH DEPOSIT"",$C49"&amp;"7)),
      COUNTIFS('SUMMARY DATA'!$D:$D,$C497,'SUMMARY DATA'!$B:$B,""GRP"")&lt;&gt;1
    ),
    """",
    IFERROR(TEXTJOIN(CHAR(10),TRUE,FILTER('SUMMARY DATA'!F:F,'SUMMARY DATA'!$D:$D=$C497,'SUMMARY DATA'!$B:$B=""GRP"")),"""")
  )
)"),"")</f>
      </c>
    </row>
    <row r="1397" spans="1:6" customHeight="true">
      <c r="A1397" s="2" t="s">
        <v>1981</v>
      </c>
      <c r="B1397" s="15">
        <v>45856</v>
      </c>
      <c r="C1397" s="2" t="s">
        <v>1982</v>
      </c>
      <c r="D1397" s="6">
        <v>343.76</v>
      </c>
      <c r="E1397" s="16" t="str">
        <f>IFERROR(__xludf.DUMMYFUNCTION("IFERROR(
  TEXTJOIN(CHAR(10),TRUE,FILTER('SUMMARY DATA'!E:E,'SUMMARY DATA'!$A:$A=$A498,'SUMMARY DATA'!$C:$C=$B498,'SUMMARY DATA'!$B:$B=""GRP"")),
  IF(
    OR(
      ISNUMBER(SEARCH(""CDM CASH DEPOSIT"",$C498)),
      ISNUMBER(SEARCH(""CASH DEPOSIT"",$C49"&amp;"8)),
      COUNTIFS('SUMMARY DATA'!$D:$D,$C498,'SUMMARY DATA'!$B:$B,""GRP"")&lt;&gt;1
    ),
    """",
    IFERROR(TEXTJOIN(CHAR(10),TRUE,FILTER('SUMMARY DATA'!E:E,'SUMMARY DATA'!$D:$D=$C498,'SUMMARY DATA'!$B:$B=""GRP"")),"""")
  )
)"),"")</f>
      </c>
      <c r="F1397" s="17" t="str">
        <f>IFERROR(__xludf.DUMMYFUNCTION("IFERROR(
  TEXTJOIN(CHAR(10),TRUE,FILTER('SUMMARY DATA'!F:F,'SUMMARY DATA'!$A:$A=$A498,'SUMMARY DATA'!$C:$C=$B498,'SUMMARY DATA'!$B:$B=""GRP"")),
  IF(
    OR(
      ISNUMBER(SEARCH(""CDM CASH DEPOSIT"",$C498)),
      ISNUMBER(SEARCH(""CASH DEPOSIT"",$C49"&amp;"8)),
      COUNTIFS('SUMMARY DATA'!$D:$D,$C498,'SUMMARY DATA'!$B:$B,""GRP"")&lt;&gt;1
    ),
    """",
    IFERROR(TEXTJOIN(CHAR(10),TRUE,FILTER('SUMMARY DATA'!F:F,'SUMMARY DATA'!$D:$D=$C498,'SUMMARY DATA'!$B:$B=""GRP"")),"""")
  )
)"),"")</f>
      </c>
    </row>
    <row r="1398" spans="1:6" customHeight="true">
      <c r="A1398" s="2"/>
      <c r="B1398" s="15">
        <v>45855</v>
      </c>
      <c r="C1398" s="2" t="s">
        <v>1983</v>
      </c>
      <c r="D1398" s="6">
        <v>25.4</v>
      </c>
      <c r="E1398" s="16" t="str">
        <f>IFERROR(__xludf.DUMMYFUNCTION("IFERROR(
  TEXTJOIN(CHAR(10),TRUE,FILTER('SUMMARY DATA'!E:E,'SUMMARY DATA'!$A:$A=$A499,'SUMMARY DATA'!$C:$C=$B499,'SUMMARY DATA'!$B:$B=""GRP"")),
  IF(
    OR(
      ISNUMBER(SEARCH(""CDM CASH DEPOSIT"",$C499)),
      ISNUMBER(SEARCH(""CASH DEPOSIT"",$C49"&amp;"9)),
      COUNTIFS('SUMMARY DATA'!$D:$D,$C499,'SUMMARY DATA'!$B:$B,""GRP"")&lt;&gt;1
    ),
    """",
    IFERROR(TEXTJOIN(CHAR(10),TRUE,FILTER('SUMMARY DATA'!E:E,'SUMMARY DATA'!$D:$D=$C499,'SUMMARY DATA'!$B:$B=""GRP"")),"""")
  )
)"),"")</f>
      </c>
      <c r="F1398" s="17" t="str">
        <f>IFERROR(__xludf.DUMMYFUNCTION("IFERROR(
  TEXTJOIN(CHAR(10),TRUE,FILTER('SUMMARY DATA'!F:F,'SUMMARY DATA'!$A:$A=$A499,'SUMMARY DATA'!$C:$C=$B499,'SUMMARY DATA'!$B:$B=""GRP"")),
  IF(
    OR(
      ISNUMBER(SEARCH(""CDM CASH DEPOSIT"",$C499)),
      ISNUMBER(SEARCH(""CASH DEPOSIT"",$C49"&amp;"9)),
      COUNTIFS('SUMMARY DATA'!$D:$D,$C499,'SUMMARY DATA'!$B:$B,""GRP"")&lt;&gt;1
    ),
    """",
    IFERROR(TEXTJOIN(CHAR(10),TRUE,FILTER('SUMMARY DATA'!F:F,'SUMMARY DATA'!$D:$D=$C499,'SUMMARY DATA'!$B:$B=""GRP"")),"""")
  )
)"),"")</f>
      </c>
    </row>
    <row r="1399" spans="1:6" customHeight="true">
      <c r="A1399" s="2"/>
      <c r="B1399" s="15">
        <v>45855</v>
      </c>
      <c r="C1399" s="2" t="s">
        <v>1984</v>
      </c>
      <c r="D1399" s="6">
        <v>298</v>
      </c>
      <c r="E1399" s="16" t="str">
        <f>IFERROR(__xludf.DUMMYFUNCTION("IFERROR(
  TEXTJOIN(CHAR(10),TRUE,FILTER('SUMMARY DATA'!E:E,'SUMMARY DATA'!$A:$A=$A500,'SUMMARY DATA'!$C:$C=$B500,'SUMMARY DATA'!$B:$B=""GRP"")),
  IF(
    OR(
      ISNUMBER(SEARCH(""CDM CASH DEPOSIT"",$C500)),
      ISNUMBER(SEARCH(""CASH DEPOSIT"",$C50"&amp;"0)),
      COUNTIFS('SUMMARY DATA'!$D:$D,$C500,'SUMMARY DATA'!$B:$B,""GRP"")&lt;&gt;1
    ),
    """",
    IFERROR(TEXTJOIN(CHAR(10),TRUE,FILTER('SUMMARY DATA'!E:E,'SUMMARY DATA'!$D:$D=$C500,'SUMMARY DATA'!$B:$B=""GRP"")),"""")
  )
)"),"")</f>
      </c>
      <c r="F1399" s="17" t="str">
        <f>IFERROR(__xludf.DUMMYFUNCTION("IFERROR(
  TEXTJOIN(CHAR(10),TRUE,FILTER('SUMMARY DATA'!F:F,'SUMMARY DATA'!$A:$A=$A500,'SUMMARY DATA'!$C:$C=$B500,'SUMMARY DATA'!$B:$B=""GRP"")),
  IF(
    OR(
      ISNUMBER(SEARCH(""CDM CASH DEPOSIT"",$C500)),
      ISNUMBER(SEARCH(""CASH DEPOSIT"",$C50"&amp;"0)),
      COUNTIFS('SUMMARY DATA'!$D:$D,$C500,'SUMMARY DATA'!$B:$B,""GRP"")&lt;&gt;1
    ),
    """",
    IFERROR(TEXTJOIN(CHAR(10),TRUE,FILTER('SUMMARY DATA'!F:F,'SUMMARY DATA'!$D:$D=$C500,'SUMMARY DATA'!$B:$B=""GRP"")),"""")
  )
)"),"")</f>
      </c>
    </row>
    <row r="1400" spans="1:6" customHeight="true">
      <c r="A1400" s="2" t="s">
        <v>1985</v>
      </c>
      <c r="B1400" s="15">
        <v>45855</v>
      </c>
      <c r="C1400" s="2" t="s">
        <v>1986</v>
      </c>
      <c r="D1400" s="6">
        <v>76</v>
      </c>
      <c r="E1400" s="16" t="str">
        <f>IFERROR(__xludf.DUMMYFUNCTION("IFERROR(
  TEXTJOIN(CHAR(10),TRUE,FILTER('SUMMARY DATA'!E:E,'SUMMARY DATA'!$A:$A=$A501,'SUMMARY DATA'!$C:$C=$B501,'SUMMARY DATA'!$B:$B=""GRP"")),
  IF(
    OR(
      ISNUMBER(SEARCH(""CDM CASH DEPOSIT"",$C501)),
      ISNUMBER(SEARCH(""CASH DEPOSIT"",$C50"&amp;"1)),
      COUNTIFS('SUMMARY DATA'!$D:$D,$C501,'SUMMARY DATA'!$B:$B,""GRP"")&lt;&gt;1
    ),
    """",
    IFERROR(TEXTJOIN(CHAR(10),TRUE,FILTER('SUMMARY DATA'!E:E,'SUMMARY DATA'!$D:$D=$C501,'SUMMARY DATA'!$B:$B=""GRP"")),"""")
  )
)"),"")</f>
      </c>
      <c r="F1400" s="17" t="str">
        <f>IFERROR(__xludf.DUMMYFUNCTION("IFERROR(
  TEXTJOIN(CHAR(10),TRUE,FILTER('SUMMARY DATA'!F:F,'SUMMARY DATA'!$A:$A=$A501,'SUMMARY DATA'!$C:$C=$B501,'SUMMARY DATA'!$B:$B=""GRP"")),
  IF(
    OR(
      ISNUMBER(SEARCH(""CDM CASH DEPOSIT"",$C501)),
      ISNUMBER(SEARCH(""CASH DEPOSIT"",$C50"&amp;"1)),
      COUNTIFS('SUMMARY DATA'!$D:$D,$C501,'SUMMARY DATA'!$B:$B,""GRP"")&lt;&gt;1
    ),
    """",
    IFERROR(TEXTJOIN(CHAR(10),TRUE,FILTER('SUMMARY DATA'!F:F,'SUMMARY DATA'!$D:$D=$C501,'SUMMARY DATA'!$B:$B=""GRP"")),"""")
  )
)"),"")</f>
      </c>
    </row>
    <row r="1401" spans="1:6" customHeight="true">
      <c r="A1401" s="2"/>
      <c r="B1401" s="15">
        <v>45854</v>
      </c>
      <c r="C1401" s="2" t="s">
        <v>181</v>
      </c>
      <c r="D1401" s="6">
        <v>156</v>
      </c>
      <c r="E1401" s="16" t="str">
        <f>IFERROR(__xludf.DUMMYFUNCTION("IFERROR(
  TEXTJOIN(CHAR(10),TRUE,FILTER('SUMMARY DATA'!E:E,'SUMMARY DATA'!$A:$A=$A502,'SUMMARY DATA'!$C:$C=$B502,'SUMMARY DATA'!$B:$B=""GRP"")),
  IF(
    OR(
      ISNUMBER(SEARCH(""CDM CASH DEPOSIT"",$C502)),
      ISNUMBER(SEARCH(""CASH DEPOSIT"",$C50"&amp;"2)),
      COUNTIFS('SUMMARY DATA'!$D:$D,$C502,'SUMMARY DATA'!$B:$B,""GRP"")&lt;&gt;1
    ),
    """",
    IFERROR(TEXTJOIN(CHAR(10),TRUE,FILTER('SUMMARY DATA'!E:E,'SUMMARY DATA'!$D:$D=$C502,'SUMMARY DATA'!$B:$B=""GRP"")),"""")
  )
)"),"")</f>
      </c>
      <c r="F1401" s="17" t="str">
        <f>IFERROR(__xludf.DUMMYFUNCTION("IFERROR(
  TEXTJOIN(CHAR(10),TRUE,FILTER('SUMMARY DATA'!F:F,'SUMMARY DATA'!$A:$A=$A502,'SUMMARY DATA'!$C:$C=$B502,'SUMMARY DATA'!$B:$B=""GRP"")),
  IF(
    OR(
      ISNUMBER(SEARCH(""CDM CASH DEPOSIT"",$C502)),
      ISNUMBER(SEARCH(""CASH DEPOSIT"",$C50"&amp;"2)),
      COUNTIFS('SUMMARY DATA'!$D:$D,$C502,'SUMMARY DATA'!$B:$B,""GRP"")&lt;&gt;1
    ),
    """",
    IFERROR(TEXTJOIN(CHAR(10),TRUE,FILTER('SUMMARY DATA'!F:F,'SUMMARY DATA'!$D:$D=$C502,'SUMMARY DATA'!$B:$B=""GRP"")),"""")
  )
)"),"")</f>
      </c>
    </row>
    <row r="1402" spans="1:6" customHeight="true">
      <c r="A1402" s="2" t="s">
        <v>1987</v>
      </c>
      <c r="B1402" s="15">
        <v>45854</v>
      </c>
      <c r="C1402" s="2" t="s">
        <v>1988</v>
      </c>
      <c r="D1402" s="6">
        <v>45.17</v>
      </c>
      <c r="E1402" s="16" t="str">
        <f>IFERROR(__xludf.DUMMYFUNCTION("IFERROR(
  TEXTJOIN(CHAR(10),TRUE,FILTER('SUMMARY DATA'!E:E,'SUMMARY DATA'!$A:$A=$A503,'SUMMARY DATA'!$C:$C=$B503,'SUMMARY DATA'!$B:$B=""GRP"")),
  IF(
    OR(
      ISNUMBER(SEARCH(""CDM CASH DEPOSIT"",$C503)),
      ISNUMBER(SEARCH(""CASH DEPOSIT"",$C50"&amp;"3)),
      COUNTIFS('SUMMARY DATA'!$D:$D,$C503,'SUMMARY DATA'!$B:$B,""GRP"")&lt;&gt;1
    ),
    """",
    IFERROR(TEXTJOIN(CHAR(10),TRUE,FILTER('SUMMARY DATA'!E:E,'SUMMARY DATA'!$D:$D=$C503,'SUMMARY DATA'!$B:$B=""GRP"")),"""")
  )
)"),"")</f>
      </c>
      <c r="F1402" s="17" t="str">
        <f>IFERROR(__xludf.DUMMYFUNCTION("IFERROR(
  TEXTJOIN(CHAR(10),TRUE,FILTER('SUMMARY DATA'!F:F,'SUMMARY DATA'!$A:$A=$A503,'SUMMARY DATA'!$C:$C=$B503,'SUMMARY DATA'!$B:$B=""GRP"")),
  IF(
    OR(
      ISNUMBER(SEARCH(""CDM CASH DEPOSIT"",$C503)),
      ISNUMBER(SEARCH(""CASH DEPOSIT"",$C50"&amp;"3)),
      COUNTIFS('SUMMARY DATA'!$D:$D,$C503,'SUMMARY DATA'!$B:$B,""GRP"")&lt;&gt;1
    ),
    """",
    IFERROR(TEXTJOIN(CHAR(10),TRUE,FILTER('SUMMARY DATA'!F:F,'SUMMARY DATA'!$D:$D=$C503,'SUMMARY DATA'!$B:$B=""GRP"")),"""")
  )
)"),"")</f>
      </c>
    </row>
    <row r="1403" spans="1:6" customHeight="true">
      <c r="A1403" s="2"/>
      <c r="B1403" s="15">
        <v>45854</v>
      </c>
      <c r="C1403" s="2" t="s">
        <v>1989</v>
      </c>
      <c r="D1403" s="6">
        <v>119.2</v>
      </c>
      <c r="E1403" s="16" t="str">
        <f>IFERROR(__xludf.DUMMYFUNCTION("IFERROR(
  TEXTJOIN(CHAR(10),TRUE,FILTER('SUMMARY DATA'!E:E,'SUMMARY DATA'!$A:$A=$A504,'SUMMARY DATA'!$C:$C=$B504,'SUMMARY DATA'!$B:$B=""GRP"")),
  IF(
    OR(
      ISNUMBER(SEARCH(""CDM CASH DEPOSIT"",$C504)),
      ISNUMBER(SEARCH(""CASH DEPOSIT"",$C50"&amp;"4)),
      COUNTIFS('SUMMARY DATA'!$D:$D,$C504,'SUMMARY DATA'!$B:$B,""GRP"")&lt;&gt;1
    ),
    """",
    IFERROR(TEXTJOIN(CHAR(10),TRUE,FILTER('SUMMARY DATA'!E:E,'SUMMARY DATA'!$D:$D=$C504,'SUMMARY DATA'!$B:$B=""GRP"")),"""")
  )
)"),"")</f>
      </c>
      <c r="F1403" s="17" t="str">
        <f>IFERROR(__xludf.DUMMYFUNCTION("IFERROR(
  TEXTJOIN(CHAR(10),TRUE,FILTER('SUMMARY DATA'!F:F,'SUMMARY DATA'!$A:$A=$A504,'SUMMARY DATA'!$C:$C=$B504,'SUMMARY DATA'!$B:$B=""GRP"")),
  IF(
    OR(
      ISNUMBER(SEARCH(""CDM CASH DEPOSIT"",$C504)),
      ISNUMBER(SEARCH(""CASH DEPOSIT"",$C50"&amp;"4)),
      COUNTIFS('SUMMARY DATA'!$D:$D,$C504,'SUMMARY DATA'!$B:$B,""GRP"")&lt;&gt;1
    ),
    """",
    IFERROR(TEXTJOIN(CHAR(10),TRUE,FILTER('SUMMARY DATA'!F:F,'SUMMARY DATA'!$D:$D=$C504,'SUMMARY DATA'!$B:$B=""GRP"")),"""")
  )
)"),"")</f>
      </c>
    </row>
    <row r="1404" spans="1:6" customHeight="true">
      <c r="A1404" s="2" t="s">
        <v>1803</v>
      </c>
      <c r="B1404" s="15">
        <v>45854</v>
      </c>
      <c r="C1404" s="2" t="s">
        <v>1990</v>
      </c>
      <c r="D1404" s="6">
        <v>96</v>
      </c>
      <c r="E1404" s="16" t="str">
        <f>IFERROR(__xludf.DUMMYFUNCTION("IFERROR(
  TEXTJOIN(CHAR(10),TRUE,FILTER('SUMMARY DATA'!E:E,'SUMMARY DATA'!$A:$A=$A505,'SUMMARY DATA'!$C:$C=$B505,'SUMMARY DATA'!$B:$B=""GRP"")),
  IF(
    OR(
      ISNUMBER(SEARCH(""CDM CASH DEPOSIT"",$C505)),
      ISNUMBER(SEARCH(""CASH DEPOSIT"",$C50"&amp;"5)),
      COUNTIFS('SUMMARY DATA'!$D:$D,$C505,'SUMMARY DATA'!$B:$B,""GRP"")&lt;&gt;1
    ),
    """",
    IFERROR(TEXTJOIN(CHAR(10),TRUE,FILTER('SUMMARY DATA'!E:E,'SUMMARY DATA'!$D:$D=$C505,'SUMMARY DATA'!$B:$B=""GRP"")),"""")
  )
)"),"")</f>
      </c>
      <c r="F1404" s="17" t="str">
        <f>IFERROR(__xludf.DUMMYFUNCTION("IFERROR(
  TEXTJOIN(CHAR(10),TRUE,FILTER('SUMMARY DATA'!F:F,'SUMMARY DATA'!$A:$A=$A505,'SUMMARY DATA'!$C:$C=$B505,'SUMMARY DATA'!$B:$B=""GRP"")),
  IF(
    OR(
      ISNUMBER(SEARCH(""CDM CASH DEPOSIT"",$C505)),
      ISNUMBER(SEARCH(""CASH DEPOSIT"",$C50"&amp;"5)),
      COUNTIFS('SUMMARY DATA'!$D:$D,$C505,'SUMMARY DATA'!$B:$B,""GRP"")&lt;&gt;1
    ),
    """",
    IFERROR(TEXTJOIN(CHAR(10),TRUE,FILTER('SUMMARY DATA'!F:F,'SUMMARY DATA'!$D:$D=$C505,'SUMMARY DATA'!$B:$B=""GRP"")),"""")
  )
)"),"")</f>
      </c>
    </row>
    <row r="1405" spans="1:6" customHeight="true">
      <c r="A1405" s="2" t="s">
        <v>1991</v>
      </c>
      <c r="B1405" s="15">
        <v>45854</v>
      </c>
      <c r="C1405" s="2" t="s">
        <v>1992</v>
      </c>
      <c r="D1405" s="6">
        <v>10</v>
      </c>
      <c r="E1405" s="16" t="str">
        <f>IFERROR(__xludf.DUMMYFUNCTION("IFERROR(
  TEXTJOIN(CHAR(10),TRUE,FILTER('SUMMARY DATA'!E:E,'SUMMARY DATA'!$A:$A=$A506,'SUMMARY DATA'!$C:$C=$B506,'SUMMARY DATA'!$B:$B=""GRP"")),
  IF(
    OR(
      ISNUMBER(SEARCH(""CDM CASH DEPOSIT"",$C506)),
      ISNUMBER(SEARCH(""CASH DEPOSIT"",$C50"&amp;"6)),
      COUNTIFS('SUMMARY DATA'!$D:$D,$C506,'SUMMARY DATA'!$B:$B,""GRP"")&lt;&gt;1
    ),
    """",
    IFERROR(TEXTJOIN(CHAR(10),TRUE,FILTER('SUMMARY DATA'!E:E,'SUMMARY DATA'!$D:$D=$C506,'SUMMARY DATA'!$B:$B=""GRP"")),"""")
  )
)"),"")</f>
      </c>
      <c r="F1405" s="17" t="str">
        <f>IFERROR(__xludf.DUMMYFUNCTION("IFERROR(
  TEXTJOIN(CHAR(10),TRUE,FILTER('SUMMARY DATA'!F:F,'SUMMARY DATA'!$A:$A=$A506,'SUMMARY DATA'!$C:$C=$B506,'SUMMARY DATA'!$B:$B=""GRP"")),
  IF(
    OR(
      ISNUMBER(SEARCH(""CDM CASH DEPOSIT"",$C506)),
      ISNUMBER(SEARCH(""CASH DEPOSIT"",$C50"&amp;"6)),
      COUNTIFS('SUMMARY DATA'!$D:$D,$C506,'SUMMARY DATA'!$B:$B,""GRP"")&lt;&gt;1
    ),
    """",
    IFERROR(TEXTJOIN(CHAR(10),TRUE,FILTER('SUMMARY DATA'!F:F,'SUMMARY DATA'!$D:$D=$C506,'SUMMARY DATA'!$B:$B=""GRP"")),"""")
  )
)"),"")</f>
      </c>
    </row>
    <row r="1406" spans="1:6" customHeight="true">
      <c r="A1406" s="2"/>
      <c r="B1406" s="15">
        <v>45853</v>
      </c>
      <c r="C1406" s="2" t="s">
        <v>1993</v>
      </c>
      <c r="D1406" s="6">
        <v>551</v>
      </c>
      <c r="E1406" s="16" t="str">
        <f>IFERROR(__xludf.DUMMYFUNCTION("IFERROR(
  TEXTJOIN(CHAR(10),TRUE,FILTER('SUMMARY DATA'!E:E,'SUMMARY DATA'!$A:$A=$A507,'SUMMARY DATA'!$C:$C=$B507,'SUMMARY DATA'!$B:$B=""GRP"")),
  IF(
    OR(
      ISNUMBER(SEARCH(""CDM CASH DEPOSIT"",$C507)),
      ISNUMBER(SEARCH(""CASH DEPOSIT"",$C50"&amp;"7)),
      COUNTIFS('SUMMARY DATA'!$D:$D,$C507,'SUMMARY DATA'!$B:$B,""GRP"")&lt;&gt;1
    ),
    """",
    IFERROR(TEXTJOIN(CHAR(10),TRUE,FILTER('SUMMARY DATA'!E:E,'SUMMARY DATA'!$D:$D=$C507,'SUMMARY DATA'!$B:$B=""GRP"")),"""")
  )
)"),"")</f>
      </c>
      <c r="F1406" s="17" t="str">
        <f>IFERROR(__xludf.DUMMYFUNCTION("IFERROR(
  TEXTJOIN(CHAR(10),TRUE,FILTER('SUMMARY DATA'!F:F,'SUMMARY DATA'!$A:$A=$A507,'SUMMARY DATA'!$C:$C=$B507,'SUMMARY DATA'!$B:$B=""GRP"")),
  IF(
    OR(
      ISNUMBER(SEARCH(""CDM CASH DEPOSIT"",$C507)),
      ISNUMBER(SEARCH(""CASH DEPOSIT"",$C50"&amp;"7)),
      COUNTIFS('SUMMARY DATA'!$D:$D,$C507,'SUMMARY DATA'!$B:$B,""GRP"")&lt;&gt;1
    ),
    """",
    IFERROR(TEXTJOIN(CHAR(10),TRUE,FILTER('SUMMARY DATA'!F:F,'SUMMARY DATA'!$D:$D=$C507,'SUMMARY DATA'!$B:$B=""GRP"")),"""")
  )
)"),"")</f>
      </c>
    </row>
    <row r="1407" spans="1:6" customHeight="true">
      <c r="A1407" s="2"/>
      <c r="B1407" s="15">
        <v>45853</v>
      </c>
      <c r="C1407" s="2" t="s">
        <v>1994</v>
      </c>
      <c r="D1407" s="6">
        <v>241.98</v>
      </c>
      <c r="E1407" s="16" t="str">
        <f>IFERROR(__xludf.DUMMYFUNCTION("IFERROR(
  TEXTJOIN(CHAR(10),TRUE,FILTER('SUMMARY DATA'!E:E,'SUMMARY DATA'!$A:$A=$A508,'SUMMARY DATA'!$C:$C=$B508,'SUMMARY DATA'!$B:$B=""GRP"")),
  IF(
    OR(
      ISNUMBER(SEARCH(""CDM CASH DEPOSIT"",$C508)),
      ISNUMBER(SEARCH(""CASH DEPOSIT"",$C50"&amp;"8)),
      COUNTIFS('SUMMARY DATA'!$D:$D,$C508,'SUMMARY DATA'!$B:$B,""GRP"")&lt;&gt;1
    ),
    """",
    IFERROR(TEXTJOIN(CHAR(10),TRUE,FILTER('SUMMARY DATA'!E:E,'SUMMARY DATA'!$D:$D=$C508,'SUMMARY DATA'!$B:$B=""GRP"")),"""")
  )
)"),"")</f>
      </c>
      <c r="F1407" s="17" t="str">
        <f>IFERROR(__xludf.DUMMYFUNCTION("IFERROR(
  TEXTJOIN(CHAR(10),TRUE,FILTER('SUMMARY DATA'!F:F,'SUMMARY DATA'!$A:$A=$A508,'SUMMARY DATA'!$C:$C=$B508,'SUMMARY DATA'!$B:$B=""GRP"")),
  IF(
    OR(
      ISNUMBER(SEARCH(""CDM CASH DEPOSIT"",$C508)),
      ISNUMBER(SEARCH(""CASH DEPOSIT"",$C50"&amp;"8)),
      COUNTIFS('SUMMARY DATA'!$D:$D,$C508,'SUMMARY DATA'!$B:$B,""GRP"")&lt;&gt;1
    ),
    """",
    IFERROR(TEXTJOIN(CHAR(10),TRUE,FILTER('SUMMARY DATA'!F:F,'SUMMARY DATA'!$D:$D=$C508,'SUMMARY DATA'!$B:$B=""GRP"")),"""")
  )
)"),"")</f>
      </c>
    </row>
    <row r="1408" spans="1:6" customHeight="true">
      <c r="A1408" s="2" t="s">
        <v>1995</v>
      </c>
      <c r="B1408" s="15">
        <v>45853</v>
      </c>
      <c r="C1408" s="2" t="s">
        <v>1996</v>
      </c>
      <c r="D1408" s="6">
        <v>58.6</v>
      </c>
      <c r="E1408" s="16" t="str">
        <f>IFERROR(__xludf.DUMMYFUNCTION("IFERROR(
  TEXTJOIN(CHAR(10),TRUE,FILTER('SUMMARY DATA'!E:E,'SUMMARY DATA'!$A:$A=$A509,'SUMMARY DATA'!$C:$C=$B509,'SUMMARY DATA'!$B:$B=""GRP"")),
  IF(
    OR(
      ISNUMBER(SEARCH(""CDM CASH DEPOSIT"",$C509)),
      ISNUMBER(SEARCH(""CASH DEPOSIT"",$C50"&amp;"9)),
      COUNTIFS('SUMMARY DATA'!$D:$D,$C509,'SUMMARY DATA'!$B:$B,""GRP"")&lt;&gt;1
    ),
    """",
    IFERROR(TEXTJOIN(CHAR(10),TRUE,FILTER('SUMMARY DATA'!E:E,'SUMMARY DATA'!$D:$D=$C509,'SUMMARY DATA'!$B:$B=""GRP"")),"""")
  )
)"),"")</f>
      </c>
      <c r="F1408" s="17" t="str">
        <f>IFERROR(__xludf.DUMMYFUNCTION("IFERROR(
  TEXTJOIN(CHAR(10),TRUE,FILTER('SUMMARY DATA'!F:F,'SUMMARY DATA'!$A:$A=$A509,'SUMMARY DATA'!$C:$C=$B509,'SUMMARY DATA'!$B:$B=""GRP"")),
  IF(
    OR(
      ISNUMBER(SEARCH(""CDM CASH DEPOSIT"",$C509)),
      ISNUMBER(SEARCH(""CASH DEPOSIT"",$C50"&amp;"9)),
      COUNTIFS('SUMMARY DATA'!$D:$D,$C509,'SUMMARY DATA'!$B:$B,""GRP"")&lt;&gt;1
    ),
    """",
    IFERROR(TEXTJOIN(CHAR(10),TRUE,FILTER('SUMMARY DATA'!F:F,'SUMMARY DATA'!$D:$D=$C509,'SUMMARY DATA'!$B:$B=""GRP"")),"""")
  )
)"),"")</f>
      </c>
    </row>
    <row r="1409" spans="1:6" customHeight="true">
      <c r="A1409" s="2" t="s">
        <v>1997</v>
      </c>
      <c r="B1409" s="15">
        <v>45853</v>
      </c>
      <c r="C1409" s="2" t="s">
        <v>1998</v>
      </c>
      <c r="D1409" s="6">
        <v>150</v>
      </c>
      <c r="E1409" s="16" t="str">
        <f>IFERROR(__xludf.DUMMYFUNCTION("IFERROR(
  TEXTJOIN(CHAR(10),TRUE,FILTER('SUMMARY DATA'!E:E,'SUMMARY DATA'!$A:$A=$A510,'SUMMARY DATA'!$C:$C=$B510,'SUMMARY DATA'!$B:$B=""GRP"")),
  IF(
    OR(
      ISNUMBER(SEARCH(""CDM CASH DEPOSIT"",$C510)),
      ISNUMBER(SEARCH(""CASH DEPOSIT"",$C51"&amp;"0)),
      COUNTIFS('SUMMARY DATA'!$D:$D,$C510,'SUMMARY DATA'!$B:$B,""GRP"")&lt;&gt;1
    ),
    """",
    IFERROR(TEXTJOIN(CHAR(10),TRUE,FILTER('SUMMARY DATA'!E:E,'SUMMARY DATA'!$D:$D=$C510,'SUMMARY DATA'!$B:$B=""GRP"")),"""")
  )
)"),"")</f>
      </c>
      <c r="F1409" s="17" t="str">
        <f>IFERROR(__xludf.DUMMYFUNCTION("IFERROR(
  TEXTJOIN(CHAR(10),TRUE,FILTER('SUMMARY DATA'!F:F,'SUMMARY DATA'!$A:$A=$A510,'SUMMARY DATA'!$C:$C=$B510,'SUMMARY DATA'!$B:$B=""GRP"")),
  IF(
    OR(
      ISNUMBER(SEARCH(""CDM CASH DEPOSIT"",$C510)),
      ISNUMBER(SEARCH(""CASH DEPOSIT"",$C51"&amp;"0)),
      COUNTIFS('SUMMARY DATA'!$D:$D,$C510,'SUMMARY DATA'!$B:$B,""GRP"")&lt;&gt;1
    ),
    """",
    IFERROR(TEXTJOIN(CHAR(10),TRUE,FILTER('SUMMARY DATA'!F:F,'SUMMARY DATA'!$D:$D=$C510,'SUMMARY DATA'!$B:$B=""GRP"")),"""")
  )
)"),"")</f>
      </c>
    </row>
    <row r="1410" spans="1:6" customHeight="true">
      <c r="A1410" s="2"/>
      <c r="B1410" s="15">
        <v>45853</v>
      </c>
      <c r="C1410" s="2" t="s">
        <v>1999</v>
      </c>
      <c r="D1410" s="6">
        <v>10</v>
      </c>
      <c r="E1410" s="16" t="str">
        <f>IFERROR(__xludf.DUMMYFUNCTION("IFERROR(
  TEXTJOIN(CHAR(10),TRUE,FILTER('SUMMARY DATA'!E:E,'SUMMARY DATA'!$A:$A=$A511,'SUMMARY DATA'!$C:$C=$B511,'SUMMARY DATA'!$B:$B=""GRP"")),
  IF(
    OR(
      ISNUMBER(SEARCH(""CDM CASH DEPOSIT"",$C511)),
      ISNUMBER(SEARCH(""CASH DEPOSIT"",$C51"&amp;"1)),
      COUNTIFS('SUMMARY DATA'!$D:$D,$C511,'SUMMARY DATA'!$B:$B,""GRP"")&lt;&gt;1
    ),
    """",
    IFERROR(TEXTJOIN(CHAR(10),TRUE,FILTER('SUMMARY DATA'!E:E,'SUMMARY DATA'!$D:$D=$C511,'SUMMARY DATA'!$B:$B=""GRP"")),"""")
  )
)"),"")</f>
      </c>
      <c r="F1410" s="17" t="str">
        <f>IFERROR(__xludf.DUMMYFUNCTION("IFERROR(
  TEXTJOIN(CHAR(10),TRUE,FILTER('SUMMARY DATA'!F:F,'SUMMARY DATA'!$A:$A=$A511,'SUMMARY DATA'!$C:$C=$B511,'SUMMARY DATA'!$B:$B=""GRP"")),
  IF(
    OR(
      ISNUMBER(SEARCH(""CDM CASH DEPOSIT"",$C511)),
      ISNUMBER(SEARCH(""CASH DEPOSIT"",$C51"&amp;"1)),
      COUNTIFS('SUMMARY DATA'!$D:$D,$C511,'SUMMARY DATA'!$B:$B,""GRP"")&lt;&gt;1
    ),
    """",
    IFERROR(TEXTJOIN(CHAR(10),TRUE,FILTER('SUMMARY DATA'!F:F,'SUMMARY DATA'!$D:$D=$C511,'SUMMARY DATA'!$B:$B=""GRP"")),"""")
  )
)"),"")</f>
      </c>
    </row>
    <row r="1411" spans="1:6" customHeight="true">
      <c r="A1411" s="2"/>
      <c r="B1411" s="15">
        <v>45853</v>
      </c>
      <c r="C1411" s="2" t="s">
        <v>1781</v>
      </c>
      <c r="D1411" s="6">
        <v>10</v>
      </c>
      <c r="E1411" s="16" t="str">
        <f>IFERROR(__xludf.DUMMYFUNCTION("IFERROR(
  TEXTJOIN(CHAR(10),TRUE,FILTER('SUMMARY DATA'!E:E,'SUMMARY DATA'!$A:$A=$A512,'SUMMARY DATA'!$C:$C=$B512,'SUMMARY DATA'!$B:$B=""GRP"")),
  IF(
    OR(
      ISNUMBER(SEARCH(""CDM CASH DEPOSIT"",$C512)),
      ISNUMBER(SEARCH(""CASH DEPOSIT"",$C51"&amp;"2)),
      COUNTIFS('SUMMARY DATA'!$D:$D,$C512,'SUMMARY DATA'!$B:$B,""GRP"")&lt;&gt;1
    ),
    """",
    IFERROR(TEXTJOIN(CHAR(10),TRUE,FILTER('SUMMARY DATA'!E:E,'SUMMARY DATA'!$D:$D=$C512,'SUMMARY DATA'!$B:$B=""GRP"")),"""")
  )
)"),"")</f>
      </c>
      <c r="F1411" s="17" t="str">
        <f>IFERROR(__xludf.DUMMYFUNCTION("IFERROR(
  TEXTJOIN(CHAR(10),TRUE,FILTER('SUMMARY DATA'!F:F,'SUMMARY DATA'!$A:$A=$A512,'SUMMARY DATA'!$C:$C=$B512,'SUMMARY DATA'!$B:$B=""GRP"")),
  IF(
    OR(
      ISNUMBER(SEARCH(""CDM CASH DEPOSIT"",$C512)),
      ISNUMBER(SEARCH(""CASH DEPOSIT"",$C51"&amp;"2)),
      COUNTIFS('SUMMARY DATA'!$D:$D,$C512,'SUMMARY DATA'!$B:$B,""GRP"")&lt;&gt;1
    ),
    """",
    IFERROR(TEXTJOIN(CHAR(10),TRUE,FILTER('SUMMARY DATA'!F:F,'SUMMARY DATA'!$D:$D=$C512,'SUMMARY DATA'!$B:$B=""GRP"")),"""")
  )
)"),"")</f>
      </c>
    </row>
    <row r="1412" spans="1:6" customHeight="true">
      <c r="A1412" s="2"/>
      <c r="B1412" s="15">
        <v>45853</v>
      </c>
      <c r="C1412" s="2" t="s">
        <v>2000</v>
      </c>
      <c r="D1412" s="6">
        <v>27.99</v>
      </c>
      <c r="E1412" s="16" t="str">
        <f>IFERROR(__xludf.DUMMYFUNCTION("IFERROR(
  TEXTJOIN(CHAR(10),TRUE,FILTER('SUMMARY DATA'!E:E,'SUMMARY DATA'!$A:$A=$A513,'SUMMARY DATA'!$C:$C=$B513,'SUMMARY DATA'!$B:$B=""GRP"")),
  IF(
    OR(
      ISNUMBER(SEARCH(""CDM CASH DEPOSIT"",$C513)),
      ISNUMBER(SEARCH(""CASH DEPOSIT"",$C51"&amp;"3)),
      COUNTIFS('SUMMARY DATA'!$D:$D,$C513,'SUMMARY DATA'!$B:$B,""GRP"")&lt;&gt;1
    ),
    """",
    IFERROR(TEXTJOIN(CHAR(10),TRUE,FILTER('SUMMARY DATA'!E:E,'SUMMARY DATA'!$D:$D=$C513,'SUMMARY DATA'!$B:$B=""GRP"")),"""")
  )
)"),"")</f>
      </c>
      <c r="F1412" s="17" t="str">
        <f>IFERROR(__xludf.DUMMYFUNCTION("IFERROR(
  TEXTJOIN(CHAR(10),TRUE,FILTER('SUMMARY DATA'!F:F,'SUMMARY DATA'!$A:$A=$A513,'SUMMARY DATA'!$C:$C=$B513,'SUMMARY DATA'!$B:$B=""GRP"")),
  IF(
    OR(
      ISNUMBER(SEARCH(""CDM CASH DEPOSIT"",$C513)),
      ISNUMBER(SEARCH(""CASH DEPOSIT"",$C51"&amp;"3)),
      COUNTIFS('SUMMARY DATA'!$D:$D,$C513,'SUMMARY DATA'!$B:$B,""GRP"")&lt;&gt;1
    ),
    """",
    IFERROR(TEXTJOIN(CHAR(10),TRUE,FILTER('SUMMARY DATA'!F:F,'SUMMARY DATA'!$D:$D=$C513,'SUMMARY DATA'!$B:$B=""GRP"")),"""")
  )
)"),"")</f>
      </c>
    </row>
    <row r="1413" spans="1:6" customHeight="true">
      <c r="A1413" s="2"/>
      <c r="B1413" s="15">
        <v>45852</v>
      </c>
      <c r="C1413" s="2" t="s">
        <v>2001</v>
      </c>
      <c r="D1413" s="6">
        <v>70</v>
      </c>
      <c r="E1413" s="16" t="str">
        <f>IFERROR(__xludf.DUMMYFUNCTION("IFERROR(
  TEXTJOIN(CHAR(10),TRUE,FILTER('SUMMARY DATA'!E:E,'SUMMARY DATA'!$A:$A=$A514,'SUMMARY DATA'!$C:$C=$B514,'SUMMARY DATA'!$B:$B=""GRP"")),
  IF(
    OR(
      ISNUMBER(SEARCH(""CDM CASH DEPOSIT"",$C514)),
      ISNUMBER(SEARCH(""CASH DEPOSIT"",$C51"&amp;"4)),
      COUNTIFS('SUMMARY DATA'!$D:$D,$C514,'SUMMARY DATA'!$B:$B,""GRP"")&lt;&gt;1
    ),
    """",
    IFERROR(TEXTJOIN(CHAR(10),TRUE,FILTER('SUMMARY DATA'!E:E,'SUMMARY DATA'!$D:$D=$C514,'SUMMARY DATA'!$B:$B=""GRP"")),"""")
  )
)"),"")</f>
      </c>
      <c r="F1413" s="17" t="str">
        <f>IFERROR(__xludf.DUMMYFUNCTION("IFERROR(
  TEXTJOIN(CHAR(10),TRUE,FILTER('SUMMARY DATA'!F:F,'SUMMARY DATA'!$A:$A=$A514,'SUMMARY DATA'!$C:$C=$B514,'SUMMARY DATA'!$B:$B=""GRP"")),
  IF(
    OR(
      ISNUMBER(SEARCH(""CDM CASH DEPOSIT"",$C514)),
      ISNUMBER(SEARCH(""CASH DEPOSIT"",$C51"&amp;"4)),
      COUNTIFS('SUMMARY DATA'!$D:$D,$C514,'SUMMARY DATA'!$B:$B,""GRP"")&lt;&gt;1
    ),
    """",
    IFERROR(TEXTJOIN(CHAR(10),TRUE,FILTER('SUMMARY DATA'!F:F,'SUMMARY DATA'!$D:$D=$C514,'SUMMARY DATA'!$B:$B=""GRP"")),"""")
  )
)"),"")</f>
      </c>
    </row>
    <row r="1414" spans="1:6" customHeight="true">
      <c r="A1414" s="2"/>
      <c r="B1414" s="15">
        <v>45852</v>
      </c>
      <c r="C1414" s="2" t="s">
        <v>2002</v>
      </c>
      <c r="D1414" s="6">
        <v>10</v>
      </c>
      <c r="E1414" s="16" t="str">
        <f>IFERROR(__xludf.DUMMYFUNCTION("IFERROR(
  TEXTJOIN(CHAR(10),TRUE,FILTER('SUMMARY DATA'!E:E,'SUMMARY DATA'!$A:$A=$A515,'SUMMARY DATA'!$C:$C=$B515,'SUMMARY DATA'!$B:$B=""GRP"")),
  IF(
    OR(
      ISNUMBER(SEARCH(""CDM CASH DEPOSIT"",$C515)),
      ISNUMBER(SEARCH(""CASH DEPOSIT"",$C51"&amp;"5)),
      COUNTIFS('SUMMARY DATA'!$D:$D,$C515,'SUMMARY DATA'!$B:$B,""GRP"")&lt;&gt;1
    ),
    """",
    IFERROR(TEXTJOIN(CHAR(10),TRUE,FILTER('SUMMARY DATA'!E:E,'SUMMARY DATA'!$D:$D=$C515,'SUMMARY DATA'!$B:$B=""GRP"")),"""")
  )
)"),"")</f>
      </c>
      <c r="F1414" s="17" t="str">
        <f>IFERROR(__xludf.DUMMYFUNCTION("IFERROR(
  TEXTJOIN(CHAR(10),TRUE,FILTER('SUMMARY DATA'!F:F,'SUMMARY DATA'!$A:$A=$A515,'SUMMARY DATA'!$C:$C=$B515,'SUMMARY DATA'!$B:$B=""GRP"")),
  IF(
    OR(
      ISNUMBER(SEARCH(""CDM CASH DEPOSIT"",$C515)),
      ISNUMBER(SEARCH(""CASH DEPOSIT"",$C51"&amp;"5)),
      COUNTIFS('SUMMARY DATA'!$D:$D,$C515,'SUMMARY DATA'!$B:$B,""GRP"")&lt;&gt;1
    ),
    """",
    IFERROR(TEXTJOIN(CHAR(10),TRUE,FILTER('SUMMARY DATA'!F:F,'SUMMARY DATA'!$D:$D=$C515,'SUMMARY DATA'!$B:$B=""GRP"")),"""")
  )
)"),"")</f>
      </c>
    </row>
    <row r="1415" spans="1:6" customHeight="true">
      <c r="A1415" s="2"/>
      <c r="B1415" s="15">
        <v>45852</v>
      </c>
      <c r="C1415" s="2" t="s">
        <v>2002</v>
      </c>
      <c r="D1415" s="6">
        <v>10</v>
      </c>
      <c r="E1415" s="16" t="str">
        <f>IFERROR(__xludf.DUMMYFUNCTION("IFERROR(
  TEXTJOIN(CHAR(10),TRUE,FILTER('SUMMARY DATA'!E:E,'SUMMARY DATA'!$A:$A=$A516,'SUMMARY DATA'!$C:$C=$B516,'SUMMARY DATA'!$B:$B=""GRP"")),
  IF(
    OR(
      ISNUMBER(SEARCH(""CDM CASH DEPOSIT"",$C516)),
      ISNUMBER(SEARCH(""CASH DEPOSIT"",$C51"&amp;"6)),
      COUNTIFS('SUMMARY DATA'!$D:$D,$C516,'SUMMARY DATA'!$B:$B,""GRP"")&lt;&gt;1
    ),
    """",
    IFERROR(TEXTJOIN(CHAR(10),TRUE,FILTER('SUMMARY DATA'!E:E,'SUMMARY DATA'!$D:$D=$C516,'SUMMARY DATA'!$B:$B=""GRP"")),"""")
  )
)"),"")</f>
      </c>
      <c r="F1415" s="17" t="str">
        <f>IFERROR(__xludf.DUMMYFUNCTION("IFERROR(
  TEXTJOIN(CHAR(10),TRUE,FILTER('SUMMARY DATA'!F:F,'SUMMARY DATA'!$A:$A=$A516,'SUMMARY DATA'!$C:$C=$B516,'SUMMARY DATA'!$B:$B=""GRP"")),
  IF(
    OR(
      ISNUMBER(SEARCH(""CDM CASH DEPOSIT"",$C516)),
      ISNUMBER(SEARCH(""CASH DEPOSIT"",$C51"&amp;"6)),
      COUNTIFS('SUMMARY DATA'!$D:$D,$C516,'SUMMARY DATA'!$B:$B,""GRP"")&lt;&gt;1
    ),
    """",
    IFERROR(TEXTJOIN(CHAR(10),TRUE,FILTER('SUMMARY DATA'!F:F,'SUMMARY DATA'!$D:$D=$C516,'SUMMARY DATA'!$B:$B=""GRP"")),"""")
  )
)"),"")</f>
      </c>
    </row>
    <row r="1416" spans="1:6" customHeight="true">
      <c r="A1416" s="2" t="s">
        <v>2003</v>
      </c>
      <c r="B1416" s="15">
        <v>45851</v>
      </c>
      <c r="C1416" s="2" t="s">
        <v>2004</v>
      </c>
      <c r="D1416" s="6">
        <v>10</v>
      </c>
      <c r="E1416" s="16" t="str">
        <f>IFERROR(__xludf.DUMMYFUNCTION("IFERROR(
  TEXTJOIN(CHAR(10),TRUE,FILTER('SUMMARY DATA'!E:E,'SUMMARY DATA'!$A:$A=$A517,'SUMMARY DATA'!$C:$C=$B517,'SUMMARY DATA'!$B:$B=""GRP"")),
  IF(
    OR(
      ISNUMBER(SEARCH(""CDM CASH DEPOSIT"",$C517)),
      ISNUMBER(SEARCH(""CASH DEPOSIT"",$C51"&amp;"7)),
      COUNTIFS('SUMMARY DATA'!$D:$D,$C517,'SUMMARY DATA'!$B:$B,""GRP"")&lt;&gt;1
    ),
    """",
    IFERROR(TEXTJOIN(CHAR(10),TRUE,FILTER('SUMMARY DATA'!E:E,'SUMMARY DATA'!$D:$D=$C517,'SUMMARY DATA'!$B:$B=""GRP"")),"""")
  )
)"),"")</f>
      </c>
      <c r="F1416" s="17" t="str">
        <f>IFERROR(__xludf.DUMMYFUNCTION("IFERROR(
  TEXTJOIN(CHAR(10),TRUE,FILTER('SUMMARY DATA'!F:F,'SUMMARY DATA'!$A:$A=$A517,'SUMMARY DATA'!$C:$C=$B517,'SUMMARY DATA'!$B:$B=""GRP"")),
  IF(
    OR(
      ISNUMBER(SEARCH(""CDM CASH DEPOSIT"",$C517)),
      ISNUMBER(SEARCH(""CASH DEPOSIT"",$C51"&amp;"7)),
      COUNTIFS('SUMMARY DATA'!$D:$D,$C517,'SUMMARY DATA'!$B:$B,""GRP"")&lt;&gt;1
    ),
    """",
    IFERROR(TEXTJOIN(CHAR(10),TRUE,FILTER('SUMMARY DATA'!F:F,'SUMMARY DATA'!$D:$D=$C517,'SUMMARY DATA'!$B:$B=""GRP"")),"""")
  )
)"),"")</f>
      </c>
    </row>
    <row r="1417" spans="1:6" customHeight="true">
      <c r="A1417" s="2" t="s">
        <v>2005</v>
      </c>
      <c r="B1417" s="15">
        <v>45851</v>
      </c>
      <c r="C1417" s="2" t="s">
        <v>2006</v>
      </c>
      <c r="D1417" s="6">
        <v>79</v>
      </c>
      <c r="E1417" s="16" t="str">
        <f>IFERROR(__xludf.DUMMYFUNCTION("IFERROR(
  TEXTJOIN(CHAR(10),TRUE,FILTER('SUMMARY DATA'!E:E,'SUMMARY DATA'!$A:$A=$A518,'SUMMARY DATA'!$C:$C=$B518,'SUMMARY DATA'!$B:$B=""GRP"")),
  IF(
    OR(
      ISNUMBER(SEARCH(""CDM CASH DEPOSIT"",$C518)),
      ISNUMBER(SEARCH(""CASH DEPOSIT"",$C51"&amp;"8)),
      COUNTIFS('SUMMARY DATA'!$D:$D,$C518,'SUMMARY DATA'!$B:$B,""GRP"")&lt;&gt;1
    ),
    """",
    IFERROR(TEXTJOIN(CHAR(10),TRUE,FILTER('SUMMARY DATA'!E:E,'SUMMARY DATA'!$D:$D=$C518,'SUMMARY DATA'!$B:$B=""GRP"")),"""")
  )
)"),"")</f>
      </c>
      <c r="F1417" s="17" t="str">
        <f>IFERROR(__xludf.DUMMYFUNCTION("IFERROR(
  TEXTJOIN(CHAR(10),TRUE,FILTER('SUMMARY DATA'!F:F,'SUMMARY DATA'!$A:$A=$A518,'SUMMARY DATA'!$C:$C=$B518,'SUMMARY DATA'!$B:$B=""GRP"")),
  IF(
    OR(
      ISNUMBER(SEARCH(""CDM CASH DEPOSIT"",$C518)),
      ISNUMBER(SEARCH(""CASH DEPOSIT"",$C51"&amp;"8)),
      COUNTIFS('SUMMARY DATA'!$D:$D,$C518,'SUMMARY DATA'!$B:$B,""GRP"")&lt;&gt;1
    ),
    """",
    IFERROR(TEXTJOIN(CHAR(10),TRUE,FILTER('SUMMARY DATA'!F:F,'SUMMARY DATA'!$D:$D=$C518,'SUMMARY DATA'!$B:$B=""GRP"")),"""")
  )
)"),"")</f>
      </c>
    </row>
    <row r="1418" spans="1:6" customHeight="true">
      <c r="A1418" s="2"/>
      <c r="B1418" s="15">
        <v>45851</v>
      </c>
      <c r="C1418" s="2" t="s">
        <v>2007</v>
      </c>
      <c r="D1418" s="6">
        <v>355</v>
      </c>
      <c r="E1418" s="16" t="str">
        <f>IFERROR(__xludf.DUMMYFUNCTION("IFERROR(
  TEXTJOIN(CHAR(10),TRUE,FILTER('SUMMARY DATA'!E:E,'SUMMARY DATA'!$A:$A=$A519,'SUMMARY DATA'!$C:$C=$B519,'SUMMARY DATA'!$B:$B=""GRP"")),
  IF(
    OR(
      ISNUMBER(SEARCH(""CDM CASH DEPOSIT"",$C519)),
      ISNUMBER(SEARCH(""CASH DEPOSIT"",$C51"&amp;"9)),
      COUNTIFS('SUMMARY DATA'!$D:$D,$C519,'SUMMARY DATA'!$B:$B,""GRP"")&lt;&gt;1
    ),
    """",
    IFERROR(TEXTJOIN(CHAR(10),TRUE,FILTER('SUMMARY DATA'!E:E,'SUMMARY DATA'!$D:$D=$C519,'SUMMARY DATA'!$B:$B=""GRP"")),"""")
  )
)"),"")</f>
      </c>
      <c r="F1418" s="17" t="str">
        <f>IFERROR(__xludf.DUMMYFUNCTION("IFERROR(
  TEXTJOIN(CHAR(10),TRUE,FILTER('SUMMARY DATA'!F:F,'SUMMARY DATA'!$A:$A=$A519,'SUMMARY DATA'!$C:$C=$B519,'SUMMARY DATA'!$B:$B=""GRP"")),
  IF(
    OR(
      ISNUMBER(SEARCH(""CDM CASH DEPOSIT"",$C519)),
      ISNUMBER(SEARCH(""CASH DEPOSIT"",$C51"&amp;"9)),
      COUNTIFS('SUMMARY DATA'!$D:$D,$C519,'SUMMARY DATA'!$B:$B,""GRP"")&lt;&gt;1
    ),
    """",
    IFERROR(TEXTJOIN(CHAR(10),TRUE,FILTER('SUMMARY DATA'!F:F,'SUMMARY DATA'!$D:$D=$C519,'SUMMARY DATA'!$B:$B=""GRP"")),"""")
  )
)"),"")</f>
      </c>
    </row>
    <row r="1419" spans="1:6" customHeight="true">
      <c r="A1419" s="2" t="s">
        <v>2008</v>
      </c>
      <c r="B1419" s="15">
        <v>45851</v>
      </c>
      <c r="C1419" s="2" t="s">
        <v>2009</v>
      </c>
      <c r="D1419" s="6">
        <v>36</v>
      </c>
      <c r="E1419" s="16" t="str">
        <f>IFERROR(__xludf.DUMMYFUNCTION("IFERROR(
  TEXTJOIN(CHAR(10),TRUE,FILTER('SUMMARY DATA'!E:E,'SUMMARY DATA'!$A:$A=$A520,'SUMMARY DATA'!$C:$C=$B520,'SUMMARY DATA'!$B:$B=""GRP"")),
  IF(
    OR(
      ISNUMBER(SEARCH(""CDM CASH DEPOSIT"",$C520)),
      ISNUMBER(SEARCH(""CASH DEPOSIT"",$C52"&amp;"0)),
      COUNTIFS('SUMMARY DATA'!$D:$D,$C520,'SUMMARY DATA'!$B:$B,""GRP"")&lt;&gt;1
    ),
    """",
    IFERROR(TEXTJOIN(CHAR(10),TRUE,FILTER('SUMMARY DATA'!E:E,'SUMMARY DATA'!$D:$D=$C520,'SUMMARY DATA'!$B:$B=""GRP"")),"""")
  )
)"),"")</f>
      </c>
      <c r="F1419" s="17" t="str">
        <f>IFERROR(__xludf.DUMMYFUNCTION("IFERROR(
  TEXTJOIN(CHAR(10),TRUE,FILTER('SUMMARY DATA'!F:F,'SUMMARY DATA'!$A:$A=$A520,'SUMMARY DATA'!$C:$C=$B520,'SUMMARY DATA'!$B:$B=""GRP"")),
  IF(
    OR(
      ISNUMBER(SEARCH(""CDM CASH DEPOSIT"",$C520)),
      ISNUMBER(SEARCH(""CASH DEPOSIT"",$C52"&amp;"0)),
      COUNTIFS('SUMMARY DATA'!$D:$D,$C520,'SUMMARY DATA'!$B:$B,""GRP"")&lt;&gt;1
    ),
    """",
    IFERROR(TEXTJOIN(CHAR(10),TRUE,FILTER('SUMMARY DATA'!F:F,'SUMMARY DATA'!$D:$D=$C520,'SUMMARY DATA'!$B:$B=""GRP"")),"""")
  )
)"),"")</f>
      </c>
    </row>
    <row r="1420" spans="1:6" customHeight="true">
      <c r="A1420" s="2" t="s">
        <v>2010</v>
      </c>
      <c r="B1420" s="15">
        <v>45850</v>
      </c>
      <c r="C1420" s="2" t="s">
        <v>2011</v>
      </c>
      <c r="D1420" s="6">
        <v>20</v>
      </c>
      <c r="E1420" s="16" t="str">
        <f>IFERROR(__xludf.DUMMYFUNCTION("IFERROR(
  TEXTJOIN(CHAR(10),TRUE,FILTER('SUMMARY DATA'!E:E,'SUMMARY DATA'!$A:$A=$A521,'SUMMARY DATA'!$C:$C=$B521,'SUMMARY DATA'!$B:$B=""GRP"")),
  IF(
    OR(
      ISNUMBER(SEARCH(""CDM CASH DEPOSIT"",$C521)),
      ISNUMBER(SEARCH(""CASH DEPOSIT"",$C52"&amp;"1)),
      COUNTIFS('SUMMARY DATA'!$D:$D,$C521,'SUMMARY DATA'!$B:$B,""GRP"")&lt;&gt;1
    ),
    """",
    IFERROR(TEXTJOIN(CHAR(10),TRUE,FILTER('SUMMARY DATA'!E:E,'SUMMARY DATA'!$D:$D=$C521,'SUMMARY DATA'!$B:$B=""GRP"")),"""")
  )
)"),"")</f>
      </c>
      <c r="F1420" s="17" t="str">
        <f>IFERROR(__xludf.DUMMYFUNCTION("IFERROR(
  TEXTJOIN(CHAR(10),TRUE,FILTER('SUMMARY DATA'!F:F,'SUMMARY DATA'!$A:$A=$A521,'SUMMARY DATA'!$C:$C=$B521,'SUMMARY DATA'!$B:$B=""GRP"")),
  IF(
    OR(
      ISNUMBER(SEARCH(""CDM CASH DEPOSIT"",$C521)),
      ISNUMBER(SEARCH(""CASH DEPOSIT"",$C52"&amp;"1)),
      COUNTIFS('SUMMARY DATA'!$D:$D,$C521,'SUMMARY DATA'!$B:$B,""GRP"")&lt;&gt;1
    ),
    """",
    IFERROR(TEXTJOIN(CHAR(10),TRUE,FILTER('SUMMARY DATA'!F:F,'SUMMARY DATA'!$D:$D=$C521,'SUMMARY DATA'!$B:$B=""GRP"")),"""")
  )
)"),"")</f>
      </c>
    </row>
    <row r="1421" spans="1:6" customHeight="true">
      <c r="A1421" s="2"/>
      <c r="B1421" s="15">
        <v>45850</v>
      </c>
      <c r="C1421" s="2" t="s">
        <v>2012</v>
      </c>
      <c r="D1421" s="6">
        <v>229</v>
      </c>
      <c r="E1421" s="16" t="str">
        <f>IFERROR(__xludf.DUMMYFUNCTION("IFERROR(
  TEXTJOIN(CHAR(10),TRUE,FILTER('SUMMARY DATA'!E:E,'SUMMARY DATA'!$A:$A=$A522,'SUMMARY DATA'!$C:$C=$B522,'SUMMARY DATA'!$B:$B=""GRP"")),
  IF(
    OR(
      ISNUMBER(SEARCH(""CDM CASH DEPOSIT"",$C522)),
      ISNUMBER(SEARCH(""CASH DEPOSIT"",$C52"&amp;"2)),
      COUNTIFS('SUMMARY DATA'!$D:$D,$C522,'SUMMARY DATA'!$B:$B,""GRP"")&lt;&gt;1
    ),
    """",
    IFERROR(TEXTJOIN(CHAR(10),TRUE,FILTER('SUMMARY DATA'!E:E,'SUMMARY DATA'!$D:$D=$C522,'SUMMARY DATA'!$B:$B=""GRP"")),"""")
  )
)"),"")</f>
      </c>
      <c r="F1421" s="17" t="str">
        <f>IFERROR(__xludf.DUMMYFUNCTION("IFERROR(
  TEXTJOIN(CHAR(10),TRUE,FILTER('SUMMARY DATA'!F:F,'SUMMARY DATA'!$A:$A=$A522,'SUMMARY DATA'!$C:$C=$B522,'SUMMARY DATA'!$B:$B=""GRP"")),
  IF(
    OR(
      ISNUMBER(SEARCH(""CDM CASH DEPOSIT"",$C522)),
      ISNUMBER(SEARCH(""CASH DEPOSIT"",$C52"&amp;"2)),
      COUNTIFS('SUMMARY DATA'!$D:$D,$C522,'SUMMARY DATA'!$B:$B,""GRP"")&lt;&gt;1
    ),
    """",
    IFERROR(TEXTJOIN(CHAR(10),TRUE,FILTER('SUMMARY DATA'!F:F,'SUMMARY DATA'!$D:$D=$C522,'SUMMARY DATA'!$B:$B=""GRP"")),"""")
  )
)"),"")</f>
      </c>
    </row>
    <row r="1422" spans="1:6" customHeight="true">
      <c r="A1422" s="2" t="s">
        <v>2013</v>
      </c>
      <c r="B1422" s="15">
        <v>45850</v>
      </c>
      <c r="C1422" s="2" t="s">
        <v>2014</v>
      </c>
      <c r="D1422" s="6">
        <v>760</v>
      </c>
      <c r="E1422" s="16" t="str">
        <f>IFERROR(__xludf.DUMMYFUNCTION("IFERROR(
  TEXTJOIN(CHAR(10),TRUE,FILTER('SUMMARY DATA'!E:E,'SUMMARY DATA'!$A:$A=$A523,'SUMMARY DATA'!$C:$C=$B523,'SUMMARY DATA'!$B:$B=""GRP"")),
  IF(
    OR(
      ISNUMBER(SEARCH(""CDM CASH DEPOSIT"",$C523)),
      ISNUMBER(SEARCH(""CASH DEPOSIT"",$C52"&amp;"3)),
      COUNTIFS('SUMMARY DATA'!$D:$D,$C523,'SUMMARY DATA'!$B:$B,""GRP"")&lt;&gt;1
    ),
    """",
    IFERROR(TEXTJOIN(CHAR(10),TRUE,FILTER('SUMMARY DATA'!E:E,'SUMMARY DATA'!$D:$D=$C523,'SUMMARY DATA'!$B:$B=""GRP"")),"""")
  )
)"),"")</f>
      </c>
      <c r="F1422" s="17" t="str">
        <f>IFERROR(__xludf.DUMMYFUNCTION("IFERROR(
  TEXTJOIN(CHAR(10),TRUE,FILTER('SUMMARY DATA'!F:F,'SUMMARY DATA'!$A:$A=$A523,'SUMMARY DATA'!$C:$C=$B523,'SUMMARY DATA'!$B:$B=""GRP"")),
  IF(
    OR(
      ISNUMBER(SEARCH(""CDM CASH DEPOSIT"",$C523)),
      ISNUMBER(SEARCH(""CASH DEPOSIT"",$C52"&amp;"3)),
      COUNTIFS('SUMMARY DATA'!$D:$D,$C523,'SUMMARY DATA'!$B:$B,""GRP"")&lt;&gt;1
    ),
    """",
    IFERROR(TEXTJOIN(CHAR(10),TRUE,FILTER('SUMMARY DATA'!F:F,'SUMMARY DATA'!$D:$D=$C523,'SUMMARY DATA'!$B:$B=""GRP"")),"""")
  )
)"),"")</f>
      </c>
    </row>
    <row r="1423" spans="1:6" customHeight="true">
      <c r="A1423" s="2"/>
      <c r="B1423" s="15">
        <v>45850</v>
      </c>
      <c r="C1423" s="2" t="s">
        <v>2015</v>
      </c>
      <c r="D1423" s="3">
        <v>477</v>
      </c>
      <c r="E1423" s="16" t="str">
        <f>IFERROR(__xludf.DUMMYFUNCTION("IFERROR(
  TEXTJOIN(CHAR(10),TRUE,FILTER('SUMMARY DATA'!E:E,'SUMMARY DATA'!$A:$A=$A524,'SUMMARY DATA'!$C:$C=$B524,'SUMMARY DATA'!$B:$B=""GRP"")),
  IF(
    OR(
      ISNUMBER(SEARCH(""CDM CASH DEPOSIT"",$C524)),
      ISNUMBER(SEARCH(""CASH DEPOSIT"",$C52"&amp;"4)),
      COUNTIFS('SUMMARY DATA'!$D:$D,$C524,'SUMMARY DATA'!$B:$B,""GRP"")&lt;&gt;1
    ),
    """",
    IFERROR(TEXTJOIN(CHAR(10),TRUE,FILTER('SUMMARY DATA'!E:E,'SUMMARY DATA'!$D:$D=$C524,'SUMMARY DATA'!$B:$B=""GRP"")),"""")
  )
)"),"")</f>
      </c>
      <c r="F1423" s="17" t="str">
        <f>IFERROR(__xludf.DUMMYFUNCTION("IFERROR(
  TEXTJOIN(CHAR(10),TRUE,FILTER('SUMMARY DATA'!F:F,'SUMMARY DATA'!$A:$A=$A524,'SUMMARY DATA'!$C:$C=$B524,'SUMMARY DATA'!$B:$B=""GRP"")),
  IF(
    OR(
      ISNUMBER(SEARCH(""CDM CASH DEPOSIT"",$C524)),
      ISNUMBER(SEARCH(""CASH DEPOSIT"",$C52"&amp;"4)),
      COUNTIFS('SUMMARY DATA'!$D:$D,$C524,'SUMMARY DATA'!$B:$B,""GRP"")&lt;&gt;1
    ),
    """",
    IFERROR(TEXTJOIN(CHAR(10),TRUE,FILTER('SUMMARY DATA'!F:F,'SUMMARY DATA'!$D:$D=$C524,'SUMMARY DATA'!$B:$B=""GRP"")),"""")
  )
)"),"")</f>
      </c>
    </row>
    <row r="1424" spans="1:6" customHeight="true">
      <c r="A1424" s="2"/>
      <c r="B1424" s="15">
        <v>45849</v>
      </c>
      <c r="C1424" s="2" t="s">
        <v>2016</v>
      </c>
      <c r="D1424" s="3">
        <v>411.29</v>
      </c>
      <c r="E1424" s="16" t="str">
        <f>IFERROR(__xludf.DUMMYFUNCTION("IFERROR(
  TEXTJOIN(CHAR(10),TRUE,FILTER('SUMMARY DATA'!E:E,'SUMMARY DATA'!$A:$A=$A525,'SUMMARY DATA'!$C:$C=$B525,'SUMMARY DATA'!$B:$B=""GRP"")),
  IF(
    OR(
      ISNUMBER(SEARCH(""CDM CASH DEPOSIT"",$C525)),
      ISNUMBER(SEARCH(""CASH DEPOSIT"",$C52"&amp;"5)),
      COUNTIFS('SUMMARY DATA'!$D:$D,$C525,'SUMMARY DATA'!$B:$B,""GRP"")&lt;&gt;1
    ),
    """",
    IFERROR(TEXTJOIN(CHAR(10),TRUE,FILTER('SUMMARY DATA'!E:E,'SUMMARY DATA'!$D:$D=$C525,'SUMMARY DATA'!$B:$B=""GRP"")),"""")
  )
)"),"")</f>
      </c>
      <c r="F1424" s="17" t="str">
        <f>IFERROR(__xludf.DUMMYFUNCTION("IFERROR(
  TEXTJOIN(CHAR(10),TRUE,FILTER('SUMMARY DATA'!F:F,'SUMMARY DATA'!$A:$A=$A525,'SUMMARY DATA'!$C:$C=$B525,'SUMMARY DATA'!$B:$B=""GRP"")),
  IF(
    OR(
      ISNUMBER(SEARCH(""CDM CASH DEPOSIT"",$C525)),
      ISNUMBER(SEARCH(""CASH DEPOSIT"",$C52"&amp;"5)),
      COUNTIFS('SUMMARY DATA'!$D:$D,$C525,'SUMMARY DATA'!$B:$B,""GRP"")&lt;&gt;1
    ),
    """",
    IFERROR(TEXTJOIN(CHAR(10),TRUE,FILTER('SUMMARY DATA'!F:F,'SUMMARY DATA'!$D:$D=$C525,'SUMMARY DATA'!$B:$B=""GRP"")),"""")
  )
)"),"")</f>
      </c>
    </row>
    <row r="1425" spans="1:6" customHeight="true">
      <c r="A1425" s="2" t="s">
        <v>2017</v>
      </c>
      <c r="B1425" s="15">
        <v>45849</v>
      </c>
      <c r="C1425" s="2" t="s">
        <v>48</v>
      </c>
      <c r="D1425" s="3">
        <v>10</v>
      </c>
      <c r="E1425" s="16" t="str">
        <f>IFERROR(__xludf.DUMMYFUNCTION("IFERROR(
  TEXTJOIN(CHAR(10),TRUE,FILTER('SUMMARY DATA'!E:E,'SUMMARY DATA'!$A:$A=$A526,'SUMMARY DATA'!$C:$C=$B526,'SUMMARY DATA'!$B:$B=""GRP"")),
  IF(
    OR(
      ISNUMBER(SEARCH(""CDM CASH DEPOSIT"",$C526)),
      ISNUMBER(SEARCH(""CASH DEPOSIT"",$C52"&amp;"6)),
      COUNTIFS('SUMMARY DATA'!$D:$D,$C526,'SUMMARY DATA'!$B:$B,""GRP"")&lt;&gt;1
    ),
    """",
    IFERROR(TEXTJOIN(CHAR(10),TRUE,FILTER('SUMMARY DATA'!E:E,'SUMMARY DATA'!$D:$D=$C526,'SUMMARY DATA'!$B:$B=""GRP"")),"""")
  )
)"),"")</f>
      </c>
      <c r="F1425" s="17" t="str">
        <f>IFERROR(__xludf.DUMMYFUNCTION("IFERROR(
  TEXTJOIN(CHAR(10),TRUE,FILTER('SUMMARY DATA'!F:F,'SUMMARY DATA'!$A:$A=$A526,'SUMMARY DATA'!$C:$C=$B526,'SUMMARY DATA'!$B:$B=""GRP"")),
  IF(
    OR(
      ISNUMBER(SEARCH(""CDM CASH DEPOSIT"",$C526)),
      ISNUMBER(SEARCH(""CASH DEPOSIT"",$C52"&amp;"6)),
      COUNTIFS('SUMMARY DATA'!$D:$D,$C526,'SUMMARY DATA'!$B:$B,""GRP"")&lt;&gt;1
    ),
    """",
    IFERROR(TEXTJOIN(CHAR(10),TRUE,FILTER('SUMMARY DATA'!F:F,'SUMMARY DATA'!$D:$D=$C526,'SUMMARY DATA'!$B:$B=""GRP"")),"""")
  )
)"),"")</f>
      </c>
    </row>
    <row r="1426" spans="1:6" customHeight="true">
      <c r="A1426" s="2" t="s">
        <v>2018</v>
      </c>
      <c r="B1426" s="15">
        <v>45849</v>
      </c>
      <c r="C1426" s="2" t="s">
        <v>2019</v>
      </c>
      <c r="D1426" s="3">
        <v>40</v>
      </c>
      <c r="E1426" s="16" t="str">
        <f>IFERROR(__xludf.DUMMYFUNCTION("IFERROR(
  TEXTJOIN(CHAR(10),TRUE,FILTER('SUMMARY DATA'!E:E,'SUMMARY DATA'!$A:$A=$A527,'SUMMARY DATA'!$C:$C=$B527,'SUMMARY DATA'!$B:$B=""GRP"")),
  IF(
    OR(
      ISNUMBER(SEARCH(""CDM CASH DEPOSIT"",$C527)),
      ISNUMBER(SEARCH(""CASH DEPOSIT"",$C52"&amp;"7)),
      COUNTIFS('SUMMARY DATA'!$D:$D,$C527,'SUMMARY DATA'!$B:$B,""GRP"")&lt;&gt;1
    ),
    """",
    IFERROR(TEXTJOIN(CHAR(10),TRUE,FILTER('SUMMARY DATA'!E:E,'SUMMARY DATA'!$D:$D=$C527,'SUMMARY DATA'!$B:$B=""GRP"")),"""")
  )
)"),"")</f>
      </c>
      <c r="F1426" s="17" t="str">
        <f>IFERROR(__xludf.DUMMYFUNCTION("IFERROR(
  TEXTJOIN(CHAR(10),TRUE,FILTER('SUMMARY DATA'!F:F,'SUMMARY DATA'!$A:$A=$A527,'SUMMARY DATA'!$C:$C=$B527,'SUMMARY DATA'!$B:$B=""GRP"")),
  IF(
    OR(
      ISNUMBER(SEARCH(""CDM CASH DEPOSIT"",$C527)),
      ISNUMBER(SEARCH(""CASH DEPOSIT"",$C52"&amp;"7)),
      COUNTIFS('SUMMARY DATA'!$D:$D,$C527,'SUMMARY DATA'!$B:$B,""GRP"")&lt;&gt;1
    ),
    """",
    IFERROR(TEXTJOIN(CHAR(10),TRUE,FILTER('SUMMARY DATA'!F:F,'SUMMARY DATA'!$D:$D=$C527,'SUMMARY DATA'!$B:$B=""GRP"")),"""")
  )
)"),"")</f>
      </c>
    </row>
    <row r="1427" spans="1:6" customHeight="true">
      <c r="A1427" s="2"/>
      <c r="B1427" s="15">
        <v>45849</v>
      </c>
      <c r="C1427" s="2" t="s">
        <v>2020</v>
      </c>
      <c r="D1427" s="3">
        <v>78.99</v>
      </c>
      <c r="E1427" s="16" t="str">
        <f>IFERROR(__xludf.DUMMYFUNCTION("IFERROR(
  TEXTJOIN(CHAR(10),TRUE,FILTER('SUMMARY DATA'!E:E,'SUMMARY DATA'!$A:$A=$A528,'SUMMARY DATA'!$C:$C=$B528,'SUMMARY DATA'!$B:$B=""GRP"")),
  IF(
    OR(
      ISNUMBER(SEARCH(""CDM CASH DEPOSIT"",$C528)),
      ISNUMBER(SEARCH(""CASH DEPOSIT"",$C52"&amp;"8)),
      COUNTIFS('SUMMARY DATA'!$D:$D,$C528,'SUMMARY DATA'!$B:$B,""GRP"")&lt;&gt;1
    ),
    """",
    IFERROR(TEXTJOIN(CHAR(10),TRUE,FILTER('SUMMARY DATA'!E:E,'SUMMARY DATA'!$D:$D=$C528,'SUMMARY DATA'!$B:$B=""GRP"")),"""")
  )
)"),"")</f>
      </c>
      <c r="F1427" s="17" t="str">
        <f>IFERROR(__xludf.DUMMYFUNCTION("IFERROR(
  TEXTJOIN(CHAR(10),TRUE,FILTER('SUMMARY DATA'!F:F,'SUMMARY DATA'!$A:$A=$A528,'SUMMARY DATA'!$C:$C=$B528,'SUMMARY DATA'!$B:$B=""GRP"")),
  IF(
    OR(
      ISNUMBER(SEARCH(""CDM CASH DEPOSIT"",$C528)),
      ISNUMBER(SEARCH(""CASH DEPOSIT"",$C52"&amp;"8)),
      COUNTIFS('SUMMARY DATA'!$D:$D,$C528,'SUMMARY DATA'!$B:$B,""GRP"")&lt;&gt;1
    ),
    """",
    IFERROR(TEXTJOIN(CHAR(10),TRUE,FILTER('SUMMARY DATA'!F:F,'SUMMARY DATA'!$D:$D=$C528,'SUMMARY DATA'!$B:$B=""GRP"")),"""")
  )
)"),"")</f>
      </c>
    </row>
    <row r="1428" spans="1:6" customHeight="true">
      <c r="A1428" s="2" t="s">
        <v>2021</v>
      </c>
      <c r="B1428" s="15">
        <v>45849</v>
      </c>
      <c r="C1428" s="2" t="s">
        <v>2022</v>
      </c>
      <c r="D1428" s="3">
        <v>35</v>
      </c>
      <c r="E1428" s="16" t="str">
        <f>IFERROR(__xludf.DUMMYFUNCTION("IFERROR(
  TEXTJOIN(CHAR(10),TRUE,FILTER('SUMMARY DATA'!E:E,'SUMMARY DATA'!$A:$A=$A529,'SUMMARY DATA'!$C:$C=$B529,'SUMMARY DATA'!$B:$B=""GRP"")),
  IF(
    OR(
      ISNUMBER(SEARCH(""CDM CASH DEPOSIT"",$C529)),
      ISNUMBER(SEARCH(""CASH DEPOSIT"",$C52"&amp;"9)),
      COUNTIFS('SUMMARY DATA'!$D:$D,$C529,'SUMMARY DATA'!$B:$B,""GRP"")&lt;&gt;1
    ),
    """",
    IFERROR(TEXTJOIN(CHAR(10),TRUE,FILTER('SUMMARY DATA'!E:E,'SUMMARY DATA'!$D:$D=$C529,'SUMMARY DATA'!$B:$B=""GRP"")),"""")
  )
)"),"")</f>
      </c>
      <c r="F1428" s="17" t="str">
        <f>IFERROR(__xludf.DUMMYFUNCTION("IFERROR(
  TEXTJOIN(CHAR(10),TRUE,FILTER('SUMMARY DATA'!F:F,'SUMMARY DATA'!$A:$A=$A529,'SUMMARY DATA'!$C:$C=$B529,'SUMMARY DATA'!$B:$B=""GRP"")),
  IF(
    OR(
      ISNUMBER(SEARCH(""CDM CASH DEPOSIT"",$C529)),
      ISNUMBER(SEARCH(""CASH DEPOSIT"",$C52"&amp;"9)),
      COUNTIFS('SUMMARY DATA'!$D:$D,$C529,'SUMMARY DATA'!$B:$B,""GRP"")&lt;&gt;1
    ),
    """",
    IFERROR(TEXTJOIN(CHAR(10),TRUE,FILTER('SUMMARY DATA'!F:F,'SUMMARY DATA'!$D:$D=$C529,'SUMMARY DATA'!$B:$B=""GRP"")),"""")
  )
)"),"")</f>
      </c>
    </row>
    <row r="1429" spans="1:6" customHeight="true">
      <c r="A1429" s="2" t="s">
        <v>2023</v>
      </c>
      <c r="B1429" s="15">
        <v>45848</v>
      </c>
      <c r="C1429" s="2" t="s">
        <v>2024</v>
      </c>
      <c r="D1429" s="3">
        <v>10</v>
      </c>
      <c r="E1429" s="16" t="str">
        <f>IFERROR(__xludf.DUMMYFUNCTION("IFERROR(
  TEXTJOIN(CHAR(10),TRUE,FILTER('SUMMARY DATA'!E:E,'SUMMARY DATA'!$A:$A=$A530,'SUMMARY DATA'!$C:$C=$B530,'SUMMARY DATA'!$B:$B=""GRP"")),
  IF(
    OR(
      ISNUMBER(SEARCH(""CDM CASH DEPOSIT"",$C530)),
      ISNUMBER(SEARCH(""CASH DEPOSIT"",$C53"&amp;"0)),
      COUNTIFS('SUMMARY DATA'!$D:$D,$C530,'SUMMARY DATA'!$B:$B,""GRP"")&lt;&gt;1
    ),
    """",
    IFERROR(TEXTJOIN(CHAR(10),TRUE,FILTER('SUMMARY DATA'!E:E,'SUMMARY DATA'!$D:$D=$C530,'SUMMARY DATA'!$B:$B=""GRP"")),"""")
  )
)"),"")</f>
      </c>
      <c r="F1429" s="17" t="str">
        <f>IFERROR(__xludf.DUMMYFUNCTION("IFERROR(
  TEXTJOIN(CHAR(10),TRUE,FILTER('SUMMARY DATA'!F:F,'SUMMARY DATA'!$A:$A=$A530,'SUMMARY DATA'!$C:$C=$B530,'SUMMARY DATA'!$B:$B=""GRP"")),
  IF(
    OR(
      ISNUMBER(SEARCH(""CDM CASH DEPOSIT"",$C530)),
      ISNUMBER(SEARCH(""CASH DEPOSIT"",$C53"&amp;"0)),
      COUNTIFS('SUMMARY DATA'!$D:$D,$C530,'SUMMARY DATA'!$B:$B,""GRP"")&lt;&gt;1
    ),
    """",
    IFERROR(TEXTJOIN(CHAR(10),TRUE,FILTER('SUMMARY DATA'!F:F,'SUMMARY DATA'!$D:$D=$C530,'SUMMARY DATA'!$B:$B=""GRP"")),"""")
  )
)"),"")</f>
      </c>
    </row>
    <row r="1430" spans="1:6" customHeight="true">
      <c r="A1430" s="2" t="s">
        <v>2025</v>
      </c>
      <c r="B1430" s="15">
        <v>45848</v>
      </c>
      <c r="C1430" s="2" t="s">
        <v>2026</v>
      </c>
      <c r="D1430" s="3">
        <v>2198</v>
      </c>
      <c r="E1430" s="16" t="str">
        <f>IFERROR(__xludf.DUMMYFUNCTION("IFERROR(
  TEXTJOIN(CHAR(10),TRUE,FILTER('SUMMARY DATA'!E:E,'SUMMARY DATA'!$A:$A=$A531,'SUMMARY DATA'!$C:$C=$B531,'SUMMARY DATA'!$B:$B=""GRP"")),
  IF(
    OR(
      ISNUMBER(SEARCH(""CDM CASH DEPOSIT"",$C531)),
      ISNUMBER(SEARCH(""CASH DEPOSIT"",$C53"&amp;"1)),
      COUNTIFS('SUMMARY DATA'!$D:$D,$C531,'SUMMARY DATA'!$B:$B,""GRP"")&lt;&gt;1
    ),
    """",
    IFERROR(TEXTJOIN(CHAR(10),TRUE,FILTER('SUMMARY DATA'!E:E,'SUMMARY DATA'!$D:$D=$C531,'SUMMARY DATA'!$B:$B=""GRP"")),"""")
  )
)"),"")</f>
      </c>
      <c r="F1430" s="17" t="str">
        <f>IFERROR(__xludf.DUMMYFUNCTION("IFERROR(
  TEXTJOIN(CHAR(10),TRUE,FILTER('SUMMARY DATA'!F:F,'SUMMARY DATA'!$A:$A=$A531,'SUMMARY DATA'!$C:$C=$B531,'SUMMARY DATA'!$B:$B=""GRP"")),
  IF(
    OR(
      ISNUMBER(SEARCH(""CDM CASH DEPOSIT"",$C531)),
      ISNUMBER(SEARCH(""CASH DEPOSIT"",$C53"&amp;"1)),
      COUNTIFS('SUMMARY DATA'!$D:$D,$C531,'SUMMARY DATA'!$B:$B,""GRP"")&lt;&gt;1
    ),
    """",
    IFERROR(TEXTJOIN(CHAR(10),TRUE,FILTER('SUMMARY DATA'!F:F,'SUMMARY DATA'!$D:$D=$C531,'SUMMARY DATA'!$B:$B=""GRP"")),"""")
  )
)"),"")</f>
      </c>
    </row>
    <row r="1431" spans="1:6" customHeight="true">
      <c r="A1431" s="2" t="s">
        <v>2027</v>
      </c>
      <c r="B1431" s="15">
        <v>45848</v>
      </c>
      <c r="C1431" s="2" t="s">
        <v>2028</v>
      </c>
      <c r="D1431" s="3">
        <v>25</v>
      </c>
      <c r="E1431" s="16" t="str">
        <f>IFERROR(__xludf.DUMMYFUNCTION("IFERROR(
  TEXTJOIN(CHAR(10),TRUE,FILTER('SUMMARY DATA'!E:E,'SUMMARY DATA'!$A:$A=$A532,'SUMMARY DATA'!$C:$C=$B532,'SUMMARY DATA'!$B:$B=""GRP"")),
  IF(
    OR(
      ISNUMBER(SEARCH(""CDM CASH DEPOSIT"",$C532)),
      ISNUMBER(SEARCH(""CASH DEPOSIT"",$C53"&amp;"2)),
      COUNTIFS('SUMMARY DATA'!$D:$D,$C532,'SUMMARY DATA'!$B:$B,""GRP"")&lt;&gt;1
    ),
    """",
    IFERROR(TEXTJOIN(CHAR(10),TRUE,FILTER('SUMMARY DATA'!E:E,'SUMMARY DATA'!$D:$D=$C532,'SUMMARY DATA'!$B:$B=""GRP"")),"""")
  )
)"),"")</f>
      </c>
      <c r="F1431" s="17" t="str">
        <f>IFERROR(__xludf.DUMMYFUNCTION("IFERROR(
  TEXTJOIN(CHAR(10),TRUE,FILTER('SUMMARY DATA'!F:F,'SUMMARY DATA'!$A:$A=$A532,'SUMMARY DATA'!$C:$C=$B532,'SUMMARY DATA'!$B:$B=""GRP"")),
  IF(
    OR(
      ISNUMBER(SEARCH(""CDM CASH DEPOSIT"",$C532)),
      ISNUMBER(SEARCH(""CASH DEPOSIT"",$C53"&amp;"2)),
      COUNTIFS('SUMMARY DATA'!$D:$D,$C532,'SUMMARY DATA'!$B:$B,""GRP"")&lt;&gt;1
    ),
    """",
    IFERROR(TEXTJOIN(CHAR(10),TRUE,FILTER('SUMMARY DATA'!F:F,'SUMMARY DATA'!$D:$D=$C532,'SUMMARY DATA'!$B:$B=""GRP"")),"""")
  )
)"),"")</f>
      </c>
    </row>
    <row r="1432" spans="1:6" customHeight="true">
      <c r="A1432" s="2" t="s">
        <v>2029</v>
      </c>
      <c r="B1432" s="15">
        <v>45847</v>
      </c>
      <c r="C1432" s="2" t="s">
        <v>2030</v>
      </c>
      <c r="D1432" s="3">
        <v>214.97</v>
      </c>
      <c r="E1432" s="16" t="str">
        <f>IFERROR(__xludf.DUMMYFUNCTION("IFERROR(
  TEXTJOIN(CHAR(10),TRUE,FILTER('SUMMARY DATA'!E:E,'SUMMARY DATA'!$A:$A=$A533,'SUMMARY DATA'!$C:$C=$B533,'SUMMARY DATA'!$B:$B=""GRP"")),
  IF(
    OR(
      ISNUMBER(SEARCH(""CDM CASH DEPOSIT"",$C533)),
      ISNUMBER(SEARCH(""CASH DEPOSIT"",$C53"&amp;"3)),
      COUNTIFS('SUMMARY DATA'!$D:$D,$C533,'SUMMARY DATA'!$B:$B,""GRP"")&lt;&gt;1
    ),
    """",
    IFERROR(TEXTJOIN(CHAR(10),TRUE,FILTER('SUMMARY DATA'!E:E,'SUMMARY DATA'!$D:$D=$C533,'SUMMARY DATA'!$B:$B=""GRP"")),"""")
  )
)"),"")</f>
      </c>
      <c r="F1432" s="17" t="str">
        <f>IFERROR(__xludf.DUMMYFUNCTION("IFERROR(
  TEXTJOIN(CHAR(10),TRUE,FILTER('SUMMARY DATA'!F:F,'SUMMARY DATA'!$A:$A=$A533,'SUMMARY DATA'!$C:$C=$B533,'SUMMARY DATA'!$B:$B=""GRP"")),
  IF(
    OR(
      ISNUMBER(SEARCH(""CDM CASH DEPOSIT"",$C533)),
      ISNUMBER(SEARCH(""CASH DEPOSIT"",$C53"&amp;"3)),
      COUNTIFS('SUMMARY DATA'!$D:$D,$C533,'SUMMARY DATA'!$B:$B,""GRP"")&lt;&gt;1
    ),
    """",
    IFERROR(TEXTJOIN(CHAR(10),TRUE,FILTER('SUMMARY DATA'!F:F,'SUMMARY DATA'!$D:$D=$C533,'SUMMARY DATA'!$B:$B=""GRP"")),"""")
  )
)"),"")</f>
      </c>
    </row>
    <row r="1433" spans="1:6" customHeight="true">
      <c r="A1433" s="2" t="s">
        <v>2031</v>
      </c>
      <c r="B1433" s="15">
        <v>45847</v>
      </c>
      <c r="C1433" s="2" t="s">
        <v>2002</v>
      </c>
      <c r="D1433" s="3">
        <v>40</v>
      </c>
      <c r="E1433" s="16" t="str">
        <f>IFERROR(__xludf.DUMMYFUNCTION("IFERROR(
  TEXTJOIN(CHAR(10),TRUE,FILTER('SUMMARY DATA'!E:E,'SUMMARY DATA'!$A:$A=$A534,'SUMMARY DATA'!$C:$C=$B534,'SUMMARY DATA'!$B:$B=""GRP"")),
  IF(
    OR(
      ISNUMBER(SEARCH(""CDM CASH DEPOSIT"",$C534)),
      ISNUMBER(SEARCH(""CASH DEPOSIT"",$C53"&amp;"4)),
      COUNTIFS('SUMMARY DATA'!$D:$D,$C534,'SUMMARY DATA'!$B:$B,""GRP"")&lt;&gt;1
    ),
    """",
    IFERROR(TEXTJOIN(CHAR(10),TRUE,FILTER('SUMMARY DATA'!E:E,'SUMMARY DATA'!$D:$D=$C534,'SUMMARY DATA'!$B:$B=""GRP"")),"""")
  )
)"),"")</f>
      </c>
      <c r="F1433" s="17" t="str">
        <f>IFERROR(__xludf.DUMMYFUNCTION("IFERROR(
  TEXTJOIN(CHAR(10),TRUE,FILTER('SUMMARY DATA'!F:F,'SUMMARY DATA'!$A:$A=$A534,'SUMMARY DATA'!$C:$C=$B534,'SUMMARY DATA'!$B:$B=""GRP"")),
  IF(
    OR(
      ISNUMBER(SEARCH(""CDM CASH DEPOSIT"",$C534)),
      ISNUMBER(SEARCH(""CASH DEPOSIT"",$C53"&amp;"4)),
      COUNTIFS('SUMMARY DATA'!$D:$D,$C534,'SUMMARY DATA'!$B:$B,""GRP"")&lt;&gt;1
    ),
    """",
    IFERROR(TEXTJOIN(CHAR(10),TRUE,FILTER('SUMMARY DATA'!F:F,'SUMMARY DATA'!$D:$D=$C534,'SUMMARY DATA'!$B:$B=""GRP"")),"""")
  )
)"),"")</f>
      </c>
    </row>
    <row r="1434" spans="1:6" customHeight="true">
      <c r="A1434" s="2" t="s">
        <v>2032</v>
      </c>
      <c r="B1434" s="15">
        <v>45847</v>
      </c>
      <c r="C1434" s="2" t="s">
        <v>2033</v>
      </c>
      <c r="D1434" s="3">
        <v>214.88</v>
      </c>
      <c r="E1434" s="16" t="str">
        <f>IFERROR(__xludf.DUMMYFUNCTION("IFERROR(
  TEXTJOIN(CHAR(10),TRUE,FILTER('SUMMARY DATA'!E:E,'SUMMARY DATA'!$A:$A=$A535,'SUMMARY DATA'!$C:$C=$B535,'SUMMARY DATA'!$B:$B=""GRP"")),
  IF(
    OR(
      ISNUMBER(SEARCH(""CDM CASH DEPOSIT"",$C535)),
      ISNUMBER(SEARCH(""CASH DEPOSIT"",$C53"&amp;"5)),
      COUNTIFS('SUMMARY DATA'!$D:$D,$C535,'SUMMARY DATA'!$B:$B,""GRP"")&lt;&gt;1
    ),
    """",
    IFERROR(TEXTJOIN(CHAR(10),TRUE,FILTER('SUMMARY DATA'!E:E,'SUMMARY DATA'!$D:$D=$C535,'SUMMARY DATA'!$B:$B=""GRP"")),"""")
  )
)"),"")</f>
      </c>
      <c r="F1434" s="17" t="str">
        <f>IFERROR(__xludf.DUMMYFUNCTION("IFERROR(
  TEXTJOIN(CHAR(10),TRUE,FILTER('SUMMARY DATA'!F:F,'SUMMARY DATA'!$A:$A=$A535,'SUMMARY DATA'!$C:$C=$B535,'SUMMARY DATA'!$B:$B=""GRP"")),
  IF(
    OR(
      ISNUMBER(SEARCH(""CDM CASH DEPOSIT"",$C535)),
      ISNUMBER(SEARCH(""CASH DEPOSIT"",$C53"&amp;"5)),
      COUNTIFS('SUMMARY DATA'!$D:$D,$C535,'SUMMARY DATA'!$B:$B,""GRP"")&lt;&gt;1
    ),
    """",
    IFERROR(TEXTJOIN(CHAR(10),TRUE,FILTER('SUMMARY DATA'!F:F,'SUMMARY DATA'!$D:$D=$C535,'SUMMARY DATA'!$B:$B=""GRP"")),"""")
  )
)"),"")</f>
      </c>
    </row>
    <row r="1435" spans="1:6" customHeight="true">
      <c r="A1435" s="2" t="s">
        <v>2034</v>
      </c>
      <c r="B1435" s="15">
        <v>45846</v>
      </c>
      <c r="C1435" s="2" t="s">
        <v>2035</v>
      </c>
      <c r="D1435" s="3">
        <v>10</v>
      </c>
      <c r="E1435" s="16" t="str">
        <f>IFERROR(__xludf.DUMMYFUNCTION("IFERROR(
  TEXTJOIN(CHAR(10),TRUE,FILTER('SUMMARY DATA'!E:E,'SUMMARY DATA'!$A:$A=$A536,'SUMMARY DATA'!$C:$C=$B536,'SUMMARY DATA'!$B:$B=""GRP"")),
  IF(
    OR(
      ISNUMBER(SEARCH(""CDM CASH DEPOSIT"",$C536)),
      ISNUMBER(SEARCH(""CASH DEPOSIT"",$C53"&amp;"6)),
      COUNTIFS('SUMMARY DATA'!$D:$D,$C536,'SUMMARY DATA'!$B:$B,""GRP"")&lt;&gt;1
    ),
    """",
    IFERROR(TEXTJOIN(CHAR(10),TRUE,FILTER('SUMMARY DATA'!E:E,'SUMMARY DATA'!$D:$D=$C536,'SUMMARY DATA'!$B:$B=""GRP"")),"""")
  )
)"),"")</f>
      </c>
      <c r="F1435" s="17" t="str">
        <f>IFERROR(__xludf.DUMMYFUNCTION("IFERROR(
  TEXTJOIN(CHAR(10),TRUE,FILTER('SUMMARY DATA'!F:F,'SUMMARY DATA'!$A:$A=$A536,'SUMMARY DATA'!$C:$C=$B536,'SUMMARY DATA'!$B:$B=""GRP"")),
  IF(
    OR(
      ISNUMBER(SEARCH(""CDM CASH DEPOSIT"",$C536)),
      ISNUMBER(SEARCH(""CASH DEPOSIT"",$C53"&amp;"6)),
      COUNTIFS('SUMMARY DATA'!$D:$D,$C536,'SUMMARY DATA'!$B:$B,""GRP"")&lt;&gt;1
    ),
    """",
    IFERROR(TEXTJOIN(CHAR(10),TRUE,FILTER('SUMMARY DATA'!F:F,'SUMMARY DATA'!$D:$D=$C536,'SUMMARY DATA'!$B:$B=""GRP"")),"""")
  )
)"),"")</f>
      </c>
    </row>
    <row r="1436" spans="1:6" customHeight="true">
      <c r="A1436" s="2"/>
      <c r="B1436" s="15">
        <v>45846</v>
      </c>
      <c r="C1436" s="2" t="s">
        <v>2036</v>
      </c>
      <c r="D1436" s="3">
        <v>114.2</v>
      </c>
      <c r="E1436" s="16" t="str">
        <f>IFERROR(__xludf.DUMMYFUNCTION("IFERROR(
  TEXTJOIN(CHAR(10),TRUE,FILTER('SUMMARY DATA'!E:E,'SUMMARY DATA'!$A:$A=$A537,'SUMMARY DATA'!$C:$C=$B537,'SUMMARY DATA'!$B:$B=""GRP"")),
  IF(
    OR(
      ISNUMBER(SEARCH(""CDM CASH DEPOSIT"",$C537)),
      ISNUMBER(SEARCH(""CASH DEPOSIT"",$C53"&amp;"7)),
      COUNTIFS('SUMMARY DATA'!$D:$D,$C537,'SUMMARY DATA'!$B:$B,""GRP"")&lt;&gt;1
    ),
    """",
    IFERROR(TEXTJOIN(CHAR(10),TRUE,FILTER('SUMMARY DATA'!E:E,'SUMMARY DATA'!$D:$D=$C537,'SUMMARY DATA'!$B:$B=""GRP"")),"""")
  )
)"),"")</f>
      </c>
      <c r="F1436" s="17" t="str">
        <f>IFERROR(__xludf.DUMMYFUNCTION("IFERROR(
  TEXTJOIN(CHAR(10),TRUE,FILTER('SUMMARY DATA'!F:F,'SUMMARY DATA'!$A:$A=$A537,'SUMMARY DATA'!$C:$C=$B537,'SUMMARY DATA'!$B:$B=""GRP"")),
  IF(
    OR(
      ISNUMBER(SEARCH(""CDM CASH DEPOSIT"",$C537)),
      ISNUMBER(SEARCH(""CASH DEPOSIT"",$C53"&amp;"7)),
      COUNTIFS('SUMMARY DATA'!$D:$D,$C537,'SUMMARY DATA'!$B:$B,""GRP"")&lt;&gt;1
    ),
    """",
    IFERROR(TEXTJOIN(CHAR(10),TRUE,FILTER('SUMMARY DATA'!F:F,'SUMMARY DATA'!$D:$D=$C537,'SUMMARY DATA'!$B:$B=""GRP"")),"""")
  )
)"),"")</f>
      </c>
    </row>
    <row r="1437" spans="1:6" customHeight="true">
      <c r="A1437" s="2"/>
      <c r="B1437" s="15">
        <v>45846</v>
      </c>
      <c r="C1437" s="2" t="s">
        <v>1598</v>
      </c>
      <c r="D1437" s="3">
        <v>1193.17</v>
      </c>
      <c r="E1437" s="16" t="str">
        <f>IFERROR(__xludf.DUMMYFUNCTION("IFERROR(
  TEXTJOIN(CHAR(10),TRUE,FILTER('SUMMARY DATA'!E:E,'SUMMARY DATA'!$A:$A=$A538,'SUMMARY DATA'!$C:$C=$B538,'SUMMARY DATA'!$B:$B=""GRP"")),
  IF(
    OR(
      ISNUMBER(SEARCH(""CDM CASH DEPOSIT"",$C538)),
      ISNUMBER(SEARCH(""CASH DEPOSIT"",$C53"&amp;"8)),
      COUNTIFS('SUMMARY DATA'!$D:$D,$C538,'SUMMARY DATA'!$B:$B,""GRP"")&lt;&gt;1
    ),
    """",
    IFERROR(TEXTJOIN(CHAR(10),TRUE,FILTER('SUMMARY DATA'!E:E,'SUMMARY DATA'!$D:$D=$C538,'SUMMARY DATA'!$B:$B=""GRP"")),"""")
  )
)"),"")</f>
      </c>
      <c r="F1437" s="17" t="str">
        <f>IFERROR(__xludf.DUMMYFUNCTION("IFERROR(
  TEXTJOIN(CHAR(10),TRUE,FILTER('SUMMARY DATA'!F:F,'SUMMARY DATA'!$A:$A=$A538,'SUMMARY DATA'!$C:$C=$B538,'SUMMARY DATA'!$B:$B=""GRP"")),
  IF(
    OR(
      ISNUMBER(SEARCH(""CDM CASH DEPOSIT"",$C538)),
      ISNUMBER(SEARCH(""CASH DEPOSIT"",$C53"&amp;"8)),
      COUNTIFS('SUMMARY DATA'!$D:$D,$C538,'SUMMARY DATA'!$B:$B,""GRP"")&lt;&gt;1
    ),
    """",
    IFERROR(TEXTJOIN(CHAR(10),TRUE,FILTER('SUMMARY DATA'!F:F,'SUMMARY DATA'!$D:$D=$C538,'SUMMARY DATA'!$B:$B=""GRP"")),"""")
  )
)"),"")</f>
      </c>
    </row>
    <row r="1438" spans="1:6" customHeight="true">
      <c r="A1438" s="2"/>
      <c r="B1438" s="15">
        <v>45846</v>
      </c>
      <c r="C1438" s="2" t="s">
        <v>2037</v>
      </c>
      <c r="D1438" s="3">
        <v>38.88</v>
      </c>
      <c r="E1438" s="16" t="str">
        <f>IFERROR(__xludf.DUMMYFUNCTION("IFERROR(
  TEXTJOIN(CHAR(10),TRUE,FILTER('SUMMARY DATA'!E:E,'SUMMARY DATA'!$A:$A=$A539,'SUMMARY DATA'!$C:$C=$B539,'SUMMARY DATA'!$B:$B=""GRP"")),
  IF(
    OR(
      ISNUMBER(SEARCH(""CDM CASH DEPOSIT"",$C539)),
      ISNUMBER(SEARCH(""CASH DEPOSIT"",$C53"&amp;"9)),
      COUNTIFS('SUMMARY DATA'!$D:$D,$C539,'SUMMARY DATA'!$B:$B,""GRP"")&lt;&gt;1
    ),
    """",
    IFERROR(TEXTJOIN(CHAR(10),TRUE,FILTER('SUMMARY DATA'!E:E,'SUMMARY DATA'!$D:$D=$C539,'SUMMARY DATA'!$B:$B=""GRP"")),"""")
  )
)"),"")</f>
      </c>
      <c r="F1438" s="17" t="str">
        <f>IFERROR(__xludf.DUMMYFUNCTION("IFERROR(
  TEXTJOIN(CHAR(10),TRUE,FILTER('SUMMARY DATA'!F:F,'SUMMARY DATA'!$A:$A=$A539,'SUMMARY DATA'!$C:$C=$B539,'SUMMARY DATA'!$B:$B=""GRP"")),
  IF(
    OR(
      ISNUMBER(SEARCH(""CDM CASH DEPOSIT"",$C539)),
      ISNUMBER(SEARCH(""CASH DEPOSIT"",$C53"&amp;"9)),
      COUNTIFS('SUMMARY DATA'!$D:$D,$C539,'SUMMARY DATA'!$B:$B,""GRP"")&lt;&gt;1
    ),
    """",
    IFERROR(TEXTJOIN(CHAR(10),TRUE,FILTER('SUMMARY DATA'!F:F,'SUMMARY DATA'!$D:$D=$C539,'SUMMARY DATA'!$B:$B=""GRP"")),"""")
  )
)"),"")</f>
      </c>
    </row>
    <row r="1439" spans="1:6" customHeight="true">
      <c r="A1439" s="2" t="s">
        <v>2038</v>
      </c>
      <c r="B1439" s="15">
        <v>45846</v>
      </c>
      <c r="C1439" s="2" t="s">
        <v>2039</v>
      </c>
      <c r="D1439" s="3">
        <v>254</v>
      </c>
      <c r="E1439" s="16" t="str">
        <f>IFERROR(__xludf.DUMMYFUNCTION("IFERROR(
  TEXTJOIN(CHAR(10),TRUE,FILTER('SUMMARY DATA'!E:E,'SUMMARY DATA'!$A:$A=$A540,'SUMMARY DATA'!$C:$C=$B540,'SUMMARY DATA'!$B:$B=""GRP"")),
  IF(
    OR(
      ISNUMBER(SEARCH(""CDM CASH DEPOSIT"",$C540)),
      ISNUMBER(SEARCH(""CASH DEPOSIT"",$C54"&amp;"0)),
      COUNTIFS('SUMMARY DATA'!$D:$D,$C540,'SUMMARY DATA'!$B:$B,""GRP"")&lt;&gt;1
    ),
    """",
    IFERROR(TEXTJOIN(CHAR(10),TRUE,FILTER('SUMMARY DATA'!E:E,'SUMMARY DATA'!$D:$D=$C540,'SUMMARY DATA'!$B:$B=""GRP"")),"""")
  )
)"),"")</f>
      </c>
      <c r="F1439" s="17" t="str">
        <f>IFERROR(__xludf.DUMMYFUNCTION("IFERROR(
  TEXTJOIN(CHAR(10),TRUE,FILTER('SUMMARY DATA'!F:F,'SUMMARY DATA'!$A:$A=$A540,'SUMMARY DATA'!$C:$C=$B540,'SUMMARY DATA'!$B:$B=""GRP"")),
  IF(
    OR(
      ISNUMBER(SEARCH(""CDM CASH DEPOSIT"",$C540)),
      ISNUMBER(SEARCH(""CASH DEPOSIT"",$C54"&amp;"0)),
      COUNTIFS('SUMMARY DATA'!$D:$D,$C540,'SUMMARY DATA'!$B:$B,""GRP"")&lt;&gt;1
    ),
    """",
    IFERROR(TEXTJOIN(CHAR(10),TRUE,FILTER('SUMMARY DATA'!F:F,'SUMMARY DATA'!$D:$D=$C540,'SUMMARY DATA'!$B:$B=""GRP"")),"""")
  )
)"),"")</f>
      </c>
    </row>
    <row r="1440" spans="1:6" customHeight="true">
      <c r="A1440" s="2" t="s">
        <v>2040</v>
      </c>
      <c r="B1440" s="15">
        <v>45846</v>
      </c>
      <c r="C1440" s="2" t="s">
        <v>2041</v>
      </c>
      <c r="D1440" s="3">
        <v>419.98</v>
      </c>
      <c r="E1440" s="16" t="str">
        <f>IFERROR(__xludf.DUMMYFUNCTION("IFERROR(
  TEXTJOIN(CHAR(10),TRUE,FILTER('SUMMARY DATA'!E:E,'SUMMARY DATA'!$A:$A=$A541,'SUMMARY DATA'!$C:$C=$B541,'SUMMARY DATA'!$B:$B=""GRP"")),
  IF(
    OR(
      ISNUMBER(SEARCH(""CDM CASH DEPOSIT"",$C541)),
      ISNUMBER(SEARCH(""CASH DEPOSIT"",$C54"&amp;"1)),
      COUNTIFS('SUMMARY DATA'!$D:$D,$C541,'SUMMARY DATA'!$B:$B,""GRP"")&lt;&gt;1
    ),
    """",
    IFERROR(TEXTJOIN(CHAR(10),TRUE,FILTER('SUMMARY DATA'!E:E,'SUMMARY DATA'!$D:$D=$C541,'SUMMARY DATA'!$B:$B=""GRP"")),"""")
  )
)"),"")</f>
      </c>
      <c r="F1440" s="17" t="str">
        <f>IFERROR(__xludf.DUMMYFUNCTION("IFERROR(
  TEXTJOIN(CHAR(10),TRUE,FILTER('SUMMARY DATA'!F:F,'SUMMARY DATA'!$A:$A=$A541,'SUMMARY DATA'!$C:$C=$B541,'SUMMARY DATA'!$B:$B=""GRP"")),
  IF(
    OR(
      ISNUMBER(SEARCH(""CDM CASH DEPOSIT"",$C541)),
      ISNUMBER(SEARCH(""CASH DEPOSIT"",$C54"&amp;"1)),
      COUNTIFS('SUMMARY DATA'!$D:$D,$C541,'SUMMARY DATA'!$B:$B,""GRP"")&lt;&gt;1
    ),
    """",
    IFERROR(TEXTJOIN(CHAR(10),TRUE,FILTER('SUMMARY DATA'!F:F,'SUMMARY DATA'!$D:$D=$C541,'SUMMARY DATA'!$B:$B=""GRP"")),"""")
  )
)"),"")</f>
      </c>
    </row>
    <row r="1441" spans="1:6" customHeight="true">
      <c r="A1441" s="2"/>
      <c r="B1441" s="15">
        <v>45846</v>
      </c>
      <c r="C1441" s="2" t="s">
        <v>2042</v>
      </c>
      <c r="D1441" s="3">
        <v>7.99</v>
      </c>
      <c r="E1441" s="16" t="str">
        <f>IFERROR(__xludf.DUMMYFUNCTION("IFERROR(
  TEXTJOIN(CHAR(10),TRUE,FILTER('SUMMARY DATA'!E:E,'SUMMARY DATA'!$A:$A=$A542,'SUMMARY DATA'!$C:$C=$B542,'SUMMARY DATA'!$B:$B=""GRP"")),
  IF(
    OR(
      ISNUMBER(SEARCH(""CDM CASH DEPOSIT"",$C542)),
      ISNUMBER(SEARCH(""CASH DEPOSIT"",$C54"&amp;"2)),
      COUNTIFS('SUMMARY DATA'!$D:$D,$C542,'SUMMARY DATA'!$B:$B,""GRP"")&lt;&gt;1
    ),
    """",
    IFERROR(TEXTJOIN(CHAR(10),TRUE,FILTER('SUMMARY DATA'!E:E,'SUMMARY DATA'!$D:$D=$C542,'SUMMARY DATA'!$B:$B=""GRP"")),"""")
  )
)"),"")</f>
      </c>
      <c r="F1441" s="17" t="str">
        <f>IFERROR(__xludf.DUMMYFUNCTION("IFERROR(
  TEXTJOIN(CHAR(10),TRUE,FILTER('SUMMARY DATA'!F:F,'SUMMARY DATA'!$A:$A=$A542,'SUMMARY DATA'!$C:$C=$B542,'SUMMARY DATA'!$B:$B=""GRP"")),
  IF(
    OR(
      ISNUMBER(SEARCH(""CDM CASH DEPOSIT"",$C542)),
      ISNUMBER(SEARCH(""CASH DEPOSIT"",$C54"&amp;"2)),
      COUNTIFS('SUMMARY DATA'!$D:$D,$C542,'SUMMARY DATA'!$B:$B,""GRP"")&lt;&gt;1
    ),
    """",
    IFERROR(TEXTJOIN(CHAR(10),TRUE,FILTER('SUMMARY DATA'!F:F,'SUMMARY DATA'!$D:$D=$C542,'SUMMARY DATA'!$B:$B=""GRP"")),"""")
  )
)"),"")</f>
      </c>
    </row>
    <row r="1442" spans="1:6" customHeight="true">
      <c r="A1442" s="2"/>
      <c r="B1442" s="15">
        <v>45845</v>
      </c>
      <c r="C1442" s="2" t="s">
        <v>2043</v>
      </c>
      <c r="D1442" s="3">
        <v>149.97</v>
      </c>
      <c r="E1442" s="16" t="str">
        <f>IFERROR(__xludf.DUMMYFUNCTION("IFERROR(
  TEXTJOIN(CHAR(10),TRUE,FILTER('SUMMARY DATA'!E:E,'SUMMARY DATA'!$A:$A=$A543,'SUMMARY DATA'!$C:$C=$B543,'SUMMARY DATA'!$B:$B=""GRP"")),
  IF(
    OR(
      ISNUMBER(SEARCH(""CDM CASH DEPOSIT"",$C543)),
      ISNUMBER(SEARCH(""CASH DEPOSIT"",$C54"&amp;"3)),
      COUNTIFS('SUMMARY DATA'!$D:$D,$C543,'SUMMARY DATA'!$B:$B,""GRP"")&lt;&gt;1
    ),
    """",
    IFERROR(TEXTJOIN(CHAR(10),TRUE,FILTER('SUMMARY DATA'!E:E,'SUMMARY DATA'!$D:$D=$C543,'SUMMARY DATA'!$B:$B=""GRP"")),"""")
  )
)"),"")</f>
      </c>
      <c r="F1442" s="17" t="str">
        <f>IFERROR(__xludf.DUMMYFUNCTION("IFERROR(
  TEXTJOIN(CHAR(10),TRUE,FILTER('SUMMARY DATA'!F:F,'SUMMARY DATA'!$A:$A=$A543,'SUMMARY DATA'!$C:$C=$B543,'SUMMARY DATA'!$B:$B=""GRP"")),
  IF(
    OR(
      ISNUMBER(SEARCH(""CDM CASH DEPOSIT"",$C543)),
      ISNUMBER(SEARCH(""CASH DEPOSIT"",$C54"&amp;"3)),
      COUNTIFS('SUMMARY DATA'!$D:$D,$C543,'SUMMARY DATA'!$B:$B,""GRP"")&lt;&gt;1
    ),
    """",
    IFERROR(TEXTJOIN(CHAR(10),TRUE,FILTER('SUMMARY DATA'!F:F,'SUMMARY DATA'!$D:$D=$C543,'SUMMARY DATA'!$B:$B=""GRP"")),"""")
  )
)"),"")</f>
      </c>
    </row>
    <row r="1443" spans="1:6" customHeight="true">
      <c r="A1443" s="2" t="s">
        <v>2044</v>
      </c>
      <c r="B1443" s="15">
        <v>45845</v>
      </c>
      <c r="C1443" s="2" t="s">
        <v>2045</v>
      </c>
      <c r="D1443" s="3">
        <v>27.76</v>
      </c>
      <c r="E1443" s="16" t="str">
        <f>IFERROR(__xludf.DUMMYFUNCTION("IFERROR(
  TEXTJOIN(CHAR(10),TRUE,FILTER('SUMMARY DATA'!E:E,'SUMMARY DATA'!$A:$A=$A544,'SUMMARY DATA'!$C:$C=$B544,'SUMMARY DATA'!$B:$B=""GRP"")),
  IF(
    OR(
      ISNUMBER(SEARCH(""CDM CASH DEPOSIT"",$C544)),
      ISNUMBER(SEARCH(""CASH DEPOSIT"",$C54"&amp;"4)),
      COUNTIFS('SUMMARY DATA'!$D:$D,$C544,'SUMMARY DATA'!$B:$B,""GRP"")&lt;&gt;1
    ),
    """",
    IFERROR(TEXTJOIN(CHAR(10),TRUE,FILTER('SUMMARY DATA'!E:E,'SUMMARY DATA'!$D:$D=$C544,'SUMMARY DATA'!$B:$B=""GRP"")),"""")
  )
)"),"")</f>
      </c>
      <c r="F1443" s="17" t="str">
        <f>IFERROR(__xludf.DUMMYFUNCTION("IFERROR(
  TEXTJOIN(CHAR(10),TRUE,FILTER('SUMMARY DATA'!F:F,'SUMMARY DATA'!$A:$A=$A544,'SUMMARY DATA'!$C:$C=$B544,'SUMMARY DATA'!$B:$B=""GRP"")),
  IF(
    OR(
      ISNUMBER(SEARCH(""CDM CASH DEPOSIT"",$C544)),
      ISNUMBER(SEARCH(""CASH DEPOSIT"",$C54"&amp;"4)),
      COUNTIFS('SUMMARY DATA'!$D:$D,$C544,'SUMMARY DATA'!$B:$B,""GRP"")&lt;&gt;1
    ),
    """",
    IFERROR(TEXTJOIN(CHAR(10),TRUE,FILTER('SUMMARY DATA'!F:F,'SUMMARY DATA'!$D:$D=$C544,'SUMMARY DATA'!$B:$B=""GRP"")),"""")
  )
)"),"")</f>
      </c>
    </row>
    <row r="1444" spans="1:6" customHeight="true">
      <c r="A1444" s="2" t="s">
        <v>2046</v>
      </c>
      <c r="B1444" s="15">
        <v>45845</v>
      </c>
      <c r="C1444" s="2" t="s">
        <v>2047</v>
      </c>
      <c r="D1444" s="3">
        <v>68.98</v>
      </c>
      <c r="E1444" s="16" t="str">
        <f>IFERROR(__xludf.DUMMYFUNCTION("IFERROR(
  TEXTJOIN(CHAR(10),TRUE,FILTER('SUMMARY DATA'!E:E,'SUMMARY DATA'!$A:$A=$A545,'SUMMARY DATA'!$C:$C=$B545,'SUMMARY DATA'!$B:$B=""GRP"")),
  IF(
    OR(
      ISNUMBER(SEARCH(""CDM CASH DEPOSIT"",$C545)),
      ISNUMBER(SEARCH(""CASH DEPOSIT"",$C54"&amp;"5)),
      COUNTIFS('SUMMARY DATA'!$D:$D,$C545,'SUMMARY DATA'!$B:$B,""GRP"")&lt;&gt;1
    ),
    """",
    IFERROR(TEXTJOIN(CHAR(10),TRUE,FILTER('SUMMARY DATA'!E:E,'SUMMARY DATA'!$D:$D=$C545,'SUMMARY DATA'!$B:$B=""GRP"")),"""")
  )
)"),"")</f>
      </c>
      <c r="F1444" s="17" t="str">
        <f>IFERROR(__xludf.DUMMYFUNCTION("IFERROR(
  TEXTJOIN(CHAR(10),TRUE,FILTER('SUMMARY DATA'!F:F,'SUMMARY DATA'!$A:$A=$A545,'SUMMARY DATA'!$C:$C=$B545,'SUMMARY DATA'!$B:$B=""GRP"")),
  IF(
    OR(
      ISNUMBER(SEARCH(""CDM CASH DEPOSIT"",$C545)),
      ISNUMBER(SEARCH(""CASH DEPOSIT"",$C54"&amp;"5)),
      COUNTIFS('SUMMARY DATA'!$D:$D,$C545,'SUMMARY DATA'!$B:$B,""GRP"")&lt;&gt;1
    ),
    """",
    IFERROR(TEXTJOIN(CHAR(10),TRUE,FILTER('SUMMARY DATA'!F:F,'SUMMARY DATA'!$D:$D=$C545,'SUMMARY DATA'!$B:$B=""GRP"")),"""")
  )
)"),"")</f>
      </c>
    </row>
    <row r="1445" spans="1:6" customHeight="true">
      <c r="A1445" s="2" t="s">
        <v>2048</v>
      </c>
      <c r="B1445" s="15">
        <v>45845</v>
      </c>
      <c r="C1445" s="2" t="s">
        <v>2049</v>
      </c>
      <c r="D1445" s="3">
        <v>161.64</v>
      </c>
      <c r="E1445" s="16" t="str">
        <f>IFERROR(__xludf.DUMMYFUNCTION("IFERROR(
  TEXTJOIN(CHAR(10),TRUE,FILTER('SUMMARY DATA'!E:E,'SUMMARY DATA'!$A:$A=$A546,'SUMMARY DATA'!$C:$C=$B546,'SUMMARY DATA'!$B:$B=""GRP"")),
  IF(
    OR(
      ISNUMBER(SEARCH(""CDM CASH DEPOSIT"",$C546)),
      ISNUMBER(SEARCH(""CASH DEPOSIT"",$C54"&amp;"6)),
      COUNTIFS('SUMMARY DATA'!$D:$D,$C546,'SUMMARY DATA'!$B:$B,""GRP"")&lt;&gt;1
    ),
    """",
    IFERROR(TEXTJOIN(CHAR(10),TRUE,FILTER('SUMMARY DATA'!E:E,'SUMMARY DATA'!$D:$D=$C546,'SUMMARY DATA'!$B:$B=""GRP"")),"""")
  )
)"),"")</f>
      </c>
      <c r="F1445" s="17" t="str">
        <f>IFERROR(__xludf.DUMMYFUNCTION("IFERROR(
  TEXTJOIN(CHAR(10),TRUE,FILTER('SUMMARY DATA'!F:F,'SUMMARY DATA'!$A:$A=$A546,'SUMMARY DATA'!$C:$C=$B546,'SUMMARY DATA'!$B:$B=""GRP"")),
  IF(
    OR(
      ISNUMBER(SEARCH(""CDM CASH DEPOSIT"",$C546)),
      ISNUMBER(SEARCH(""CASH DEPOSIT"",$C54"&amp;"6)),
      COUNTIFS('SUMMARY DATA'!$D:$D,$C546,'SUMMARY DATA'!$B:$B,""GRP"")&lt;&gt;1
    ),
    """",
    IFERROR(TEXTJOIN(CHAR(10),TRUE,FILTER('SUMMARY DATA'!F:F,'SUMMARY DATA'!$D:$D=$C546,'SUMMARY DATA'!$B:$B=""GRP"")),"""")
  )
)"),"")</f>
      </c>
    </row>
    <row r="1446" spans="1:6" customHeight="true">
      <c r="A1446" s="2" t="s">
        <v>2050</v>
      </c>
      <c r="B1446" s="15">
        <v>45844</v>
      </c>
      <c r="C1446" s="2" t="s">
        <v>2051</v>
      </c>
      <c r="D1446" s="3">
        <v>80</v>
      </c>
      <c r="E1446" s="16" t="str">
        <f>IFERROR(__xludf.DUMMYFUNCTION("IFERROR(
  TEXTJOIN(CHAR(10),TRUE,FILTER('SUMMARY DATA'!E:E,'SUMMARY DATA'!$A:$A=$A547,'SUMMARY DATA'!$C:$C=$B547,'SUMMARY DATA'!$B:$B=""GRP"")),
  IF(
    OR(
      ISNUMBER(SEARCH(""CDM CASH DEPOSIT"",$C547)),
      ISNUMBER(SEARCH(""CASH DEPOSIT"",$C54"&amp;"7)),
      COUNTIFS('SUMMARY DATA'!$D:$D,$C547,'SUMMARY DATA'!$B:$B,""GRP"")&lt;&gt;1
    ),
    """",
    IFERROR(TEXTJOIN(CHAR(10),TRUE,FILTER('SUMMARY DATA'!E:E,'SUMMARY DATA'!$D:$D=$C547,'SUMMARY DATA'!$B:$B=""GRP"")),"""")
  )
)"),"")</f>
      </c>
      <c r="F1446" s="17" t="str">
        <f>IFERROR(__xludf.DUMMYFUNCTION("IFERROR(
  TEXTJOIN(CHAR(10),TRUE,FILTER('SUMMARY DATA'!F:F,'SUMMARY DATA'!$A:$A=$A547,'SUMMARY DATA'!$C:$C=$B547,'SUMMARY DATA'!$B:$B=""GRP"")),
  IF(
    OR(
      ISNUMBER(SEARCH(""CDM CASH DEPOSIT"",$C547)),
      ISNUMBER(SEARCH(""CASH DEPOSIT"",$C54"&amp;"7)),
      COUNTIFS('SUMMARY DATA'!$D:$D,$C547,'SUMMARY DATA'!$B:$B,""GRP"")&lt;&gt;1
    ),
    """",
    IFERROR(TEXTJOIN(CHAR(10),TRUE,FILTER('SUMMARY DATA'!F:F,'SUMMARY DATA'!$D:$D=$C547,'SUMMARY DATA'!$B:$B=""GRP"")),"""")
  )
)"),"")</f>
      </c>
    </row>
    <row r="1447" spans="1:6" customHeight="true">
      <c r="A1447" s="2"/>
      <c r="B1447" s="15">
        <v>45844</v>
      </c>
      <c r="C1447" s="2" t="s">
        <v>2052</v>
      </c>
      <c r="D1447" s="3">
        <v>299</v>
      </c>
      <c r="E1447" s="16" t="str">
        <f>IFERROR(__xludf.DUMMYFUNCTION("IFERROR(
  TEXTJOIN(CHAR(10),TRUE,FILTER('SUMMARY DATA'!E:E,'SUMMARY DATA'!$A:$A=$A548,'SUMMARY DATA'!$C:$C=$B548,'SUMMARY DATA'!$B:$B=""GRP"")),
  IF(
    OR(
      ISNUMBER(SEARCH(""CDM CASH DEPOSIT"",$C548)),
      ISNUMBER(SEARCH(""CASH DEPOSIT"",$C54"&amp;"8)),
      COUNTIFS('SUMMARY DATA'!$D:$D,$C548,'SUMMARY DATA'!$B:$B,""GRP"")&lt;&gt;1
    ),
    """",
    IFERROR(TEXTJOIN(CHAR(10),TRUE,FILTER('SUMMARY DATA'!E:E,'SUMMARY DATA'!$D:$D=$C548,'SUMMARY DATA'!$B:$B=""GRP"")),"""")
  )
)"),"")</f>
      </c>
      <c r="F1447" s="17" t="str">
        <f>IFERROR(__xludf.DUMMYFUNCTION("IFERROR(
  TEXTJOIN(CHAR(10),TRUE,FILTER('SUMMARY DATA'!F:F,'SUMMARY DATA'!$A:$A=$A548,'SUMMARY DATA'!$C:$C=$B548,'SUMMARY DATA'!$B:$B=""GRP"")),
  IF(
    OR(
      ISNUMBER(SEARCH(""CDM CASH DEPOSIT"",$C548)),
      ISNUMBER(SEARCH(""CASH DEPOSIT"",$C54"&amp;"8)),
      COUNTIFS('SUMMARY DATA'!$D:$D,$C548,'SUMMARY DATA'!$B:$B,""GRP"")&lt;&gt;1
    ),
    """",
    IFERROR(TEXTJOIN(CHAR(10),TRUE,FILTER('SUMMARY DATA'!F:F,'SUMMARY DATA'!$D:$D=$C548,'SUMMARY DATA'!$B:$B=""GRP"")),"""")
  )
)"),"")</f>
      </c>
    </row>
    <row r="1448" spans="1:6" customHeight="true">
      <c r="A1448" s="2"/>
      <c r="B1448" s="15">
        <v>45844</v>
      </c>
      <c r="C1448" s="2" t="s">
        <v>2053</v>
      </c>
      <c r="D1448" s="3">
        <v>103</v>
      </c>
      <c r="E1448" s="16" t="str">
        <f>IFERROR(__xludf.DUMMYFUNCTION("IFERROR(
  TEXTJOIN(CHAR(10),TRUE,FILTER('SUMMARY DATA'!E:E,'SUMMARY DATA'!$A:$A=$A549,'SUMMARY DATA'!$C:$C=$B549,'SUMMARY DATA'!$B:$B=""GRP"")),
  IF(
    OR(
      ISNUMBER(SEARCH(""CDM CASH DEPOSIT"",$C549)),
      ISNUMBER(SEARCH(""CASH DEPOSIT"",$C54"&amp;"9)),
      COUNTIFS('SUMMARY DATA'!$D:$D,$C549,'SUMMARY DATA'!$B:$B,""GRP"")&lt;&gt;1
    ),
    """",
    IFERROR(TEXTJOIN(CHAR(10),TRUE,FILTER('SUMMARY DATA'!E:E,'SUMMARY DATA'!$D:$D=$C549,'SUMMARY DATA'!$B:$B=""GRP"")),"""")
  )
)"),"")</f>
      </c>
      <c r="F1448" s="17" t="str">
        <f>IFERROR(__xludf.DUMMYFUNCTION("IFERROR(
  TEXTJOIN(CHAR(10),TRUE,FILTER('SUMMARY DATA'!F:F,'SUMMARY DATA'!$A:$A=$A549,'SUMMARY DATA'!$C:$C=$B549,'SUMMARY DATA'!$B:$B=""GRP"")),
  IF(
    OR(
      ISNUMBER(SEARCH(""CDM CASH DEPOSIT"",$C549)),
      ISNUMBER(SEARCH(""CASH DEPOSIT"",$C54"&amp;"9)),
      COUNTIFS('SUMMARY DATA'!$D:$D,$C549,'SUMMARY DATA'!$B:$B,""GRP"")&lt;&gt;1
    ),
    """",
    IFERROR(TEXTJOIN(CHAR(10),TRUE,FILTER('SUMMARY DATA'!F:F,'SUMMARY DATA'!$D:$D=$C549,'SUMMARY DATA'!$B:$B=""GRP"")),"""")
  )
)"),"")</f>
      </c>
    </row>
    <row r="1449" spans="1:6" customHeight="true">
      <c r="A1449" s="2" t="s">
        <v>2054</v>
      </c>
      <c r="B1449" s="15">
        <v>45844</v>
      </c>
      <c r="C1449" s="2" t="s">
        <v>2055</v>
      </c>
      <c r="D1449" s="3">
        <v>68.68</v>
      </c>
      <c r="E1449" s="16" t="str">
        <f>IFERROR(__xludf.DUMMYFUNCTION("IFERROR(
  TEXTJOIN(CHAR(10),TRUE,FILTER('SUMMARY DATA'!E:E,'SUMMARY DATA'!$A:$A=$A550,'SUMMARY DATA'!$C:$C=$B550,'SUMMARY DATA'!$B:$B=""GRP"")),
  IF(
    OR(
      ISNUMBER(SEARCH(""CDM CASH DEPOSIT"",$C550)),
      ISNUMBER(SEARCH(""CASH DEPOSIT"",$C55"&amp;"0)),
      COUNTIFS('SUMMARY DATA'!$D:$D,$C550,'SUMMARY DATA'!$B:$B,""GRP"")&lt;&gt;1
    ),
    """",
    IFERROR(TEXTJOIN(CHAR(10),TRUE,FILTER('SUMMARY DATA'!E:E,'SUMMARY DATA'!$D:$D=$C550,'SUMMARY DATA'!$B:$B=""GRP"")),"""")
  )
)"),"")</f>
      </c>
      <c r="F1449" s="17" t="str">
        <f>IFERROR(__xludf.DUMMYFUNCTION("IFERROR(
  TEXTJOIN(CHAR(10),TRUE,FILTER('SUMMARY DATA'!F:F,'SUMMARY DATA'!$A:$A=$A550,'SUMMARY DATA'!$C:$C=$B550,'SUMMARY DATA'!$B:$B=""GRP"")),
  IF(
    OR(
      ISNUMBER(SEARCH(""CDM CASH DEPOSIT"",$C550)),
      ISNUMBER(SEARCH(""CASH DEPOSIT"",$C55"&amp;"0)),
      COUNTIFS('SUMMARY DATA'!$D:$D,$C550,'SUMMARY DATA'!$B:$B,""GRP"")&lt;&gt;1
    ),
    """",
    IFERROR(TEXTJOIN(CHAR(10),TRUE,FILTER('SUMMARY DATA'!F:F,'SUMMARY DATA'!$D:$D=$C550,'SUMMARY DATA'!$B:$B=""GRP"")),"""")
  )
)"),"")</f>
      </c>
    </row>
    <row r="1450" spans="1:6" customHeight="true">
      <c r="A1450" s="2"/>
      <c r="B1450" s="15">
        <v>45843</v>
      </c>
      <c r="C1450" s="2" t="s">
        <v>2056</v>
      </c>
      <c r="D1450" s="3">
        <v>15</v>
      </c>
      <c r="E1450" s="16" t="str">
        <f>IFERROR(__xludf.DUMMYFUNCTION("IFERROR(
  TEXTJOIN(CHAR(10),TRUE,FILTER('SUMMARY DATA'!E:E,'SUMMARY DATA'!$A:$A=$A551,'SUMMARY DATA'!$C:$C=$B551,'SUMMARY DATA'!$B:$B=""GRP"")),
  IF(
    OR(
      ISNUMBER(SEARCH(""CDM CASH DEPOSIT"",$C551)),
      ISNUMBER(SEARCH(""CASH DEPOSIT"",$C55"&amp;"1)),
      COUNTIFS('SUMMARY DATA'!$D:$D,$C551,'SUMMARY DATA'!$B:$B,""GRP"")&lt;&gt;1
    ),
    """",
    IFERROR(TEXTJOIN(CHAR(10),TRUE,FILTER('SUMMARY DATA'!E:E,'SUMMARY DATA'!$D:$D=$C551,'SUMMARY DATA'!$B:$B=""GRP"")),"""")
  )
)"),"")</f>
      </c>
      <c r="F1450" s="17" t="str">
        <f>IFERROR(__xludf.DUMMYFUNCTION("IFERROR(
  TEXTJOIN(CHAR(10),TRUE,FILTER('SUMMARY DATA'!F:F,'SUMMARY DATA'!$A:$A=$A551,'SUMMARY DATA'!$C:$C=$B551,'SUMMARY DATA'!$B:$B=""GRP"")),
  IF(
    OR(
      ISNUMBER(SEARCH(""CDM CASH DEPOSIT"",$C551)),
      ISNUMBER(SEARCH(""CASH DEPOSIT"",$C55"&amp;"1)),
      COUNTIFS('SUMMARY DATA'!$D:$D,$C551,'SUMMARY DATA'!$B:$B,""GRP"")&lt;&gt;1
    ),
    """",
    IFERROR(TEXTJOIN(CHAR(10),TRUE,FILTER('SUMMARY DATA'!F:F,'SUMMARY DATA'!$D:$D=$C551,'SUMMARY DATA'!$B:$B=""GRP"")),"""")
  )
)"),"")</f>
      </c>
    </row>
    <row r="1451" spans="1:6" customHeight="true">
      <c r="A1451" s="2"/>
      <c r="B1451" s="15">
        <v>45843</v>
      </c>
      <c r="C1451" s="2" t="s">
        <v>2057</v>
      </c>
      <c r="D1451" s="3">
        <v>89.98</v>
      </c>
      <c r="E1451" s="16" t="str">
        <f>IFERROR(__xludf.DUMMYFUNCTION("IFERROR(
  TEXTJOIN(CHAR(10),TRUE,FILTER('SUMMARY DATA'!E:E,'SUMMARY DATA'!$A:$A=$A552,'SUMMARY DATA'!$C:$C=$B552,'SUMMARY DATA'!$B:$B=""GRP"")),
  IF(
    OR(
      ISNUMBER(SEARCH(""CDM CASH DEPOSIT"",$C552)),
      ISNUMBER(SEARCH(""CASH DEPOSIT"",$C55"&amp;"2)),
      COUNTIFS('SUMMARY DATA'!$D:$D,$C552,'SUMMARY DATA'!$B:$B,""GRP"")&lt;&gt;1
    ),
    """",
    IFERROR(TEXTJOIN(CHAR(10),TRUE,FILTER('SUMMARY DATA'!E:E,'SUMMARY DATA'!$D:$D=$C552,'SUMMARY DATA'!$B:$B=""GRP"")),"""")
  )
)"),"")</f>
      </c>
      <c r="F1451" s="17" t="str">
        <f>IFERROR(__xludf.DUMMYFUNCTION("IFERROR(
  TEXTJOIN(CHAR(10),TRUE,FILTER('SUMMARY DATA'!F:F,'SUMMARY DATA'!$A:$A=$A552,'SUMMARY DATA'!$C:$C=$B552,'SUMMARY DATA'!$B:$B=""GRP"")),
  IF(
    OR(
      ISNUMBER(SEARCH(""CDM CASH DEPOSIT"",$C552)),
      ISNUMBER(SEARCH(""CASH DEPOSIT"",$C55"&amp;"2)),
      COUNTIFS('SUMMARY DATA'!$D:$D,$C552,'SUMMARY DATA'!$B:$B,""GRP"")&lt;&gt;1
    ),
    """",
    IFERROR(TEXTJOIN(CHAR(10),TRUE,FILTER('SUMMARY DATA'!F:F,'SUMMARY DATA'!$D:$D=$C552,'SUMMARY DATA'!$B:$B=""GRP"")),"""")
  )
)"),"")</f>
      </c>
    </row>
    <row r="1452" spans="1:6" customHeight="true">
      <c r="A1452" s="2" t="s">
        <v>2058</v>
      </c>
      <c r="B1452" s="15">
        <v>45843</v>
      </c>
      <c r="C1452" s="2" t="s">
        <v>2059</v>
      </c>
      <c r="D1452" s="3">
        <v>35</v>
      </c>
      <c r="E1452" s="16" t="str">
        <f>IFERROR(__xludf.DUMMYFUNCTION("IFERROR(
  TEXTJOIN(CHAR(10),TRUE,FILTER('SUMMARY DATA'!E:E,'SUMMARY DATA'!$A:$A=$A553,'SUMMARY DATA'!$C:$C=$B553,'SUMMARY DATA'!$B:$B=""GRP"")),
  IF(
    OR(
      ISNUMBER(SEARCH(""CDM CASH DEPOSIT"",$C553)),
      ISNUMBER(SEARCH(""CASH DEPOSIT"",$C55"&amp;"3)),
      COUNTIFS('SUMMARY DATA'!$D:$D,$C553,'SUMMARY DATA'!$B:$B,""GRP"")&lt;&gt;1
    ),
    """",
    IFERROR(TEXTJOIN(CHAR(10),TRUE,FILTER('SUMMARY DATA'!E:E,'SUMMARY DATA'!$D:$D=$C553,'SUMMARY DATA'!$B:$B=""GRP"")),"""")
  )
)"),"")</f>
      </c>
      <c r="F1452" s="17" t="str">
        <f>IFERROR(__xludf.DUMMYFUNCTION("IFERROR(
  TEXTJOIN(CHAR(10),TRUE,FILTER('SUMMARY DATA'!F:F,'SUMMARY DATA'!$A:$A=$A553,'SUMMARY DATA'!$C:$C=$B553,'SUMMARY DATA'!$B:$B=""GRP"")),
  IF(
    OR(
      ISNUMBER(SEARCH(""CDM CASH DEPOSIT"",$C553)),
      ISNUMBER(SEARCH(""CASH DEPOSIT"",$C55"&amp;"3)),
      COUNTIFS('SUMMARY DATA'!$D:$D,$C553,'SUMMARY DATA'!$B:$B,""GRP"")&lt;&gt;1
    ),
    """",
    IFERROR(TEXTJOIN(CHAR(10),TRUE,FILTER('SUMMARY DATA'!F:F,'SUMMARY DATA'!$D:$D=$C553,'SUMMARY DATA'!$B:$B=""GRP"")),"""")
  )
)"),"")</f>
      </c>
    </row>
    <row r="1453" spans="1:6" customHeight="true">
      <c r="A1453" s="2" t="s">
        <v>2060</v>
      </c>
      <c r="B1453" s="15">
        <v>45843</v>
      </c>
      <c r="C1453" s="2" t="s">
        <v>2061</v>
      </c>
      <c r="D1453" s="3">
        <v>159.96</v>
      </c>
      <c r="E1453" s="16" t="str">
        <f>IFERROR(__xludf.DUMMYFUNCTION("IFERROR(
  TEXTJOIN(CHAR(10),TRUE,FILTER('SUMMARY DATA'!E:E,'SUMMARY DATA'!$A:$A=$A554,'SUMMARY DATA'!$C:$C=$B554,'SUMMARY DATA'!$B:$B=""GRP"")),
  IF(
    OR(
      ISNUMBER(SEARCH(""CDM CASH DEPOSIT"",$C554)),
      ISNUMBER(SEARCH(""CASH DEPOSIT"",$C55"&amp;"4)),
      COUNTIFS('SUMMARY DATA'!$D:$D,$C554,'SUMMARY DATA'!$B:$B,""GRP"")&lt;&gt;1
    ),
    """",
    IFERROR(TEXTJOIN(CHAR(10),TRUE,FILTER('SUMMARY DATA'!E:E,'SUMMARY DATA'!$D:$D=$C554,'SUMMARY DATA'!$B:$B=""GRP"")),"""")
  )
)"),"")</f>
      </c>
      <c r="F1453" s="17" t="str">
        <f>IFERROR(__xludf.DUMMYFUNCTION("IFERROR(
  TEXTJOIN(CHAR(10),TRUE,FILTER('SUMMARY DATA'!F:F,'SUMMARY DATA'!$A:$A=$A554,'SUMMARY DATA'!$C:$C=$B554,'SUMMARY DATA'!$B:$B=""GRP"")),
  IF(
    OR(
      ISNUMBER(SEARCH(""CDM CASH DEPOSIT"",$C554)),
      ISNUMBER(SEARCH(""CASH DEPOSIT"",$C55"&amp;"4)),
      COUNTIFS('SUMMARY DATA'!$D:$D,$C554,'SUMMARY DATA'!$B:$B,""GRP"")&lt;&gt;1
    ),
    """",
    IFERROR(TEXTJOIN(CHAR(10),TRUE,FILTER('SUMMARY DATA'!F:F,'SUMMARY DATA'!$D:$D=$C554,'SUMMARY DATA'!$B:$B=""GRP"")),"""")
  )
)"),"")</f>
      </c>
    </row>
    <row r="1454" spans="1:6" customHeight="true">
      <c r="A1454" s="2" t="s">
        <v>2062</v>
      </c>
      <c r="B1454" s="15">
        <v>45842</v>
      </c>
      <c r="C1454" s="2" t="s">
        <v>2063</v>
      </c>
      <c r="D1454" s="3">
        <v>25</v>
      </c>
      <c r="E1454" s="16" t="str">
        <f>IFERROR(__xludf.DUMMYFUNCTION("IFERROR(
  TEXTJOIN(CHAR(10),TRUE,FILTER('SUMMARY DATA'!E:E,'SUMMARY DATA'!$A:$A=$A555,'SUMMARY DATA'!$C:$C=$B555,'SUMMARY DATA'!$B:$B=""GRP"")),
  IF(
    OR(
      ISNUMBER(SEARCH(""CDM CASH DEPOSIT"",$C555)),
      ISNUMBER(SEARCH(""CASH DEPOSIT"",$C55"&amp;"5)),
      COUNTIFS('SUMMARY DATA'!$D:$D,$C555,'SUMMARY DATA'!$B:$B,""GRP"")&lt;&gt;1
    ),
    """",
    IFERROR(TEXTJOIN(CHAR(10),TRUE,FILTER('SUMMARY DATA'!E:E,'SUMMARY DATA'!$D:$D=$C555,'SUMMARY DATA'!$B:$B=""GRP"")),"""")
  )
)"),"")</f>
      </c>
      <c r="F1454" s="17" t="str">
        <f>IFERROR(__xludf.DUMMYFUNCTION("IFERROR(
  TEXTJOIN(CHAR(10),TRUE,FILTER('SUMMARY DATA'!F:F,'SUMMARY DATA'!$A:$A=$A555,'SUMMARY DATA'!$C:$C=$B555,'SUMMARY DATA'!$B:$B=""GRP"")),
  IF(
    OR(
      ISNUMBER(SEARCH(""CDM CASH DEPOSIT"",$C555)),
      ISNUMBER(SEARCH(""CASH DEPOSIT"",$C55"&amp;"5)),
      COUNTIFS('SUMMARY DATA'!$D:$D,$C555,'SUMMARY DATA'!$B:$B,""GRP"")&lt;&gt;1
    ),
    """",
    IFERROR(TEXTJOIN(CHAR(10),TRUE,FILTER('SUMMARY DATA'!F:F,'SUMMARY DATA'!$D:$D=$C555,'SUMMARY DATA'!$B:$B=""GRP"")),"""")
  )
)"),"")</f>
      </c>
    </row>
    <row r="1455" spans="1:6" customHeight="true">
      <c r="A1455" s="2" t="s">
        <v>1446</v>
      </c>
      <c r="B1455" s="15">
        <v>45842</v>
      </c>
      <c r="C1455" s="2" t="s">
        <v>937</v>
      </c>
      <c r="D1455" s="3">
        <v>10</v>
      </c>
      <c r="E1455" s="16" t="str">
        <f>IFERROR(__xludf.DUMMYFUNCTION("IFERROR(
  TEXTJOIN(CHAR(10),TRUE,FILTER('SUMMARY DATA'!E:E,'SUMMARY DATA'!$A:$A=$A556,'SUMMARY DATA'!$C:$C=$B556,'SUMMARY DATA'!$B:$B=""GRP"")),
  IF(
    OR(
      ISNUMBER(SEARCH(""CDM CASH DEPOSIT"",$C556)),
      ISNUMBER(SEARCH(""CASH DEPOSIT"",$C55"&amp;"6)),
      COUNTIFS('SUMMARY DATA'!$D:$D,$C556,'SUMMARY DATA'!$B:$B,""GRP"")&lt;&gt;1
    ),
    """",
    IFERROR(TEXTJOIN(CHAR(10),TRUE,FILTER('SUMMARY DATA'!E:E,'SUMMARY DATA'!$D:$D=$C556,'SUMMARY DATA'!$B:$B=""GRP"")),"""")
  )
)"),"")</f>
      </c>
      <c r="F1455" s="17" t="str">
        <f>IFERROR(__xludf.DUMMYFUNCTION("IFERROR(
  TEXTJOIN(CHAR(10),TRUE,FILTER('SUMMARY DATA'!F:F,'SUMMARY DATA'!$A:$A=$A556,'SUMMARY DATA'!$C:$C=$B556,'SUMMARY DATA'!$B:$B=""GRP"")),
  IF(
    OR(
      ISNUMBER(SEARCH(""CDM CASH DEPOSIT"",$C556)),
      ISNUMBER(SEARCH(""CASH DEPOSIT"",$C55"&amp;"6)),
      COUNTIFS('SUMMARY DATA'!$D:$D,$C556,'SUMMARY DATA'!$B:$B,""GRP"")&lt;&gt;1
    ),
    """",
    IFERROR(TEXTJOIN(CHAR(10),TRUE,FILTER('SUMMARY DATA'!F:F,'SUMMARY DATA'!$D:$D=$C556,'SUMMARY DATA'!$B:$B=""GRP"")),"""")
  )
)"),"")</f>
      </c>
    </row>
    <row r="1456" spans="1:6" customHeight="true">
      <c r="A1456" s="2" t="s">
        <v>2064</v>
      </c>
      <c r="B1456" s="15">
        <v>45842</v>
      </c>
      <c r="C1456" s="2" t="s">
        <v>2065</v>
      </c>
      <c r="D1456" s="3">
        <v>63.9</v>
      </c>
      <c r="E1456" s="16" t="str">
        <f>IFERROR(__xludf.DUMMYFUNCTION("IFERROR(
  TEXTJOIN(CHAR(10),TRUE,FILTER('SUMMARY DATA'!E:E,'SUMMARY DATA'!$A:$A=$A557,'SUMMARY DATA'!$C:$C=$B557,'SUMMARY DATA'!$B:$B=""GRP"")),
  IF(
    OR(
      ISNUMBER(SEARCH(""CDM CASH DEPOSIT"",$C557)),
      ISNUMBER(SEARCH(""CASH DEPOSIT"",$C55"&amp;"7)),
      COUNTIFS('SUMMARY DATA'!$D:$D,$C557,'SUMMARY DATA'!$B:$B,""GRP"")&lt;&gt;1
    ),
    """",
    IFERROR(TEXTJOIN(CHAR(10),TRUE,FILTER('SUMMARY DATA'!E:E,'SUMMARY DATA'!$D:$D=$C557,'SUMMARY DATA'!$B:$B=""GRP"")),"""")
  )
)"),"")</f>
      </c>
      <c r="F1456" s="17" t="str">
        <f>IFERROR(__xludf.DUMMYFUNCTION("IFERROR(
  TEXTJOIN(CHAR(10),TRUE,FILTER('SUMMARY DATA'!F:F,'SUMMARY DATA'!$A:$A=$A557,'SUMMARY DATA'!$C:$C=$B557,'SUMMARY DATA'!$B:$B=""GRP"")),
  IF(
    OR(
      ISNUMBER(SEARCH(""CDM CASH DEPOSIT"",$C557)),
      ISNUMBER(SEARCH(""CASH DEPOSIT"",$C55"&amp;"7)),
      COUNTIFS('SUMMARY DATA'!$D:$D,$C557,'SUMMARY DATA'!$B:$B,""GRP"")&lt;&gt;1
    ),
    """",
    IFERROR(TEXTJOIN(CHAR(10),TRUE,FILTER('SUMMARY DATA'!F:F,'SUMMARY DATA'!$D:$D=$C557,'SUMMARY DATA'!$B:$B=""GRP"")),"""")
  )
)"),"")</f>
      </c>
    </row>
    <row r="1457" spans="1:6" customHeight="true">
      <c r="A1457" s="2"/>
      <c r="B1457" s="15">
        <v>45842</v>
      </c>
      <c r="C1457" s="2" t="s">
        <v>2066</v>
      </c>
      <c r="D1457" s="3">
        <v>177</v>
      </c>
      <c r="E1457" s="16" t="str">
        <f>IFERROR(__xludf.DUMMYFUNCTION("IFERROR(
  TEXTJOIN(CHAR(10),TRUE,FILTER('SUMMARY DATA'!E:E,'SUMMARY DATA'!$A:$A=$A558,'SUMMARY DATA'!$C:$C=$B558,'SUMMARY DATA'!$B:$B=""GRP"")),
  IF(
    OR(
      ISNUMBER(SEARCH(""CDM CASH DEPOSIT"",$C558)),
      ISNUMBER(SEARCH(""CASH DEPOSIT"",$C55"&amp;"8)),
      COUNTIFS('SUMMARY DATA'!$D:$D,$C558,'SUMMARY DATA'!$B:$B,""GRP"")&lt;&gt;1
    ),
    """",
    IFERROR(TEXTJOIN(CHAR(10),TRUE,FILTER('SUMMARY DATA'!E:E,'SUMMARY DATA'!$D:$D=$C558,'SUMMARY DATA'!$B:$B=""GRP"")),"""")
  )
)"),"")</f>
      </c>
      <c r="F1457" s="17" t="str">
        <f>IFERROR(__xludf.DUMMYFUNCTION("IFERROR(
  TEXTJOIN(CHAR(10),TRUE,FILTER('SUMMARY DATA'!F:F,'SUMMARY DATA'!$A:$A=$A558,'SUMMARY DATA'!$C:$C=$B558,'SUMMARY DATA'!$B:$B=""GRP"")),
  IF(
    OR(
      ISNUMBER(SEARCH(""CDM CASH DEPOSIT"",$C558)),
      ISNUMBER(SEARCH(""CASH DEPOSIT"",$C55"&amp;"8)),
      COUNTIFS('SUMMARY DATA'!$D:$D,$C558,'SUMMARY DATA'!$B:$B,""GRP"")&lt;&gt;1
    ),
    """",
    IFERROR(TEXTJOIN(CHAR(10),TRUE,FILTER('SUMMARY DATA'!F:F,'SUMMARY DATA'!$D:$D=$C558,'SUMMARY DATA'!$B:$B=""GRP"")),"""")
  )
)"),"")</f>
      </c>
    </row>
    <row r="1458" spans="1:6" customHeight="true">
      <c r="A1458" s="2" t="s">
        <v>2067</v>
      </c>
      <c r="B1458" s="15">
        <v>45841</v>
      </c>
      <c r="C1458" s="2" t="s">
        <v>2068</v>
      </c>
      <c r="D1458" s="3">
        <v>119.97</v>
      </c>
      <c r="E1458" s="16" t="str">
        <f>IFERROR(__xludf.DUMMYFUNCTION("IFERROR(
  TEXTJOIN(CHAR(10),TRUE,FILTER('SUMMARY DATA'!E:E,'SUMMARY DATA'!$A:$A=$A559,'SUMMARY DATA'!$C:$C=$B559,'SUMMARY DATA'!$B:$B=""GRP"")),
  IF(
    OR(
      ISNUMBER(SEARCH(""CDM CASH DEPOSIT"",$C559)),
      ISNUMBER(SEARCH(""CASH DEPOSIT"",$C55"&amp;"9)),
      COUNTIFS('SUMMARY DATA'!$D:$D,$C559,'SUMMARY DATA'!$B:$B,""GRP"")&lt;&gt;1
    ),
    """",
    IFERROR(TEXTJOIN(CHAR(10),TRUE,FILTER('SUMMARY DATA'!E:E,'SUMMARY DATA'!$D:$D=$C559,'SUMMARY DATA'!$B:$B=""GRP"")),"""")
  )
)"),"")</f>
      </c>
      <c r="F1458" s="17" t="str">
        <f>IFERROR(__xludf.DUMMYFUNCTION("IFERROR(
  TEXTJOIN(CHAR(10),TRUE,FILTER('SUMMARY DATA'!F:F,'SUMMARY DATA'!$A:$A=$A559,'SUMMARY DATA'!$C:$C=$B559,'SUMMARY DATA'!$B:$B=""GRP"")),
  IF(
    OR(
      ISNUMBER(SEARCH(""CDM CASH DEPOSIT"",$C559)),
      ISNUMBER(SEARCH(""CASH DEPOSIT"",$C55"&amp;"9)),
      COUNTIFS('SUMMARY DATA'!$D:$D,$C559,'SUMMARY DATA'!$B:$B,""GRP"")&lt;&gt;1
    ),
    """",
    IFERROR(TEXTJOIN(CHAR(10),TRUE,FILTER('SUMMARY DATA'!F:F,'SUMMARY DATA'!$D:$D=$C559,'SUMMARY DATA'!$B:$B=""GRP"")),"""")
  )
)"),"")</f>
      </c>
    </row>
    <row r="1459" spans="1:6" customHeight="true">
      <c r="A1459" s="2" t="s">
        <v>2069</v>
      </c>
      <c r="B1459" s="15">
        <v>45841</v>
      </c>
      <c r="C1459" s="2" t="s">
        <v>2070</v>
      </c>
      <c r="D1459" s="3">
        <v>50</v>
      </c>
      <c r="E1459" s="16" t="str">
        <f>IFERROR(__xludf.DUMMYFUNCTION("IFERROR(
  TEXTJOIN(CHAR(10),TRUE,FILTER('SUMMARY DATA'!E:E,'SUMMARY DATA'!$A:$A=$A560,'SUMMARY DATA'!$C:$C=$B560,'SUMMARY DATA'!$B:$B=""GRP"")),
  IF(
    OR(
      ISNUMBER(SEARCH(""CDM CASH DEPOSIT"",$C560)),
      ISNUMBER(SEARCH(""CASH DEPOSIT"",$C56"&amp;"0)),
      COUNTIFS('SUMMARY DATA'!$D:$D,$C560,'SUMMARY DATA'!$B:$B,""GRP"")&lt;&gt;1
    ),
    """",
    IFERROR(TEXTJOIN(CHAR(10),TRUE,FILTER('SUMMARY DATA'!E:E,'SUMMARY DATA'!$D:$D=$C560,'SUMMARY DATA'!$B:$B=""GRP"")),"""")
  )
)"),"")</f>
      </c>
      <c r="F1459" s="17" t="str">
        <f>IFERROR(__xludf.DUMMYFUNCTION("IFERROR(
  TEXTJOIN(CHAR(10),TRUE,FILTER('SUMMARY DATA'!F:F,'SUMMARY DATA'!$A:$A=$A560,'SUMMARY DATA'!$C:$C=$B560,'SUMMARY DATA'!$B:$B=""GRP"")),
  IF(
    OR(
      ISNUMBER(SEARCH(""CDM CASH DEPOSIT"",$C560)),
      ISNUMBER(SEARCH(""CASH DEPOSIT"",$C56"&amp;"0)),
      COUNTIFS('SUMMARY DATA'!$D:$D,$C560,'SUMMARY DATA'!$B:$B,""GRP"")&lt;&gt;1
    ),
    """",
    IFERROR(TEXTJOIN(CHAR(10),TRUE,FILTER('SUMMARY DATA'!F:F,'SUMMARY DATA'!$D:$D=$C560,'SUMMARY DATA'!$B:$B=""GRP"")),"""")
  )
)"),"")</f>
      </c>
    </row>
    <row r="1460" spans="1:6" customHeight="true">
      <c r="A1460" s="2" t="s">
        <v>2071</v>
      </c>
      <c r="B1460" s="15">
        <v>45841</v>
      </c>
      <c r="C1460" s="2" t="s">
        <v>2072</v>
      </c>
      <c r="D1460" s="3">
        <v>20</v>
      </c>
      <c r="E1460" s="16" t="str">
        <f>IFERROR(__xludf.DUMMYFUNCTION("IFERROR(
  TEXTJOIN(CHAR(10),TRUE,FILTER('SUMMARY DATA'!E:E,'SUMMARY DATA'!$A:$A=$A561,'SUMMARY DATA'!$C:$C=$B561,'SUMMARY DATA'!$B:$B=""GRP"")),
  IF(
    OR(
      ISNUMBER(SEARCH(""CDM CASH DEPOSIT"",$C561)),
      ISNUMBER(SEARCH(""CASH DEPOSIT"",$C56"&amp;"1)),
      COUNTIFS('SUMMARY DATA'!$D:$D,$C561,'SUMMARY DATA'!$B:$B,""GRP"")&lt;&gt;1
    ),
    """",
    IFERROR(TEXTJOIN(CHAR(10),TRUE,FILTER('SUMMARY DATA'!E:E,'SUMMARY DATA'!$D:$D=$C561,'SUMMARY DATA'!$B:$B=""GRP"")),"""")
  )
)"),"")</f>
      </c>
      <c r="F1460" s="17" t="str">
        <f>IFERROR(__xludf.DUMMYFUNCTION("IFERROR(
  TEXTJOIN(CHAR(10),TRUE,FILTER('SUMMARY DATA'!F:F,'SUMMARY DATA'!$A:$A=$A561,'SUMMARY DATA'!$C:$C=$B561,'SUMMARY DATA'!$B:$B=""GRP"")),
  IF(
    OR(
      ISNUMBER(SEARCH(""CDM CASH DEPOSIT"",$C561)),
      ISNUMBER(SEARCH(""CASH DEPOSIT"",$C56"&amp;"1)),
      COUNTIFS('SUMMARY DATA'!$D:$D,$C561,'SUMMARY DATA'!$B:$B,""GRP"")&lt;&gt;1
    ),
    """",
    IFERROR(TEXTJOIN(CHAR(10),TRUE,FILTER('SUMMARY DATA'!F:F,'SUMMARY DATA'!$D:$D=$C561,'SUMMARY DATA'!$B:$B=""GRP"")),"""")
  )
)"),"")</f>
      </c>
    </row>
    <row r="1461" spans="1:6" customHeight="true">
      <c r="A1461" s="2" t="s">
        <v>1446</v>
      </c>
      <c r="B1461" s="15">
        <v>45840</v>
      </c>
      <c r="C1461" s="2" t="s">
        <v>2073</v>
      </c>
      <c r="D1461" s="3">
        <v>10</v>
      </c>
      <c r="E1461" s="16" t="str">
        <f>IFERROR(__xludf.DUMMYFUNCTION("IFERROR(
  TEXTJOIN(CHAR(10),TRUE,FILTER('SUMMARY DATA'!E:E,'SUMMARY DATA'!$A:$A=$A562,'SUMMARY DATA'!$C:$C=$B562,'SUMMARY DATA'!$B:$B=""GRP"")),
  IF(
    OR(
      ISNUMBER(SEARCH(""CDM CASH DEPOSIT"",$C562)),
      ISNUMBER(SEARCH(""CASH DEPOSIT"",$C56"&amp;"2)),
      COUNTIFS('SUMMARY DATA'!$D:$D,$C562,'SUMMARY DATA'!$B:$B,""GRP"")&lt;&gt;1
    ),
    """",
    IFERROR(TEXTJOIN(CHAR(10),TRUE,FILTER('SUMMARY DATA'!E:E,'SUMMARY DATA'!$D:$D=$C562,'SUMMARY DATA'!$B:$B=""GRP"")),"""")
  )
)"),"")</f>
      </c>
      <c r="F1461" s="17" t="str">
        <f>IFERROR(__xludf.DUMMYFUNCTION("IFERROR(
  TEXTJOIN(CHAR(10),TRUE,FILTER('SUMMARY DATA'!F:F,'SUMMARY DATA'!$A:$A=$A562,'SUMMARY DATA'!$C:$C=$B562,'SUMMARY DATA'!$B:$B=""GRP"")),
  IF(
    OR(
      ISNUMBER(SEARCH(""CDM CASH DEPOSIT"",$C562)),
      ISNUMBER(SEARCH(""CASH DEPOSIT"",$C56"&amp;"2)),
      COUNTIFS('SUMMARY DATA'!$D:$D,$C562,'SUMMARY DATA'!$B:$B,""GRP"")&lt;&gt;1
    ),
    """",
    IFERROR(TEXTJOIN(CHAR(10),TRUE,FILTER('SUMMARY DATA'!F:F,'SUMMARY DATA'!$D:$D=$C562,'SUMMARY DATA'!$B:$B=""GRP"")),"""")
  )
)"),"")</f>
      </c>
    </row>
    <row r="1462" spans="1:6" customHeight="true">
      <c r="A1462" s="2" t="s">
        <v>2074</v>
      </c>
      <c r="B1462" s="15">
        <v>45840</v>
      </c>
      <c r="C1462" s="2" t="s">
        <v>2075</v>
      </c>
      <c r="D1462" s="3">
        <v>638</v>
      </c>
      <c r="E1462" s="16" t="str">
        <f>IFERROR(__xludf.DUMMYFUNCTION("IFERROR(
  TEXTJOIN(CHAR(10),TRUE,FILTER('SUMMARY DATA'!E:E,'SUMMARY DATA'!$A:$A=$A563,'SUMMARY DATA'!$C:$C=$B563,'SUMMARY DATA'!$B:$B=""GRP"")),
  IF(
    OR(
      ISNUMBER(SEARCH(""CDM CASH DEPOSIT"",$C563)),
      ISNUMBER(SEARCH(""CASH DEPOSIT"",$C56"&amp;"3)),
      COUNTIFS('SUMMARY DATA'!$D:$D,$C563,'SUMMARY DATA'!$B:$B,""GRP"")&lt;&gt;1
    ),
    """",
    IFERROR(TEXTJOIN(CHAR(10),TRUE,FILTER('SUMMARY DATA'!E:E,'SUMMARY DATA'!$D:$D=$C563,'SUMMARY DATA'!$B:$B=""GRP"")),"""")
  )
)"),"")</f>
      </c>
      <c r="F1462" s="17" t="str">
        <f>IFERROR(__xludf.DUMMYFUNCTION("IFERROR(
  TEXTJOIN(CHAR(10),TRUE,FILTER('SUMMARY DATA'!F:F,'SUMMARY DATA'!$A:$A=$A563,'SUMMARY DATA'!$C:$C=$B563,'SUMMARY DATA'!$B:$B=""GRP"")),
  IF(
    OR(
      ISNUMBER(SEARCH(""CDM CASH DEPOSIT"",$C563)),
      ISNUMBER(SEARCH(""CASH DEPOSIT"",$C56"&amp;"3)),
      COUNTIFS('SUMMARY DATA'!$D:$D,$C563,'SUMMARY DATA'!$B:$B,""GRP"")&lt;&gt;1
    ),
    """",
    IFERROR(TEXTJOIN(CHAR(10),TRUE,FILTER('SUMMARY DATA'!F:F,'SUMMARY DATA'!$D:$D=$C563,'SUMMARY DATA'!$B:$B=""GRP"")),"""")
  )
)"),"")</f>
      </c>
    </row>
    <row r="1463" spans="1:6" customHeight="true">
      <c r="A1463" s="2"/>
      <c r="B1463" s="15">
        <v>45840</v>
      </c>
      <c r="C1463" s="2" t="s">
        <v>750</v>
      </c>
      <c r="D1463" s="3">
        <v>555.19</v>
      </c>
      <c r="E1463" s="16" t="str">
        <f>IFERROR(__xludf.DUMMYFUNCTION("IFERROR(
  TEXTJOIN(CHAR(10),TRUE,FILTER('SUMMARY DATA'!E:E,'SUMMARY DATA'!$A:$A=$A564,'SUMMARY DATA'!$C:$C=$B564,'SUMMARY DATA'!$B:$B=""GRP"")),
  IF(
    OR(
      ISNUMBER(SEARCH(""CDM CASH DEPOSIT"",$C564)),
      ISNUMBER(SEARCH(""CASH DEPOSIT"",$C56"&amp;"4)),
      COUNTIFS('SUMMARY DATA'!$D:$D,$C564,'SUMMARY DATA'!$B:$B,""GRP"")&lt;&gt;1
    ),
    """",
    IFERROR(TEXTJOIN(CHAR(10),TRUE,FILTER('SUMMARY DATA'!E:E,'SUMMARY DATA'!$D:$D=$C564,'SUMMARY DATA'!$B:$B=""GRP"")),"""")
  )
)"),"")</f>
      </c>
      <c r="F1463" s="17" t="str">
        <f>IFERROR(__xludf.DUMMYFUNCTION("IFERROR(
  TEXTJOIN(CHAR(10),TRUE,FILTER('SUMMARY DATA'!F:F,'SUMMARY DATA'!$A:$A=$A564,'SUMMARY DATA'!$C:$C=$B564,'SUMMARY DATA'!$B:$B=""GRP"")),
  IF(
    OR(
      ISNUMBER(SEARCH(""CDM CASH DEPOSIT"",$C564)),
      ISNUMBER(SEARCH(""CASH DEPOSIT"",$C56"&amp;"4)),
      COUNTIFS('SUMMARY DATA'!$D:$D,$C564,'SUMMARY DATA'!$B:$B,""GRP"")&lt;&gt;1
    ),
    """",
    IFERROR(TEXTJOIN(CHAR(10),TRUE,FILTER('SUMMARY DATA'!F:F,'SUMMARY DATA'!$D:$D=$C564,'SUMMARY DATA'!$B:$B=""GRP"")),"""")
  )
)"),"")</f>
      </c>
    </row>
    <row r="1464" spans="1:6" customHeight="true">
      <c r="A1464" s="2" t="s">
        <v>2076</v>
      </c>
      <c r="B1464" s="15">
        <v>45840</v>
      </c>
      <c r="C1464" s="2" t="s">
        <v>2077</v>
      </c>
      <c r="D1464" s="3">
        <v>576.03</v>
      </c>
      <c r="E1464" s="16" t="str">
        <f>IFERROR(__xludf.DUMMYFUNCTION("IFERROR(
  TEXTJOIN(CHAR(10),TRUE,FILTER('SUMMARY DATA'!E:E,'SUMMARY DATA'!$A:$A=$A565,'SUMMARY DATA'!$C:$C=$B565,'SUMMARY DATA'!$B:$B=""GRP"")),
  IF(
    OR(
      ISNUMBER(SEARCH(""CDM CASH DEPOSIT"",$C565)),
      ISNUMBER(SEARCH(""CASH DEPOSIT"",$C56"&amp;"5)),
      COUNTIFS('SUMMARY DATA'!$D:$D,$C565,'SUMMARY DATA'!$B:$B,""GRP"")&lt;&gt;1
    ),
    """",
    IFERROR(TEXTJOIN(CHAR(10),TRUE,FILTER('SUMMARY DATA'!E:E,'SUMMARY DATA'!$D:$D=$C565,'SUMMARY DATA'!$B:$B=""GRP"")),"""")
  )
)"),"")</f>
      </c>
      <c r="F1464" s="17" t="str">
        <f>IFERROR(__xludf.DUMMYFUNCTION("IFERROR(
  TEXTJOIN(CHAR(10),TRUE,FILTER('SUMMARY DATA'!F:F,'SUMMARY DATA'!$A:$A=$A565,'SUMMARY DATA'!$C:$C=$B565,'SUMMARY DATA'!$B:$B=""GRP"")),
  IF(
    OR(
      ISNUMBER(SEARCH(""CDM CASH DEPOSIT"",$C565)),
      ISNUMBER(SEARCH(""CASH DEPOSIT"",$C56"&amp;"5)),
      COUNTIFS('SUMMARY DATA'!$D:$D,$C565,'SUMMARY DATA'!$B:$B,""GRP"")&lt;&gt;1
    ),
    """",
    IFERROR(TEXTJOIN(CHAR(10),TRUE,FILTER('SUMMARY DATA'!F:F,'SUMMARY DATA'!$D:$D=$C565,'SUMMARY DATA'!$B:$B=""GRP"")),"""")
  )
)"),"")</f>
      </c>
    </row>
    <row r="1465" spans="1:6" customHeight="true">
      <c r="A1465" s="2" t="s">
        <v>2078</v>
      </c>
      <c r="B1465" s="15">
        <v>45840</v>
      </c>
      <c r="C1465" s="2" t="s">
        <v>2079</v>
      </c>
      <c r="D1465" s="3">
        <v>56.64</v>
      </c>
      <c r="E1465" s="16" t="s">
        <v>2720</v>
      </c>
      <c r="F1465" s="17" t="s">
        <v>2721</v>
      </c>
      <c r="G1465" s="1" t="s">
        <v>2393</v>
      </c>
      <c r="H1465" s="1">
        <v>56.64</v>
      </c>
      <c r="I1465" s="1">
        <v>56.64</v>
      </c>
      <c r="J1465" s="1" t="s">
        <v>2394</v>
      </c>
      <c r="K1465" s="1" t="s">
        <v>2719</v>
      </c>
    </row>
    <row r="1466" spans="1:6" customHeight="true">
      <c r="A1466" s="2"/>
      <c r="B1466" s="15">
        <v>45840</v>
      </c>
      <c r="C1466" s="2" t="s">
        <v>2080</v>
      </c>
      <c r="D1466" s="3">
        <v>48</v>
      </c>
      <c r="E1466" s="16" t="str">
        <f>IFERROR(__xludf.DUMMYFUNCTION("IFERROR(
  TEXTJOIN(CHAR(10),TRUE,FILTER('SUMMARY DATA'!E:E,'SUMMARY DATA'!$A:$A=$A567,'SUMMARY DATA'!$C:$C=$B567,'SUMMARY DATA'!$B:$B=""GRP"")),
  IF(
    OR(
      ISNUMBER(SEARCH(""CDM CASH DEPOSIT"",$C567)),
      ISNUMBER(SEARCH(""CASH DEPOSIT"",$C56"&amp;"7)),
      COUNTIFS('SUMMARY DATA'!$D:$D,$C567,'SUMMARY DATA'!$B:$B,""GRP"")&lt;&gt;1
    ),
    """",
    IFERROR(TEXTJOIN(CHAR(10),TRUE,FILTER('SUMMARY DATA'!E:E,'SUMMARY DATA'!$D:$D=$C567,'SUMMARY DATA'!$B:$B=""GRP"")),"""")
  )
)"),"")</f>
      </c>
      <c r="F1466" s="17" t="str">
        <f>IFERROR(__xludf.DUMMYFUNCTION("IFERROR(
  TEXTJOIN(CHAR(10),TRUE,FILTER('SUMMARY DATA'!F:F,'SUMMARY DATA'!$A:$A=$A567,'SUMMARY DATA'!$C:$C=$B567,'SUMMARY DATA'!$B:$B=""GRP"")),
  IF(
    OR(
      ISNUMBER(SEARCH(""CDM CASH DEPOSIT"",$C567)),
      ISNUMBER(SEARCH(""CASH DEPOSIT"",$C56"&amp;"7)),
      COUNTIFS('SUMMARY DATA'!$D:$D,$C567,'SUMMARY DATA'!$B:$B,""GRP"")&lt;&gt;1
    ),
    """",
    IFERROR(TEXTJOIN(CHAR(10),TRUE,FILTER('SUMMARY DATA'!F:F,'SUMMARY DATA'!$D:$D=$C567,'SUMMARY DATA'!$B:$B=""GRP"")),"""")
  )
)"),"")</f>
      </c>
    </row>
    <row r="1467" spans="1:6" customHeight="true">
      <c r="A1467" s="2"/>
      <c r="B1467" s="15">
        <v>45840</v>
      </c>
      <c r="C1467" s="2" t="s">
        <v>2081</v>
      </c>
      <c r="D1467" s="3">
        <v>20</v>
      </c>
      <c r="E1467" s="16" t="str">
        <f>IFERROR(__xludf.DUMMYFUNCTION("IFERROR(
  TEXTJOIN(CHAR(10),TRUE,FILTER('SUMMARY DATA'!E:E,'SUMMARY DATA'!$A:$A=$A568,'SUMMARY DATA'!$C:$C=$B568,'SUMMARY DATA'!$B:$B=""GRP"")),
  IF(
    OR(
      ISNUMBER(SEARCH(""CDM CASH DEPOSIT"",$C568)),
      ISNUMBER(SEARCH(""CASH DEPOSIT"",$C56"&amp;"8)),
      COUNTIFS('SUMMARY DATA'!$D:$D,$C568,'SUMMARY DATA'!$B:$B,""GRP"")&lt;&gt;1
    ),
    """",
    IFERROR(TEXTJOIN(CHAR(10),TRUE,FILTER('SUMMARY DATA'!E:E,'SUMMARY DATA'!$D:$D=$C568,'SUMMARY DATA'!$B:$B=""GRP"")),"""")
  )
)"),"")</f>
      </c>
      <c r="F1467" s="17" t="str">
        <f>IFERROR(__xludf.DUMMYFUNCTION("IFERROR(
  TEXTJOIN(CHAR(10),TRUE,FILTER('SUMMARY DATA'!F:F,'SUMMARY DATA'!$A:$A=$A568,'SUMMARY DATA'!$C:$C=$B568,'SUMMARY DATA'!$B:$B=""GRP"")),
  IF(
    OR(
      ISNUMBER(SEARCH(""CDM CASH DEPOSIT"",$C568)),
      ISNUMBER(SEARCH(""CASH DEPOSIT"",$C56"&amp;"8)),
      COUNTIFS('SUMMARY DATA'!$D:$D,$C568,'SUMMARY DATA'!$B:$B,""GRP"")&lt;&gt;1
    ),
    """",
    IFERROR(TEXTJOIN(CHAR(10),TRUE,FILTER('SUMMARY DATA'!F:F,'SUMMARY DATA'!$D:$D=$C568,'SUMMARY DATA'!$B:$B=""GRP"")),"""")
  )
)"),"")</f>
      </c>
    </row>
    <row r="1468" spans="1:6" customHeight="true">
      <c r="A1468" s="2"/>
      <c r="B1468" s="15">
        <v>45840</v>
      </c>
      <c r="C1468" s="2" t="s">
        <v>2082</v>
      </c>
      <c r="D1468" s="3">
        <v>270.02</v>
      </c>
      <c r="E1468" s="16" t="str">
        <f>IFERROR(__xludf.DUMMYFUNCTION("IFERROR(
  TEXTJOIN(CHAR(10),TRUE,FILTER('SUMMARY DATA'!E:E,'SUMMARY DATA'!$A:$A=$A569,'SUMMARY DATA'!$C:$C=$B569,'SUMMARY DATA'!$B:$B=""GRP"")),
  IF(
    OR(
      ISNUMBER(SEARCH(""CDM CASH DEPOSIT"",$C569)),
      ISNUMBER(SEARCH(""CASH DEPOSIT"",$C56"&amp;"9)),
      COUNTIFS('SUMMARY DATA'!$D:$D,$C569,'SUMMARY DATA'!$B:$B,""GRP"")&lt;&gt;1
    ),
    """",
    IFERROR(TEXTJOIN(CHAR(10),TRUE,FILTER('SUMMARY DATA'!E:E,'SUMMARY DATA'!$D:$D=$C569,'SUMMARY DATA'!$B:$B=""GRP"")),"""")
  )
)"),"")</f>
      </c>
      <c r="F1468" s="17" t="str">
        <f>IFERROR(__xludf.DUMMYFUNCTION("IFERROR(
  TEXTJOIN(CHAR(10),TRUE,FILTER('SUMMARY DATA'!F:F,'SUMMARY DATA'!$A:$A=$A569,'SUMMARY DATA'!$C:$C=$B569,'SUMMARY DATA'!$B:$B=""GRP"")),
  IF(
    OR(
      ISNUMBER(SEARCH(""CDM CASH DEPOSIT"",$C569)),
      ISNUMBER(SEARCH(""CASH DEPOSIT"",$C56"&amp;"9)),
      COUNTIFS('SUMMARY DATA'!$D:$D,$C569,'SUMMARY DATA'!$B:$B,""GRP"")&lt;&gt;1
    ),
    """",
    IFERROR(TEXTJOIN(CHAR(10),TRUE,FILTER('SUMMARY DATA'!F:F,'SUMMARY DATA'!$D:$D=$C569,'SUMMARY DATA'!$B:$B=""GRP"")),"""")
  )
)"),"")</f>
      </c>
    </row>
    <row r="1469" spans="1:6" customHeight="true">
      <c r="A1469" s="2" t="s">
        <v>2083</v>
      </c>
      <c r="B1469" s="15">
        <v>45840</v>
      </c>
      <c r="C1469" s="2" t="s">
        <v>1491</v>
      </c>
      <c r="D1469" s="3">
        <v>649.7</v>
      </c>
      <c r="E1469" s="16" t="str">
        <f>IFERROR(__xludf.DUMMYFUNCTION("IFERROR(
  TEXTJOIN(CHAR(10),TRUE,FILTER('SUMMARY DATA'!E:E,'SUMMARY DATA'!$A:$A=$A570,'SUMMARY DATA'!$C:$C=$B570,'SUMMARY DATA'!$B:$B=""GRP"")),
  IF(
    OR(
      ISNUMBER(SEARCH(""CDM CASH DEPOSIT"",$C570)),
      ISNUMBER(SEARCH(""CASH DEPOSIT"",$C57"&amp;"0)),
      COUNTIFS('SUMMARY DATA'!$D:$D,$C570,'SUMMARY DATA'!$B:$B,""GRP"")&lt;&gt;1
    ),
    """",
    IFERROR(TEXTJOIN(CHAR(10),TRUE,FILTER('SUMMARY DATA'!E:E,'SUMMARY DATA'!$D:$D=$C570,'SUMMARY DATA'!$B:$B=""GRP"")),"""")
  )
)"),"")</f>
      </c>
      <c r="F1469" s="17" t="str">
        <f>IFERROR(__xludf.DUMMYFUNCTION("IFERROR(
  TEXTJOIN(CHAR(10),TRUE,FILTER('SUMMARY DATA'!F:F,'SUMMARY DATA'!$A:$A=$A570,'SUMMARY DATA'!$C:$C=$B570,'SUMMARY DATA'!$B:$B=""GRP"")),
  IF(
    OR(
      ISNUMBER(SEARCH(""CDM CASH DEPOSIT"",$C570)),
      ISNUMBER(SEARCH(""CASH DEPOSIT"",$C57"&amp;"0)),
      COUNTIFS('SUMMARY DATA'!$D:$D,$C570,'SUMMARY DATA'!$B:$B,""GRP"")&lt;&gt;1
    ),
    """",
    IFERROR(TEXTJOIN(CHAR(10),TRUE,FILTER('SUMMARY DATA'!F:F,'SUMMARY DATA'!$D:$D=$C570,'SUMMARY DATA'!$B:$B=""GRP"")),"""")
  )
)"),"")</f>
      </c>
    </row>
    <row r="1470" spans="1:6" customHeight="true">
      <c r="A1470" s="2"/>
      <c r="B1470" s="15">
        <v>45839</v>
      </c>
      <c r="C1470" s="2" t="s">
        <v>2084</v>
      </c>
      <c r="D1470" s="3">
        <v>49</v>
      </c>
      <c r="E1470" s="16" t="str">
        <f>IFERROR(__xludf.DUMMYFUNCTION("IFERROR(
  TEXTJOIN(CHAR(10),TRUE,FILTER('SUMMARY DATA'!E:E,'SUMMARY DATA'!$A:$A=$A571,'SUMMARY DATA'!$C:$C=$B571,'SUMMARY DATA'!$B:$B=""GRP"")),
  IF(
    OR(
      ISNUMBER(SEARCH(""CDM CASH DEPOSIT"",$C571)),
      ISNUMBER(SEARCH(""CASH DEPOSIT"",$C57"&amp;"1)),
      COUNTIFS('SUMMARY DATA'!$D:$D,$C571,'SUMMARY DATA'!$B:$B,""GRP"")&lt;&gt;1
    ),
    """",
    IFERROR(TEXTJOIN(CHAR(10),TRUE,FILTER('SUMMARY DATA'!E:E,'SUMMARY DATA'!$D:$D=$C571,'SUMMARY DATA'!$B:$B=""GRP"")),"""")
  )
)"),"")</f>
      </c>
      <c r="F1470" s="17" t="str">
        <f>IFERROR(__xludf.DUMMYFUNCTION("IFERROR(
  TEXTJOIN(CHAR(10),TRUE,FILTER('SUMMARY DATA'!F:F,'SUMMARY DATA'!$A:$A=$A571,'SUMMARY DATA'!$C:$C=$B571,'SUMMARY DATA'!$B:$B=""GRP"")),
  IF(
    OR(
      ISNUMBER(SEARCH(""CDM CASH DEPOSIT"",$C571)),
      ISNUMBER(SEARCH(""CASH DEPOSIT"",$C57"&amp;"1)),
      COUNTIFS('SUMMARY DATA'!$D:$D,$C571,'SUMMARY DATA'!$B:$B,""GRP"")&lt;&gt;1
    ),
    """",
    IFERROR(TEXTJOIN(CHAR(10),TRUE,FILTER('SUMMARY DATA'!F:F,'SUMMARY DATA'!$D:$D=$C571,'SUMMARY DATA'!$B:$B=""GRP"")),"""")
  )
)"),"")</f>
      </c>
    </row>
    <row r="1471" spans="1:6" customHeight="true">
      <c r="A1471" s="2" t="s">
        <v>2085</v>
      </c>
      <c r="B1471" s="15">
        <v>45839</v>
      </c>
      <c r="C1471" s="2" t="s">
        <v>2086</v>
      </c>
      <c r="D1471" s="3">
        <v>300</v>
      </c>
      <c r="E1471" s="16" t="str">
        <f>IFERROR(__xludf.DUMMYFUNCTION("IFERROR(
  TEXTJOIN(CHAR(10),TRUE,FILTER('SUMMARY DATA'!E:E,'SUMMARY DATA'!$A:$A=$A572,'SUMMARY DATA'!$C:$C=$B572,'SUMMARY DATA'!$B:$B=""GRP"")),
  IF(
    OR(
      ISNUMBER(SEARCH(""CDM CASH DEPOSIT"",$C572)),
      ISNUMBER(SEARCH(""CASH DEPOSIT"",$C57"&amp;"2)),
      COUNTIFS('SUMMARY DATA'!$D:$D,$C572,'SUMMARY DATA'!$B:$B,""GRP"")&lt;&gt;1
    ),
    """",
    IFERROR(TEXTJOIN(CHAR(10),TRUE,FILTER('SUMMARY DATA'!E:E,'SUMMARY DATA'!$D:$D=$C572,'SUMMARY DATA'!$B:$B=""GRP"")),"""")
  )
)"),"")</f>
      </c>
      <c r="F1471" s="17" t="str">
        <f>IFERROR(__xludf.DUMMYFUNCTION("IFERROR(
  TEXTJOIN(CHAR(10),TRUE,FILTER('SUMMARY DATA'!F:F,'SUMMARY DATA'!$A:$A=$A572,'SUMMARY DATA'!$C:$C=$B572,'SUMMARY DATA'!$B:$B=""GRP"")),
  IF(
    OR(
      ISNUMBER(SEARCH(""CDM CASH DEPOSIT"",$C572)),
      ISNUMBER(SEARCH(""CASH DEPOSIT"",$C57"&amp;"2)),
      COUNTIFS('SUMMARY DATA'!$D:$D,$C572,'SUMMARY DATA'!$B:$B,""GRP"")&lt;&gt;1
    ),
    """",
    IFERROR(TEXTJOIN(CHAR(10),TRUE,FILTER('SUMMARY DATA'!F:F,'SUMMARY DATA'!$D:$D=$C572,'SUMMARY DATA'!$B:$B=""GRP"")),"""")
  )
)"),"")</f>
      </c>
    </row>
    <row r="1472" spans="1:6" customHeight="true">
      <c r="A1472" s="2"/>
      <c r="B1472" s="15">
        <v>45839</v>
      </c>
      <c r="C1472" s="2" t="s">
        <v>1472</v>
      </c>
      <c r="D1472" s="3">
        <v>20</v>
      </c>
      <c r="E1472" s="16" t="str">
        <f>IFERROR(__xludf.DUMMYFUNCTION("IFERROR(
  TEXTJOIN(CHAR(10),TRUE,FILTER('SUMMARY DATA'!E:E,'SUMMARY DATA'!$A:$A=$A573,'SUMMARY DATA'!$C:$C=$B573,'SUMMARY DATA'!$B:$B=""GRP"")),
  IF(
    OR(
      ISNUMBER(SEARCH(""CDM CASH DEPOSIT"",$C573)),
      ISNUMBER(SEARCH(""CASH DEPOSIT"",$C57"&amp;"3)),
      COUNTIFS('SUMMARY DATA'!$D:$D,$C573,'SUMMARY DATA'!$B:$B,""GRP"")&lt;&gt;1
    ),
    """",
    IFERROR(TEXTJOIN(CHAR(10),TRUE,FILTER('SUMMARY DATA'!E:E,'SUMMARY DATA'!$D:$D=$C573,'SUMMARY DATA'!$B:$B=""GRP"")),"""")
  )
)"),"")</f>
      </c>
      <c r="F1472" s="17" t="str">
        <f>IFERROR(__xludf.DUMMYFUNCTION("IFERROR(
  TEXTJOIN(CHAR(10),TRUE,FILTER('SUMMARY DATA'!F:F,'SUMMARY DATA'!$A:$A=$A573,'SUMMARY DATA'!$C:$C=$B573,'SUMMARY DATA'!$B:$B=""GRP"")),
  IF(
    OR(
      ISNUMBER(SEARCH(""CDM CASH DEPOSIT"",$C573)),
      ISNUMBER(SEARCH(""CASH DEPOSIT"",$C57"&amp;"3)),
      COUNTIFS('SUMMARY DATA'!$D:$D,$C573,'SUMMARY DATA'!$B:$B,""GRP"")&lt;&gt;1
    ),
    """",
    IFERROR(TEXTJOIN(CHAR(10),TRUE,FILTER('SUMMARY DATA'!F:F,'SUMMARY DATA'!$D:$D=$C573,'SUMMARY DATA'!$B:$B=""GRP"")),"""")
  )
)"),"")</f>
      </c>
    </row>
    <row r="1473" spans="1:6" customHeight="true">
      <c r="A1473" s="2"/>
      <c r="B1473" s="15">
        <v>45839</v>
      </c>
      <c r="C1473" s="2" t="s">
        <v>2087</v>
      </c>
      <c r="D1473" s="3">
        <v>20</v>
      </c>
      <c r="E1473" s="16" t="str">
        <f>IFERROR(__xludf.DUMMYFUNCTION("IFERROR(
  TEXTJOIN(CHAR(10),TRUE,FILTER('SUMMARY DATA'!E:E,'SUMMARY DATA'!$A:$A=$A574,'SUMMARY DATA'!$C:$C=$B574,'SUMMARY DATA'!$B:$B=""GRP"")),
  IF(
    OR(
      ISNUMBER(SEARCH(""CDM CASH DEPOSIT"",$C574)),
      ISNUMBER(SEARCH(""CASH DEPOSIT"",$C57"&amp;"4)),
      COUNTIFS('SUMMARY DATA'!$D:$D,$C574,'SUMMARY DATA'!$B:$B,""GRP"")&lt;&gt;1
    ),
    """",
    IFERROR(TEXTJOIN(CHAR(10),TRUE,FILTER('SUMMARY DATA'!E:E,'SUMMARY DATA'!$D:$D=$C574,'SUMMARY DATA'!$B:$B=""GRP"")),"""")
  )
)"),"")</f>
      </c>
      <c r="F1473" s="17" t="str">
        <f>IFERROR(__xludf.DUMMYFUNCTION("IFERROR(
  TEXTJOIN(CHAR(10),TRUE,FILTER('SUMMARY DATA'!F:F,'SUMMARY DATA'!$A:$A=$A574,'SUMMARY DATA'!$C:$C=$B574,'SUMMARY DATA'!$B:$B=""GRP"")),
  IF(
    OR(
      ISNUMBER(SEARCH(""CDM CASH DEPOSIT"",$C574)),
      ISNUMBER(SEARCH(""CASH DEPOSIT"",$C57"&amp;"4)),
      COUNTIFS('SUMMARY DATA'!$D:$D,$C574,'SUMMARY DATA'!$B:$B,""GRP"")&lt;&gt;1
    ),
    """",
    IFERROR(TEXTJOIN(CHAR(10),TRUE,FILTER('SUMMARY DATA'!F:F,'SUMMARY DATA'!$D:$D=$C574,'SUMMARY DATA'!$B:$B=""GRP"")),"""")
  )
)"),"")</f>
      </c>
    </row>
    <row r="1474" spans="1:6" customHeight="true">
      <c r="A1474" s="2"/>
      <c r="B1474" s="15">
        <v>45839</v>
      </c>
      <c r="C1474" s="2" t="s">
        <v>2087</v>
      </c>
      <c r="D1474" s="3">
        <v>20</v>
      </c>
      <c r="E1474" s="16" t="str">
        <f>IFERROR(__xludf.DUMMYFUNCTION("IFERROR(
  TEXTJOIN(CHAR(10),TRUE,FILTER('SUMMARY DATA'!E:E,'SUMMARY DATA'!$A:$A=$A575,'SUMMARY DATA'!$C:$C=$B575,'SUMMARY DATA'!$B:$B=""GRP"")),
  IF(
    OR(
      ISNUMBER(SEARCH(""CDM CASH DEPOSIT"",$C575)),
      ISNUMBER(SEARCH(""CASH DEPOSIT"",$C57"&amp;"5)),
      COUNTIFS('SUMMARY DATA'!$D:$D,$C575,'SUMMARY DATA'!$B:$B,""GRP"")&lt;&gt;1
    ),
    """",
    IFERROR(TEXTJOIN(CHAR(10),TRUE,FILTER('SUMMARY DATA'!E:E,'SUMMARY DATA'!$D:$D=$C575,'SUMMARY DATA'!$B:$B=""GRP"")),"""")
  )
)"),"")</f>
      </c>
      <c r="F1474" s="17" t="str">
        <f>IFERROR(__xludf.DUMMYFUNCTION("IFERROR(
  TEXTJOIN(CHAR(10),TRUE,FILTER('SUMMARY DATA'!F:F,'SUMMARY DATA'!$A:$A=$A575,'SUMMARY DATA'!$C:$C=$B575,'SUMMARY DATA'!$B:$B=""GRP"")),
  IF(
    OR(
      ISNUMBER(SEARCH(""CDM CASH DEPOSIT"",$C575)),
      ISNUMBER(SEARCH(""CASH DEPOSIT"",$C57"&amp;"5)),
      COUNTIFS('SUMMARY DATA'!$D:$D,$C575,'SUMMARY DATA'!$B:$B,""GRP"")&lt;&gt;1
    ),
    """",
    IFERROR(TEXTJOIN(CHAR(10),TRUE,FILTER('SUMMARY DATA'!F:F,'SUMMARY DATA'!$D:$D=$C575,'SUMMARY DATA'!$B:$B=""GRP"")),"""")
  )
)"),"")</f>
      </c>
    </row>
    <row r="1475" spans="1:6" customHeight="true">
      <c r="A1475" s="2"/>
      <c r="B1475" s="15">
        <v>45839</v>
      </c>
      <c r="C1475" s="2" t="s">
        <v>2088</v>
      </c>
      <c r="D1475" s="3">
        <v>10</v>
      </c>
      <c r="E1475" s="16" t="str">
        <f>IFERROR(__xludf.DUMMYFUNCTION("IFERROR(
  TEXTJOIN(CHAR(10),TRUE,FILTER('SUMMARY DATA'!E:E,'SUMMARY DATA'!$A:$A=$A576,'SUMMARY DATA'!$C:$C=$B576,'SUMMARY DATA'!$B:$B=""GRP"")),
  IF(
    OR(
      ISNUMBER(SEARCH(""CDM CASH DEPOSIT"",$C576)),
      ISNUMBER(SEARCH(""CASH DEPOSIT"",$C57"&amp;"6)),
      COUNTIFS('SUMMARY DATA'!$D:$D,$C576,'SUMMARY DATA'!$B:$B,""GRP"")&lt;&gt;1
    ),
    """",
    IFERROR(TEXTJOIN(CHAR(10),TRUE,FILTER('SUMMARY DATA'!E:E,'SUMMARY DATA'!$D:$D=$C576,'SUMMARY DATA'!$B:$B=""GRP"")),"""")
  )
)"),"")</f>
      </c>
      <c r="F1475" s="17" t="str">
        <f>IFERROR(__xludf.DUMMYFUNCTION("IFERROR(
  TEXTJOIN(CHAR(10),TRUE,FILTER('SUMMARY DATA'!F:F,'SUMMARY DATA'!$A:$A=$A576,'SUMMARY DATA'!$C:$C=$B576,'SUMMARY DATA'!$B:$B=""GRP"")),
  IF(
    OR(
      ISNUMBER(SEARCH(""CDM CASH DEPOSIT"",$C576)),
      ISNUMBER(SEARCH(""CASH DEPOSIT"",$C57"&amp;"6)),
      COUNTIFS('SUMMARY DATA'!$D:$D,$C576,'SUMMARY DATA'!$B:$B,""GRP"")&lt;&gt;1
    ),
    """",
    IFERROR(TEXTJOIN(CHAR(10),TRUE,FILTER('SUMMARY DATA'!F:F,'SUMMARY DATA'!$D:$D=$C576,'SUMMARY DATA'!$B:$B=""GRP"")),"""")
  )
)"),"")</f>
      </c>
    </row>
    <row r="1476" spans="1:6" customHeight="true">
      <c r="A1476" s="2" t="s">
        <v>2089</v>
      </c>
      <c r="B1476" s="15">
        <v>45839</v>
      </c>
      <c r="C1476" s="2" t="s">
        <v>2090</v>
      </c>
      <c r="D1476" s="3">
        <v>310</v>
      </c>
      <c r="E1476" s="16" t="str">
        <f>IFERROR(__xludf.DUMMYFUNCTION("IFERROR(
  TEXTJOIN(CHAR(10),TRUE,FILTER('SUMMARY DATA'!E:E,'SUMMARY DATA'!$A:$A=$A577,'SUMMARY DATA'!$C:$C=$B577,'SUMMARY DATA'!$B:$B=""GRP"")),
  IF(
    OR(
      ISNUMBER(SEARCH(""CDM CASH DEPOSIT"",$C577)),
      ISNUMBER(SEARCH(""CASH DEPOSIT"",$C57"&amp;"7)),
      COUNTIFS('SUMMARY DATA'!$D:$D,$C577,'SUMMARY DATA'!$B:$B,""GRP"")&lt;&gt;1
    ),
    """",
    IFERROR(TEXTJOIN(CHAR(10),TRUE,FILTER('SUMMARY DATA'!E:E,'SUMMARY DATA'!$D:$D=$C577,'SUMMARY DATA'!$B:$B=""GRP"")),"""")
  )
)"),"")</f>
      </c>
      <c r="F1476" s="17" t="str">
        <f>IFERROR(__xludf.DUMMYFUNCTION("IFERROR(
  TEXTJOIN(CHAR(10),TRUE,FILTER('SUMMARY DATA'!F:F,'SUMMARY DATA'!$A:$A=$A577,'SUMMARY DATA'!$C:$C=$B577,'SUMMARY DATA'!$B:$B=""GRP"")),
  IF(
    OR(
      ISNUMBER(SEARCH(""CDM CASH DEPOSIT"",$C577)),
      ISNUMBER(SEARCH(""CASH DEPOSIT"",$C57"&amp;"7)),
      COUNTIFS('SUMMARY DATA'!$D:$D,$C577,'SUMMARY DATA'!$B:$B,""GRP"")&lt;&gt;1
    ),
    """",
    IFERROR(TEXTJOIN(CHAR(10),TRUE,FILTER('SUMMARY DATA'!F:F,'SUMMARY DATA'!$D:$D=$C577,'SUMMARY DATA'!$B:$B=""GRP"")),"""")
  )
)"),"")</f>
      </c>
    </row>
    <row r="1477" spans="1:6" customHeight="true">
      <c r="A1477" s="2" t="s">
        <v>1446</v>
      </c>
      <c r="B1477" s="15">
        <v>45839</v>
      </c>
      <c r="C1477" s="2" t="s">
        <v>2091</v>
      </c>
      <c r="D1477" s="3">
        <v>129.8</v>
      </c>
      <c r="E1477" s="16" t="str">
        <f>IFERROR(__xludf.DUMMYFUNCTION("IFERROR(
  TEXTJOIN(CHAR(10),TRUE,FILTER('SUMMARY DATA'!E:E,'SUMMARY DATA'!$A:$A=$A578,'SUMMARY DATA'!$C:$C=$B578,'SUMMARY DATA'!$B:$B=""GRP"")),
  IF(
    OR(
      ISNUMBER(SEARCH(""CDM CASH DEPOSIT"",$C578)),
      ISNUMBER(SEARCH(""CASH DEPOSIT"",$C57"&amp;"8)),
      COUNTIFS('SUMMARY DATA'!$D:$D,$C578,'SUMMARY DATA'!$B:$B,""GRP"")&lt;&gt;1
    ),
    """",
    IFERROR(TEXTJOIN(CHAR(10),TRUE,FILTER('SUMMARY DATA'!E:E,'SUMMARY DATA'!$D:$D=$C578,'SUMMARY DATA'!$B:$B=""GRP"")),"""")
  )
)"),"")</f>
      </c>
      <c r="F1477" s="17" t="str">
        <f>IFERROR(__xludf.DUMMYFUNCTION("IFERROR(
  TEXTJOIN(CHAR(10),TRUE,FILTER('SUMMARY DATA'!F:F,'SUMMARY DATA'!$A:$A=$A578,'SUMMARY DATA'!$C:$C=$B578,'SUMMARY DATA'!$B:$B=""GRP"")),
  IF(
    OR(
      ISNUMBER(SEARCH(""CDM CASH DEPOSIT"",$C578)),
      ISNUMBER(SEARCH(""CASH DEPOSIT"",$C57"&amp;"8)),
      COUNTIFS('SUMMARY DATA'!$D:$D,$C578,'SUMMARY DATA'!$B:$B,""GRP"")&lt;&gt;1
    ),
    """",
    IFERROR(TEXTJOIN(CHAR(10),TRUE,FILTER('SUMMARY DATA'!F:F,'SUMMARY DATA'!$D:$D=$C578,'SUMMARY DATA'!$B:$B=""GRP"")),"""")
  )
)"),"")</f>
      </c>
    </row>
    <row r="1478" spans="1:6" customHeight="true">
      <c r="A1478" s="2" t="s">
        <v>1446</v>
      </c>
      <c r="B1478" s="15">
        <v>45839</v>
      </c>
      <c r="C1478" s="2" t="s">
        <v>2092</v>
      </c>
      <c r="D1478" s="3">
        <v>10</v>
      </c>
      <c r="E1478" s="16" t="str">
        <f>IFERROR(__xludf.DUMMYFUNCTION("IFERROR(
  TEXTJOIN(CHAR(10),TRUE,FILTER('SUMMARY DATA'!E:E,'SUMMARY DATA'!$A:$A=$A579,'SUMMARY DATA'!$C:$C=$B579,'SUMMARY DATA'!$B:$B=""GRP"")),
  IF(
    OR(
      ISNUMBER(SEARCH(""CDM CASH DEPOSIT"",$C579)),
      ISNUMBER(SEARCH(""CASH DEPOSIT"",$C57"&amp;"9)),
      COUNTIFS('SUMMARY DATA'!$D:$D,$C579,'SUMMARY DATA'!$B:$B,""GRP"")&lt;&gt;1
    ),
    """",
    IFERROR(TEXTJOIN(CHAR(10),TRUE,FILTER('SUMMARY DATA'!E:E,'SUMMARY DATA'!$D:$D=$C579,'SUMMARY DATA'!$B:$B=""GRP"")),"""")
  )
)"),"")</f>
      </c>
      <c r="F1478" s="17" t="str">
        <f>IFERROR(__xludf.DUMMYFUNCTION("IFERROR(
  TEXTJOIN(CHAR(10),TRUE,FILTER('SUMMARY DATA'!F:F,'SUMMARY DATA'!$A:$A=$A579,'SUMMARY DATA'!$C:$C=$B579,'SUMMARY DATA'!$B:$B=""GRP"")),
  IF(
    OR(
      ISNUMBER(SEARCH(""CDM CASH DEPOSIT"",$C579)),
      ISNUMBER(SEARCH(""CASH DEPOSIT"",$C57"&amp;"9)),
      COUNTIFS('SUMMARY DATA'!$D:$D,$C579,'SUMMARY DATA'!$B:$B,""GRP"")&lt;&gt;1
    ),
    """",
    IFERROR(TEXTJOIN(CHAR(10),TRUE,FILTER('SUMMARY DATA'!F:F,'SUMMARY DATA'!$D:$D=$C579,'SUMMARY DATA'!$B:$B=""GRP"")),"""")
  )
)"),"")</f>
      </c>
    </row>
    <row r="1479" spans="1:6" customHeight="true">
      <c r="A1479" s="2" t="s">
        <v>1446</v>
      </c>
      <c r="B1479" s="15">
        <v>45839</v>
      </c>
      <c r="C1479" s="2" t="s">
        <v>2093</v>
      </c>
      <c r="D1479" s="3">
        <v>22</v>
      </c>
      <c r="E1479" s="16" t="str">
        <f>IFERROR(__xludf.DUMMYFUNCTION("IFERROR(
  TEXTJOIN(CHAR(10),TRUE,FILTER('SUMMARY DATA'!E:E,'SUMMARY DATA'!$A:$A=$A580,'SUMMARY DATA'!$C:$C=$B580,'SUMMARY DATA'!$B:$B=""GRP"")),
  IF(
    OR(
      ISNUMBER(SEARCH(""CDM CASH DEPOSIT"",$C580)),
      ISNUMBER(SEARCH(""CASH DEPOSIT"",$C58"&amp;"0)),
      COUNTIFS('SUMMARY DATA'!$D:$D,$C580,'SUMMARY DATA'!$B:$B,""GRP"")&lt;&gt;1
    ),
    """",
    IFERROR(TEXTJOIN(CHAR(10),TRUE,FILTER('SUMMARY DATA'!E:E,'SUMMARY DATA'!$D:$D=$C580,'SUMMARY DATA'!$B:$B=""GRP"")),"""")
  )
)"),"")</f>
      </c>
      <c r="F1479" s="17" t="str">
        <f>IFERROR(__xludf.DUMMYFUNCTION("IFERROR(
  TEXTJOIN(CHAR(10),TRUE,FILTER('SUMMARY DATA'!F:F,'SUMMARY DATA'!$A:$A=$A580,'SUMMARY DATA'!$C:$C=$B580,'SUMMARY DATA'!$B:$B=""GRP"")),
  IF(
    OR(
      ISNUMBER(SEARCH(""CDM CASH DEPOSIT"",$C580)),
      ISNUMBER(SEARCH(""CASH DEPOSIT"",$C58"&amp;"0)),
      COUNTIFS('SUMMARY DATA'!$D:$D,$C580,'SUMMARY DATA'!$B:$B,""GRP"")&lt;&gt;1
    ),
    """",
    IFERROR(TEXTJOIN(CHAR(10),TRUE,FILTER('SUMMARY DATA'!F:F,'SUMMARY DATA'!$D:$D=$C580,'SUMMARY DATA'!$B:$B=""GRP"")),"""")
  )
)"),"")</f>
      </c>
    </row>
    <row r="1480" spans="1:6" customHeight="true">
      <c r="A1480" s="2"/>
      <c r="B1480" s="15">
        <v>45839</v>
      </c>
      <c r="C1480" s="2" t="s">
        <v>2094</v>
      </c>
      <c r="D1480" s="3">
        <v>100</v>
      </c>
      <c r="E1480" s="16" t="str">
        <f>IFERROR(__xludf.DUMMYFUNCTION("IFERROR(
  TEXTJOIN(CHAR(10),TRUE,FILTER('SUMMARY DATA'!E:E,'SUMMARY DATA'!$A:$A=$A581,'SUMMARY DATA'!$C:$C=$B581,'SUMMARY DATA'!$B:$B=""GRP"")),
  IF(
    OR(
      ISNUMBER(SEARCH(""CDM CASH DEPOSIT"",$C581)),
      ISNUMBER(SEARCH(""CASH DEPOSIT"",$C58"&amp;"1)),
      COUNTIFS('SUMMARY DATA'!$D:$D,$C581,'SUMMARY DATA'!$B:$B,""GRP"")&lt;&gt;1
    ),
    """",
    IFERROR(TEXTJOIN(CHAR(10),TRUE,FILTER('SUMMARY DATA'!E:E,'SUMMARY DATA'!$D:$D=$C581,'SUMMARY DATA'!$B:$B=""GRP"")),"""")
  )
)"),"")</f>
      </c>
      <c r="F1480" s="17" t="str">
        <f>IFERROR(__xludf.DUMMYFUNCTION("IFERROR(
  TEXTJOIN(CHAR(10),TRUE,FILTER('SUMMARY DATA'!F:F,'SUMMARY DATA'!$A:$A=$A581,'SUMMARY DATA'!$C:$C=$B581,'SUMMARY DATA'!$B:$B=""GRP"")),
  IF(
    OR(
      ISNUMBER(SEARCH(""CDM CASH DEPOSIT"",$C581)),
      ISNUMBER(SEARCH(""CASH DEPOSIT"",$C58"&amp;"1)),
      COUNTIFS('SUMMARY DATA'!$D:$D,$C581,'SUMMARY DATA'!$B:$B,""GRP"")&lt;&gt;1
    ),
    """",
    IFERROR(TEXTJOIN(CHAR(10),TRUE,FILTER('SUMMARY DATA'!F:F,'SUMMARY DATA'!$D:$D=$C581,'SUMMARY DATA'!$B:$B=""GRP"")),"""")
  )
)"),"")</f>
      </c>
    </row>
    <row r="1481" spans="1:6" customHeight="true">
      <c r="A1481" s="2"/>
      <c r="B1481" s="15">
        <v>45839</v>
      </c>
      <c r="C1481" s="2" t="s">
        <v>97</v>
      </c>
      <c r="D1481" s="3">
        <v>157</v>
      </c>
      <c r="E1481" s="16" t="str">
        <f>IFERROR(__xludf.DUMMYFUNCTION("IFERROR(
  TEXTJOIN(CHAR(10),TRUE,FILTER('SUMMARY DATA'!E:E,'SUMMARY DATA'!$A:$A=$A582,'SUMMARY DATA'!$C:$C=$B582,'SUMMARY DATA'!$B:$B=""GRP"")),
  IF(
    OR(
      ISNUMBER(SEARCH(""CDM CASH DEPOSIT"",$C582)),
      ISNUMBER(SEARCH(""CASH DEPOSIT"",$C58"&amp;"2)),
      COUNTIFS('SUMMARY DATA'!$D:$D,$C582,'SUMMARY DATA'!$B:$B,""GRP"")&lt;&gt;1
    ),
    """",
    IFERROR(TEXTJOIN(CHAR(10),TRUE,FILTER('SUMMARY DATA'!E:E,'SUMMARY DATA'!$D:$D=$C582,'SUMMARY DATA'!$B:$B=""GRP"")),"""")
  )
)"),"")</f>
      </c>
      <c r="F1481" s="17" t="str">
        <f>IFERROR(__xludf.DUMMYFUNCTION("IFERROR(
  TEXTJOIN(CHAR(10),TRUE,FILTER('SUMMARY DATA'!F:F,'SUMMARY DATA'!$A:$A=$A582,'SUMMARY DATA'!$C:$C=$B582,'SUMMARY DATA'!$B:$B=""GRP"")),
  IF(
    OR(
      ISNUMBER(SEARCH(""CDM CASH DEPOSIT"",$C582)),
      ISNUMBER(SEARCH(""CASH DEPOSIT"",$C58"&amp;"2)),
      COUNTIFS('SUMMARY DATA'!$D:$D,$C582,'SUMMARY DATA'!$B:$B,""GRP"")&lt;&gt;1
    ),
    """",
    IFERROR(TEXTJOIN(CHAR(10),TRUE,FILTER('SUMMARY DATA'!F:F,'SUMMARY DATA'!$D:$D=$C582,'SUMMARY DATA'!$B:$B=""GRP"")),"""")
  )
)"),"")</f>
      </c>
    </row>
    <row r="1482" spans="1:6" customHeight="true">
      <c r="A1482" s="2"/>
      <c r="B1482" s="15">
        <v>45900</v>
      </c>
      <c r="C1482" s="2" t="s">
        <v>2095</v>
      </c>
      <c r="D1482" s="3">
        <v>4.99</v>
      </c>
      <c r="E1482" s="16" t="str">
        <f>IFERROR(__xludf.DUMMYFUNCTION("IFERROR(
  TEXTJOIN(CHAR(10),TRUE,FILTER('SUMMARY DATA'!E:E,'SUMMARY DATA'!$A:$A=$A583,'SUMMARY DATA'!$C:$C=$B583,'SUMMARY DATA'!$B:$B=""GRP"")),
  IF(
    OR(
      ISNUMBER(SEARCH(""CDM CASH DEPOSIT"",$C583)),
      ISNUMBER(SEARCH(""CASH DEPOSIT"",$C58"&amp;"3)),
      COUNTIFS('SUMMARY DATA'!$D:$D,$C583,'SUMMARY DATA'!$B:$B,""GRP"")&lt;&gt;1
    ),
    """",
    IFERROR(TEXTJOIN(CHAR(10),TRUE,FILTER('SUMMARY DATA'!E:E,'SUMMARY DATA'!$D:$D=$C583,'SUMMARY DATA'!$B:$B=""GRP"")),"""")
  )
)"),"")</f>
      </c>
      <c r="F1482" s="17" t="str">
        <f>IFERROR(__xludf.DUMMYFUNCTION("IFERROR(
  TEXTJOIN(CHAR(10),TRUE,FILTER('SUMMARY DATA'!F:F,'SUMMARY DATA'!$A:$A=$A583,'SUMMARY DATA'!$C:$C=$B583,'SUMMARY DATA'!$B:$B=""GRP"")),
  IF(
    OR(
      ISNUMBER(SEARCH(""CDM CASH DEPOSIT"",$C583)),
      ISNUMBER(SEARCH(""CASH DEPOSIT"",$C58"&amp;"3)),
      COUNTIFS('SUMMARY DATA'!$D:$D,$C583,'SUMMARY DATA'!$B:$B,""GRP"")&lt;&gt;1
    ),
    """",
    IFERROR(TEXTJOIN(CHAR(10),TRUE,FILTER('SUMMARY DATA'!F:F,'SUMMARY DATA'!$D:$D=$C583,'SUMMARY DATA'!$B:$B=""GRP"")),"""")
  )
)"),"")</f>
      </c>
    </row>
    <row r="1483" spans="1:6" customHeight="true">
      <c r="A1483" s="2" t="s">
        <v>2096</v>
      </c>
      <c r="B1483" s="15">
        <v>45900</v>
      </c>
      <c r="C1483" s="2" t="s">
        <v>2097</v>
      </c>
      <c r="D1483" s="3">
        <v>169.96</v>
      </c>
      <c r="E1483" s="16" t="str">
        <f>IFERROR(__xludf.DUMMYFUNCTION("IFERROR(
  TEXTJOIN(CHAR(10),TRUE,FILTER('SUMMARY DATA'!E:E,'SUMMARY DATA'!$A:$A=$A584,'SUMMARY DATA'!$C:$C=$B584,'SUMMARY DATA'!$B:$B=""GRP"")),
  IF(
    OR(
      ISNUMBER(SEARCH(""CDM CASH DEPOSIT"",$C584)),
      ISNUMBER(SEARCH(""CASH DEPOSIT"",$C58"&amp;"4)),
      COUNTIFS('SUMMARY DATA'!$D:$D,$C584,'SUMMARY DATA'!$B:$B,""GRP"")&lt;&gt;1
    ),
    """",
    IFERROR(TEXTJOIN(CHAR(10),TRUE,FILTER('SUMMARY DATA'!E:E,'SUMMARY DATA'!$D:$D=$C584,'SUMMARY DATA'!$B:$B=""GRP"")),"""")
  )
)"),"")</f>
      </c>
      <c r="F1483" s="17" t="str">
        <f>IFERROR(__xludf.DUMMYFUNCTION("IFERROR(
  TEXTJOIN(CHAR(10),TRUE,FILTER('SUMMARY DATA'!F:F,'SUMMARY DATA'!$A:$A=$A584,'SUMMARY DATA'!$C:$C=$B584,'SUMMARY DATA'!$B:$B=""GRP"")),
  IF(
    OR(
      ISNUMBER(SEARCH(""CDM CASH DEPOSIT"",$C584)),
      ISNUMBER(SEARCH(""CASH DEPOSIT"",$C58"&amp;"4)),
      COUNTIFS('SUMMARY DATA'!$D:$D,$C584,'SUMMARY DATA'!$B:$B,""GRP"")&lt;&gt;1
    ),
    """",
    IFERROR(TEXTJOIN(CHAR(10),TRUE,FILTER('SUMMARY DATA'!F:F,'SUMMARY DATA'!$D:$D=$C584,'SUMMARY DATA'!$B:$B=""GRP"")),"""")
  )
)"),"")</f>
      </c>
    </row>
    <row r="1484" spans="1:6" customHeight="true">
      <c r="A1484" s="2"/>
      <c r="B1484" s="15">
        <v>45899</v>
      </c>
      <c r="C1484" s="2" t="s">
        <v>2098</v>
      </c>
      <c r="D1484" s="3">
        <v>68.3</v>
      </c>
      <c r="E1484" s="16" t="str">
        <f>IFERROR(__xludf.DUMMYFUNCTION("IFERROR(
  TEXTJOIN(CHAR(10),TRUE,FILTER('SUMMARY DATA'!E:E,'SUMMARY DATA'!$A:$A=$A585,'SUMMARY DATA'!$C:$C=$B585,'SUMMARY DATA'!$B:$B=""GRP"")),
  IF(
    OR(
      ISNUMBER(SEARCH(""CDM CASH DEPOSIT"",$C585)),
      ISNUMBER(SEARCH(""CASH DEPOSIT"",$C58"&amp;"5)),
      COUNTIFS('SUMMARY DATA'!$D:$D,$C585,'SUMMARY DATA'!$B:$B,""GRP"")&lt;&gt;1
    ),
    """",
    IFERROR(TEXTJOIN(CHAR(10),TRUE,FILTER('SUMMARY DATA'!E:E,'SUMMARY DATA'!$D:$D=$C585,'SUMMARY DATA'!$B:$B=""GRP"")),"""")
  )
)"),"")</f>
      </c>
      <c r="F1484" s="17" t="str">
        <f>IFERROR(__xludf.DUMMYFUNCTION("IFERROR(
  TEXTJOIN(CHAR(10),TRUE,FILTER('SUMMARY DATA'!F:F,'SUMMARY DATA'!$A:$A=$A585,'SUMMARY DATA'!$C:$C=$B585,'SUMMARY DATA'!$B:$B=""GRP"")),
  IF(
    OR(
      ISNUMBER(SEARCH(""CDM CASH DEPOSIT"",$C585)),
      ISNUMBER(SEARCH(""CASH DEPOSIT"",$C58"&amp;"5)),
      COUNTIFS('SUMMARY DATA'!$D:$D,$C585,'SUMMARY DATA'!$B:$B,""GRP"")&lt;&gt;1
    ),
    """",
    IFERROR(TEXTJOIN(CHAR(10),TRUE,FILTER('SUMMARY DATA'!F:F,'SUMMARY DATA'!$D:$D=$C585,'SUMMARY DATA'!$B:$B=""GRP"")),"""")
  )
)"),"")</f>
      </c>
    </row>
    <row r="1485" spans="1:6" customHeight="true">
      <c r="A1485" s="2" t="s">
        <v>2099</v>
      </c>
      <c r="B1485" s="15">
        <v>45899</v>
      </c>
      <c r="C1485" s="2" t="s">
        <v>2100</v>
      </c>
      <c r="D1485" s="3">
        <v>10</v>
      </c>
      <c r="E1485" s="16" t="str">
        <f>IFERROR(__xludf.DUMMYFUNCTION("IFERROR(
  TEXTJOIN(CHAR(10),TRUE,FILTER('SUMMARY DATA'!E:E,'SUMMARY DATA'!$A:$A=$A586,'SUMMARY DATA'!$C:$C=$B586,'SUMMARY DATA'!$B:$B=""GRP"")),
  IF(
    OR(
      ISNUMBER(SEARCH(""CDM CASH DEPOSIT"",$C586)),
      ISNUMBER(SEARCH(""CASH DEPOSIT"",$C58"&amp;"6)),
      COUNTIFS('SUMMARY DATA'!$D:$D,$C586,'SUMMARY DATA'!$B:$B,""GRP"")&lt;&gt;1
    ),
    """",
    IFERROR(TEXTJOIN(CHAR(10),TRUE,FILTER('SUMMARY DATA'!E:E,'SUMMARY DATA'!$D:$D=$C586,'SUMMARY DATA'!$B:$B=""GRP"")),"""")
  )
)"),"")</f>
      </c>
      <c r="F1485" s="17" t="str">
        <f>IFERROR(__xludf.DUMMYFUNCTION("IFERROR(
  TEXTJOIN(CHAR(10),TRUE,FILTER('SUMMARY DATA'!F:F,'SUMMARY DATA'!$A:$A=$A586,'SUMMARY DATA'!$C:$C=$B586,'SUMMARY DATA'!$B:$B=""GRP"")),
  IF(
    OR(
      ISNUMBER(SEARCH(""CDM CASH DEPOSIT"",$C586)),
      ISNUMBER(SEARCH(""CASH DEPOSIT"",$C58"&amp;"6)),
      COUNTIFS('SUMMARY DATA'!$D:$D,$C586,'SUMMARY DATA'!$B:$B,""GRP"")&lt;&gt;1
    ),
    """",
    IFERROR(TEXTJOIN(CHAR(10),TRUE,FILTER('SUMMARY DATA'!F:F,'SUMMARY DATA'!$D:$D=$C586,'SUMMARY DATA'!$B:$B=""GRP"")),"""")
  )
)"),"")</f>
      </c>
    </row>
    <row r="1486" spans="1:6" customHeight="true">
      <c r="A1486" s="2"/>
      <c r="B1486" s="15">
        <v>45899</v>
      </c>
      <c r="C1486" s="2" t="s">
        <v>2101</v>
      </c>
      <c r="D1486" s="3">
        <v>52.35</v>
      </c>
      <c r="E1486" s="16" t="str">
        <f>IFERROR(__xludf.DUMMYFUNCTION("IFERROR(
  TEXTJOIN(CHAR(10),TRUE,FILTER('SUMMARY DATA'!E:E,'SUMMARY DATA'!$A:$A=$A587,'SUMMARY DATA'!$C:$C=$B587,'SUMMARY DATA'!$B:$B=""GRP"")),
  IF(
    OR(
      ISNUMBER(SEARCH(""CDM CASH DEPOSIT"",$C587)),
      ISNUMBER(SEARCH(""CASH DEPOSIT"",$C58"&amp;"7)),
      COUNTIFS('SUMMARY DATA'!$D:$D,$C587,'SUMMARY DATA'!$B:$B,""GRP"")&lt;&gt;1
    ),
    """",
    IFERROR(TEXTJOIN(CHAR(10),TRUE,FILTER('SUMMARY DATA'!E:E,'SUMMARY DATA'!$D:$D=$C587,'SUMMARY DATA'!$B:$B=""GRP"")),"""")
  )
)"),"")</f>
      </c>
      <c r="F1486" s="17" t="str">
        <f>IFERROR(__xludf.DUMMYFUNCTION("IFERROR(
  TEXTJOIN(CHAR(10),TRUE,FILTER('SUMMARY DATA'!F:F,'SUMMARY DATA'!$A:$A=$A587,'SUMMARY DATA'!$C:$C=$B587,'SUMMARY DATA'!$B:$B=""GRP"")),
  IF(
    OR(
      ISNUMBER(SEARCH(""CDM CASH DEPOSIT"",$C587)),
      ISNUMBER(SEARCH(""CASH DEPOSIT"",$C58"&amp;"7)),
      COUNTIFS('SUMMARY DATA'!$D:$D,$C587,'SUMMARY DATA'!$B:$B,""GRP"")&lt;&gt;1
    ),
    """",
    IFERROR(TEXTJOIN(CHAR(10),TRUE,FILTER('SUMMARY DATA'!F:F,'SUMMARY DATA'!$D:$D=$C587,'SUMMARY DATA'!$B:$B=""GRP"")),"""")
  )
)"),"")</f>
      </c>
    </row>
    <row r="1487" spans="1:6" customHeight="true">
      <c r="A1487" s="2"/>
      <c r="B1487" s="15">
        <v>45899</v>
      </c>
      <c r="C1487" s="2" t="s">
        <v>1685</v>
      </c>
      <c r="D1487" s="3">
        <v>30</v>
      </c>
      <c r="E1487" s="16" t="str">
        <f>IFERROR(__xludf.DUMMYFUNCTION("IFERROR(
  TEXTJOIN(CHAR(10),TRUE,FILTER('SUMMARY DATA'!E:E,'SUMMARY DATA'!$A:$A=$A588,'SUMMARY DATA'!$C:$C=$B588,'SUMMARY DATA'!$B:$B=""GRP"")),
  IF(
    OR(
      ISNUMBER(SEARCH(""CDM CASH DEPOSIT"",$C588)),
      ISNUMBER(SEARCH(""CASH DEPOSIT"",$C58"&amp;"8)),
      COUNTIFS('SUMMARY DATA'!$D:$D,$C588,'SUMMARY DATA'!$B:$B,""GRP"")&lt;&gt;1
    ),
    """",
    IFERROR(TEXTJOIN(CHAR(10),TRUE,FILTER('SUMMARY DATA'!E:E,'SUMMARY DATA'!$D:$D=$C588,'SUMMARY DATA'!$B:$B=""GRP"")),"""")
  )
)"),"")</f>
      </c>
      <c r="F1487" s="17" t="str">
        <f>IFERROR(__xludf.DUMMYFUNCTION("IFERROR(
  TEXTJOIN(CHAR(10),TRUE,FILTER('SUMMARY DATA'!F:F,'SUMMARY DATA'!$A:$A=$A588,'SUMMARY DATA'!$C:$C=$B588,'SUMMARY DATA'!$B:$B=""GRP"")),
  IF(
    OR(
      ISNUMBER(SEARCH(""CDM CASH DEPOSIT"",$C588)),
      ISNUMBER(SEARCH(""CASH DEPOSIT"",$C58"&amp;"8)),
      COUNTIFS('SUMMARY DATA'!$D:$D,$C588,'SUMMARY DATA'!$B:$B,""GRP"")&lt;&gt;1
    ),
    """",
    IFERROR(TEXTJOIN(CHAR(10),TRUE,FILTER('SUMMARY DATA'!F:F,'SUMMARY DATA'!$D:$D=$C588,'SUMMARY DATA'!$B:$B=""GRP"")),"""")
  )
)"),"")</f>
      </c>
    </row>
    <row r="1488" spans="1:6" customHeight="true">
      <c r="A1488" s="2" t="s">
        <v>2102</v>
      </c>
      <c r="B1488" s="15">
        <v>45898</v>
      </c>
      <c r="C1488" s="2" t="s">
        <v>2103</v>
      </c>
      <c r="D1488" s="3">
        <v>57</v>
      </c>
      <c r="E1488" s="16" t="str">
        <f>IFERROR(__xludf.DUMMYFUNCTION("IFERROR(
  TEXTJOIN(CHAR(10),TRUE,FILTER('SUMMARY DATA'!E:E,'SUMMARY DATA'!$A:$A=$A589,'SUMMARY DATA'!$C:$C=$B589,'SUMMARY DATA'!$B:$B=""GRP"")),
  IF(
    OR(
      ISNUMBER(SEARCH(""CDM CASH DEPOSIT"",$C589)),
      ISNUMBER(SEARCH(""CASH DEPOSIT"",$C58"&amp;"9)),
      COUNTIFS('SUMMARY DATA'!$D:$D,$C589,'SUMMARY DATA'!$B:$B,""GRP"")&lt;&gt;1
    ),
    """",
    IFERROR(TEXTJOIN(CHAR(10),TRUE,FILTER('SUMMARY DATA'!E:E,'SUMMARY DATA'!$D:$D=$C589,'SUMMARY DATA'!$B:$B=""GRP"")),"""")
  )
)"),"")</f>
      </c>
      <c r="F1488" s="17" t="str">
        <f>IFERROR(__xludf.DUMMYFUNCTION("IFERROR(
  TEXTJOIN(CHAR(10),TRUE,FILTER('SUMMARY DATA'!F:F,'SUMMARY DATA'!$A:$A=$A589,'SUMMARY DATA'!$C:$C=$B589,'SUMMARY DATA'!$B:$B=""GRP"")),
  IF(
    OR(
      ISNUMBER(SEARCH(""CDM CASH DEPOSIT"",$C589)),
      ISNUMBER(SEARCH(""CASH DEPOSIT"",$C58"&amp;"9)),
      COUNTIFS('SUMMARY DATA'!$D:$D,$C589,'SUMMARY DATA'!$B:$B,""GRP"")&lt;&gt;1
    ),
    """",
    IFERROR(TEXTJOIN(CHAR(10),TRUE,FILTER('SUMMARY DATA'!F:F,'SUMMARY DATA'!$D:$D=$C589,'SUMMARY DATA'!$B:$B=""GRP"")),"""")
  )
)"),"")</f>
      </c>
    </row>
    <row r="1489" spans="1:6" customHeight="true">
      <c r="A1489" s="2" t="s">
        <v>2104</v>
      </c>
      <c r="B1489" s="15">
        <v>45898</v>
      </c>
      <c r="C1489" s="2" t="s">
        <v>2105</v>
      </c>
      <c r="D1489" s="3">
        <v>94.03</v>
      </c>
      <c r="E1489" s="16" t="str">
        <f>IFERROR(__xludf.DUMMYFUNCTION("IFERROR(
  TEXTJOIN(CHAR(10),TRUE,FILTER('SUMMARY DATA'!E:E,'SUMMARY DATA'!$A:$A=$A590,'SUMMARY DATA'!$C:$C=$B590,'SUMMARY DATA'!$B:$B=""GRP"")),
  IF(
    OR(
      ISNUMBER(SEARCH(""CDM CASH DEPOSIT"",$C590)),
      ISNUMBER(SEARCH(""CASH DEPOSIT"",$C59"&amp;"0)),
      COUNTIFS('SUMMARY DATA'!$D:$D,$C590,'SUMMARY DATA'!$B:$B,""GRP"")&lt;&gt;1
    ),
    """",
    IFERROR(TEXTJOIN(CHAR(10),TRUE,FILTER('SUMMARY DATA'!E:E,'SUMMARY DATA'!$D:$D=$C590,'SUMMARY DATA'!$B:$B=""GRP"")),"""")
  )
)"),"")</f>
      </c>
      <c r="F1489" s="17" t="str">
        <f>IFERROR(__xludf.DUMMYFUNCTION("IFERROR(
  TEXTJOIN(CHAR(10),TRUE,FILTER('SUMMARY DATA'!F:F,'SUMMARY DATA'!$A:$A=$A590,'SUMMARY DATA'!$C:$C=$B590,'SUMMARY DATA'!$B:$B=""GRP"")),
  IF(
    OR(
      ISNUMBER(SEARCH(""CDM CASH DEPOSIT"",$C590)),
      ISNUMBER(SEARCH(""CASH DEPOSIT"",$C59"&amp;"0)),
      COUNTIFS('SUMMARY DATA'!$D:$D,$C590,'SUMMARY DATA'!$B:$B,""GRP"")&lt;&gt;1
    ),
    """",
    IFERROR(TEXTJOIN(CHAR(10),TRUE,FILTER('SUMMARY DATA'!F:F,'SUMMARY DATA'!$D:$D=$C590,'SUMMARY DATA'!$B:$B=""GRP"")),"""")
  )
)"),"")</f>
      </c>
    </row>
    <row r="1490" spans="1:6" customHeight="true">
      <c r="A1490" s="2"/>
      <c r="B1490" s="15">
        <v>45897</v>
      </c>
      <c r="C1490" s="2" t="s">
        <v>2106</v>
      </c>
      <c r="D1490" s="3">
        <v>182.99</v>
      </c>
      <c r="E1490" s="16" t="str">
        <f>IFERROR(__xludf.DUMMYFUNCTION("IFERROR(
  TEXTJOIN(CHAR(10),TRUE,FILTER('SUMMARY DATA'!E:E,'SUMMARY DATA'!$A:$A=$A591,'SUMMARY DATA'!$C:$C=$B591,'SUMMARY DATA'!$B:$B=""GRP"")),
  IF(
    OR(
      ISNUMBER(SEARCH(""CDM CASH DEPOSIT"",$C591)),
      ISNUMBER(SEARCH(""CASH DEPOSIT"",$C59"&amp;"1)),
      COUNTIFS('SUMMARY DATA'!$D:$D,$C591,'SUMMARY DATA'!$B:$B,""GRP"")&lt;&gt;1
    ),
    """",
    IFERROR(TEXTJOIN(CHAR(10),TRUE,FILTER('SUMMARY DATA'!E:E,'SUMMARY DATA'!$D:$D=$C591,'SUMMARY DATA'!$B:$B=""GRP"")),"""")
  )
)"),"")</f>
      </c>
      <c r="F1490" s="17" t="str">
        <f>IFERROR(__xludf.DUMMYFUNCTION("IFERROR(
  TEXTJOIN(CHAR(10),TRUE,FILTER('SUMMARY DATA'!F:F,'SUMMARY DATA'!$A:$A=$A591,'SUMMARY DATA'!$C:$C=$B591,'SUMMARY DATA'!$B:$B=""GRP"")),
  IF(
    OR(
      ISNUMBER(SEARCH(""CDM CASH DEPOSIT"",$C591)),
      ISNUMBER(SEARCH(""CASH DEPOSIT"",$C59"&amp;"1)),
      COUNTIFS('SUMMARY DATA'!$D:$D,$C591,'SUMMARY DATA'!$B:$B,""GRP"")&lt;&gt;1
    ),
    """",
    IFERROR(TEXTJOIN(CHAR(10),TRUE,FILTER('SUMMARY DATA'!F:F,'SUMMARY DATA'!$D:$D=$C591,'SUMMARY DATA'!$B:$B=""GRP"")),"""")
  )
)"),"")</f>
      </c>
    </row>
    <row r="1491" spans="1:6" customHeight="true">
      <c r="A1491" s="2" t="s">
        <v>65</v>
      </c>
      <c r="B1491" s="15">
        <v>45897</v>
      </c>
      <c r="C1491" s="2" t="s">
        <v>48</v>
      </c>
      <c r="D1491" s="3">
        <v>20</v>
      </c>
      <c r="E1491" s="16" t="str">
        <f>IFERROR(__xludf.DUMMYFUNCTION("IFERROR(
  TEXTJOIN(CHAR(10),TRUE,FILTER('SUMMARY DATA'!E:E,'SUMMARY DATA'!$A:$A=$A592,'SUMMARY DATA'!$C:$C=$B592,'SUMMARY DATA'!$B:$B=""GRP"")),
  IF(
    OR(
      ISNUMBER(SEARCH(""CDM CASH DEPOSIT"",$C592)),
      ISNUMBER(SEARCH(""CASH DEPOSIT"",$C59"&amp;"2)),
      COUNTIFS('SUMMARY DATA'!$D:$D,$C592,'SUMMARY DATA'!$B:$B,""GRP"")&lt;&gt;1
    ),
    """",
    IFERROR(TEXTJOIN(CHAR(10),TRUE,FILTER('SUMMARY DATA'!E:E,'SUMMARY DATA'!$D:$D=$C592,'SUMMARY DATA'!$B:$B=""GRP"")),"""")
  )
)"),"")</f>
      </c>
      <c r="F1491" s="17" t="str">
        <f>IFERROR(__xludf.DUMMYFUNCTION("IFERROR(
  TEXTJOIN(CHAR(10),TRUE,FILTER('SUMMARY DATA'!F:F,'SUMMARY DATA'!$A:$A=$A592,'SUMMARY DATA'!$C:$C=$B592,'SUMMARY DATA'!$B:$B=""GRP"")),
  IF(
    OR(
      ISNUMBER(SEARCH(""CDM CASH DEPOSIT"",$C592)),
      ISNUMBER(SEARCH(""CASH DEPOSIT"",$C59"&amp;"2)),
      COUNTIFS('SUMMARY DATA'!$D:$D,$C592,'SUMMARY DATA'!$B:$B,""GRP"")&lt;&gt;1
    ),
    """",
    IFERROR(TEXTJOIN(CHAR(10),TRUE,FILTER('SUMMARY DATA'!F:F,'SUMMARY DATA'!$D:$D=$C592,'SUMMARY DATA'!$B:$B=""GRP"")),"""")
  )
)"),"")</f>
      </c>
    </row>
    <row r="1492" spans="1:6" customHeight="true">
      <c r="A1492" s="2"/>
      <c r="B1492" s="15">
        <v>45897</v>
      </c>
      <c r="C1492" s="2" t="s">
        <v>218</v>
      </c>
      <c r="D1492" s="3">
        <v>208</v>
      </c>
      <c r="E1492" s="16" t="str">
        <f>IFERROR(__xludf.DUMMYFUNCTION("IFERROR(
  TEXTJOIN(CHAR(10),TRUE,FILTER('SUMMARY DATA'!E:E,'SUMMARY DATA'!$A:$A=$A593,'SUMMARY DATA'!$C:$C=$B593,'SUMMARY DATA'!$B:$B=""GRP"")),
  IF(
    OR(
      ISNUMBER(SEARCH(""CDM CASH DEPOSIT"",$C593)),
      ISNUMBER(SEARCH(""CASH DEPOSIT"",$C59"&amp;"3)),
      COUNTIFS('SUMMARY DATA'!$D:$D,$C593,'SUMMARY DATA'!$B:$B,""GRP"")&lt;&gt;1
    ),
    """",
    IFERROR(TEXTJOIN(CHAR(10),TRUE,FILTER('SUMMARY DATA'!E:E,'SUMMARY DATA'!$D:$D=$C593,'SUMMARY DATA'!$B:$B=""GRP"")),"""")
  )
)"),"")</f>
      </c>
      <c r="F1492" s="17" t="str">
        <f>IFERROR(__xludf.DUMMYFUNCTION("IFERROR(
  TEXTJOIN(CHAR(10),TRUE,FILTER('SUMMARY DATA'!F:F,'SUMMARY DATA'!$A:$A=$A593,'SUMMARY DATA'!$C:$C=$B593,'SUMMARY DATA'!$B:$B=""GRP"")),
  IF(
    OR(
      ISNUMBER(SEARCH(""CDM CASH DEPOSIT"",$C593)),
      ISNUMBER(SEARCH(""CASH DEPOSIT"",$C59"&amp;"3)),
      COUNTIFS('SUMMARY DATA'!$D:$D,$C593,'SUMMARY DATA'!$B:$B,""GRP"")&lt;&gt;1
    ),
    """",
    IFERROR(TEXTJOIN(CHAR(10),TRUE,FILTER('SUMMARY DATA'!F:F,'SUMMARY DATA'!$D:$D=$C593,'SUMMARY DATA'!$B:$B=""GRP"")),"""")
  )
)"),"")</f>
      </c>
    </row>
    <row r="1493" spans="1:6" customHeight="true">
      <c r="A1493" s="2" t="s">
        <v>2107</v>
      </c>
      <c r="B1493" s="15">
        <v>45897</v>
      </c>
      <c r="C1493" s="2" t="s">
        <v>2108</v>
      </c>
      <c r="D1493" s="3">
        <v>125.8</v>
      </c>
      <c r="E1493" s="16" t="s">
        <v>2406</v>
      </c>
      <c r="F1493" s="17" t="s">
        <v>2722</v>
      </c>
      <c r="G1493" s="1" t="s">
        <v>2393</v>
      </c>
      <c r="H1493" s="1">
        <v>125.8</v>
      </c>
      <c r="I1493" s="1">
        <v>125.8</v>
      </c>
      <c r="J1493" s="1" t="s">
        <v>2394</v>
      </c>
      <c r="K1493" s="1" t="s">
        <v>2719</v>
      </c>
    </row>
    <row r="1494" spans="1:6" customHeight="true">
      <c r="A1494" s="2"/>
      <c r="B1494" s="15">
        <v>45897</v>
      </c>
      <c r="C1494" s="2" t="s">
        <v>2109</v>
      </c>
      <c r="D1494" s="3">
        <v>57.97</v>
      </c>
      <c r="E1494" s="16" t="str">
        <f>IFERROR(__xludf.DUMMYFUNCTION("IFERROR(
  TEXTJOIN(CHAR(10),TRUE,FILTER('SUMMARY DATA'!E:E,'SUMMARY DATA'!$A:$A=$A595,'SUMMARY DATA'!$C:$C=$B595,'SUMMARY DATA'!$B:$B=""GRP"")),
  IF(
    OR(
      ISNUMBER(SEARCH(""CDM CASH DEPOSIT"",$C595)),
      ISNUMBER(SEARCH(""CASH DEPOSIT"",$C59"&amp;"5)),
      COUNTIFS('SUMMARY DATA'!$D:$D,$C595,'SUMMARY DATA'!$B:$B,""GRP"")&lt;&gt;1
    ),
    """",
    IFERROR(TEXTJOIN(CHAR(10),TRUE,FILTER('SUMMARY DATA'!E:E,'SUMMARY DATA'!$D:$D=$C595,'SUMMARY DATA'!$B:$B=""GRP"")),"""")
  )
)"),"")</f>
      </c>
      <c r="F1494" s="17" t="str">
        <f>IFERROR(__xludf.DUMMYFUNCTION("IFERROR(
  TEXTJOIN(CHAR(10),TRUE,FILTER('SUMMARY DATA'!F:F,'SUMMARY DATA'!$A:$A=$A595,'SUMMARY DATA'!$C:$C=$B595,'SUMMARY DATA'!$B:$B=""GRP"")),
  IF(
    OR(
      ISNUMBER(SEARCH(""CDM CASH DEPOSIT"",$C595)),
      ISNUMBER(SEARCH(""CASH DEPOSIT"",$C59"&amp;"5)),
      COUNTIFS('SUMMARY DATA'!$D:$D,$C595,'SUMMARY DATA'!$B:$B,""GRP"")&lt;&gt;1
    ),
    """",
    IFERROR(TEXTJOIN(CHAR(10),TRUE,FILTER('SUMMARY DATA'!F:F,'SUMMARY DATA'!$D:$D=$C595,'SUMMARY DATA'!$B:$B=""GRP"")),"""")
  )
)"),"")</f>
      </c>
    </row>
    <row r="1495" spans="1:6" customHeight="true">
      <c r="A1495" s="2"/>
      <c r="B1495" s="15">
        <v>45897</v>
      </c>
      <c r="C1495" s="2" t="s">
        <v>847</v>
      </c>
      <c r="D1495" s="3">
        <v>194.43</v>
      </c>
      <c r="E1495" s="16" t="str">
        <f>IFERROR(__xludf.DUMMYFUNCTION("IFERROR(
  TEXTJOIN(CHAR(10),TRUE,FILTER('SUMMARY DATA'!E:E,'SUMMARY DATA'!$A:$A=$A596,'SUMMARY DATA'!$C:$C=$B596,'SUMMARY DATA'!$B:$B=""GRP"")),
  IF(
    OR(
      ISNUMBER(SEARCH(""CDM CASH DEPOSIT"",$C596)),
      ISNUMBER(SEARCH(""CASH DEPOSIT"",$C59"&amp;"6)),
      COUNTIFS('SUMMARY DATA'!$D:$D,$C596,'SUMMARY DATA'!$B:$B,""GRP"")&lt;&gt;1
    ),
    """",
    IFERROR(TEXTJOIN(CHAR(10),TRUE,FILTER('SUMMARY DATA'!E:E,'SUMMARY DATA'!$D:$D=$C596,'SUMMARY DATA'!$B:$B=""GRP"")),"""")
  )
)"),"")</f>
      </c>
      <c r="F1495" s="17" t="str">
        <f>IFERROR(__xludf.DUMMYFUNCTION("IFERROR(
  TEXTJOIN(CHAR(10),TRUE,FILTER('SUMMARY DATA'!F:F,'SUMMARY DATA'!$A:$A=$A596,'SUMMARY DATA'!$C:$C=$B596,'SUMMARY DATA'!$B:$B=""GRP"")),
  IF(
    OR(
      ISNUMBER(SEARCH(""CDM CASH DEPOSIT"",$C596)),
      ISNUMBER(SEARCH(""CASH DEPOSIT"",$C59"&amp;"6)),
      COUNTIFS('SUMMARY DATA'!$D:$D,$C596,'SUMMARY DATA'!$B:$B,""GRP"")&lt;&gt;1
    ),
    """",
    IFERROR(TEXTJOIN(CHAR(10),TRUE,FILTER('SUMMARY DATA'!F:F,'SUMMARY DATA'!$D:$D=$C596,'SUMMARY DATA'!$B:$B=""GRP"")),"""")
  )
)"),"")</f>
      </c>
    </row>
    <row r="1496" spans="1:6" customHeight="true">
      <c r="A1496" s="2"/>
      <c r="B1496" s="15">
        <v>45896</v>
      </c>
      <c r="C1496" s="2" t="s">
        <v>184</v>
      </c>
      <c r="D1496" s="3">
        <v>130</v>
      </c>
      <c r="E1496" s="16" t="str">
        <f>IFERROR(__xludf.DUMMYFUNCTION("IFERROR(
  TEXTJOIN(CHAR(10),TRUE,FILTER('SUMMARY DATA'!E:E,'SUMMARY DATA'!$A:$A=$A597,'SUMMARY DATA'!$C:$C=$B597,'SUMMARY DATA'!$B:$B=""GRP"")),
  IF(
    OR(
      ISNUMBER(SEARCH(""CDM CASH DEPOSIT"",$C597)),
      ISNUMBER(SEARCH(""CASH DEPOSIT"",$C59"&amp;"7)),
      COUNTIFS('SUMMARY DATA'!$D:$D,$C597,'SUMMARY DATA'!$B:$B,""GRP"")&lt;&gt;1
    ),
    """",
    IFERROR(TEXTJOIN(CHAR(10),TRUE,FILTER('SUMMARY DATA'!E:E,'SUMMARY DATA'!$D:$D=$C597,'SUMMARY DATA'!$B:$B=""GRP"")),"""")
  )
)"),"")</f>
      </c>
      <c r="F1496" s="17" t="str">
        <f>IFERROR(__xludf.DUMMYFUNCTION("IFERROR(
  TEXTJOIN(CHAR(10),TRUE,FILTER('SUMMARY DATA'!F:F,'SUMMARY DATA'!$A:$A=$A597,'SUMMARY DATA'!$C:$C=$B597,'SUMMARY DATA'!$B:$B=""GRP"")),
  IF(
    OR(
      ISNUMBER(SEARCH(""CDM CASH DEPOSIT"",$C597)),
      ISNUMBER(SEARCH(""CASH DEPOSIT"",$C59"&amp;"7)),
      COUNTIFS('SUMMARY DATA'!$D:$D,$C597,'SUMMARY DATA'!$B:$B,""GRP"")&lt;&gt;1
    ),
    """",
    IFERROR(TEXTJOIN(CHAR(10),TRUE,FILTER('SUMMARY DATA'!F:F,'SUMMARY DATA'!$D:$D=$C597,'SUMMARY DATA'!$B:$B=""GRP"")),"""")
  )
)"),"")</f>
      </c>
    </row>
    <row r="1497" spans="1:6" customHeight="true">
      <c r="A1497" s="2" t="s">
        <v>1916</v>
      </c>
      <c r="B1497" s="15">
        <v>45896</v>
      </c>
      <c r="C1497" s="2" t="s">
        <v>1917</v>
      </c>
      <c r="D1497" s="3">
        <v>34</v>
      </c>
      <c r="E1497" s="16" t="str">
        <f>IFERROR(__xludf.DUMMYFUNCTION("IFERROR(
  TEXTJOIN(CHAR(10),TRUE,FILTER('SUMMARY DATA'!E:E,'SUMMARY DATA'!$A:$A=$A598,'SUMMARY DATA'!$C:$C=$B598,'SUMMARY DATA'!$B:$B=""GRP"")),
  IF(
    OR(
      ISNUMBER(SEARCH(""CDM CASH DEPOSIT"",$C598)),
      ISNUMBER(SEARCH(""CASH DEPOSIT"",$C59"&amp;"8)),
      COUNTIFS('SUMMARY DATA'!$D:$D,$C598,'SUMMARY DATA'!$B:$B,""GRP"")&lt;&gt;1
    ),
    """",
    IFERROR(TEXTJOIN(CHAR(10),TRUE,FILTER('SUMMARY DATA'!E:E,'SUMMARY DATA'!$D:$D=$C598,'SUMMARY DATA'!$B:$B=""GRP"")),"""")
  )
)"),"")</f>
      </c>
      <c r="F1497" s="17" t="str">
        <f>IFERROR(__xludf.DUMMYFUNCTION("IFERROR(
  TEXTJOIN(CHAR(10),TRUE,FILTER('SUMMARY DATA'!F:F,'SUMMARY DATA'!$A:$A=$A598,'SUMMARY DATA'!$C:$C=$B598,'SUMMARY DATA'!$B:$B=""GRP"")),
  IF(
    OR(
      ISNUMBER(SEARCH(""CDM CASH DEPOSIT"",$C598)),
      ISNUMBER(SEARCH(""CASH DEPOSIT"",$C59"&amp;"8)),
      COUNTIFS('SUMMARY DATA'!$D:$D,$C598,'SUMMARY DATA'!$B:$B,""GRP"")&lt;&gt;1
    ),
    """",
    IFERROR(TEXTJOIN(CHAR(10),TRUE,FILTER('SUMMARY DATA'!F:F,'SUMMARY DATA'!$D:$D=$C598,'SUMMARY DATA'!$B:$B=""GRP"")),"""")
  )
)"),"")</f>
      </c>
    </row>
    <row r="1498" spans="1:6" customHeight="true">
      <c r="A1498" s="2" t="s">
        <v>2110</v>
      </c>
      <c r="B1498" s="15">
        <v>45896</v>
      </c>
      <c r="C1498" s="2" t="s">
        <v>2111</v>
      </c>
      <c r="D1498" s="3">
        <v>45</v>
      </c>
      <c r="E1498" s="16" t="str">
        <f>IFERROR(__xludf.DUMMYFUNCTION("IFERROR(
  TEXTJOIN(CHAR(10),TRUE,FILTER('SUMMARY DATA'!E:E,'SUMMARY DATA'!$A:$A=$A599,'SUMMARY DATA'!$C:$C=$B599,'SUMMARY DATA'!$B:$B=""GRP"")),
  IF(
    OR(
      ISNUMBER(SEARCH(""CDM CASH DEPOSIT"",$C599)),
      ISNUMBER(SEARCH(""CASH DEPOSIT"",$C59"&amp;"9)),
      COUNTIFS('SUMMARY DATA'!$D:$D,$C599,'SUMMARY DATA'!$B:$B,""GRP"")&lt;&gt;1
    ),
    """",
    IFERROR(TEXTJOIN(CHAR(10),TRUE,FILTER('SUMMARY DATA'!E:E,'SUMMARY DATA'!$D:$D=$C599,'SUMMARY DATA'!$B:$B=""GRP"")),"""")
  )
)"),"")</f>
      </c>
      <c r="F1498" s="17" t="str">
        <f>IFERROR(__xludf.DUMMYFUNCTION("IFERROR(
  TEXTJOIN(CHAR(10),TRUE,FILTER('SUMMARY DATA'!F:F,'SUMMARY DATA'!$A:$A=$A599,'SUMMARY DATA'!$C:$C=$B599,'SUMMARY DATA'!$B:$B=""GRP"")),
  IF(
    OR(
      ISNUMBER(SEARCH(""CDM CASH DEPOSIT"",$C599)),
      ISNUMBER(SEARCH(""CASH DEPOSIT"",$C59"&amp;"9)),
      COUNTIFS('SUMMARY DATA'!$D:$D,$C599,'SUMMARY DATA'!$B:$B,""GRP"")&lt;&gt;1
    ),
    """",
    IFERROR(TEXTJOIN(CHAR(10),TRUE,FILTER('SUMMARY DATA'!F:F,'SUMMARY DATA'!$D:$D=$C599,'SUMMARY DATA'!$B:$B=""GRP"")),"""")
  )
)"),"")</f>
      </c>
    </row>
    <row r="1499" spans="1:6" customHeight="true">
      <c r="A1499" s="2" t="s">
        <v>2112</v>
      </c>
      <c r="B1499" s="15">
        <v>45896</v>
      </c>
      <c r="C1499" s="2" t="s">
        <v>2113</v>
      </c>
      <c r="D1499" s="3">
        <v>169.48</v>
      </c>
      <c r="E1499" s="16" t="str">
        <f>IFERROR(__xludf.DUMMYFUNCTION("IFERROR(
  TEXTJOIN(CHAR(10),TRUE,FILTER('SUMMARY DATA'!E:E,'SUMMARY DATA'!$A:$A=$A600,'SUMMARY DATA'!$C:$C=$B600,'SUMMARY DATA'!$B:$B=""GRP"")),
  IF(
    OR(
      ISNUMBER(SEARCH(""CDM CASH DEPOSIT"",$C600)),
      ISNUMBER(SEARCH(""CASH DEPOSIT"",$C60"&amp;"0)),
      COUNTIFS('SUMMARY DATA'!$D:$D,$C600,'SUMMARY DATA'!$B:$B,""GRP"")&lt;&gt;1
    ),
    """",
    IFERROR(TEXTJOIN(CHAR(10),TRUE,FILTER('SUMMARY DATA'!E:E,'SUMMARY DATA'!$D:$D=$C600,'SUMMARY DATA'!$B:$B=""GRP"")),"""")
  )
)"),"")</f>
      </c>
      <c r="F1499" s="17" t="str">
        <f>IFERROR(__xludf.DUMMYFUNCTION("IFERROR(
  TEXTJOIN(CHAR(10),TRUE,FILTER('SUMMARY DATA'!F:F,'SUMMARY DATA'!$A:$A=$A600,'SUMMARY DATA'!$C:$C=$B600,'SUMMARY DATA'!$B:$B=""GRP"")),
  IF(
    OR(
      ISNUMBER(SEARCH(""CDM CASH DEPOSIT"",$C600)),
      ISNUMBER(SEARCH(""CASH DEPOSIT"",$C60"&amp;"0)),
      COUNTIFS('SUMMARY DATA'!$D:$D,$C600,'SUMMARY DATA'!$B:$B,""GRP"")&lt;&gt;1
    ),
    """",
    IFERROR(TEXTJOIN(CHAR(10),TRUE,FILTER('SUMMARY DATA'!F:F,'SUMMARY DATA'!$D:$D=$C600,'SUMMARY DATA'!$B:$B=""GRP"")),"""")
  )
)"),"")</f>
      </c>
    </row>
    <row r="1500" spans="1:6" customHeight="true">
      <c r="A1500" s="2" t="s">
        <v>2114</v>
      </c>
      <c r="B1500" s="15">
        <v>45895</v>
      </c>
      <c r="C1500" s="2" t="s">
        <v>2115</v>
      </c>
      <c r="D1500" s="3">
        <v>25</v>
      </c>
      <c r="E1500" s="16" t="str">
        <f>IFERROR(__xludf.DUMMYFUNCTION("IFERROR(
  TEXTJOIN(CHAR(10),TRUE,FILTER('SUMMARY DATA'!E:E,'SUMMARY DATA'!$A:$A=$A601,'SUMMARY DATA'!$C:$C=$B601,'SUMMARY DATA'!$B:$B=""GRP"")),
  IF(
    OR(
      ISNUMBER(SEARCH(""CDM CASH DEPOSIT"",$C601)),
      ISNUMBER(SEARCH(""CASH DEPOSIT"",$C60"&amp;"1)),
      COUNTIFS('SUMMARY DATA'!$D:$D,$C601,'SUMMARY DATA'!$B:$B,""GRP"")&lt;&gt;1
    ),
    """",
    IFERROR(TEXTJOIN(CHAR(10),TRUE,FILTER('SUMMARY DATA'!E:E,'SUMMARY DATA'!$D:$D=$C601,'SUMMARY DATA'!$B:$B=""GRP"")),"""")
  )
)"),"")</f>
      </c>
      <c r="F1500" s="17" t="str">
        <f>IFERROR(__xludf.DUMMYFUNCTION("IFERROR(
  TEXTJOIN(CHAR(10),TRUE,FILTER('SUMMARY DATA'!F:F,'SUMMARY DATA'!$A:$A=$A601,'SUMMARY DATA'!$C:$C=$B601,'SUMMARY DATA'!$B:$B=""GRP"")),
  IF(
    OR(
      ISNUMBER(SEARCH(""CDM CASH DEPOSIT"",$C601)),
      ISNUMBER(SEARCH(""CASH DEPOSIT"",$C60"&amp;"1)),
      COUNTIFS('SUMMARY DATA'!$D:$D,$C601,'SUMMARY DATA'!$B:$B,""GRP"")&lt;&gt;1
    ),
    """",
    IFERROR(TEXTJOIN(CHAR(10),TRUE,FILTER('SUMMARY DATA'!F:F,'SUMMARY DATA'!$D:$D=$C601,'SUMMARY DATA'!$B:$B=""GRP"")),"""")
  )
)"),"")</f>
      </c>
    </row>
    <row r="1501" spans="1:6" customHeight="true">
      <c r="A1501" s="2" t="s">
        <v>2116</v>
      </c>
      <c r="B1501" s="15">
        <v>45895</v>
      </c>
      <c r="C1501" s="2" t="s">
        <v>2117</v>
      </c>
      <c r="D1501" s="3">
        <v>45.97</v>
      </c>
      <c r="E1501" s="16" t="s">
        <v>2406</v>
      </c>
      <c r="F1501" s="17" t="s">
        <v>2723</v>
      </c>
      <c r="G1501" s="1" t="s">
        <v>2393</v>
      </c>
      <c r="H1501" s="1">
        <v>45.97</v>
      </c>
      <c r="I1501" s="1">
        <v>45.97</v>
      </c>
      <c r="J1501" s="1" t="s">
        <v>2394</v>
      </c>
      <c r="K1501" s="1" t="s">
        <v>2719</v>
      </c>
    </row>
    <row r="1502" spans="1:6" customHeight="true">
      <c r="A1502" s="2" t="s">
        <v>2118</v>
      </c>
      <c r="B1502" s="15">
        <v>45895</v>
      </c>
      <c r="C1502" s="2" t="s">
        <v>2119</v>
      </c>
      <c r="D1502" s="3">
        <v>208.06</v>
      </c>
      <c r="E1502" s="16" t="str">
        <f>IFERROR(__xludf.DUMMYFUNCTION("IFERROR(
  TEXTJOIN(CHAR(10),TRUE,FILTER('SUMMARY DATA'!E:E,'SUMMARY DATA'!$A:$A=$A603,'SUMMARY DATA'!$C:$C=$B603,'SUMMARY DATA'!$B:$B=""GRP"")),
  IF(
    OR(
      ISNUMBER(SEARCH(""CDM CASH DEPOSIT"",$C603)),
      ISNUMBER(SEARCH(""CASH DEPOSIT"",$C60"&amp;"3)),
      COUNTIFS('SUMMARY DATA'!$D:$D,$C603,'SUMMARY DATA'!$B:$B,""GRP"")&lt;&gt;1
    ),
    """",
    IFERROR(TEXTJOIN(CHAR(10),TRUE,FILTER('SUMMARY DATA'!E:E,'SUMMARY DATA'!$D:$D=$C603,'SUMMARY DATA'!$B:$B=""GRP"")),"""")
  )
)"),"")</f>
      </c>
      <c r="F1502" s="17" t="str">
        <f>IFERROR(__xludf.DUMMYFUNCTION("IFERROR(
  TEXTJOIN(CHAR(10),TRUE,FILTER('SUMMARY DATA'!F:F,'SUMMARY DATA'!$A:$A=$A603,'SUMMARY DATA'!$C:$C=$B603,'SUMMARY DATA'!$B:$B=""GRP"")),
  IF(
    OR(
      ISNUMBER(SEARCH(""CDM CASH DEPOSIT"",$C603)),
      ISNUMBER(SEARCH(""CASH DEPOSIT"",$C60"&amp;"3)),
      COUNTIFS('SUMMARY DATA'!$D:$D,$C603,'SUMMARY DATA'!$B:$B,""GRP"")&lt;&gt;1
    ),
    """",
    IFERROR(TEXTJOIN(CHAR(10),TRUE,FILTER('SUMMARY DATA'!F:F,'SUMMARY DATA'!$D:$D=$C603,'SUMMARY DATA'!$B:$B=""GRP"")),"""")
  )
)"),"")</f>
      </c>
    </row>
    <row r="1503" spans="1:6" customHeight="true">
      <c r="A1503" s="2" t="s">
        <v>2120</v>
      </c>
      <c r="B1503" s="15">
        <v>45895</v>
      </c>
      <c r="C1503" s="2" t="s">
        <v>2121</v>
      </c>
      <c r="D1503" s="3">
        <v>30</v>
      </c>
      <c r="E1503" s="16" t="str">
        <f>IFERROR(__xludf.DUMMYFUNCTION("IFERROR(
  TEXTJOIN(CHAR(10),TRUE,FILTER('SUMMARY DATA'!E:E,'SUMMARY DATA'!$A:$A=$A604,'SUMMARY DATA'!$C:$C=$B604,'SUMMARY DATA'!$B:$B=""GRP"")),
  IF(
    OR(
      ISNUMBER(SEARCH(""CDM CASH DEPOSIT"",$C604)),
      ISNUMBER(SEARCH(""CASH DEPOSIT"",$C60"&amp;"4)),
      COUNTIFS('SUMMARY DATA'!$D:$D,$C604,'SUMMARY DATA'!$B:$B,""GRP"")&lt;&gt;1
    ),
    """",
    IFERROR(TEXTJOIN(CHAR(10),TRUE,FILTER('SUMMARY DATA'!E:E,'SUMMARY DATA'!$D:$D=$C604,'SUMMARY DATA'!$B:$B=""GRP"")),"""")
  )
)"),"")</f>
      </c>
      <c r="F1503" s="17" t="str">
        <f>IFERROR(__xludf.DUMMYFUNCTION("IFERROR(
  TEXTJOIN(CHAR(10),TRUE,FILTER('SUMMARY DATA'!F:F,'SUMMARY DATA'!$A:$A=$A604,'SUMMARY DATA'!$C:$C=$B604,'SUMMARY DATA'!$B:$B=""GRP"")),
  IF(
    OR(
      ISNUMBER(SEARCH(""CDM CASH DEPOSIT"",$C604)),
      ISNUMBER(SEARCH(""CASH DEPOSIT"",$C60"&amp;"4)),
      COUNTIFS('SUMMARY DATA'!$D:$D,$C604,'SUMMARY DATA'!$B:$B,""GRP"")&lt;&gt;1
    ),
    """",
    IFERROR(TEXTJOIN(CHAR(10),TRUE,FILTER('SUMMARY DATA'!F:F,'SUMMARY DATA'!$D:$D=$C604,'SUMMARY DATA'!$B:$B=""GRP"")),"""")
  )
)"),"")</f>
      </c>
    </row>
    <row r="1504" spans="1:6" customHeight="true">
      <c r="A1504" s="2"/>
      <c r="B1504" s="15">
        <v>45895</v>
      </c>
      <c r="C1504" s="2" t="s">
        <v>2122</v>
      </c>
      <c r="D1504" s="3">
        <v>10</v>
      </c>
      <c r="E1504" s="16" t="str">
        <f>IFERROR(__xludf.DUMMYFUNCTION("IFERROR(
  TEXTJOIN(CHAR(10),TRUE,FILTER('SUMMARY DATA'!E:E,'SUMMARY DATA'!$A:$A=$A605,'SUMMARY DATA'!$C:$C=$B605,'SUMMARY DATA'!$B:$B=""GRP"")),
  IF(
    OR(
      ISNUMBER(SEARCH(""CDM CASH DEPOSIT"",$C605)),
      ISNUMBER(SEARCH(""CASH DEPOSIT"",$C60"&amp;"5)),
      COUNTIFS('SUMMARY DATA'!$D:$D,$C605,'SUMMARY DATA'!$B:$B,""GRP"")&lt;&gt;1
    ),
    """",
    IFERROR(TEXTJOIN(CHAR(10),TRUE,FILTER('SUMMARY DATA'!E:E,'SUMMARY DATA'!$D:$D=$C605,'SUMMARY DATA'!$B:$B=""GRP"")),"""")
  )
)"),"")</f>
      </c>
      <c r="F1504" s="17" t="str">
        <f>IFERROR(__xludf.DUMMYFUNCTION("IFERROR(
  TEXTJOIN(CHAR(10),TRUE,FILTER('SUMMARY DATA'!F:F,'SUMMARY DATA'!$A:$A=$A605,'SUMMARY DATA'!$C:$C=$B605,'SUMMARY DATA'!$B:$B=""GRP"")),
  IF(
    OR(
      ISNUMBER(SEARCH(""CDM CASH DEPOSIT"",$C605)),
      ISNUMBER(SEARCH(""CASH DEPOSIT"",$C60"&amp;"5)),
      COUNTIFS('SUMMARY DATA'!$D:$D,$C605,'SUMMARY DATA'!$B:$B,""GRP"")&lt;&gt;1
    ),
    """",
    IFERROR(TEXTJOIN(CHAR(10),TRUE,FILTER('SUMMARY DATA'!F:F,'SUMMARY DATA'!$D:$D=$C605,'SUMMARY DATA'!$B:$B=""GRP"")),"""")
  )
)"),"")</f>
      </c>
    </row>
    <row r="1505" spans="1:6" customHeight="true">
      <c r="A1505" s="2"/>
      <c r="B1505" s="15">
        <v>45895</v>
      </c>
      <c r="C1505" s="2" t="s">
        <v>717</v>
      </c>
      <c r="D1505" s="3">
        <v>83.64</v>
      </c>
      <c r="E1505" s="16" t="str">
        <f>IFERROR(__xludf.DUMMYFUNCTION("IFERROR(
  TEXTJOIN(CHAR(10),TRUE,FILTER('SUMMARY DATA'!E:E,'SUMMARY DATA'!$A:$A=$A606,'SUMMARY DATA'!$C:$C=$B606,'SUMMARY DATA'!$B:$B=""GRP"")),
  IF(
    OR(
      ISNUMBER(SEARCH(""CDM CASH DEPOSIT"",$C606)),
      ISNUMBER(SEARCH(""CASH DEPOSIT"",$C60"&amp;"6)),
      COUNTIFS('SUMMARY DATA'!$D:$D,$C606,'SUMMARY DATA'!$B:$B,""GRP"")&lt;&gt;1
    ),
    """",
    IFERROR(TEXTJOIN(CHAR(10),TRUE,FILTER('SUMMARY DATA'!E:E,'SUMMARY DATA'!$D:$D=$C606,'SUMMARY DATA'!$B:$B=""GRP"")),"""")
  )
)"),"")</f>
      </c>
      <c r="F1505" s="17" t="str">
        <f>IFERROR(__xludf.DUMMYFUNCTION("IFERROR(
  TEXTJOIN(CHAR(10),TRUE,FILTER('SUMMARY DATA'!F:F,'SUMMARY DATA'!$A:$A=$A606,'SUMMARY DATA'!$C:$C=$B606,'SUMMARY DATA'!$B:$B=""GRP"")),
  IF(
    OR(
      ISNUMBER(SEARCH(""CDM CASH DEPOSIT"",$C606)),
      ISNUMBER(SEARCH(""CASH DEPOSIT"",$C60"&amp;"6)),
      COUNTIFS('SUMMARY DATA'!$D:$D,$C606,'SUMMARY DATA'!$B:$B,""GRP"")&lt;&gt;1
    ),
    """",
    IFERROR(TEXTJOIN(CHAR(10),TRUE,FILTER('SUMMARY DATA'!F:F,'SUMMARY DATA'!$D:$D=$C606,'SUMMARY DATA'!$B:$B=""GRP"")),"""")
  )
)"),"")</f>
      </c>
    </row>
    <row r="1506" spans="1:6" customHeight="true">
      <c r="A1506" s="2"/>
      <c r="B1506" s="15">
        <v>45895</v>
      </c>
      <c r="C1506" s="2" t="s">
        <v>2123</v>
      </c>
      <c r="D1506" s="3">
        <v>206</v>
      </c>
      <c r="E1506" s="16" t="str">
        <f>IFERROR(__xludf.DUMMYFUNCTION("IFERROR(
  TEXTJOIN(CHAR(10),TRUE,FILTER('SUMMARY DATA'!E:E,'SUMMARY DATA'!$A:$A=$A607,'SUMMARY DATA'!$C:$C=$B607,'SUMMARY DATA'!$B:$B=""GRP"")),
  IF(
    OR(
      ISNUMBER(SEARCH(""CDM CASH DEPOSIT"",$C607)),
      ISNUMBER(SEARCH(""CASH DEPOSIT"",$C60"&amp;"7)),
      COUNTIFS('SUMMARY DATA'!$D:$D,$C607,'SUMMARY DATA'!$B:$B,""GRP"")&lt;&gt;1
    ),
    """",
    IFERROR(TEXTJOIN(CHAR(10),TRUE,FILTER('SUMMARY DATA'!E:E,'SUMMARY DATA'!$D:$D=$C607,'SUMMARY DATA'!$B:$B=""GRP"")),"""")
  )
)"),"")</f>
      </c>
      <c r="F1506" s="17" t="str">
        <f>IFERROR(__xludf.DUMMYFUNCTION("IFERROR(
  TEXTJOIN(CHAR(10),TRUE,FILTER('SUMMARY DATA'!F:F,'SUMMARY DATA'!$A:$A=$A607,'SUMMARY DATA'!$C:$C=$B607,'SUMMARY DATA'!$B:$B=""GRP"")),
  IF(
    OR(
      ISNUMBER(SEARCH(""CDM CASH DEPOSIT"",$C607)),
      ISNUMBER(SEARCH(""CASH DEPOSIT"",$C60"&amp;"7)),
      COUNTIFS('SUMMARY DATA'!$D:$D,$C607,'SUMMARY DATA'!$B:$B,""GRP"")&lt;&gt;1
    ),
    """",
    IFERROR(TEXTJOIN(CHAR(10),TRUE,FILTER('SUMMARY DATA'!F:F,'SUMMARY DATA'!$D:$D=$C607,'SUMMARY DATA'!$B:$B=""GRP"")),"""")
  )
)"),"")</f>
      </c>
    </row>
    <row r="1507" spans="1:6" customHeight="true">
      <c r="A1507" s="2" t="s">
        <v>2124</v>
      </c>
      <c r="B1507" s="15">
        <v>45894</v>
      </c>
      <c r="C1507" s="2" t="s">
        <v>2125</v>
      </c>
      <c r="D1507" s="3">
        <v>64</v>
      </c>
      <c r="E1507" s="16" t="str">
        <f>IFERROR(__xludf.DUMMYFUNCTION("IFERROR(
  TEXTJOIN(CHAR(10),TRUE,FILTER('SUMMARY DATA'!E:E,'SUMMARY DATA'!$A:$A=$A608,'SUMMARY DATA'!$C:$C=$B608,'SUMMARY DATA'!$B:$B=""GRP"")),
  IF(
    OR(
      ISNUMBER(SEARCH(""CDM CASH DEPOSIT"",$C608)),
      ISNUMBER(SEARCH(""CASH DEPOSIT"",$C60"&amp;"8)),
      COUNTIFS('SUMMARY DATA'!$D:$D,$C608,'SUMMARY DATA'!$B:$B,""GRP"")&lt;&gt;1
    ),
    """",
    IFERROR(TEXTJOIN(CHAR(10),TRUE,FILTER('SUMMARY DATA'!E:E,'SUMMARY DATA'!$D:$D=$C608,'SUMMARY DATA'!$B:$B=""GRP"")),"""")
  )
)"),"")</f>
      </c>
      <c r="F1507" s="17" t="str">
        <f>IFERROR(__xludf.DUMMYFUNCTION("IFERROR(
  TEXTJOIN(CHAR(10),TRUE,FILTER('SUMMARY DATA'!F:F,'SUMMARY DATA'!$A:$A=$A608,'SUMMARY DATA'!$C:$C=$B608,'SUMMARY DATA'!$B:$B=""GRP"")),
  IF(
    OR(
      ISNUMBER(SEARCH(""CDM CASH DEPOSIT"",$C608)),
      ISNUMBER(SEARCH(""CASH DEPOSIT"",$C60"&amp;"8)),
      COUNTIFS('SUMMARY DATA'!$D:$D,$C608,'SUMMARY DATA'!$B:$B,""GRP"")&lt;&gt;1
    ),
    """",
    IFERROR(TEXTJOIN(CHAR(10),TRUE,FILTER('SUMMARY DATA'!F:F,'SUMMARY DATA'!$D:$D=$C608,'SUMMARY DATA'!$B:$B=""GRP"")),"""")
  )
)"),"")</f>
      </c>
    </row>
    <row r="1508" spans="1:6" customHeight="true">
      <c r="A1508" s="2"/>
      <c r="B1508" s="15">
        <v>45894</v>
      </c>
      <c r="C1508" s="2" t="s">
        <v>2126</v>
      </c>
      <c r="D1508" s="3">
        <v>38</v>
      </c>
      <c r="E1508" s="16" t="str">
        <f>IFERROR(__xludf.DUMMYFUNCTION("IFERROR(
  TEXTJOIN(CHAR(10),TRUE,FILTER('SUMMARY DATA'!E:E,'SUMMARY DATA'!$A:$A=$A609,'SUMMARY DATA'!$C:$C=$B609,'SUMMARY DATA'!$B:$B=""GRP"")),
  IF(
    OR(
      ISNUMBER(SEARCH(""CDM CASH DEPOSIT"",$C609)),
      ISNUMBER(SEARCH(""CASH DEPOSIT"",$C60"&amp;"9)),
      COUNTIFS('SUMMARY DATA'!$D:$D,$C609,'SUMMARY DATA'!$B:$B,""GRP"")&lt;&gt;1
    ),
    """",
    IFERROR(TEXTJOIN(CHAR(10),TRUE,FILTER('SUMMARY DATA'!E:E,'SUMMARY DATA'!$D:$D=$C609,'SUMMARY DATA'!$B:$B=""GRP"")),"""")
  )
)"),"")</f>
      </c>
      <c r="F1508" s="17" t="str">
        <f>IFERROR(__xludf.DUMMYFUNCTION("IFERROR(
  TEXTJOIN(CHAR(10),TRUE,FILTER('SUMMARY DATA'!F:F,'SUMMARY DATA'!$A:$A=$A609,'SUMMARY DATA'!$C:$C=$B609,'SUMMARY DATA'!$B:$B=""GRP"")),
  IF(
    OR(
      ISNUMBER(SEARCH(""CDM CASH DEPOSIT"",$C609)),
      ISNUMBER(SEARCH(""CASH DEPOSIT"",$C60"&amp;"9)),
      COUNTIFS('SUMMARY DATA'!$D:$D,$C609,'SUMMARY DATA'!$B:$B,""GRP"")&lt;&gt;1
    ),
    """",
    IFERROR(TEXTJOIN(CHAR(10),TRUE,FILTER('SUMMARY DATA'!F:F,'SUMMARY DATA'!$D:$D=$C609,'SUMMARY DATA'!$B:$B=""GRP"")),"""")
  )
)"),"")</f>
      </c>
    </row>
    <row r="1509" spans="1:6" customHeight="true">
      <c r="A1509" s="2"/>
      <c r="B1509" s="15">
        <v>45894</v>
      </c>
      <c r="C1509" s="2" t="s">
        <v>2127</v>
      </c>
      <c r="D1509" s="3">
        <v>165.9</v>
      </c>
      <c r="E1509" s="16" t="str">
        <f>IFERROR(__xludf.DUMMYFUNCTION("IFERROR(
  TEXTJOIN(CHAR(10),TRUE,FILTER('SUMMARY DATA'!E:E,'SUMMARY DATA'!$A:$A=$A610,'SUMMARY DATA'!$C:$C=$B610,'SUMMARY DATA'!$B:$B=""GRP"")),
  IF(
    OR(
      ISNUMBER(SEARCH(""CDM CASH DEPOSIT"",$C610)),
      ISNUMBER(SEARCH(""CASH DEPOSIT"",$C61"&amp;"0)),
      COUNTIFS('SUMMARY DATA'!$D:$D,$C610,'SUMMARY DATA'!$B:$B,""GRP"")&lt;&gt;1
    ),
    """",
    IFERROR(TEXTJOIN(CHAR(10),TRUE,FILTER('SUMMARY DATA'!E:E,'SUMMARY DATA'!$D:$D=$C610,'SUMMARY DATA'!$B:$B=""GRP"")),"""")
  )
)"),"")</f>
      </c>
      <c r="F1509" s="17" t="str">
        <f>IFERROR(__xludf.DUMMYFUNCTION("IFERROR(
  TEXTJOIN(CHAR(10),TRUE,FILTER('SUMMARY DATA'!F:F,'SUMMARY DATA'!$A:$A=$A610,'SUMMARY DATA'!$C:$C=$B610,'SUMMARY DATA'!$B:$B=""GRP"")),
  IF(
    OR(
      ISNUMBER(SEARCH(""CDM CASH DEPOSIT"",$C610)),
      ISNUMBER(SEARCH(""CASH DEPOSIT"",$C61"&amp;"0)),
      COUNTIFS('SUMMARY DATA'!$D:$D,$C610,'SUMMARY DATA'!$B:$B,""GRP"")&lt;&gt;1
    ),
    """",
    IFERROR(TEXTJOIN(CHAR(10),TRUE,FILTER('SUMMARY DATA'!F:F,'SUMMARY DATA'!$D:$D=$C610,'SUMMARY DATA'!$B:$B=""GRP"")),"""")
  )
)"),"")</f>
      </c>
    </row>
    <row r="1510" spans="1:6" customHeight="true">
      <c r="A1510" s="2"/>
      <c r="B1510" s="15">
        <v>45894</v>
      </c>
      <c r="C1510" s="2" t="s">
        <v>2128</v>
      </c>
      <c r="D1510" s="3">
        <v>327.19</v>
      </c>
      <c r="E1510" s="16" t="str">
        <f>IFERROR(__xludf.DUMMYFUNCTION("IFERROR(
  TEXTJOIN(CHAR(10),TRUE,FILTER('SUMMARY DATA'!E:E,'SUMMARY DATA'!$A:$A=$A611,'SUMMARY DATA'!$C:$C=$B611,'SUMMARY DATA'!$B:$B=""GRP"")),
  IF(
    OR(
      ISNUMBER(SEARCH(""CDM CASH DEPOSIT"",$C611)),
      ISNUMBER(SEARCH(""CASH DEPOSIT"",$C61"&amp;"1)),
      COUNTIFS('SUMMARY DATA'!$D:$D,$C611,'SUMMARY DATA'!$B:$B,""GRP"")&lt;&gt;1
    ),
    """",
    IFERROR(TEXTJOIN(CHAR(10),TRUE,FILTER('SUMMARY DATA'!E:E,'SUMMARY DATA'!$D:$D=$C611,'SUMMARY DATA'!$B:$B=""GRP"")),"""")
  )
)"),"")</f>
      </c>
      <c r="F1510" s="17" t="str">
        <f>IFERROR(__xludf.DUMMYFUNCTION("IFERROR(
  TEXTJOIN(CHAR(10),TRUE,FILTER('SUMMARY DATA'!F:F,'SUMMARY DATA'!$A:$A=$A611,'SUMMARY DATA'!$C:$C=$B611,'SUMMARY DATA'!$B:$B=""GRP"")),
  IF(
    OR(
      ISNUMBER(SEARCH(""CDM CASH DEPOSIT"",$C611)),
      ISNUMBER(SEARCH(""CASH DEPOSIT"",$C61"&amp;"1)),
      COUNTIFS('SUMMARY DATA'!$D:$D,$C611,'SUMMARY DATA'!$B:$B,""GRP"")&lt;&gt;1
    ),
    """",
    IFERROR(TEXTJOIN(CHAR(10),TRUE,FILTER('SUMMARY DATA'!F:F,'SUMMARY DATA'!$D:$D=$C611,'SUMMARY DATA'!$B:$B=""GRP"")),"""")
  )
)"),"")</f>
      </c>
    </row>
    <row r="1511" spans="1:6" customHeight="true">
      <c r="A1511" s="2" t="s">
        <v>2129</v>
      </c>
      <c r="B1511" s="15">
        <v>45894</v>
      </c>
      <c r="C1511" s="2" t="s">
        <v>2130</v>
      </c>
      <c r="D1511" s="3">
        <v>692.68</v>
      </c>
      <c r="E1511" s="16" t="str">
        <f>IFERROR(__xludf.DUMMYFUNCTION("IFERROR(
  TEXTJOIN(CHAR(10),TRUE,FILTER('SUMMARY DATA'!E:E,'SUMMARY DATA'!$A:$A=$A612,'SUMMARY DATA'!$C:$C=$B612,'SUMMARY DATA'!$B:$B=""GRP"")),
  IF(
    OR(
      ISNUMBER(SEARCH(""CDM CASH DEPOSIT"",$C612)),
      ISNUMBER(SEARCH(""CASH DEPOSIT"",$C61"&amp;"2)),
      COUNTIFS('SUMMARY DATA'!$D:$D,$C612,'SUMMARY DATA'!$B:$B,""GRP"")&lt;&gt;1
    ),
    """",
    IFERROR(TEXTJOIN(CHAR(10),TRUE,FILTER('SUMMARY DATA'!E:E,'SUMMARY DATA'!$D:$D=$C612,'SUMMARY DATA'!$B:$B=""GRP"")),"""")
  )
)"),"")</f>
      </c>
      <c r="F1511" s="17" t="str">
        <f>IFERROR(__xludf.DUMMYFUNCTION("IFERROR(
  TEXTJOIN(CHAR(10),TRUE,FILTER('SUMMARY DATA'!F:F,'SUMMARY DATA'!$A:$A=$A612,'SUMMARY DATA'!$C:$C=$B612,'SUMMARY DATA'!$B:$B=""GRP"")),
  IF(
    OR(
      ISNUMBER(SEARCH(""CDM CASH DEPOSIT"",$C612)),
      ISNUMBER(SEARCH(""CASH DEPOSIT"",$C61"&amp;"2)),
      COUNTIFS('SUMMARY DATA'!$D:$D,$C612,'SUMMARY DATA'!$B:$B,""GRP"")&lt;&gt;1
    ),
    """",
    IFERROR(TEXTJOIN(CHAR(10),TRUE,FILTER('SUMMARY DATA'!F:F,'SUMMARY DATA'!$D:$D=$C612,'SUMMARY DATA'!$B:$B=""GRP"")),"""")
  )
)"),"")</f>
      </c>
    </row>
    <row r="1512" spans="1:6" customHeight="true">
      <c r="A1512" s="2" t="s">
        <v>2131</v>
      </c>
      <c r="B1512" s="15">
        <v>45893</v>
      </c>
      <c r="C1512" s="2" t="s">
        <v>2132</v>
      </c>
      <c r="D1512" s="3">
        <v>70</v>
      </c>
      <c r="E1512" s="16" t="s">
        <v>2651</v>
      </c>
      <c r="F1512" s="17" t="s">
        <v>2724</v>
      </c>
      <c r="G1512" s="1" t="s">
        <v>2393</v>
      </c>
      <c r="H1512" s="1">
        <v>70</v>
      </c>
      <c r="I1512" s="1">
        <v>70</v>
      </c>
      <c r="J1512" s="1" t="s">
        <v>2546</v>
      </c>
      <c r="K1512" s="1" t="s">
        <v>2395</v>
      </c>
    </row>
    <row r="1513" spans="1:6" customHeight="true">
      <c r="A1513" s="2"/>
      <c r="B1513" s="15">
        <v>45893</v>
      </c>
      <c r="C1513" s="2" t="s">
        <v>2133</v>
      </c>
      <c r="D1513" s="3">
        <v>27.99</v>
      </c>
      <c r="E1513" s="16" t="str">
        <f>IFERROR(__xludf.DUMMYFUNCTION("IFERROR(
  TEXTJOIN(CHAR(10),TRUE,FILTER('SUMMARY DATA'!E:E,'SUMMARY DATA'!$A:$A=$A614,'SUMMARY DATA'!$C:$C=$B614,'SUMMARY DATA'!$B:$B=""GRP"")),
  IF(
    OR(
      ISNUMBER(SEARCH(""CDM CASH DEPOSIT"",$C614)),
      ISNUMBER(SEARCH(""CASH DEPOSIT"",$C61"&amp;"4)),
      COUNTIFS('SUMMARY DATA'!$D:$D,$C614,'SUMMARY DATA'!$B:$B,""GRP"")&lt;&gt;1
    ),
    """",
    IFERROR(TEXTJOIN(CHAR(10),TRUE,FILTER('SUMMARY DATA'!E:E,'SUMMARY DATA'!$D:$D=$C614,'SUMMARY DATA'!$B:$B=""GRP"")),"""")
  )
)"),"")</f>
      </c>
      <c r="F1513" s="17" t="str">
        <f>IFERROR(__xludf.DUMMYFUNCTION("IFERROR(
  TEXTJOIN(CHAR(10),TRUE,FILTER('SUMMARY DATA'!F:F,'SUMMARY DATA'!$A:$A=$A614,'SUMMARY DATA'!$C:$C=$B614,'SUMMARY DATA'!$B:$B=""GRP"")),
  IF(
    OR(
      ISNUMBER(SEARCH(""CDM CASH DEPOSIT"",$C614)),
      ISNUMBER(SEARCH(""CASH DEPOSIT"",$C61"&amp;"4)),
      COUNTIFS('SUMMARY DATA'!$D:$D,$C614,'SUMMARY DATA'!$B:$B,""GRP"")&lt;&gt;1
    ),
    """",
    IFERROR(TEXTJOIN(CHAR(10),TRUE,FILTER('SUMMARY DATA'!F:F,'SUMMARY DATA'!$D:$D=$C614,'SUMMARY DATA'!$B:$B=""GRP"")),"""")
  )
)"),"")</f>
      </c>
    </row>
    <row r="1514" spans="1:6" customHeight="true">
      <c r="A1514" s="2" t="s">
        <v>2134</v>
      </c>
      <c r="B1514" s="15">
        <v>45893</v>
      </c>
      <c r="C1514" s="2" t="s">
        <v>2135</v>
      </c>
      <c r="D1514" s="3">
        <v>244</v>
      </c>
      <c r="E1514" s="16" t="s">
        <v>2651</v>
      </c>
      <c r="F1514" s="17" t="s">
        <v>2725</v>
      </c>
      <c r="G1514" s="1" t="s">
        <v>2393</v>
      </c>
      <c r="H1514" s="1">
        <v>244</v>
      </c>
      <c r="I1514" s="1">
        <v>244</v>
      </c>
      <c r="J1514" s="1" t="s">
        <v>2546</v>
      </c>
      <c r="K1514" s="1" t="s">
        <v>2395</v>
      </c>
    </row>
    <row r="1515" spans="1:6" customHeight="true">
      <c r="A1515" s="2" t="s">
        <v>2136</v>
      </c>
      <c r="B1515" s="15">
        <v>45892</v>
      </c>
      <c r="C1515" s="2" t="s">
        <v>344</v>
      </c>
      <c r="D1515" s="3">
        <v>44.9</v>
      </c>
      <c r="E1515" s="16" t="str">
        <f>IFERROR(__xludf.DUMMYFUNCTION("IFERROR(
  TEXTJOIN(CHAR(10),TRUE,FILTER('SUMMARY DATA'!E:E,'SUMMARY DATA'!$A:$A=$A616,'SUMMARY DATA'!$C:$C=$B616,'SUMMARY DATA'!$B:$B=""GRP"")),
  IF(
    OR(
      ISNUMBER(SEARCH(""CDM CASH DEPOSIT"",$C616)),
      ISNUMBER(SEARCH(""CASH DEPOSIT"",$C61"&amp;"6)),
      COUNTIFS('SUMMARY DATA'!$D:$D,$C616,'SUMMARY DATA'!$B:$B,""GRP"")&lt;&gt;1
    ),
    """",
    IFERROR(TEXTJOIN(CHAR(10),TRUE,FILTER('SUMMARY DATA'!E:E,'SUMMARY DATA'!$D:$D=$C616,'SUMMARY DATA'!$B:$B=""GRP"")),"""")
  )
)"),"")</f>
      </c>
      <c r="F1515" s="17" t="str">
        <f>IFERROR(__xludf.DUMMYFUNCTION("IFERROR(
  TEXTJOIN(CHAR(10),TRUE,FILTER('SUMMARY DATA'!F:F,'SUMMARY DATA'!$A:$A=$A616,'SUMMARY DATA'!$C:$C=$B616,'SUMMARY DATA'!$B:$B=""GRP"")),
  IF(
    OR(
      ISNUMBER(SEARCH(""CDM CASH DEPOSIT"",$C616)),
      ISNUMBER(SEARCH(""CASH DEPOSIT"",$C61"&amp;"6)),
      COUNTIFS('SUMMARY DATA'!$D:$D,$C616,'SUMMARY DATA'!$B:$B,""GRP"")&lt;&gt;1
    ),
    """",
    IFERROR(TEXTJOIN(CHAR(10),TRUE,FILTER('SUMMARY DATA'!F:F,'SUMMARY DATA'!$D:$D=$C616,'SUMMARY DATA'!$B:$B=""GRP"")),"""")
  )
)"),"")</f>
      </c>
    </row>
    <row r="1516" spans="1:6" customHeight="true">
      <c r="A1516" s="2"/>
      <c r="B1516" s="15">
        <v>45892</v>
      </c>
      <c r="C1516" s="2" t="s">
        <v>2137</v>
      </c>
      <c r="D1516" s="3">
        <v>101.62</v>
      </c>
      <c r="E1516" s="16" t="str">
        <f>IFERROR(__xludf.DUMMYFUNCTION("IFERROR(
  TEXTJOIN(CHAR(10),TRUE,FILTER('SUMMARY DATA'!E:E,'SUMMARY DATA'!$A:$A=$A617,'SUMMARY DATA'!$C:$C=$B617,'SUMMARY DATA'!$B:$B=""GRP"")),
  IF(
    OR(
      ISNUMBER(SEARCH(""CDM CASH DEPOSIT"",$C617)),
      ISNUMBER(SEARCH(""CASH DEPOSIT"",$C61"&amp;"7)),
      COUNTIFS('SUMMARY DATA'!$D:$D,$C617,'SUMMARY DATA'!$B:$B,""GRP"")&lt;&gt;1
    ),
    """",
    IFERROR(TEXTJOIN(CHAR(10),TRUE,FILTER('SUMMARY DATA'!E:E,'SUMMARY DATA'!$D:$D=$C617,'SUMMARY DATA'!$B:$B=""GRP"")),"""")
  )
)"),"")</f>
      </c>
      <c r="F1516" s="17" t="str">
        <f>IFERROR(__xludf.DUMMYFUNCTION("IFERROR(
  TEXTJOIN(CHAR(10),TRUE,FILTER('SUMMARY DATA'!F:F,'SUMMARY DATA'!$A:$A=$A617,'SUMMARY DATA'!$C:$C=$B617,'SUMMARY DATA'!$B:$B=""GRP"")),
  IF(
    OR(
      ISNUMBER(SEARCH(""CDM CASH DEPOSIT"",$C617)),
      ISNUMBER(SEARCH(""CASH DEPOSIT"",$C61"&amp;"7)),
      COUNTIFS('SUMMARY DATA'!$D:$D,$C617,'SUMMARY DATA'!$B:$B,""GRP"")&lt;&gt;1
    ),
    """",
    IFERROR(TEXTJOIN(CHAR(10),TRUE,FILTER('SUMMARY DATA'!F:F,'SUMMARY DATA'!$D:$D=$C617,'SUMMARY DATA'!$B:$B=""GRP"")),"""")
  )
)"),"")</f>
      </c>
    </row>
    <row r="1517" spans="1:6" customHeight="true">
      <c r="A1517" s="2" t="s">
        <v>2138</v>
      </c>
      <c r="B1517" s="15">
        <v>45892</v>
      </c>
      <c r="C1517" s="2" t="s">
        <v>2139</v>
      </c>
      <c r="D1517" s="3">
        <v>362.81</v>
      </c>
      <c r="E1517" s="16" t="str">
        <f>IFERROR(__xludf.DUMMYFUNCTION("IFERROR(
  TEXTJOIN(CHAR(10),TRUE,FILTER('SUMMARY DATA'!E:E,'SUMMARY DATA'!$A:$A=$A618,'SUMMARY DATA'!$C:$C=$B618,'SUMMARY DATA'!$B:$B=""GRP"")),
  IF(
    OR(
      ISNUMBER(SEARCH(""CDM CASH DEPOSIT"",$C618)),
      ISNUMBER(SEARCH(""CASH DEPOSIT"",$C61"&amp;"8)),
      COUNTIFS('SUMMARY DATA'!$D:$D,$C618,'SUMMARY DATA'!$B:$B,""GRP"")&lt;&gt;1
    ),
    """",
    IFERROR(TEXTJOIN(CHAR(10),TRUE,FILTER('SUMMARY DATA'!E:E,'SUMMARY DATA'!$D:$D=$C618,'SUMMARY DATA'!$B:$B=""GRP"")),"""")
  )
)"),"")</f>
      </c>
      <c r="F1517" s="17" t="str">
        <f>IFERROR(__xludf.DUMMYFUNCTION("IFERROR(
  TEXTJOIN(CHAR(10),TRUE,FILTER('SUMMARY DATA'!F:F,'SUMMARY DATA'!$A:$A=$A618,'SUMMARY DATA'!$C:$C=$B618,'SUMMARY DATA'!$B:$B=""GRP"")),
  IF(
    OR(
      ISNUMBER(SEARCH(""CDM CASH DEPOSIT"",$C618)),
      ISNUMBER(SEARCH(""CASH DEPOSIT"",$C61"&amp;"8)),
      COUNTIFS('SUMMARY DATA'!$D:$D,$C618,'SUMMARY DATA'!$B:$B,""GRP"")&lt;&gt;1
    ),
    """",
    IFERROR(TEXTJOIN(CHAR(10),TRUE,FILTER('SUMMARY DATA'!F:F,'SUMMARY DATA'!$D:$D=$C618,'SUMMARY DATA'!$B:$B=""GRP"")),"""")
  )
)"),"")</f>
      </c>
    </row>
    <row r="1518" spans="1:6" customHeight="true">
      <c r="A1518" s="2"/>
      <c r="B1518" s="15">
        <v>45892</v>
      </c>
      <c r="C1518" s="2" t="s">
        <v>2140</v>
      </c>
      <c r="D1518" s="3">
        <v>83.21</v>
      </c>
      <c r="E1518" s="16" t="str">
        <f>IFERROR(__xludf.DUMMYFUNCTION("IFERROR(
  TEXTJOIN(CHAR(10),TRUE,FILTER('SUMMARY DATA'!E:E,'SUMMARY DATA'!$A:$A=$A619,'SUMMARY DATA'!$C:$C=$B619,'SUMMARY DATA'!$B:$B=""GRP"")),
  IF(
    OR(
      ISNUMBER(SEARCH(""CDM CASH DEPOSIT"",$C619)),
      ISNUMBER(SEARCH(""CASH DEPOSIT"",$C61"&amp;"9)),
      COUNTIFS('SUMMARY DATA'!$D:$D,$C619,'SUMMARY DATA'!$B:$B,""GRP"")&lt;&gt;1
    ),
    """",
    IFERROR(TEXTJOIN(CHAR(10),TRUE,FILTER('SUMMARY DATA'!E:E,'SUMMARY DATA'!$D:$D=$C619,'SUMMARY DATA'!$B:$B=""GRP"")),"""")
  )
)"),"")</f>
      </c>
      <c r="F1518" s="17" t="str">
        <f>IFERROR(__xludf.DUMMYFUNCTION("IFERROR(
  TEXTJOIN(CHAR(10),TRUE,FILTER('SUMMARY DATA'!F:F,'SUMMARY DATA'!$A:$A=$A619,'SUMMARY DATA'!$C:$C=$B619,'SUMMARY DATA'!$B:$B=""GRP"")),
  IF(
    OR(
      ISNUMBER(SEARCH(""CDM CASH DEPOSIT"",$C619)),
      ISNUMBER(SEARCH(""CASH DEPOSIT"",$C61"&amp;"9)),
      COUNTIFS('SUMMARY DATA'!$D:$D,$C619,'SUMMARY DATA'!$B:$B,""GRP"")&lt;&gt;1
    ),
    """",
    IFERROR(TEXTJOIN(CHAR(10),TRUE,FILTER('SUMMARY DATA'!F:F,'SUMMARY DATA'!$D:$D=$C619,'SUMMARY DATA'!$B:$B=""GRP"")),"""")
  )
)"),"")</f>
      </c>
    </row>
    <row r="1519" spans="1:6" customHeight="true">
      <c r="A1519" s="2" t="s">
        <v>2141</v>
      </c>
      <c r="B1519" s="15">
        <v>45892</v>
      </c>
      <c r="C1519" s="2" t="s">
        <v>2142</v>
      </c>
      <c r="D1519" s="3">
        <v>1</v>
      </c>
      <c r="E1519" s="16" t="str">
        <f>IFERROR(__xludf.DUMMYFUNCTION("IFERROR(
  TEXTJOIN(CHAR(10),TRUE,FILTER('SUMMARY DATA'!E:E,'SUMMARY DATA'!$A:$A=$A620,'SUMMARY DATA'!$C:$C=$B620,'SUMMARY DATA'!$B:$B=""GRP"")),
  IF(
    OR(
      ISNUMBER(SEARCH(""CDM CASH DEPOSIT"",$C620)),
      ISNUMBER(SEARCH(""CASH DEPOSIT"",$C62"&amp;"0)),
      COUNTIFS('SUMMARY DATA'!$D:$D,$C620,'SUMMARY DATA'!$B:$B,""GRP"")&lt;&gt;1
    ),
    """",
    IFERROR(TEXTJOIN(CHAR(10),TRUE,FILTER('SUMMARY DATA'!E:E,'SUMMARY DATA'!$D:$D=$C620,'SUMMARY DATA'!$B:$B=""GRP"")),"""")
  )
)"),"")</f>
      </c>
      <c r="F1519" s="17" t="str">
        <f>IFERROR(__xludf.DUMMYFUNCTION("IFERROR(
  TEXTJOIN(CHAR(10),TRUE,FILTER('SUMMARY DATA'!F:F,'SUMMARY DATA'!$A:$A=$A620,'SUMMARY DATA'!$C:$C=$B620,'SUMMARY DATA'!$B:$B=""GRP"")),
  IF(
    OR(
      ISNUMBER(SEARCH(""CDM CASH DEPOSIT"",$C620)),
      ISNUMBER(SEARCH(""CASH DEPOSIT"",$C62"&amp;"0)),
      COUNTIFS('SUMMARY DATA'!$D:$D,$C620,'SUMMARY DATA'!$B:$B,""GRP"")&lt;&gt;1
    ),
    """",
    IFERROR(TEXTJOIN(CHAR(10),TRUE,FILTER('SUMMARY DATA'!F:F,'SUMMARY DATA'!$D:$D=$C620,'SUMMARY DATA'!$B:$B=""GRP"")),"""")
  )
)"),"")</f>
      </c>
    </row>
    <row r="1520" spans="1:6" customHeight="true">
      <c r="A1520" s="2" t="s">
        <v>2143</v>
      </c>
      <c r="B1520" s="15">
        <v>45891</v>
      </c>
      <c r="C1520" s="2" t="s">
        <v>2144</v>
      </c>
      <c r="D1520" s="3">
        <v>15.94</v>
      </c>
      <c r="E1520" s="16" t="str">
        <f>IFERROR(__xludf.DUMMYFUNCTION("IFERROR(
  TEXTJOIN(CHAR(10),TRUE,FILTER('SUMMARY DATA'!E:E,'SUMMARY DATA'!$A:$A=$A621,'SUMMARY DATA'!$C:$C=$B621,'SUMMARY DATA'!$B:$B=""GRP"")),
  IF(
    OR(
      ISNUMBER(SEARCH(""CDM CASH DEPOSIT"",$C621)),
      ISNUMBER(SEARCH(""CASH DEPOSIT"",$C62"&amp;"1)),
      COUNTIFS('SUMMARY DATA'!$D:$D,$C621,'SUMMARY DATA'!$B:$B,""GRP"")&lt;&gt;1
    ),
    """",
    IFERROR(TEXTJOIN(CHAR(10),TRUE,FILTER('SUMMARY DATA'!E:E,'SUMMARY DATA'!$D:$D=$C621,'SUMMARY DATA'!$B:$B=""GRP"")),"""")
  )
)"),"")</f>
      </c>
      <c r="F1520" s="17" t="str">
        <f>IFERROR(__xludf.DUMMYFUNCTION("IFERROR(
  TEXTJOIN(CHAR(10),TRUE,FILTER('SUMMARY DATA'!F:F,'SUMMARY DATA'!$A:$A=$A621,'SUMMARY DATA'!$C:$C=$B621,'SUMMARY DATA'!$B:$B=""GRP"")),
  IF(
    OR(
      ISNUMBER(SEARCH(""CDM CASH DEPOSIT"",$C621)),
      ISNUMBER(SEARCH(""CASH DEPOSIT"",$C62"&amp;"1)),
      COUNTIFS('SUMMARY DATA'!$D:$D,$C621,'SUMMARY DATA'!$B:$B,""GRP"")&lt;&gt;1
    ),
    """",
    IFERROR(TEXTJOIN(CHAR(10),TRUE,FILTER('SUMMARY DATA'!F:F,'SUMMARY DATA'!$D:$D=$C621,'SUMMARY DATA'!$B:$B=""GRP"")),"""")
  )
)"),"")</f>
      </c>
    </row>
    <row r="1521" spans="1:6" customHeight="true">
      <c r="A1521" s="2"/>
      <c r="B1521" s="15">
        <v>45891</v>
      </c>
      <c r="C1521" s="2" t="s">
        <v>359</v>
      </c>
      <c r="D1521" s="3">
        <v>45.88</v>
      </c>
      <c r="E1521" s="16" t="str">
        <f>IFERROR(__xludf.DUMMYFUNCTION("IFERROR(
  TEXTJOIN(CHAR(10),TRUE,FILTER('SUMMARY DATA'!E:E,'SUMMARY DATA'!$A:$A=$A622,'SUMMARY DATA'!$C:$C=$B622,'SUMMARY DATA'!$B:$B=""GRP"")),
  IF(
    OR(
      ISNUMBER(SEARCH(""CDM CASH DEPOSIT"",$C622)),
      ISNUMBER(SEARCH(""CASH DEPOSIT"",$C62"&amp;"2)),
      COUNTIFS('SUMMARY DATA'!$D:$D,$C622,'SUMMARY DATA'!$B:$B,""GRP"")&lt;&gt;1
    ),
    """",
    IFERROR(TEXTJOIN(CHAR(10),TRUE,FILTER('SUMMARY DATA'!E:E,'SUMMARY DATA'!$D:$D=$C622,'SUMMARY DATA'!$B:$B=""GRP"")),"""")
  )
)"),"")</f>
      </c>
      <c r="F1521" s="17" t="str">
        <f>IFERROR(__xludf.DUMMYFUNCTION("IFERROR(
  TEXTJOIN(CHAR(10),TRUE,FILTER('SUMMARY DATA'!F:F,'SUMMARY DATA'!$A:$A=$A622,'SUMMARY DATA'!$C:$C=$B622,'SUMMARY DATA'!$B:$B=""GRP"")),
  IF(
    OR(
      ISNUMBER(SEARCH(""CDM CASH DEPOSIT"",$C622)),
      ISNUMBER(SEARCH(""CASH DEPOSIT"",$C62"&amp;"2)),
      COUNTIFS('SUMMARY DATA'!$D:$D,$C622,'SUMMARY DATA'!$B:$B,""GRP"")&lt;&gt;1
    ),
    """",
    IFERROR(TEXTJOIN(CHAR(10),TRUE,FILTER('SUMMARY DATA'!F:F,'SUMMARY DATA'!$D:$D=$C622,'SUMMARY DATA'!$B:$B=""GRP"")),"""")
  )
)"),"")</f>
      </c>
    </row>
    <row r="1522" spans="1:6" customHeight="true">
      <c r="A1522" s="2" t="s">
        <v>2145</v>
      </c>
      <c r="B1522" s="15">
        <v>45891</v>
      </c>
      <c r="C1522" s="2" t="s">
        <v>2146</v>
      </c>
      <c r="D1522" s="3">
        <v>6</v>
      </c>
      <c r="E1522" s="16" t="str">
        <f>IFERROR(__xludf.DUMMYFUNCTION("IFERROR(
  TEXTJOIN(CHAR(10),TRUE,FILTER('SUMMARY DATA'!E:E,'SUMMARY DATA'!$A:$A=$A623,'SUMMARY DATA'!$C:$C=$B623,'SUMMARY DATA'!$B:$B=""GRP"")),
  IF(
    OR(
      ISNUMBER(SEARCH(""CDM CASH DEPOSIT"",$C623)),
      ISNUMBER(SEARCH(""CASH DEPOSIT"",$C62"&amp;"3)),
      COUNTIFS('SUMMARY DATA'!$D:$D,$C623,'SUMMARY DATA'!$B:$B,""GRP"")&lt;&gt;1
    ),
    """",
    IFERROR(TEXTJOIN(CHAR(10),TRUE,FILTER('SUMMARY DATA'!E:E,'SUMMARY DATA'!$D:$D=$C623,'SUMMARY DATA'!$B:$B=""GRP"")),"""")
  )
)"),"")</f>
      </c>
      <c r="F1522" s="17" t="str">
        <f>IFERROR(__xludf.DUMMYFUNCTION("IFERROR(
  TEXTJOIN(CHAR(10),TRUE,FILTER('SUMMARY DATA'!F:F,'SUMMARY DATA'!$A:$A=$A623,'SUMMARY DATA'!$C:$C=$B623,'SUMMARY DATA'!$B:$B=""GRP"")),
  IF(
    OR(
      ISNUMBER(SEARCH(""CDM CASH DEPOSIT"",$C623)),
      ISNUMBER(SEARCH(""CASH DEPOSIT"",$C62"&amp;"3)),
      COUNTIFS('SUMMARY DATA'!$D:$D,$C623,'SUMMARY DATA'!$B:$B,""GRP"")&lt;&gt;1
    ),
    """",
    IFERROR(TEXTJOIN(CHAR(10),TRUE,FILTER('SUMMARY DATA'!F:F,'SUMMARY DATA'!$D:$D=$C623,'SUMMARY DATA'!$B:$B=""GRP"")),"""")
  )
)"),"")</f>
      </c>
    </row>
    <row r="1523" spans="1:6" customHeight="true">
      <c r="A1523" s="2"/>
      <c r="B1523" s="15">
        <v>45891</v>
      </c>
      <c r="C1523" s="2" t="s">
        <v>2147</v>
      </c>
      <c r="D1523" s="3">
        <v>400</v>
      </c>
      <c r="E1523" s="16" t="str">
        <f>IFERROR(__xludf.DUMMYFUNCTION("IFERROR(
  TEXTJOIN(CHAR(10),TRUE,FILTER('SUMMARY DATA'!E:E,'SUMMARY DATA'!$A:$A=$A624,'SUMMARY DATA'!$C:$C=$B624,'SUMMARY DATA'!$B:$B=""GRP"")),
  IF(
    OR(
      ISNUMBER(SEARCH(""CDM CASH DEPOSIT"",$C624)),
      ISNUMBER(SEARCH(""CASH DEPOSIT"",$C62"&amp;"4)),
      COUNTIFS('SUMMARY DATA'!$D:$D,$C624,'SUMMARY DATA'!$B:$B,""GRP"")&lt;&gt;1
    ),
    """",
    IFERROR(TEXTJOIN(CHAR(10),TRUE,FILTER('SUMMARY DATA'!E:E,'SUMMARY DATA'!$D:$D=$C624,'SUMMARY DATA'!$B:$B=""GRP"")),"""")
  )
)"),"")</f>
      </c>
      <c r="F1523" s="17" t="str">
        <f>IFERROR(__xludf.DUMMYFUNCTION("IFERROR(
  TEXTJOIN(CHAR(10),TRUE,FILTER('SUMMARY DATA'!F:F,'SUMMARY DATA'!$A:$A=$A624,'SUMMARY DATA'!$C:$C=$B624,'SUMMARY DATA'!$B:$B=""GRP"")),
  IF(
    OR(
      ISNUMBER(SEARCH(""CDM CASH DEPOSIT"",$C624)),
      ISNUMBER(SEARCH(""CASH DEPOSIT"",$C62"&amp;"4)),
      COUNTIFS('SUMMARY DATA'!$D:$D,$C624,'SUMMARY DATA'!$B:$B,""GRP"")&lt;&gt;1
    ),
    """",
    IFERROR(TEXTJOIN(CHAR(10),TRUE,FILTER('SUMMARY DATA'!F:F,'SUMMARY DATA'!$D:$D=$C624,'SUMMARY DATA'!$B:$B=""GRP"")),"""")
  )
)"),"")</f>
      </c>
    </row>
    <row r="1524" spans="1:6" customHeight="true">
      <c r="A1524" s="2" t="s">
        <v>2148</v>
      </c>
      <c r="B1524" s="15">
        <v>45891</v>
      </c>
      <c r="C1524" s="2" t="s">
        <v>2149</v>
      </c>
      <c r="D1524" s="3">
        <v>10</v>
      </c>
      <c r="E1524" s="16" t="str">
        <f>IFERROR(__xludf.DUMMYFUNCTION("IFERROR(
  TEXTJOIN(CHAR(10),TRUE,FILTER('SUMMARY DATA'!E:E,'SUMMARY DATA'!$A:$A=$A625,'SUMMARY DATA'!$C:$C=$B625,'SUMMARY DATA'!$B:$B=""GRP"")),
  IF(
    OR(
      ISNUMBER(SEARCH(""CDM CASH DEPOSIT"",$C625)),
      ISNUMBER(SEARCH(""CASH DEPOSIT"",$C62"&amp;"5)),
      COUNTIFS('SUMMARY DATA'!$D:$D,$C625,'SUMMARY DATA'!$B:$B,""GRP"")&lt;&gt;1
    ),
    """",
    IFERROR(TEXTJOIN(CHAR(10),TRUE,FILTER('SUMMARY DATA'!E:E,'SUMMARY DATA'!$D:$D=$C625,'SUMMARY DATA'!$B:$B=""GRP"")),"""")
  )
)"),"")</f>
      </c>
      <c r="F1524" s="17" t="str">
        <f>IFERROR(__xludf.DUMMYFUNCTION("IFERROR(
  TEXTJOIN(CHAR(10),TRUE,FILTER('SUMMARY DATA'!F:F,'SUMMARY DATA'!$A:$A=$A625,'SUMMARY DATA'!$C:$C=$B625,'SUMMARY DATA'!$B:$B=""GRP"")),
  IF(
    OR(
      ISNUMBER(SEARCH(""CDM CASH DEPOSIT"",$C625)),
      ISNUMBER(SEARCH(""CASH DEPOSIT"",$C62"&amp;"5)),
      COUNTIFS('SUMMARY DATA'!$D:$D,$C625,'SUMMARY DATA'!$B:$B,""GRP"")&lt;&gt;1
    ),
    """",
    IFERROR(TEXTJOIN(CHAR(10),TRUE,FILTER('SUMMARY DATA'!F:F,'SUMMARY DATA'!$D:$D=$C625,'SUMMARY DATA'!$B:$B=""GRP"")),"""")
  )
)"),"")</f>
      </c>
    </row>
    <row r="1525" spans="1:6" customHeight="true">
      <c r="A1525" s="2"/>
      <c r="B1525" s="15">
        <v>45891</v>
      </c>
      <c r="C1525" s="2" t="s">
        <v>2150</v>
      </c>
      <c r="D1525" s="3">
        <v>1.08</v>
      </c>
      <c r="E1525" s="16" t="str">
        <f>IFERROR(__xludf.DUMMYFUNCTION("IFERROR(
  TEXTJOIN(CHAR(10),TRUE,FILTER('SUMMARY DATA'!E:E,'SUMMARY DATA'!$A:$A=$A626,'SUMMARY DATA'!$C:$C=$B626,'SUMMARY DATA'!$B:$B=""GRP"")),
  IF(
    OR(
      ISNUMBER(SEARCH(""CDM CASH DEPOSIT"",$C626)),
      ISNUMBER(SEARCH(""CASH DEPOSIT"",$C62"&amp;"6)),
      COUNTIFS('SUMMARY DATA'!$D:$D,$C626,'SUMMARY DATA'!$B:$B,""GRP"")&lt;&gt;1
    ),
    """",
    IFERROR(TEXTJOIN(CHAR(10),TRUE,FILTER('SUMMARY DATA'!E:E,'SUMMARY DATA'!$D:$D=$C626,'SUMMARY DATA'!$B:$B=""GRP"")),"""")
  )
)"),"")</f>
      </c>
      <c r="F1525" s="17" t="str">
        <f>IFERROR(__xludf.DUMMYFUNCTION("IFERROR(
  TEXTJOIN(CHAR(10),TRUE,FILTER('SUMMARY DATA'!F:F,'SUMMARY DATA'!$A:$A=$A626,'SUMMARY DATA'!$C:$C=$B626,'SUMMARY DATA'!$B:$B=""GRP"")),
  IF(
    OR(
      ISNUMBER(SEARCH(""CDM CASH DEPOSIT"",$C626)),
      ISNUMBER(SEARCH(""CASH DEPOSIT"",$C62"&amp;"6)),
      COUNTIFS('SUMMARY DATA'!$D:$D,$C626,'SUMMARY DATA'!$B:$B,""GRP"")&lt;&gt;1
    ),
    """",
    IFERROR(TEXTJOIN(CHAR(10),TRUE,FILTER('SUMMARY DATA'!F:F,'SUMMARY DATA'!$D:$D=$C626,'SUMMARY DATA'!$B:$B=""GRP"")),"""")
  )
)"),"")</f>
      </c>
    </row>
    <row r="1526" spans="1:6" customHeight="true">
      <c r="A1526" s="2" t="s">
        <v>2151</v>
      </c>
      <c r="B1526" s="15">
        <v>45891</v>
      </c>
      <c r="C1526" s="2" t="s">
        <v>2152</v>
      </c>
      <c r="D1526" s="3">
        <v>24</v>
      </c>
      <c r="E1526" s="16" t="str">
        <f>IFERROR(__xludf.DUMMYFUNCTION("IFERROR(
  TEXTJOIN(CHAR(10),TRUE,FILTER('SUMMARY DATA'!E:E,'SUMMARY DATA'!$A:$A=$A627,'SUMMARY DATA'!$C:$C=$B627,'SUMMARY DATA'!$B:$B=""GRP"")),
  IF(
    OR(
      ISNUMBER(SEARCH(""CDM CASH DEPOSIT"",$C627)),
      ISNUMBER(SEARCH(""CASH DEPOSIT"",$C62"&amp;"7)),
      COUNTIFS('SUMMARY DATA'!$D:$D,$C627,'SUMMARY DATA'!$B:$B,""GRP"")&lt;&gt;1
    ),
    """",
    IFERROR(TEXTJOIN(CHAR(10),TRUE,FILTER('SUMMARY DATA'!E:E,'SUMMARY DATA'!$D:$D=$C627,'SUMMARY DATA'!$B:$B=""GRP"")),"""")
  )
)"),"")</f>
      </c>
      <c r="F1526" s="17" t="str">
        <f>IFERROR(__xludf.DUMMYFUNCTION("IFERROR(
  TEXTJOIN(CHAR(10),TRUE,FILTER('SUMMARY DATA'!F:F,'SUMMARY DATA'!$A:$A=$A627,'SUMMARY DATA'!$C:$C=$B627,'SUMMARY DATA'!$B:$B=""GRP"")),
  IF(
    OR(
      ISNUMBER(SEARCH(""CDM CASH DEPOSIT"",$C627)),
      ISNUMBER(SEARCH(""CASH DEPOSIT"",$C62"&amp;"7)),
      COUNTIFS('SUMMARY DATA'!$D:$D,$C627,'SUMMARY DATA'!$B:$B,""GRP"")&lt;&gt;1
    ),
    """",
    IFERROR(TEXTJOIN(CHAR(10),TRUE,FILTER('SUMMARY DATA'!F:F,'SUMMARY DATA'!$D:$D=$C627,'SUMMARY DATA'!$B:$B=""GRP"")),"""")
  )
)"),"")</f>
      </c>
    </row>
    <row r="1527" spans="1:6" customHeight="true">
      <c r="A1527" s="2" t="s">
        <v>2153</v>
      </c>
      <c r="B1527" s="15">
        <v>45890</v>
      </c>
      <c r="C1527" s="2" t="s">
        <v>2154</v>
      </c>
      <c r="D1527" s="3">
        <v>860.65</v>
      </c>
      <c r="E1527" s="16" t="str">
        <f>IFERROR(__xludf.DUMMYFUNCTION("IFERROR(
  TEXTJOIN(CHAR(10),TRUE,FILTER('SUMMARY DATA'!E:E,'SUMMARY DATA'!$A:$A=$A628,'SUMMARY DATA'!$C:$C=$B628,'SUMMARY DATA'!$B:$B=""GRP"")),
  IF(
    OR(
      ISNUMBER(SEARCH(""CDM CASH DEPOSIT"",$C628)),
      ISNUMBER(SEARCH(""CASH DEPOSIT"",$C62"&amp;"8)),
      COUNTIFS('SUMMARY DATA'!$D:$D,$C628,'SUMMARY DATA'!$B:$B,""GRP"")&lt;&gt;1
    ),
    """",
    IFERROR(TEXTJOIN(CHAR(10),TRUE,FILTER('SUMMARY DATA'!E:E,'SUMMARY DATA'!$D:$D=$C628,'SUMMARY DATA'!$B:$B=""GRP"")),"""")
  )
)"),"")</f>
      </c>
      <c r="F1527" s="17" t="str">
        <f>IFERROR(__xludf.DUMMYFUNCTION("IFERROR(
  TEXTJOIN(CHAR(10),TRUE,FILTER('SUMMARY DATA'!F:F,'SUMMARY DATA'!$A:$A=$A628,'SUMMARY DATA'!$C:$C=$B628,'SUMMARY DATA'!$B:$B=""GRP"")),
  IF(
    OR(
      ISNUMBER(SEARCH(""CDM CASH DEPOSIT"",$C628)),
      ISNUMBER(SEARCH(""CASH DEPOSIT"",$C62"&amp;"8)),
      COUNTIFS('SUMMARY DATA'!$D:$D,$C628,'SUMMARY DATA'!$B:$B,""GRP"")&lt;&gt;1
    ),
    """",
    IFERROR(TEXTJOIN(CHAR(10),TRUE,FILTER('SUMMARY DATA'!F:F,'SUMMARY DATA'!$D:$D=$C628,'SUMMARY DATA'!$B:$B=""GRP"")),"""")
  )
)"),"")</f>
      </c>
    </row>
    <row r="1528" spans="1:6" customHeight="true">
      <c r="A1528" s="2"/>
      <c r="B1528" s="15">
        <v>45890</v>
      </c>
      <c r="C1528" s="2" t="s">
        <v>2155</v>
      </c>
      <c r="D1528" s="3">
        <v>184.93</v>
      </c>
      <c r="E1528" s="16" t="str">
        <f>IFERROR(__xludf.DUMMYFUNCTION("IFERROR(
  TEXTJOIN(CHAR(10),TRUE,FILTER('SUMMARY DATA'!E:E,'SUMMARY DATA'!$A:$A=$A629,'SUMMARY DATA'!$C:$C=$B629,'SUMMARY DATA'!$B:$B=""GRP"")),
  IF(
    OR(
      ISNUMBER(SEARCH(""CDM CASH DEPOSIT"",$C629)),
      ISNUMBER(SEARCH(""CASH DEPOSIT"",$C62"&amp;"9)),
      COUNTIFS('SUMMARY DATA'!$D:$D,$C629,'SUMMARY DATA'!$B:$B,""GRP"")&lt;&gt;1
    ),
    """",
    IFERROR(TEXTJOIN(CHAR(10),TRUE,FILTER('SUMMARY DATA'!E:E,'SUMMARY DATA'!$D:$D=$C629,'SUMMARY DATA'!$B:$B=""GRP"")),"""")
  )
)"),"")</f>
      </c>
      <c r="F1528" s="17" t="str">
        <f>IFERROR(__xludf.DUMMYFUNCTION("IFERROR(
  TEXTJOIN(CHAR(10),TRUE,FILTER('SUMMARY DATA'!F:F,'SUMMARY DATA'!$A:$A=$A629,'SUMMARY DATA'!$C:$C=$B629,'SUMMARY DATA'!$B:$B=""GRP"")),
  IF(
    OR(
      ISNUMBER(SEARCH(""CDM CASH DEPOSIT"",$C629)),
      ISNUMBER(SEARCH(""CASH DEPOSIT"",$C62"&amp;"9)),
      COUNTIFS('SUMMARY DATA'!$D:$D,$C629,'SUMMARY DATA'!$B:$B,""GRP"")&lt;&gt;1
    ),
    """",
    IFERROR(TEXTJOIN(CHAR(10),TRUE,FILTER('SUMMARY DATA'!F:F,'SUMMARY DATA'!$D:$D=$C629,'SUMMARY DATA'!$B:$B=""GRP"")),"""")
  )
)"),"")</f>
      </c>
    </row>
    <row r="1529" spans="1:6" customHeight="true">
      <c r="A1529" s="2" t="s">
        <v>2156</v>
      </c>
      <c r="B1529" s="15">
        <v>45890</v>
      </c>
      <c r="C1529" s="2" t="s">
        <v>2157</v>
      </c>
      <c r="D1529" s="3">
        <v>100</v>
      </c>
      <c r="E1529" s="16" t="str">
        <f>IFERROR(__xludf.DUMMYFUNCTION("IFERROR(
  TEXTJOIN(CHAR(10),TRUE,FILTER('SUMMARY DATA'!E:E,'SUMMARY DATA'!$A:$A=$A630,'SUMMARY DATA'!$C:$C=$B630,'SUMMARY DATA'!$B:$B=""GRP"")),
  IF(
    OR(
      ISNUMBER(SEARCH(""CDM CASH DEPOSIT"",$C630)),
      ISNUMBER(SEARCH(""CASH DEPOSIT"",$C63"&amp;"0)),
      COUNTIFS('SUMMARY DATA'!$D:$D,$C630,'SUMMARY DATA'!$B:$B,""GRP"")&lt;&gt;1
    ),
    """",
    IFERROR(TEXTJOIN(CHAR(10),TRUE,FILTER('SUMMARY DATA'!E:E,'SUMMARY DATA'!$D:$D=$C630,'SUMMARY DATA'!$B:$B=""GRP"")),"""")
  )
)"),"")</f>
      </c>
      <c r="F1529" s="17" t="str">
        <f>IFERROR(__xludf.DUMMYFUNCTION("IFERROR(
  TEXTJOIN(CHAR(10),TRUE,FILTER('SUMMARY DATA'!F:F,'SUMMARY DATA'!$A:$A=$A630,'SUMMARY DATA'!$C:$C=$B630,'SUMMARY DATA'!$B:$B=""GRP"")),
  IF(
    OR(
      ISNUMBER(SEARCH(""CDM CASH DEPOSIT"",$C630)),
      ISNUMBER(SEARCH(""CASH DEPOSIT"",$C63"&amp;"0)),
      COUNTIFS('SUMMARY DATA'!$D:$D,$C630,'SUMMARY DATA'!$B:$B,""GRP"")&lt;&gt;1
    ),
    """",
    IFERROR(TEXTJOIN(CHAR(10),TRUE,FILTER('SUMMARY DATA'!F:F,'SUMMARY DATA'!$D:$D=$C630,'SUMMARY DATA'!$B:$B=""GRP"")),"""")
  )
)"),"")</f>
      </c>
    </row>
    <row r="1530" spans="1:6" customHeight="true">
      <c r="A1530" s="2" t="s">
        <v>2158</v>
      </c>
      <c r="B1530" s="15">
        <v>45890</v>
      </c>
      <c r="C1530" s="2" t="s">
        <v>2159</v>
      </c>
      <c r="D1530" s="3">
        <v>38</v>
      </c>
      <c r="E1530" s="16" t="str">
        <f>IFERROR(__xludf.DUMMYFUNCTION("IFERROR(
  TEXTJOIN(CHAR(10),TRUE,FILTER('SUMMARY DATA'!E:E,'SUMMARY DATA'!$A:$A=$A631,'SUMMARY DATA'!$C:$C=$B631,'SUMMARY DATA'!$B:$B=""GRP"")),
  IF(
    OR(
      ISNUMBER(SEARCH(""CDM CASH DEPOSIT"",$C631)),
      ISNUMBER(SEARCH(""CASH DEPOSIT"",$C63"&amp;"1)),
      COUNTIFS('SUMMARY DATA'!$D:$D,$C631,'SUMMARY DATA'!$B:$B,""GRP"")&lt;&gt;1
    ),
    """",
    IFERROR(TEXTJOIN(CHAR(10),TRUE,FILTER('SUMMARY DATA'!E:E,'SUMMARY DATA'!$D:$D=$C631,'SUMMARY DATA'!$B:$B=""GRP"")),"""")
  )
)"),"")</f>
      </c>
      <c r="F1530" s="17" t="str">
        <f>IFERROR(__xludf.DUMMYFUNCTION("IFERROR(
  TEXTJOIN(CHAR(10),TRUE,FILTER('SUMMARY DATA'!F:F,'SUMMARY DATA'!$A:$A=$A631,'SUMMARY DATA'!$C:$C=$B631,'SUMMARY DATA'!$B:$B=""GRP"")),
  IF(
    OR(
      ISNUMBER(SEARCH(""CDM CASH DEPOSIT"",$C631)),
      ISNUMBER(SEARCH(""CASH DEPOSIT"",$C63"&amp;"1)),
      COUNTIFS('SUMMARY DATA'!$D:$D,$C631,'SUMMARY DATA'!$B:$B,""GRP"")&lt;&gt;1
    ),
    """",
    IFERROR(TEXTJOIN(CHAR(10),TRUE,FILTER('SUMMARY DATA'!F:F,'SUMMARY DATA'!$D:$D=$C631,'SUMMARY DATA'!$B:$B=""GRP"")),"""")
  )
)"),"")</f>
      </c>
    </row>
    <row r="1531" spans="1:6" customHeight="true">
      <c r="A1531" s="2"/>
      <c r="B1531" s="15">
        <v>45890</v>
      </c>
      <c r="C1531" s="2" t="s">
        <v>2160</v>
      </c>
      <c r="D1531" s="3">
        <v>66</v>
      </c>
      <c r="E1531" s="16" t="str">
        <f>IFERROR(__xludf.DUMMYFUNCTION("IFERROR(
  TEXTJOIN(CHAR(10),TRUE,FILTER('SUMMARY DATA'!E:E,'SUMMARY DATA'!$A:$A=$A632,'SUMMARY DATA'!$C:$C=$B632,'SUMMARY DATA'!$B:$B=""GRP"")),
  IF(
    OR(
      ISNUMBER(SEARCH(""CDM CASH DEPOSIT"",$C632)),
      ISNUMBER(SEARCH(""CASH DEPOSIT"",$C63"&amp;"2)),
      COUNTIFS('SUMMARY DATA'!$D:$D,$C632,'SUMMARY DATA'!$B:$B,""GRP"")&lt;&gt;1
    ),
    """",
    IFERROR(TEXTJOIN(CHAR(10),TRUE,FILTER('SUMMARY DATA'!E:E,'SUMMARY DATA'!$D:$D=$C632,'SUMMARY DATA'!$B:$B=""GRP"")),"""")
  )
)"),"")</f>
      </c>
      <c r="F1531" s="17" t="str">
        <f>IFERROR(__xludf.DUMMYFUNCTION("IFERROR(
  TEXTJOIN(CHAR(10),TRUE,FILTER('SUMMARY DATA'!F:F,'SUMMARY DATA'!$A:$A=$A632,'SUMMARY DATA'!$C:$C=$B632,'SUMMARY DATA'!$B:$B=""GRP"")),
  IF(
    OR(
      ISNUMBER(SEARCH(""CDM CASH DEPOSIT"",$C632)),
      ISNUMBER(SEARCH(""CASH DEPOSIT"",$C63"&amp;"2)),
      COUNTIFS('SUMMARY DATA'!$D:$D,$C632,'SUMMARY DATA'!$B:$B,""GRP"")&lt;&gt;1
    ),
    """",
    IFERROR(TEXTJOIN(CHAR(10),TRUE,FILTER('SUMMARY DATA'!F:F,'SUMMARY DATA'!$D:$D=$C632,'SUMMARY DATA'!$B:$B=""GRP"")),"""")
  )
)"),"")</f>
      </c>
    </row>
    <row r="1532" spans="1:6" customHeight="true">
      <c r="A1532" s="2" t="s">
        <v>2161</v>
      </c>
      <c r="B1532" s="15">
        <v>45890</v>
      </c>
      <c r="C1532" s="2" t="s">
        <v>2162</v>
      </c>
      <c r="D1532" s="3">
        <v>147.4</v>
      </c>
      <c r="E1532" s="16" t="s">
        <v>2726</v>
      </c>
      <c r="F1532" s="17" t="s">
        <v>2727</v>
      </c>
      <c r="G1532" s="1" t="s">
        <v>2393</v>
      </c>
      <c r="H1532" s="1">
        <v>147.4</v>
      </c>
      <c r="I1532" s="1">
        <v>147.4</v>
      </c>
      <c r="J1532" s="1" t="s">
        <v>2394</v>
      </c>
      <c r="K1532" s="1" t="s">
        <v>2719</v>
      </c>
    </row>
    <row r="1533" spans="1:6" customHeight="true">
      <c r="A1533" s="2"/>
      <c r="B1533" s="15">
        <v>45890</v>
      </c>
      <c r="C1533" s="2" t="s">
        <v>2163</v>
      </c>
      <c r="D1533" s="3">
        <v>224</v>
      </c>
      <c r="E1533" s="16" t="str">
        <f>IFERROR(__xludf.DUMMYFUNCTION("IFERROR(
  TEXTJOIN(CHAR(10),TRUE,FILTER('SUMMARY DATA'!E:E,'SUMMARY DATA'!$A:$A=$A634,'SUMMARY DATA'!$C:$C=$B634,'SUMMARY DATA'!$B:$B=""GRP"")),
  IF(
    OR(
      ISNUMBER(SEARCH(""CDM CASH DEPOSIT"",$C634)),
      ISNUMBER(SEARCH(""CASH DEPOSIT"",$C63"&amp;"4)),
      COUNTIFS('SUMMARY DATA'!$D:$D,$C634,'SUMMARY DATA'!$B:$B,""GRP"")&lt;&gt;1
    ),
    """",
    IFERROR(TEXTJOIN(CHAR(10),TRUE,FILTER('SUMMARY DATA'!E:E,'SUMMARY DATA'!$D:$D=$C634,'SUMMARY DATA'!$B:$B=""GRP"")),"""")
  )
)"),"")</f>
      </c>
      <c r="F1533" s="17" t="str">
        <f>IFERROR(__xludf.DUMMYFUNCTION("IFERROR(
  TEXTJOIN(CHAR(10),TRUE,FILTER('SUMMARY DATA'!F:F,'SUMMARY DATA'!$A:$A=$A634,'SUMMARY DATA'!$C:$C=$B634,'SUMMARY DATA'!$B:$B=""GRP"")),
  IF(
    OR(
      ISNUMBER(SEARCH(""CDM CASH DEPOSIT"",$C634)),
      ISNUMBER(SEARCH(""CASH DEPOSIT"",$C63"&amp;"4)),
      COUNTIFS('SUMMARY DATA'!$D:$D,$C634,'SUMMARY DATA'!$B:$B,""GRP"")&lt;&gt;1
    ),
    """",
    IFERROR(TEXTJOIN(CHAR(10),TRUE,FILTER('SUMMARY DATA'!F:F,'SUMMARY DATA'!$D:$D=$C634,'SUMMARY DATA'!$B:$B=""GRP"")),"""")
  )
)"),"")</f>
      </c>
    </row>
    <row r="1534" spans="1:6" customHeight="true">
      <c r="A1534" s="2" t="s">
        <v>2164</v>
      </c>
      <c r="B1534" s="15">
        <v>45890</v>
      </c>
      <c r="C1534" s="2" t="s">
        <v>2165</v>
      </c>
      <c r="D1534" s="3">
        <v>272.46</v>
      </c>
      <c r="E1534" s="16" t="str">
        <f>IFERROR(__xludf.DUMMYFUNCTION("IFERROR(
  TEXTJOIN(CHAR(10),TRUE,FILTER('SUMMARY DATA'!E:E,'SUMMARY DATA'!$A:$A=$A635,'SUMMARY DATA'!$C:$C=$B635,'SUMMARY DATA'!$B:$B=""GRP"")),
  IF(
    OR(
      ISNUMBER(SEARCH(""CDM CASH DEPOSIT"",$C635)),
      ISNUMBER(SEARCH(""CASH DEPOSIT"",$C63"&amp;"5)),
      COUNTIFS('SUMMARY DATA'!$D:$D,$C635,'SUMMARY DATA'!$B:$B,""GRP"")&lt;&gt;1
    ),
    """",
    IFERROR(TEXTJOIN(CHAR(10),TRUE,FILTER('SUMMARY DATA'!E:E,'SUMMARY DATA'!$D:$D=$C635,'SUMMARY DATA'!$B:$B=""GRP"")),"""")
  )
)"),"")</f>
      </c>
      <c r="F1534" s="17" t="str">
        <f>IFERROR(__xludf.DUMMYFUNCTION("IFERROR(
  TEXTJOIN(CHAR(10),TRUE,FILTER('SUMMARY DATA'!F:F,'SUMMARY DATA'!$A:$A=$A635,'SUMMARY DATA'!$C:$C=$B635,'SUMMARY DATA'!$B:$B=""GRP"")),
  IF(
    OR(
      ISNUMBER(SEARCH(""CDM CASH DEPOSIT"",$C635)),
      ISNUMBER(SEARCH(""CASH DEPOSIT"",$C63"&amp;"5)),
      COUNTIFS('SUMMARY DATA'!$D:$D,$C635,'SUMMARY DATA'!$B:$B,""GRP"")&lt;&gt;1
    ),
    """",
    IFERROR(TEXTJOIN(CHAR(10),TRUE,FILTER('SUMMARY DATA'!F:F,'SUMMARY DATA'!$D:$D=$C635,'SUMMARY DATA'!$B:$B=""GRP"")),"""")
  )
)"),"")</f>
      </c>
    </row>
    <row r="1535" spans="1:6" customHeight="true">
      <c r="A1535" s="2" t="s">
        <v>2166</v>
      </c>
      <c r="B1535" s="15">
        <v>45890</v>
      </c>
      <c r="C1535" s="2" t="s">
        <v>2167</v>
      </c>
      <c r="D1535" s="3">
        <v>108</v>
      </c>
      <c r="E1535" s="16" t="str">
        <f>IFERROR(__xludf.DUMMYFUNCTION("IFERROR(
  TEXTJOIN(CHAR(10),TRUE,FILTER('SUMMARY DATA'!E:E,'SUMMARY DATA'!$A:$A=$A636,'SUMMARY DATA'!$C:$C=$B636,'SUMMARY DATA'!$B:$B=""GRP"")),
  IF(
    OR(
      ISNUMBER(SEARCH(""CDM CASH DEPOSIT"",$C636)),
      ISNUMBER(SEARCH(""CASH DEPOSIT"",$C63"&amp;"6)),
      COUNTIFS('SUMMARY DATA'!$D:$D,$C636,'SUMMARY DATA'!$B:$B,""GRP"")&lt;&gt;1
    ),
    """",
    IFERROR(TEXTJOIN(CHAR(10),TRUE,FILTER('SUMMARY DATA'!E:E,'SUMMARY DATA'!$D:$D=$C636,'SUMMARY DATA'!$B:$B=""GRP"")),"""")
  )
)"),"")</f>
      </c>
      <c r="F1535" s="17" t="str">
        <f>IFERROR(__xludf.DUMMYFUNCTION("IFERROR(
  TEXTJOIN(CHAR(10),TRUE,FILTER('SUMMARY DATA'!F:F,'SUMMARY DATA'!$A:$A=$A636,'SUMMARY DATA'!$C:$C=$B636,'SUMMARY DATA'!$B:$B=""GRP"")),
  IF(
    OR(
      ISNUMBER(SEARCH(""CDM CASH DEPOSIT"",$C636)),
      ISNUMBER(SEARCH(""CASH DEPOSIT"",$C63"&amp;"6)),
      COUNTIFS('SUMMARY DATA'!$D:$D,$C636,'SUMMARY DATA'!$B:$B,""GRP"")&lt;&gt;1
    ),
    """",
    IFERROR(TEXTJOIN(CHAR(10),TRUE,FILTER('SUMMARY DATA'!F:F,'SUMMARY DATA'!$D:$D=$C636,'SUMMARY DATA'!$B:$B=""GRP"")),"""")
  )
)"),"")</f>
      </c>
    </row>
    <row r="1536" spans="1:6" customHeight="true">
      <c r="A1536" s="2" t="s">
        <v>2168</v>
      </c>
      <c r="B1536" s="15">
        <v>45890</v>
      </c>
      <c r="C1536" s="2" t="s">
        <v>2169</v>
      </c>
      <c r="D1536" s="3">
        <v>129</v>
      </c>
      <c r="E1536" s="16" t="s">
        <v>2406</v>
      </c>
      <c r="F1536" s="17" t="s">
        <v>2728</v>
      </c>
      <c r="G1536" s="1" t="s">
        <v>2393</v>
      </c>
      <c r="H1536" s="1">
        <v>129</v>
      </c>
      <c r="I1536" s="1">
        <v>129</v>
      </c>
      <c r="J1536" s="1" t="s">
        <v>2394</v>
      </c>
      <c r="K1536" s="1" t="s">
        <v>2719</v>
      </c>
    </row>
    <row r="1537" spans="1:6" customHeight="true">
      <c r="A1537" s="2" t="s">
        <v>2170</v>
      </c>
      <c r="B1537" s="15">
        <v>45890</v>
      </c>
      <c r="C1537" s="2" t="s">
        <v>2171</v>
      </c>
      <c r="D1537" s="3">
        <v>6</v>
      </c>
      <c r="E1537" s="16" t="str">
        <f>IFERROR(__xludf.DUMMYFUNCTION("IFERROR(
  TEXTJOIN(CHAR(10),TRUE,FILTER('SUMMARY DATA'!E:E,'SUMMARY DATA'!$A:$A=$A638,'SUMMARY DATA'!$C:$C=$B638,'SUMMARY DATA'!$B:$B=""GRP"")),
  IF(
    OR(
      ISNUMBER(SEARCH(""CDM CASH DEPOSIT"",$C638)),
      ISNUMBER(SEARCH(""CASH DEPOSIT"",$C63"&amp;"8)),
      COUNTIFS('SUMMARY DATA'!$D:$D,$C638,'SUMMARY DATA'!$B:$B,""GRP"")&lt;&gt;1
    ),
    """",
    IFERROR(TEXTJOIN(CHAR(10),TRUE,FILTER('SUMMARY DATA'!E:E,'SUMMARY DATA'!$D:$D=$C638,'SUMMARY DATA'!$B:$B=""GRP"")),"""")
  )
)"),"")</f>
      </c>
      <c r="F1537" s="17" t="str">
        <f>IFERROR(__xludf.DUMMYFUNCTION("IFERROR(
  TEXTJOIN(CHAR(10),TRUE,FILTER('SUMMARY DATA'!F:F,'SUMMARY DATA'!$A:$A=$A638,'SUMMARY DATA'!$C:$C=$B638,'SUMMARY DATA'!$B:$B=""GRP"")),
  IF(
    OR(
      ISNUMBER(SEARCH(""CDM CASH DEPOSIT"",$C638)),
      ISNUMBER(SEARCH(""CASH DEPOSIT"",$C63"&amp;"8)),
      COUNTIFS('SUMMARY DATA'!$D:$D,$C638,'SUMMARY DATA'!$B:$B,""GRP"")&lt;&gt;1
    ),
    """",
    IFERROR(TEXTJOIN(CHAR(10),TRUE,FILTER('SUMMARY DATA'!F:F,'SUMMARY DATA'!$D:$D=$C638,'SUMMARY DATA'!$B:$B=""GRP"")),"""")
  )
)"),"")</f>
      </c>
    </row>
    <row r="1538" spans="1:6" customHeight="true">
      <c r="A1538" s="2" t="s">
        <v>2172</v>
      </c>
      <c r="B1538" s="15">
        <v>45890</v>
      </c>
      <c r="C1538" s="2" t="s">
        <v>2173</v>
      </c>
      <c r="D1538" s="3">
        <v>59.9</v>
      </c>
      <c r="E1538" s="16" t="str">
        <f>IFERROR(__xludf.DUMMYFUNCTION("IFERROR(
  TEXTJOIN(CHAR(10),TRUE,FILTER('SUMMARY DATA'!E:E,'SUMMARY DATA'!$A:$A=$A639,'SUMMARY DATA'!$C:$C=$B639,'SUMMARY DATA'!$B:$B=""GRP"")),
  IF(
    OR(
      ISNUMBER(SEARCH(""CDM CASH DEPOSIT"",$C639)),
      ISNUMBER(SEARCH(""CASH DEPOSIT"",$C63"&amp;"9)),
      COUNTIFS('SUMMARY DATA'!$D:$D,$C639,'SUMMARY DATA'!$B:$B,""GRP"")&lt;&gt;1
    ),
    """",
    IFERROR(TEXTJOIN(CHAR(10),TRUE,FILTER('SUMMARY DATA'!E:E,'SUMMARY DATA'!$D:$D=$C639,'SUMMARY DATA'!$B:$B=""GRP"")),"""")
  )
)"),"")</f>
      </c>
      <c r="F1538" s="17" t="str">
        <f>IFERROR(__xludf.DUMMYFUNCTION("IFERROR(
  TEXTJOIN(CHAR(10),TRUE,FILTER('SUMMARY DATA'!F:F,'SUMMARY DATA'!$A:$A=$A639,'SUMMARY DATA'!$C:$C=$B639,'SUMMARY DATA'!$B:$B=""GRP"")),
  IF(
    OR(
      ISNUMBER(SEARCH(""CDM CASH DEPOSIT"",$C639)),
      ISNUMBER(SEARCH(""CASH DEPOSIT"",$C63"&amp;"9)),
      COUNTIFS('SUMMARY DATA'!$D:$D,$C639,'SUMMARY DATA'!$B:$B,""GRP"")&lt;&gt;1
    ),
    """",
    IFERROR(TEXTJOIN(CHAR(10),TRUE,FILTER('SUMMARY DATA'!F:F,'SUMMARY DATA'!$D:$D=$C639,'SUMMARY DATA'!$B:$B=""GRP"")),"""")
  )
)"),"")</f>
      </c>
    </row>
    <row r="1539" spans="1:6" customHeight="true">
      <c r="A1539" s="2" t="s">
        <v>2174</v>
      </c>
      <c r="B1539" s="15">
        <v>45889</v>
      </c>
      <c r="C1539" s="2" t="s">
        <v>2175</v>
      </c>
      <c r="D1539" s="3">
        <v>90</v>
      </c>
      <c r="E1539" s="16" t="str">
        <f>IFERROR(__xludf.DUMMYFUNCTION("IFERROR(
  TEXTJOIN(CHAR(10),TRUE,FILTER('SUMMARY DATA'!E:E,'SUMMARY DATA'!$A:$A=$A640,'SUMMARY DATA'!$C:$C=$B640,'SUMMARY DATA'!$B:$B=""GRP"")),
  IF(
    OR(
      ISNUMBER(SEARCH(""CDM CASH DEPOSIT"",$C640)),
      ISNUMBER(SEARCH(""CASH DEPOSIT"",$C64"&amp;"0)),
      COUNTIFS('SUMMARY DATA'!$D:$D,$C640,'SUMMARY DATA'!$B:$B,""GRP"")&lt;&gt;1
    ),
    """",
    IFERROR(TEXTJOIN(CHAR(10),TRUE,FILTER('SUMMARY DATA'!E:E,'SUMMARY DATA'!$D:$D=$C640,'SUMMARY DATA'!$B:$B=""GRP"")),"""")
  )
)"),"")</f>
      </c>
      <c r="F1539" s="17" t="str">
        <f>IFERROR(__xludf.DUMMYFUNCTION("IFERROR(
  TEXTJOIN(CHAR(10),TRUE,FILTER('SUMMARY DATA'!F:F,'SUMMARY DATA'!$A:$A=$A640,'SUMMARY DATA'!$C:$C=$B640,'SUMMARY DATA'!$B:$B=""GRP"")),
  IF(
    OR(
      ISNUMBER(SEARCH(""CDM CASH DEPOSIT"",$C640)),
      ISNUMBER(SEARCH(""CASH DEPOSIT"",$C64"&amp;"0)),
      COUNTIFS('SUMMARY DATA'!$D:$D,$C640,'SUMMARY DATA'!$B:$B,""GRP"")&lt;&gt;1
    ),
    """",
    IFERROR(TEXTJOIN(CHAR(10),TRUE,FILTER('SUMMARY DATA'!F:F,'SUMMARY DATA'!$D:$D=$C640,'SUMMARY DATA'!$B:$B=""GRP"")),"""")
  )
)"),"")</f>
      </c>
    </row>
    <row r="1540" spans="1:6" customHeight="true">
      <c r="A1540" s="2" t="s">
        <v>2176</v>
      </c>
      <c r="B1540" s="15">
        <v>45889</v>
      </c>
      <c r="C1540" s="2" t="s">
        <v>2177</v>
      </c>
      <c r="D1540" s="3">
        <v>54</v>
      </c>
      <c r="E1540" s="16" t="str">
        <f>IFERROR(__xludf.DUMMYFUNCTION("IFERROR(
  TEXTJOIN(CHAR(10),TRUE,FILTER('SUMMARY DATA'!E:E,'SUMMARY DATA'!$A:$A=$A641,'SUMMARY DATA'!$C:$C=$B641,'SUMMARY DATA'!$B:$B=""GRP"")),
  IF(
    OR(
      ISNUMBER(SEARCH(""CDM CASH DEPOSIT"",$C641)),
      ISNUMBER(SEARCH(""CASH DEPOSIT"",$C64"&amp;"1)),
      COUNTIFS('SUMMARY DATA'!$D:$D,$C641,'SUMMARY DATA'!$B:$B,""GRP"")&lt;&gt;1
    ),
    """",
    IFERROR(TEXTJOIN(CHAR(10),TRUE,FILTER('SUMMARY DATA'!E:E,'SUMMARY DATA'!$D:$D=$C641,'SUMMARY DATA'!$B:$B=""GRP"")),"""")
  )
)"),"")</f>
      </c>
      <c r="F1540" s="17" t="str">
        <f>IFERROR(__xludf.DUMMYFUNCTION("IFERROR(
  TEXTJOIN(CHAR(10),TRUE,FILTER('SUMMARY DATA'!F:F,'SUMMARY DATA'!$A:$A=$A641,'SUMMARY DATA'!$C:$C=$B641,'SUMMARY DATA'!$B:$B=""GRP"")),
  IF(
    OR(
      ISNUMBER(SEARCH(""CDM CASH DEPOSIT"",$C641)),
      ISNUMBER(SEARCH(""CASH DEPOSIT"",$C64"&amp;"1)),
      COUNTIFS('SUMMARY DATA'!$D:$D,$C641,'SUMMARY DATA'!$B:$B,""GRP"")&lt;&gt;1
    ),
    """",
    IFERROR(TEXTJOIN(CHAR(10),TRUE,FILTER('SUMMARY DATA'!F:F,'SUMMARY DATA'!$D:$D=$C641,'SUMMARY DATA'!$B:$B=""GRP"")),"""")
  )
)"),"")</f>
      </c>
    </row>
    <row r="1541" spans="1:6" customHeight="true">
      <c r="A1541" s="2" t="s">
        <v>2178</v>
      </c>
      <c r="B1541" s="15">
        <v>45889</v>
      </c>
      <c r="C1541" s="2" t="s">
        <v>2179</v>
      </c>
      <c r="D1541" s="3">
        <v>82.02</v>
      </c>
      <c r="E1541" s="16" t="str">
        <f>IFERROR(__xludf.DUMMYFUNCTION("IFERROR(
  TEXTJOIN(CHAR(10),TRUE,FILTER('SUMMARY DATA'!E:E,'SUMMARY DATA'!$A:$A=$A642,'SUMMARY DATA'!$C:$C=$B642,'SUMMARY DATA'!$B:$B=""GRP"")),
  IF(
    OR(
      ISNUMBER(SEARCH(""CDM CASH DEPOSIT"",$C642)),
      ISNUMBER(SEARCH(""CASH DEPOSIT"",$C64"&amp;"2)),
      COUNTIFS('SUMMARY DATA'!$D:$D,$C642,'SUMMARY DATA'!$B:$B,""GRP"")&lt;&gt;1
    ),
    """",
    IFERROR(TEXTJOIN(CHAR(10),TRUE,FILTER('SUMMARY DATA'!E:E,'SUMMARY DATA'!$D:$D=$C642,'SUMMARY DATA'!$B:$B=""GRP"")),"""")
  )
)"),"")</f>
      </c>
      <c r="F1541" s="17" t="str">
        <f>IFERROR(__xludf.DUMMYFUNCTION("IFERROR(
  TEXTJOIN(CHAR(10),TRUE,FILTER('SUMMARY DATA'!F:F,'SUMMARY DATA'!$A:$A=$A642,'SUMMARY DATA'!$C:$C=$B642,'SUMMARY DATA'!$B:$B=""GRP"")),
  IF(
    OR(
      ISNUMBER(SEARCH(""CDM CASH DEPOSIT"",$C642)),
      ISNUMBER(SEARCH(""CASH DEPOSIT"",$C64"&amp;"2)),
      COUNTIFS('SUMMARY DATA'!$D:$D,$C642,'SUMMARY DATA'!$B:$B,""GRP"")&lt;&gt;1
    ),
    """",
    IFERROR(TEXTJOIN(CHAR(10),TRUE,FILTER('SUMMARY DATA'!F:F,'SUMMARY DATA'!$D:$D=$C642,'SUMMARY DATA'!$B:$B=""GRP"")),"""")
  )
)"),"")</f>
      </c>
    </row>
    <row r="1542" spans="1:6" customHeight="true">
      <c r="A1542" s="2"/>
      <c r="B1542" s="15">
        <v>45889</v>
      </c>
      <c r="C1542" s="2" t="s">
        <v>2180</v>
      </c>
      <c r="D1542" s="3">
        <v>110.22</v>
      </c>
      <c r="E1542" s="16" t="str">
        <f>IFERROR(__xludf.DUMMYFUNCTION("IFERROR(
  TEXTJOIN(CHAR(10),TRUE,FILTER('SUMMARY DATA'!E:E,'SUMMARY DATA'!$A:$A=$A643,'SUMMARY DATA'!$C:$C=$B643,'SUMMARY DATA'!$B:$B=""GRP"")),
  IF(
    OR(
      ISNUMBER(SEARCH(""CDM CASH DEPOSIT"",$C643)),
      ISNUMBER(SEARCH(""CASH DEPOSIT"",$C64"&amp;"3)),
      COUNTIFS('SUMMARY DATA'!$D:$D,$C643,'SUMMARY DATA'!$B:$B,""GRP"")&lt;&gt;1
    ),
    """",
    IFERROR(TEXTJOIN(CHAR(10),TRUE,FILTER('SUMMARY DATA'!E:E,'SUMMARY DATA'!$D:$D=$C643,'SUMMARY DATA'!$B:$B=""GRP"")),"""")
  )
)"),"")</f>
      </c>
      <c r="F1542" s="17" t="str">
        <f>IFERROR(__xludf.DUMMYFUNCTION("IFERROR(
  TEXTJOIN(CHAR(10),TRUE,FILTER('SUMMARY DATA'!F:F,'SUMMARY DATA'!$A:$A=$A643,'SUMMARY DATA'!$C:$C=$B643,'SUMMARY DATA'!$B:$B=""GRP"")),
  IF(
    OR(
      ISNUMBER(SEARCH(""CDM CASH DEPOSIT"",$C643)),
      ISNUMBER(SEARCH(""CASH DEPOSIT"",$C64"&amp;"3)),
      COUNTIFS('SUMMARY DATA'!$D:$D,$C643,'SUMMARY DATA'!$B:$B,""GRP"")&lt;&gt;1
    ),
    """",
    IFERROR(TEXTJOIN(CHAR(10),TRUE,FILTER('SUMMARY DATA'!F:F,'SUMMARY DATA'!$D:$D=$C643,'SUMMARY DATA'!$B:$B=""GRP"")),"""")
  )
)"),"")</f>
      </c>
    </row>
    <row r="1543" spans="1:6" customHeight="true">
      <c r="A1543" s="2" t="s">
        <v>2181</v>
      </c>
      <c r="B1543" s="31">
        <v>45889</v>
      </c>
      <c r="C1543" s="2" t="s">
        <v>2182</v>
      </c>
      <c r="D1543" s="3">
        <v>388.9</v>
      </c>
      <c r="E1543" s="16" t="str">
        <f>IFERROR(__xludf.DUMMYFUNCTION("IFERROR(
  TEXTJOIN(CHAR(10),TRUE,FILTER('SUMMARY DATA'!E:E,'SUMMARY DATA'!$A:$A=$A644,'SUMMARY DATA'!$C:$C=$B644,'SUMMARY DATA'!$B:$B=""GRP"")),
  IF(
    OR(
      ISNUMBER(SEARCH(""CDM CASH DEPOSIT"",$C644)),
      ISNUMBER(SEARCH(""CASH DEPOSIT"",$C64"&amp;"4)),
      COUNTIFS('SUMMARY DATA'!$D:$D,$C644,'SUMMARY DATA'!$B:$B,""GRP"")&lt;&gt;1
    ),
    """",
    IFERROR(TEXTJOIN(CHAR(10),TRUE,FILTER('SUMMARY DATA'!E:E,'SUMMARY DATA'!$D:$D=$C644,'SUMMARY DATA'!$B:$B=""GRP"")),"""")
  )
)"),"")</f>
      </c>
      <c r="F1543" s="17" t="str">
        <f>IFERROR(__xludf.DUMMYFUNCTION("IFERROR(
  TEXTJOIN(CHAR(10),TRUE,FILTER('SUMMARY DATA'!F:F,'SUMMARY DATA'!$A:$A=$A644,'SUMMARY DATA'!$C:$C=$B644,'SUMMARY DATA'!$B:$B=""GRP"")),
  IF(
    OR(
      ISNUMBER(SEARCH(""CDM CASH DEPOSIT"",$C644)),
      ISNUMBER(SEARCH(""CASH DEPOSIT"",$C64"&amp;"4)),
      COUNTIFS('SUMMARY DATA'!$D:$D,$C644,'SUMMARY DATA'!$B:$B,""GRP"")&lt;&gt;1
    ),
    """",
    IFERROR(TEXTJOIN(CHAR(10),TRUE,FILTER('SUMMARY DATA'!F:F,'SUMMARY DATA'!$D:$D=$C644,'SUMMARY DATA'!$B:$B=""GRP"")),"""")
  )
)"),"")</f>
      </c>
    </row>
    <row r="1544" spans="1:6" customHeight="true">
      <c r="A1544" s="2"/>
      <c r="B1544" s="31">
        <v>45888</v>
      </c>
      <c r="C1544" s="2" t="s">
        <v>2183</v>
      </c>
      <c r="D1544" s="3">
        <v>91.47</v>
      </c>
      <c r="E1544" s="16" t="str">
        <f>IFERROR(__xludf.DUMMYFUNCTION("IFERROR(
  TEXTJOIN(CHAR(10),TRUE,FILTER('SUMMARY DATA'!E:E,'SUMMARY DATA'!$A:$A=$A645,'SUMMARY DATA'!$C:$C=$B645,'SUMMARY DATA'!$B:$B=""GRP"")),
  IF(
    OR(
      ISNUMBER(SEARCH(""CDM CASH DEPOSIT"",$C645)),
      ISNUMBER(SEARCH(""CASH DEPOSIT"",$C64"&amp;"5)),
      COUNTIFS('SUMMARY DATA'!$D:$D,$C645,'SUMMARY DATA'!$B:$B,""GRP"")&lt;&gt;1
    ),
    """",
    IFERROR(TEXTJOIN(CHAR(10),TRUE,FILTER('SUMMARY DATA'!E:E,'SUMMARY DATA'!$D:$D=$C645,'SUMMARY DATA'!$B:$B=""GRP"")),"""")
  )
)"),"")</f>
      </c>
      <c r="F1544" s="17" t="str">
        <f>IFERROR(__xludf.DUMMYFUNCTION("IFERROR(
  TEXTJOIN(CHAR(10),TRUE,FILTER('SUMMARY DATA'!F:F,'SUMMARY DATA'!$A:$A=$A645,'SUMMARY DATA'!$C:$C=$B645,'SUMMARY DATA'!$B:$B=""GRP"")),
  IF(
    OR(
      ISNUMBER(SEARCH(""CDM CASH DEPOSIT"",$C645)),
      ISNUMBER(SEARCH(""CASH DEPOSIT"",$C64"&amp;"5)),
      COUNTIFS('SUMMARY DATA'!$D:$D,$C645,'SUMMARY DATA'!$B:$B,""GRP"")&lt;&gt;1
    ),
    """",
    IFERROR(TEXTJOIN(CHAR(10),TRUE,FILTER('SUMMARY DATA'!F:F,'SUMMARY DATA'!$D:$D=$C645,'SUMMARY DATA'!$B:$B=""GRP"")),"""")
  )
)"),"")</f>
      </c>
    </row>
    <row r="1545" spans="1:6" customHeight="true">
      <c r="A1545" s="2" t="s">
        <v>27</v>
      </c>
      <c r="B1545" s="31">
        <v>45887</v>
      </c>
      <c r="C1545" s="2" t="s">
        <v>2184</v>
      </c>
      <c r="D1545" s="3">
        <v>6</v>
      </c>
      <c r="E1545" s="16" t="str">
        <f>IFERROR(__xludf.DUMMYFUNCTION("IFERROR(
  TEXTJOIN(CHAR(10),TRUE,FILTER('SUMMARY DATA'!E:E,'SUMMARY DATA'!$A:$A=$A646,'SUMMARY DATA'!$C:$C=$B646,'SUMMARY DATA'!$B:$B=""GRP"")),
  IF(
    OR(
      ISNUMBER(SEARCH(""CDM CASH DEPOSIT"",$C646)),
      ISNUMBER(SEARCH(""CASH DEPOSIT"",$C64"&amp;"6)),
      COUNTIFS('SUMMARY DATA'!$D:$D,$C646,'SUMMARY DATA'!$B:$B,""GRP"")&lt;&gt;1
    ),
    """",
    IFERROR(TEXTJOIN(CHAR(10),TRUE,FILTER('SUMMARY DATA'!E:E,'SUMMARY DATA'!$D:$D=$C646,'SUMMARY DATA'!$B:$B=""GRP"")),"""")
  )
)"),"")</f>
      </c>
      <c r="F1545" s="17" t="str">
        <f>IFERROR(__xludf.DUMMYFUNCTION("IFERROR(
  TEXTJOIN(CHAR(10),TRUE,FILTER('SUMMARY DATA'!F:F,'SUMMARY DATA'!$A:$A=$A646,'SUMMARY DATA'!$C:$C=$B646,'SUMMARY DATA'!$B:$B=""GRP"")),
  IF(
    OR(
      ISNUMBER(SEARCH(""CDM CASH DEPOSIT"",$C646)),
      ISNUMBER(SEARCH(""CASH DEPOSIT"",$C64"&amp;"6)),
      COUNTIFS('SUMMARY DATA'!$D:$D,$C646,'SUMMARY DATA'!$B:$B,""GRP"")&lt;&gt;1
    ),
    """",
    IFERROR(TEXTJOIN(CHAR(10),TRUE,FILTER('SUMMARY DATA'!F:F,'SUMMARY DATA'!$D:$D=$C646,'SUMMARY DATA'!$B:$B=""GRP"")),"""")
  )
)"),"")</f>
      </c>
    </row>
    <row r="1546" spans="1:6" customHeight="true">
      <c r="A1546" s="2"/>
      <c r="B1546" s="31">
        <v>45887</v>
      </c>
      <c r="C1546" s="2" t="s">
        <v>2185</v>
      </c>
      <c r="D1546" s="3">
        <v>29.9</v>
      </c>
      <c r="E1546" s="16" t="str">
        <f>IFERROR(__xludf.DUMMYFUNCTION("IFERROR(
  TEXTJOIN(CHAR(10),TRUE,FILTER('SUMMARY DATA'!E:E,'SUMMARY DATA'!$A:$A=$A647,'SUMMARY DATA'!$C:$C=$B647,'SUMMARY DATA'!$B:$B=""GRP"")),
  IF(
    OR(
      ISNUMBER(SEARCH(""CDM CASH DEPOSIT"",$C647)),
      ISNUMBER(SEARCH(""CASH DEPOSIT"",$C64"&amp;"7)),
      COUNTIFS('SUMMARY DATA'!$D:$D,$C647,'SUMMARY DATA'!$B:$B,""GRP"")&lt;&gt;1
    ),
    """",
    IFERROR(TEXTJOIN(CHAR(10),TRUE,FILTER('SUMMARY DATA'!E:E,'SUMMARY DATA'!$D:$D=$C647,'SUMMARY DATA'!$B:$B=""GRP"")),"""")
  )
)"),"")</f>
      </c>
      <c r="F1546" s="17" t="str">
        <f>IFERROR(__xludf.DUMMYFUNCTION("IFERROR(
  TEXTJOIN(CHAR(10),TRUE,FILTER('SUMMARY DATA'!F:F,'SUMMARY DATA'!$A:$A=$A647,'SUMMARY DATA'!$C:$C=$B647,'SUMMARY DATA'!$B:$B=""GRP"")),
  IF(
    OR(
      ISNUMBER(SEARCH(""CDM CASH DEPOSIT"",$C647)),
      ISNUMBER(SEARCH(""CASH DEPOSIT"",$C64"&amp;"7)),
      COUNTIFS('SUMMARY DATA'!$D:$D,$C647,'SUMMARY DATA'!$B:$B,""GRP"")&lt;&gt;1
    ),
    """",
    IFERROR(TEXTJOIN(CHAR(10),TRUE,FILTER('SUMMARY DATA'!F:F,'SUMMARY DATA'!$D:$D=$C647,'SUMMARY DATA'!$B:$B=""GRP"")),"""")
  )
)"),"")</f>
      </c>
    </row>
    <row r="1547" spans="1:6" customHeight="true">
      <c r="A1547" s="2" t="s">
        <v>2186</v>
      </c>
      <c r="B1547" s="31">
        <v>45887</v>
      </c>
      <c r="C1547" s="2" t="s">
        <v>2187</v>
      </c>
      <c r="D1547" s="3">
        <v>1140.22</v>
      </c>
      <c r="E1547" s="16" t="str">
        <f>IFERROR(__xludf.DUMMYFUNCTION("IFERROR(
  TEXTJOIN(CHAR(10),TRUE,FILTER('SUMMARY DATA'!E:E,'SUMMARY DATA'!$A:$A=$A648,'SUMMARY DATA'!$C:$C=$B648,'SUMMARY DATA'!$B:$B=""GRP"")),
  IF(
    OR(
      ISNUMBER(SEARCH(""CDM CASH DEPOSIT"",$C648)),
      ISNUMBER(SEARCH(""CASH DEPOSIT"",$C64"&amp;"8)),
      COUNTIFS('SUMMARY DATA'!$D:$D,$C648,'SUMMARY DATA'!$B:$B,""GRP"")&lt;&gt;1
    ),
    """",
    IFERROR(TEXTJOIN(CHAR(10),TRUE,FILTER('SUMMARY DATA'!E:E,'SUMMARY DATA'!$D:$D=$C648,'SUMMARY DATA'!$B:$B=""GRP"")),"""")
  )
)"),"")</f>
      </c>
      <c r="F1547" s="17" t="str">
        <f>IFERROR(__xludf.DUMMYFUNCTION("IFERROR(
  TEXTJOIN(CHAR(10),TRUE,FILTER('SUMMARY DATA'!F:F,'SUMMARY DATA'!$A:$A=$A648,'SUMMARY DATA'!$C:$C=$B648,'SUMMARY DATA'!$B:$B=""GRP"")),
  IF(
    OR(
      ISNUMBER(SEARCH(""CDM CASH DEPOSIT"",$C648)),
      ISNUMBER(SEARCH(""CASH DEPOSIT"",$C64"&amp;"8)),
      COUNTIFS('SUMMARY DATA'!$D:$D,$C648,'SUMMARY DATA'!$B:$B,""GRP"")&lt;&gt;1
    ),
    """",
    IFERROR(TEXTJOIN(CHAR(10),TRUE,FILTER('SUMMARY DATA'!F:F,'SUMMARY DATA'!$D:$D=$C648,'SUMMARY DATA'!$B:$B=""GRP"")),"""")
  )
)"),"")</f>
      </c>
    </row>
    <row r="1548" spans="1:6" customHeight="true">
      <c r="A1548" s="2"/>
      <c r="B1548" s="31">
        <v>45887</v>
      </c>
      <c r="C1548" s="2" t="s">
        <v>2188</v>
      </c>
      <c r="D1548" s="3">
        <v>47.92</v>
      </c>
      <c r="E1548" s="16" t="str">
        <f>IFERROR(__xludf.DUMMYFUNCTION("IFERROR(
  TEXTJOIN(CHAR(10),TRUE,FILTER('SUMMARY DATA'!E:E,'SUMMARY DATA'!$A:$A=$A649,'SUMMARY DATA'!$C:$C=$B649,'SUMMARY DATA'!$B:$B=""GRP"")),
  IF(
    OR(
      ISNUMBER(SEARCH(""CDM CASH DEPOSIT"",$C649)),
      ISNUMBER(SEARCH(""CASH DEPOSIT"",$C64"&amp;"9)),
      COUNTIFS('SUMMARY DATA'!$D:$D,$C649,'SUMMARY DATA'!$B:$B,""GRP"")&lt;&gt;1
    ),
    """",
    IFERROR(TEXTJOIN(CHAR(10),TRUE,FILTER('SUMMARY DATA'!E:E,'SUMMARY DATA'!$D:$D=$C649,'SUMMARY DATA'!$B:$B=""GRP"")),"""")
  )
)"),"")</f>
      </c>
      <c r="F1548" s="17" t="str">
        <f>IFERROR(__xludf.DUMMYFUNCTION("IFERROR(
  TEXTJOIN(CHAR(10),TRUE,FILTER('SUMMARY DATA'!F:F,'SUMMARY DATA'!$A:$A=$A649,'SUMMARY DATA'!$C:$C=$B649,'SUMMARY DATA'!$B:$B=""GRP"")),
  IF(
    OR(
      ISNUMBER(SEARCH(""CDM CASH DEPOSIT"",$C649)),
      ISNUMBER(SEARCH(""CASH DEPOSIT"",$C64"&amp;"9)),
      COUNTIFS('SUMMARY DATA'!$D:$D,$C649,'SUMMARY DATA'!$B:$B,""GRP"")&lt;&gt;1
    ),
    """",
    IFERROR(TEXTJOIN(CHAR(10),TRUE,FILTER('SUMMARY DATA'!F:F,'SUMMARY DATA'!$D:$D=$C649,'SUMMARY DATA'!$B:$B=""GRP"")),"""")
  )
)"),"")</f>
      </c>
    </row>
    <row r="1549" spans="1:6" customHeight="true">
      <c r="A1549" s="2" t="s">
        <v>2189</v>
      </c>
      <c r="B1549" s="31">
        <v>45887</v>
      </c>
      <c r="C1549" s="2" t="s">
        <v>2190</v>
      </c>
      <c r="D1549" s="3">
        <v>255.27</v>
      </c>
      <c r="E1549" s="16" t="str">
        <f>IFERROR(__xludf.DUMMYFUNCTION("IFERROR(
  TEXTJOIN(CHAR(10),TRUE,FILTER('SUMMARY DATA'!E:E,'SUMMARY DATA'!$A:$A=$A650,'SUMMARY DATA'!$C:$C=$B650,'SUMMARY DATA'!$B:$B=""GRP"")),
  IF(
    OR(
      ISNUMBER(SEARCH(""CDM CASH DEPOSIT"",$C650)),
      ISNUMBER(SEARCH(""CASH DEPOSIT"",$C65"&amp;"0)),
      COUNTIFS('SUMMARY DATA'!$D:$D,$C650,'SUMMARY DATA'!$B:$B,""GRP"")&lt;&gt;1
    ),
    """",
    IFERROR(TEXTJOIN(CHAR(10),TRUE,FILTER('SUMMARY DATA'!E:E,'SUMMARY DATA'!$D:$D=$C650,'SUMMARY DATA'!$B:$B=""GRP"")),"""")
  )
)"),"")</f>
      </c>
      <c r="F1549" s="17" t="str">
        <f>IFERROR(__xludf.DUMMYFUNCTION("IFERROR(
  TEXTJOIN(CHAR(10),TRUE,FILTER('SUMMARY DATA'!F:F,'SUMMARY DATA'!$A:$A=$A650,'SUMMARY DATA'!$C:$C=$B650,'SUMMARY DATA'!$B:$B=""GRP"")),
  IF(
    OR(
      ISNUMBER(SEARCH(""CDM CASH DEPOSIT"",$C650)),
      ISNUMBER(SEARCH(""CASH DEPOSIT"",$C65"&amp;"0)),
      COUNTIFS('SUMMARY DATA'!$D:$D,$C650,'SUMMARY DATA'!$B:$B,""GRP"")&lt;&gt;1
    ),
    """",
    IFERROR(TEXTJOIN(CHAR(10),TRUE,FILTER('SUMMARY DATA'!F:F,'SUMMARY DATA'!$D:$D=$C650,'SUMMARY DATA'!$B:$B=""GRP"")),"""")
  )
)"),"")</f>
      </c>
    </row>
    <row r="1550" spans="1:6" customHeight="true">
      <c r="A1550" s="2" t="s">
        <v>2191</v>
      </c>
      <c r="B1550" s="31">
        <v>45886</v>
      </c>
      <c r="C1550" s="2" t="s">
        <v>2192</v>
      </c>
      <c r="D1550" s="3">
        <v>25.8</v>
      </c>
      <c r="E1550" s="16" t="str">
        <f>IFERROR(__xludf.DUMMYFUNCTION("IFERROR(
  TEXTJOIN(CHAR(10),TRUE,FILTER('SUMMARY DATA'!E:E,'SUMMARY DATA'!$A:$A=$A651,'SUMMARY DATA'!$C:$C=$B651,'SUMMARY DATA'!$B:$B=""GRP"")),
  IF(
    OR(
      ISNUMBER(SEARCH(""CDM CASH DEPOSIT"",$C651)),
      ISNUMBER(SEARCH(""CASH DEPOSIT"",$C65"&amp;"1)),
      COUNTIFS('SUMMARY DATA'!$D:$D,$C651,'SUMMARY DATA'!$B:$B,""GRP"")&lt;&gt;1
    ),
    """",
    IFERROR(TEXTJOIN(CHAR(10),TRUE,FILTER('SUMMARY DATA'!E:E,'SUMMARY DATA'!$D:$D=$C651,'SUMMARY DATA'!$B:$B=""GRP"")),"""")
  )
)"),"")</f>
      </c>
      <c r="F1550" s="17" t="str">
        <f>IFERROR(__xludf.DUMMYFUNCTION("IFERROR(
  TEXTJOIN(CHAR(10),TRUE,FILTER('SUMMARY DATA'!F:F,'SUMMARY DATA'!$A:$A=$A651,'SUMMARY DATA'!$C:$C=$B651,'SUMMARY DATA'!$B:$B=""GRP"")),
  IF(
    OR(
      ISNUMBER(SEARCH(""CDM CASH DEPOSIT"",$C651)),
      ISNUMBER(SEARCH(""CASH DEPOSIT"",$C65"&amp;"1)),
      COUNTIFS('SUMMARY DATA'!$D:$D,$C651,'SUMMARY DATA'!$B:$B,""GRP"")&lt;&gt;1
    ),
    """",
    IFERROR(TEXTJOIN(CHAR(10),TRUE,FILTER('SUMMARY DATA'!F:F,'SUMMARY DATA'!$D:$D=$C651,'SUMMARY DATA'!$B:$B=""GRP"")),"""")
  )
)"),"")</f>
      </c>
    </row>
    <row r="1551" spans="1:6" customHeight="true">
      <c r="A1551" s="2"/>
      <c r="B1551" s="31">
        <v>45886</v>
      </c>
      <c r="C1551" s="2" t="s">
        <v>2193</v>
      </c>
      <c r="D1551" s="3">
        <v>216</v>
      </c>
      <c r="E1551" s="16" t="str">
        <f>IFERROR(__xludf.DUMMYFUNCTION("IFERROR(
  TEXTJOIN(CHAR(10),TRUE,FILTER('SUMMARY DATA'!E:E,'SUMMARY DATA'!$A:$A=$A652,'SUMMARY DATA'!$C:$C=$B652,'SUMMARY DATA'!$B:$B=""GRP"")),
  IF(
    OR(
      ISNUMBER(SEARCH(""CDM CASH DEPOSIT"",$C652)),
      ISNUMBER(SEARCH(""CASH DEPOSIT"",$C65"&amp;"2)),
      COUNTIFS('SUMMARY DATA'!$D:$D,$C652,'SUMMARY DATA'!$B:$B,""GRP"")&lt;&gt;1
    ),
    """",
    IFERROR(TEXTJOIN(CHAR(10),TRUE,FILTER('SUMMARY DATA'!E:E,'SUMMARY DATA'!$D:$D=$C652,'SUMMARY DATA'!$B:$B=""GRP"")),"""")
  )
)"),"")</f>
      </c>
      <c r="F1551" s="17" t="str">
        <f>IFERROR(__xludf.DUMMYFUNCTION("IFERROR(
  TEXTJOIN(CHAR(10),TRUE,FILTER('SUMMARY DATA'!F:F,'SUMMARY DATA'!$A:$A=$A652,'SUMMARY DATA'!$C:$C=$B652,'SUMMARY DATA'!$B:$B=""GRP"")),
  IF(
    OR(
      ISNUMBER(SEARCH(""CDM CASH DEPOSIT"",$C652)),
      ISNUMBER(SEARCH(""CASH DEPOSIT"",$C65"&amp;"2)),
      COUNTIFS('SUMMARY DATA'!$D:$D,$C652,'SUMMARY DATA'!$B:$B,""GRP"")&lt;&gt;1
    ),
    """",
    IFERROR(TEXTJOIN(CHAR(10),TRUE,FILTER('SUMMARY DATA'!F:F,'SUMMARY DATA'!$D:$D=$C652,'SUMMARY DATA'!$B:$B=""GRP"")),"""")
  )
)"),"")</f>
      </c>
    </row>
    <row r="1552" spans="1:6" customHeight="true">
      <c r="A1552" s="2" t="s">
        <v>2194</v>
      </c>
      <c r="B1552" s="31">
        <v>45886</v>
      </c>
      <c r="C1552" s="2" t="s">
        <v>48</v>
      </c>
      <c r="D1552" s="3">
        <v>520</v>
      </c>
      <c r="E1552" s="16" t="str">
        <f>IFERROR(__xludf.DUMMYFUNCTION("IFERROR(
  TEXTJOIN(CHAR(10),TRUE,FILTER('SUMMARY DATA'!E:E,'SUMMARY DATA'!$A:$A=$A653,'SUMMARY DATA'!$C:$C=$B653,'SUMMARY DATA'!$B:$B=""GRP"")),
  IF(
    OR(
      ISNUMBER(SEARCH(""CDM CASH DEPOSIT"",$C653)),
      ISNUMBER(SEARCH(""CASH DEPOSIT"",$C65"&amp;"3)),
      COUNTIFS('SUMMARY DATA'!$D:$D,$C653,'SUMMARY DATA'!$B:$B,""GRP"")&lt;&gt;1
    ),
    """",
    IFERROR(TEXTJOIN(CHAR(10),TRUE,FILTER('SUMMARY DATA'!E:E,'SUMMARY DATA'!$D:$D=$C653,'SUMMARY DATA'!$B:$B=""GRP"")),"""")
  )
)"),"")</f>
      </c>
      <c r="F1552" s="17" t="str">
        <f>IFERROR(__xludf.DUMMYFUNCTION("IFERROR(
  TEXTJOIN(CHAR(10),TRUE,FILTER('SUMMARY DATA'!F:F,'SUMMARY DATA'!$A:$A=$A653,'SUMMARY DATA'!$C:$C=$B653,'SUMMARY DATA'!$B:$B=""GRP"")),
  IF(
    OR(
      ISNUMBER(SEARCH(""CDM CASH DEPOSIT"",$C653)),
      ISNUMBER(SEARCH(""CASH DEPOSIT"",$C65"&amp;"3)),
      COUNTIFS('SUMMARY DATA'!$D:$D,$C653,'SUMMARY DATA'!$B:$B,""GRP"")&lt;&gt;1
    ),
    """",
    IFERROR(TEXTJOIN(CHAR(10),TRUE,FILTER('SUMMARY DATA'!F:F,'SUMMARY DATA'!$D:$D=$C653,'SUMMARY DATA'!$B:$B=""GRP"")),"""")
  )
)"),"")</f>
      </c>
    </row>
    <row r="1553" spans="1:6" customHeight="true">
      <c r="A1553" s="2"/>
      <c r="B1553" s="31">
        <v>45886</v>
      </c>
      <c r="C1553" s="2" t="s">
        <v>2195</v>
      </c>
      <c r="D1553" s="3">
        <v>17.96</v>
      </c>
      <c r="E1553" s="16" t="str">
        <f>IFERROR(__xludf.DUMMYFUNCTION("IFERROR(
  TEXTJOIN(CHAR(10),TRUE,FILTER('SUMMARY DATA'!E:E,'SUMMARY DATA'!$A:$A=$A654,'SUMMARY DATA'!$C:$C=$B654,'SUMMARY DATA'!$B:$B=""GRP"")),
  IF(
    OR(
      ISNUMBER(SEARCH(""CDM CASH DEPOSIT"",$C654)),
      ISNUMBER(SEARCH(""CASH DEPOSIT"",$C65"&amp;"4)),
      COUNTIFS('SUMMARY DATA'!$D:$D,$C654,'SUMMARY DATA'!$B:$B,""GRP"")&lt;&gt;1
    ),
    """",
    IFERROR(TEXTJOIN(CHAR(10),TRUE,FILTER('SUMMARY DATA'!E:E,'SUMMARY DATA'!$D:$D=$C654,'SUMMARY DATA'!$B:$B=""GRP"")),"""")
  )
)"),"")</f>
      </c>
      <c r="F1553" s="17" t="str">
        <f>IFERROR(__xludf.DUMMYFUNCTION("IFERROR(
  TEXTJOIN(CHAR(10),TRUE,FILTER('SUMMARY DATA'!F:F,'SUMMARY DATA'!$A:$A=$A654,'SUMMARY DATA'!$C:$C=$B654,'SUMMARY DATA'!$B:$B=""GRP"")),
  IF(
    OR(
      ISNUMBER(SEARCH(""CDM CASH DEPOSIT"",$C654)),
      ISNUMBER(SEARCH(""CASH DEPOSIT"",$C65"&amp;"4)),
      COUNTIFS('SUMMARY DATA'!$D:$D,$C654,'SUMMARY DATA'!$B:$B,""GRP"")&lt;&gt;1
    ),
    """",
    IFERROR(TEXTJOIN(CHAR(10),TRUE,FILTER('SUMMARY DATA'!F:F,'SUMMARY DATA'!$D:$D=$C654,'SUMMARY DATA'!$B:$B=""GRP"")),"""")
  )
)"),"")</f>
      </c>
    </row>
    <row r="1554" spans="1:6" customHeight="true">
      <c r="A1554" s="2" t="s">
        <v>2196</v>
      </c>
      <c r="B1554" s="31">
        <v>45886</v>
      </c>
      <c r="C1554" s="2" t="s">
        <v>898</v>
      </c>
      <c r="D1554" s="3">
        <v>57.27</v>
      </c>
      <c r="E1554" s="16" t="str">
        <f>IFERROR(__xludf.DUMMYFUNCTION("IFERROR(
  TEXTJOIN(CHAR(10),TRUE,FILTER('SUMMARY DATA'!E:E,'SUMMARY DATA'!$A:$A=$A655,'SUMMARY DATA'!$C:$C=$B655,'SUMMARY DATA'!$B:$B=""GRP"")),
  IF(
    OR(
      ISNUMBER(SEARCH(""CDM CASH DEPOSIT"",$C655)),
      ISNUMBER(SEARCH(""CASH DEPOSIT"",$C65"&amp;"5)),
      COUNTIFS('SUMMARY DATA'!$D:$D,$C655,'SUMMARY DATA'!$B:$B,""GRP"")&lt;&gt;1
    ),
    """",
    IFERROR(TEXTJOIN(CHAR(10),TRUE,FILTER('SUMMARY DATA'!E:E,'SUMMARY DATA'!$D:$D=$C655,'SUMMARY DATA'!$B:$B=""GRP"")),"""")
  )
)"),"")</f>
      </c>
      <c r="F1554" s="17" t="str">
        <f>IFERROR(__xludf.DUMMYFUNCTION("IFERROR(
  TEXTJOIN(CHAR(10),TRUE,FILTER('SUMMARY DATA'!F:F,'SUMMARY DATA'!$A:$A=$A655,'SUMMARY DATA'!$C:$C=$B655,'SUMMARY DATA'!$B:$B=""GRP"")),
  IF(
    OR(
      ISNUMBER(SEARCH(""CDM CASH DEPOSIT"",$C655)),
      ISNUMBER(SEARCH(""CASH DEPOSIT"",$C65"&amp;"5)),
      COUNTIFS('SUMMARY DATA'!$D:$D,$C655,'SUMMARY DATA'!$B:$B,""GRP"")&lt;&gt;1
    ),
    """",
    IFERROR(TEXTJOIN(CHAR(10),TRUE,FILTER('SUMMARY DATA'!F:F,'SUMMARY DATA'!$D:$D=$C655,'SUMMARY DATA'!$B:$B=""GRP"")),"""")
  )
)"),"")</f>
      </c>
    </row>
    <row r="1555" spans="1:6" customHeight="true">
      <c r="A1555" s="2"/>
      <c r="B1555" s="31">
        <v>45886</v>
      </c>
      <c r="C1555" s="2" t="s">
        <v>2197</v>
      </c>
      <c r="D1555" s="3">
        <v>161.4</v>
      </c>
      <c r="E1555" s="16" t="str">
        <f>IFERROR(__xludf.DUMMYFUNCTION("IFERROR(
  TEXTJOIN(CHAR(10),TRUE,FILTER('SUMMARY DATA'!E:E,'SUMMARY DATA'!$A:$A=$A656,'SUMMARY DATA'!$C:$C=$B656,'SUMMARY DATA'!$B:$B=""GRP"")),
  IF(
    OR(
      ISNUMBER(SEARCH(""CDM CASH DEPOSIT"",$C656)),
      ISNUMBER(SEARCH(""CASH DEPOSIT"",$C65"&amp;"6)),
      COUNTIFS('SUMMARY DATA'!$D:$D,$C656,'SUMMARY DATA'!$B:$B,""GRP"")&lt;&gt;1
    ),
    """",
    IFERROR(TEXTJOIN(CHAR(10),TRUE,FILTER('SUMMARY DATA'!E:E,'SUMMARY DATA'!$D:$D=$C656,'SUMMARY DATA'!$B:$B=""GRP"")),"""")
  )
)"),"")</f>
      </c>
      <c r="F1555" s="17" t="str">
        <f>IFERROR(__xludf.DUMMYFUNCTION("IFERROR(
  TEXTJOIN(CHAR(10),TRUE,FILTER('SUMMARY DATA'!F:F,'SUMMARY DATA'!$A:$A=$A656,'SUMMARY DATA'!$C:$C=$B656,'SUMMARY DATA'!$B:$B=""GRP"")),
  IF(
    OR(
      ISNUMBER(SEARCH(""CDM CASH DEPOSIT"",$C656)),
      ISNUMBER(SEARCH(""CASH DEPOSIT"",$C65"&amp;"6)),
      COUNTIFS('SUMMARY DATA'!$D:$D,$C656,'SUMMARY DATA'!$B:$B,""GRP"")&lt;&gt;1
    ),
    """",
    IFERROR(TEXTJOIN(CHAR(10),TRUE,FILTER('SUMMARY DATA'!F:F,'SUMMARY DATA'!$D:$D=$C656,'SUMMARY DATA'!$B:$B=""GRP"")),"""")
  )
)"),"")</f>
      </c>
    </row>
    <row r="1556" spans="1:6" customHeight="true">
      <c r="A1556" s="2" t="s">
        <v>2198</v>
      </c>
      <c r="B1556" s="31">
        <v>45886</v>
      </c>
      <c r="C1556" s="2" t="s">
        <v>2199</v>
      </c>
      <c r="D1556" s="3">
        <v>10</v>
      </c>
      <c r="E1556" s="16" t="str">
        <f>IFERROR(__xludf.DUMMYFUNCTION("IFERROR(
  TEXTJOIN(CHAR(10),TRUE,FILTER('SUMMARY DATA'!E:E,'SUMMARY DATA'!$A:$A=$A657,'SUMMARY DATA'!$C:$C=$B657,'SUMMARY DATA'!$B:$B=""GRP"")),
  IF(
    OR(
      ISNUMBER(SEARCH(""CDM CASH DEPOSIT"",$C657)),
      ISNUMBER(SEARCH(""CASH DEPOSIT"",$C65"&amp;"7)),
      COUNTIFS('SUMMARY DATA'!$D:$D,$C657,'SUMMARY DATA'!$B:$B,""GRP"")&lt;&gt;1
    ),
    """",
    IFERROR(TEXTJOIN(CHAR(10),TRUE,FILTER('SUMMARY DATA'!E:E,'SUMMARY DATA'!$D:$D=$C657,'SUMMARY DATA'!$B:$B=""GRP"")),"""")
  )
)"),"")</f>
      </c>
      <c r="F1556" s="17" t="str">
        <f>IFERROR(__xludf.DUMMYFUNCTION("IFERROR(
  TEXTJOIN(CHAR(10),TRUE,FILTER('SUMMARY DATA'!F:F,'SUMMARY DATA'!$A:$A=$A657,'SUMMARY DATA'!$C:$C=$B657,'SUMMARY DATA'!$B:$B=""GRP"")),
  IF(
    OR(
      ISNUMBER(SEARCH(""CDM CASH DEPOSIT"",$C657)),
      ISNUMBER(SEARCH(""CASH DEPOSIT"",$C65"&amp;"7)),
      COUNTIFS('SUMMARY DATA'!$D:$D,$C657,'SUMMARY DATA'!$B:$B,""GRP"")&lt;&gt;1
    ),
    """",
    IFERROR(TEXTJOIN(CHAR(10),TRUE,FILTER('SUMMARY DATA'!F:F,'SUMMARY DATA'!$D:$D=$C657,'SUMMARY DATA'!$B:$B=""GRP"")),"""")
  )
)"),"")</f>
      </c>
    </row>
    <row r="1557" spans="1:6" customHeight="true">
      <c r="A1557" s="2" t="s">
        <v>2200</v>
      </c>
      <c r="B1557" s="31">
        <v>45886</v>
      </c>
      <c r="C1557" s="2" t="s">
        <v>2201</v>
      </c>
      <c r="D1557" s="3">
        <v>320.86</v>
      </c>
      <c r="E1557" s="16" t="str">
        <f>IFERROR(__xludf.DUMMYFUNCTION("IFERROR(
  TEXTJOIN(CHAR(10),TRUE,FILTER('SUMMARY DATA'!E:E,'SUMMARY DATA'!$A:$A=$A658,'SUMMARY DATA'!$C:$C=$B658,'SUMMARY DATA'!$B:$B=""GRP"")),
  IF(
    OR(
      ISNUMBER(SEARCH(""CDM CASH DEPOSIT"",$C658)),
      ISNUMBER(SEARCH(""CASH DEPOSIT"",$C65"&amp;"8)),
      COUNTIFS('SUMMARY DATA'!$D:$D,$C658,'SUMMARY DATA'!$B:$B,""GRP"")&lt;&gt;1
    ),
    """",
    IFERROR(TEXTJOIN(CHAR(10),TRUE,FILTER('SUMMARY DATA'!E:E,'SUMMARY DATA'!$D:$D=$C658,'SUMMARY DATA'!$B:$B=""GRP"")),"""")
  )
)"),"")</f>
      </c>
      <c r="F1557" s="17" t="str">
        <f>IFERROR(__xludf.DUMMYFUNCTION("IFERROR(
  TEXTJOIN(CHAR(10),TRUE,FILTER('SUMMARY DATA'!F:F,'SUMMARY DATA'!$A:$A=$A658,'SUMMARY DATA'!$C:$C=$B658,'SUMMARY DATA'!$B:$B=""GRP"")),
  IF(
    OR(
      ISNUMBER(SEARCH(""CDM CASH DEPOSIT"",$C658)),
      ISNUMBER(SEARCH(""CASH DEPOSIT"",$C65"&amp;"8)),
      COUNTIFS('SUMMARY DATA'!$D:$D,$C658,'SUMMARY DATA'!$B:$B,""GRP"")&lt;&gt;1
    ),
    """",
    IFERROR(TEXTJOIN(CHAR(10),TRUE,FILTER('SUMMARY DATA'!F:F,'SUMMARY DATA'!$D:$D=$C658,'SUMMARY DATA'!$B:$B=""GRP"")),"""")
  )
)"),"")</f>
      </c>
    </row>
    <row r="1558" spans="1:6" customHeight="true">
      <c r="A1558" s="2"/>
      <c r="B1558" s="31">
        <v>45886</v>
      </c>
      <c r="C1558" s="2" t="s">
        <v>2202</v>
      </c>
      <c r="D1558" s="3">
        <v>36.58</v>
      </c>
      <c r="E1558" s="16" t="str">
        <f>IFERROR(__xludf.DUMMYFUNCTION("IFERROR(
  TEXTJOIN(CHAR(10),TRUE,FILTER('SUMMARY DATA'!E:E,'SUMMARY DATA'!$A:$A=$A659,'SUMMARY DATA'!$C:$C=$B659,'SUMMARY DATA'!$B:$B=""GRP"")),
  IF(
    OR(
      ISNUMBER(SEARCH(""CDM CASH DEPOSIT"",$C659)),
      ISNUMBER(SEARCH(""CASH DEPOSIT"",$C65"&amp;"9)),
      COUNTIFS('SUMMARY DATA'!$D:$D,$C659,'SUMMARY DATA'!$B:$B,""GRP"")&lt;&gt;1
    ),
    """",
    IFERROR(TEXTJOIN(CHAR(10),TRUE,FILTER('SUMMARY DATA'!E:E,'SUMMARY DATA'!$D:$D=$C659,'SUMMARY DATA'!$B:$B=""GRP"")),"""")
  )
)"),"")</f>
      </c>
      <c r="F1558" s="17" t="str">
        <f>IFERROR(__xludf.DUMMYFUNCTION("IFERROR(
  TEXTJOIN(CHAR(10),TRUE,FILTER('SUMMARY DATA'!F:F,'SUMMARY DATA'!$A:$A=$A659,'SUMMARY DATA'!$C:$C=$B659,'SUMMARY DATA'!$B:$B=""GRP"")),
  IF(
    OR(
      ISNUMBER(SEARCH(""CDM CASH DEPOSIT"",$C659)),
      ISNUMBER(SEARCH(""CASH DEPOSIT"",$C65"&amp;"9)),
      COUNTIFS('SUMMARY DATA'!$D:$D,$C659,'SUMMARY DATA'!$B:$B,""GRP"")&lt;&gt;1
    ),
    """",
    IFERROR(TEXTJOIN(CHAR(10),TRUE,FILTER('SUMMARY DATA'!F:F,'SUMMARY DATA'!$D:$D=$C659,'SUMMARY DATA'!$B:$B=""GRP"")),"""")
  )
)"),"")</f>
      </c>
    </row>
    <row r="1559" spans="1:6" customHeight="true">
      <c r="A1559" s="2"/>
      <c r="B1559" s="31">
        <v>45885</v>
      </c>
      <c r="C1559" s="2" t="s">
        <v>83</v>
      </c>
      <c r="D1559" s="3">
        <v>140</v>
      </c>
      <c r="E1559" s="16" t="str">
        <f>IFERROR(__xludf.DUMMYFUNCTION("IFERROR(
  TEXTJOIN(CHAR(10),TRUE,FILTER('SUMMARY DATA'!E:E,'SUMMARY DATA'!$A:$A=$A660,'SUMMARY DATA'!$C:$C=$B660,'SUMMARY DATA'!$B:$B=""GRP"")),
  IF(
    OR(
      ISNUMBER(SEARCH(""CDM CASH DEPOSIT"",$C660)),
      ISNUMBER(SEARCH(""CASH DEPOSIT"",$C66"&amp;"0)),
      COUNTIFS('SUMMARY DATA'!$D:$D,$C660,'SUMMARY DATA'!$B:$B,""GRP"")&lt;&gt;1
    ),
    """",
    IFERROR(TEXTJOIN(CHAR(10),TRUE,FILTER('SUMMARY DATA'!E:E,'SUMMARY DATA'!$D:$D=$C660,'SUMMARY DATA'!$B:$B=""GRP"")),"""")
  )
)"),"")</f>
      </c>
      <c r="F1559" s="17" t="str">
        <f>IFERROR(__xludf.DUMMYFUNCTION("IFERROR(
  TEXTJOIN(CHAR(10),TRUE,FILTER('SUMMARY DATA'!F:F,'SUMMARY DATA'!$A:$A=$A660,'SUMMARY DATA'!$C:$C=$B660,'SUMMARY DATA'!$B:$B=""GRP"")),
  IF(
    OR(
      ISNUMBER(SEARCH(""CDM CASH DEPOSIT"",$C660)),
      ISNUMBER(SEARCH(""CASH DEPOSIT"",$C66"&amp;"0)),
      COUNTIFS('SUMMARY DATA'!$D:$D,$C660,'SUMMARY DATA'!$B:$B,""GRP"")&lt;&gt;1
    ),
    """",
    IFERROR(TEXTJOIN(CHAR(10),TRUE,FILTER('SUMMARY DATA'!F:F,'SUMMARY DATA'!$D:$D=$C660,'SUMMARY DATA'!$B:$B=""GRP"")),"""")
  )
)"),"")</f>
      </c>
    </row>
    <row r="1560" spans="1:6" customHeight="true">
      <c r="A1560" s="2"/>
      <c r="B1560" s="31">
        <v>45885</v>
      </c>
      <c r="C1560" s="2" t="s">
        <v>2203</v>
      </c>
      <c r="D1560" s="3">
        <v>97.45</v>
      </c>
      <c r="E1560" s="16" t="str">
        <f>IFERROR(__xludf.DUMMYFUNCTION("IFERROR(
  TEXTJOIN(CHAR(10),TRUE,FILTER('SUMMARY DATA'!E:E,'SUMMARY DATA'!$A:$A=$A661,'SUMMARY DATA'!$C:$C=$B661,'SUMMARY DATA'!$B:$B=""GRP"")),
  IF(
    OR(
      ISNUMBER(SEARCH(""CDM CASH DEPOSIT"",$C661)),
      ISNUMBER(SEARCH(""CASH DEPOSIT"",$C66"&amp;"1)),
      COUNTIFS('SUMMARY DATA'!$D:$D,$C661,'SUMMARY DATA'!$B:$B,""GRP"")&lt;&gt;1
    ),
    """",
    IFERROR(TEXTJOIN(CHAR(10),TRUE,FILTER('SUMMARY DATA'!E:E,'SUMMARY DATA'!$D:$D=$C661,'SUMMARY DATA'!$B:$B=""GRP"")),"""")
  )
)"),"")</f>
      </c>
      <c r="F1560" s="17" t="str">
        <f>IFERROR(__xludf.DUMMYFUNCTION("IFERROR(
  TEXTJOIN(CHAR(10),TRUE,FILTER('SUMMARY DATA'!F:F,'SUMMARY DATA'!$A:$A=$A661,'SUMMARY DATA'!$C:$C=$B661,'SUMMARY DATA'!$B:$B=""GRP"")),
  IF(
    OR(
      ISNUMBER(SEARCH(""CDM CASH DEPOSIT"",$C661)),
      ISNUMBER(SEARCH(""CASH DEPOSIT"",$C66"&amp;"1)),
      COUNTIFS('SUMMARY DATA'!$D:$D,$C661,'SUMMARY DATA'!$B:$B,""GRP"")&lt;&gt;1
    ),
    """",
    IFERROR(TEXTJOIN(CHAR(10),TRUE,FILTER('SUMMARY DATA'!F:F,'SUMMARY DATA'!$D:$D=$C661,'SUMMARY DATA'!$B:$B=""GRP"")),"""")
  )
)"),"")</f>
      </c>
    </row>
    <row r="1561" spans="1:6" customHeight="true">
      <c r="A1561" s="2"/>
      <c r="B1561" s="31">
        <v>45885</v>
      </c>
      <c r="C1561" s="2" t="s">
        <v>2204</v>
      </c>
      <c r="D1561" s="3">
        <v>7.89</v>
      </c>
      <c r="E1561" s="16" t="str">
        <f>IFERROR(__xludf.DUMMYFUNCTION("IFERROR(
  TEXTJOIN(CHAR(10),TRUE,FILTER('SUMMARY DATA'!E:E,'SUMMARY DATA'!$A:$A=$A662,'SUMMARY DATA'!$C:$C=$B662,'SUMMARY DATA'!$B:$B=""GRP"")),
  IF(
    OR(
      ISNUMBER(SEARCH(""CDM CASH DEPOSIT"",$C662)),
      ISNUMBER(SEARCH(""CASH DEPOSIT"",$C66"&amp;"2)),
      COUNTIFS('SUMMARY DATA'!$D:$D,$C662,'SUMMARY DATA'!$B:$B,""GRP"")&lt;&gt;1
    ),
    """",
    IFERROR(TEXTJOIN(CHAR(10),TRUE,FILTER('SUMMARY DATA'!E:E,'SUMMARY DATA'!$D:$D=$C662,'SUMMARY DATA'!$B:$B=""GRP"")),"""")
  )
)"),"")</f>
      </c>
      <c r="F1561" s="17" t="str">
        <f>IFERROR(__xludf.DUMMYFUNCTION("IFERROR(
  TEXTJOIN(CHAR(10),TRUE,FILTER('SUMMARY DATA'!F:F,'SUMMARY DATA'!$A:$A=$A662,'SUMMARY DATA'!$C:$C=$B662,'SUMMARY DATA'!$B:$B=""GRP"")),
  IF(
    OR(
      ISNUMBER(SEARCH(""CDM CASH DEPOSIT"",$C662)),
      ISNUMBER(SEARCH(""CASH DEPOSIT"",$C66"&amp;"2)),
      COUNTIFS('SUMMARY DATA'!$D:$D,$C662,'SUMMARY DATA'!$B:$B,""GRP"")&lt;&gt;1
    ),
    """",
    IFERROR(TEXTJOIN(CHAR(10),TRUE,FILTER('SUMMARY DATA'!F:F,'SUMMARY DATA'!$D:$D=$C662,'SUMMARY DATA'!$B:$B=""GRP"")),"""")
  )
)"),"")</f>
      </c>
    </row>
    <row r="1562" spans="1:6" customHeight="true">
      <c r="A1562" s="2"/>
      <c r="B1562" s="31">
        <v>45884</v>
      </c>
      <c r="C1562" s="2" t="s">
        <v>2205</v>
      </c>
      <c r="D1562" s="3">
        <v>328.52</v>
      </c>
      <c r="E1562" s="16" t="str">
        <f>IFERROR(__xludf.DUMMYFUNCTION("IFERROR(
  TEXTJOIN(CHAR(10),TRUE,FILTER('SUMMARY DATA'!E:E,'SUMMARY DATA'!$A:$A=$A663,'SUMMARY DATA'!$C:$C=$B663,'SUMMARY DATA'!$B:$B=""GRP"")),
  IF(
    OR(
      ISNUMBER(SEARCH(""CDM CASH DEPOSIT"",$C663)),
      ISNUMBER(SEARCH(""CASH DEPOSIT"",$C66"&amp;"3)),
      COUNTIFS('SUMMARY DATA'!$D:$D,$C663,'SUMMARY DATA'!$B:$B,""GRP"")&lt;&gt;1
    ),
    """",
    IFERROR(TEXTJOIN(CHAR(10),TRUE,FILTER('SUMMARY DATA'!E:E,'SUMMARY DATA'!$D:$D=$C663,'SUMMARY DATA'!$B:$B=""GRP"")),"""")
  )
)"),"")</f>
      </c>
      <c r="F1562" s="17" t="str">
        <f>IFERROR(__xludf.DUMMYFUNCTION("IFERROR(
  TEXTJOIN(CHAR(10),TRUE,FILTER('SUMMARY DATA'!F:F,'SUMMARY DATA'!$A:$A=$A663,'SUMMARY DATA'!$C:$C=$B663,'SUMMARY DATA'!$B:$B=""GRP"")),
  IF(
    OR(
      ISNUMBER(SEARCH(""CDM CASH DEPOSIT"",$C663)),
      ISNUMBER(SEARCH(""CASH DEPOSIT"",$C66"&amp;"3)),
      COUNTIFS('SUMMARY DATA'!$D:$D,$C663,'SUMMARY DATA'!$B:$B,""GRP"")&lt;&gt;1
    ),
    """",
    IFERROR(TEXTJOIN(CHAR(10),TRUE,FILTER('SUMMARY DATA'!F:F,'SUMMARY DATA'!$D:$D=$C663,'SUMMARY DATA'!$B:$B=""GRP"")),"""")
  )
)"),"")</f>
      </c>
    </row>
    <row r="1563" spans="1:6" customHeight="true">
      <c r="A1563" s="2" t="s">
        <v>2206</v>
      </c>
      <c r="B1563" s="31">
        <v>45884</v>
      </c>
      <c r="C1563" s="2" t="s">
        <v>2207</v>
      </c>
      <c r="D1563" s="3">
        <v>289</v>
      </c>
      <c r="E1563" s="16" t="str">
        <f>IFERROR(__xludf.DUMMYFUNCTION("IFERROR(
  TEXTJOIN(CHAR(10),TRUE,FILTER('SUMMARY DATA'!E:E,'SUMMARY DATA'!$A:$A=$A664,'SUMMARY DATA'!$C:$C=$B664,'SUMMARY DATA'!$B:$B=""GRP"")),
  IF(
    OR(
      ISNUMBER(SEARCH(""CDM CASH DEPOSIT"",$C664)),
      ISNUMBER(SEARCH(""CASH DEPOSIT"",$C66"&amp;"4)),
      COUNTIFS('SUMMARY DATA'!$D:$D,$C664,'SUMMARY DATA'!$B:$B,""GRP"")&lt;&gt;1
    ),
    """",
    IFERROR(TEXTJOIN(CHAR(10),TRUE,FILTER('SUMMARY DATA'!E:E,'SUMMARY DATA'!$D:$D=$C664,'SUMMARY DATA'!$B:$B=""GRP"")),"""")
  )
)"),"")</f>
      </c>
      <c r="F1563" s="17" t="str">
        <f>IFERROR(__xludf.DUMMYFUNCTION("IFERROR(
  TEXTJOIN(CHAR(10),TRUE,FILTER('SUMMARY DATA'!F:F,'SUMMARY DATA'!$A:$A=$A664,'SUMMARY DATA'!$C:$C=$B664,'SUMMARY DATA'!$B:$B=""GRP"")),
  IF(
    OR(
      ISNUMBER(SEARCH(""CDM CASH DEPOSIT"",$C664)),
      ISNUMBER(SEARCH(""CASH DEPOSIT"",$C66"&amp;"4)),
      COUNTIFS('SUMMARY DATA'!$D:$D,$C664,'SUMMARY DATA'!$B:$B,""GRP"")&lt;&gt;1
    ),
    """",
    IFERROR(TEXTJOIN(CHAR(10),TRUE,FILTER('SUMMARY DATA'!F:F,'SUMMARY DATA'!$D:$D=$C664,'SUMMARY DATA'!$B:$B=""GRP"")),"""")
  )
)"),"")</f>
      </c>
    </row>
    <row r="1564" spans="1:6" customHeight="true">
      <c r="A1564" s="2" t="s">
        <v>2208</v>
      </c>
      <c r="B1564" s="31">
        <v>45883</v>
      </c>
      <c r="C1564" s="2" t="s">
        <v>2209</v>
      </c>
      <c r="D1564" s="3">
        <v>175.04</v>
      </c>
      <c r="E1564" s="16" t="str">
        <f>IFERROR(__xludf.DUMMYFUNCTION("IFERROR(
  TEXTJOIN(CHAR(10),TRUE,FILTER('SUMMARY DATA'!E:E,'SUMMARY DATA'!$A:$A=$A665,'SUMMARY DATA'!$C:$C=$B665,'SUMMARY DATA'!$B:$B=""GRP"")),
  IF(
    OR(
      ISNUMBER(SEARCH(""CDM CASH DEPOSIT"",$C665)),
      ISNUMBER(SEARCH(""CASH DEPOSIT"",$C66"&amp;"5)),
      COUNTIFS('SUMMARY DATA'!$D:$D,$C665,'SUMMARY DATA'!$B:$B,""GRP"")&lt;&gt;1
    ),
    """",
    IFERROR(TEXTJOIN(CHAR(10),TRUE,FILTER('SUMMARY DATA'!E:E,'SUMMARY DATA'!$D:$D=$C665,'SUMMARY DATA'!$B:$B=""GRP"")),"""")
  )
)"),"")</f>
      </c>
      <c r="F1564" s="17" t="str">
        <f>IFERROR(__xludf.DUMMYFUNCTION("IFERROR(
  TEXTJOIN(CHAR(10),TRUE,FILTER('SUMMARY DATA'!F:F,'SUMMARY DATA'!$A:$A=$A665,'SUMMARY DATA'!$C:$C=$B665,'SUMMARY DATA'!$B:$B=""GRP"")),
  IF(
    OR(
      ISNUMBER(SEARCH(""CDM CASH DEPOSIT"",$C665)),
      ISNUMBER(SEARCH(""CASH DEPOSIT"",$C66"&amp;"5)),
      COUNTIFS('SUMMARY DATA'!$D:$D,$C665,'SUMMARY DATA'!$B:$B,""GRP"")&lt;&gt;1
    ),
    """",
    IFERROR(TEXTJOIN(CHAR(10),TRUE,FILTER('SUMMARY DATA'!F:F,'SUMMARY DATA'!$D:$D=$C665,'SUMMARY DATA'!$B:$B=""GRP"")),"""")
  )
)"),"")</f>
      </c>
    </row>
    <row r="1565" spans="1:6" customHeight="true">
      <c r="A1565" s="2" t="s">
        <v>2210</v>
      </c>
      <c r="B1565" s="31">
        <v>45883</v>
      </c>
      <c r="C1565" s="2" t="s">
        <v>296</v>
      </c>
      <c r="D1565" s="3">
        <v>63.88</v>
      </c>
      <c r="E1565" s="16" t="str">
        <f>IFERROR(__xludf.DUMMYFUNCTION("IFERROR(
  TEXTJOIN(CHAR(10),TRUE,FILTER('SUMMARY DATA'!E:E,'SUMMARY DATA'!$A:$A=$A666,'SUMMARY DATA'!$C:$C=$B666,'SUMMARY DATA'!$B:$B=""GRP"")),
  IF(
    OR(
      ISNUMBER(SEARCH(""CDM CASH DEPOSIT"",$C666)),
      ISNUMBER(SEARCH(""CASH DEPOSIT"",$C66"&amp;"6)),
      COUNTIFS('SUMMARY DATA'!$D:$D,$C666,'SUMMARY DATA'!$B:$B,""GRP"")&lt;&gt;1
    ),
    """",
    IFERROR(TEXTJOIN(CHAR(10),TRUE,FILTER('SUMMARY DATA'!E:E,'SUMMARY DATA'!$D:$D=$C666,'SUMMARY DATA'!$B:$B=""GRP"")),"""")
  )
)"),"")</f>
      </c>
      <c r="F1565" s="17" t="str">
        <f>IFERROR(__xludf.DUMMYFUNCTION("IFERROR(
  TEXTJOIN(CHAR(10),TRUE,FILTER('SUMMARY DATA'!F:F,'SUMMARY DATA'!$A:$A=$A666,'SUMMARY DATA'!$C:$C=$B666,'SUMMARY DATA'!$B:$B=""GRP"")),
  IF(
    OR(
      ISNUMBER(SEARCH(""CDM CASH DEPOSIT"",$C666)),
      ISNUMBER(SEARCH(""CASH DEPOSIT"",$C66"&amp;"6)),
      COUNTIFS('SUMMARY DATA'!$D:$D,$C666,'SUMMARY DATA'!$B:$B,""GRP"")&lt;&gt;1
    ),
    """",
    IFERROR(TEXTJOIN(CHAR(10),TRUE,FILTER('SUMMARY DATA'!F:F,'SUMMARY DATA'!$D:$D=$C666,'SUMMARY DATA'!$B:$B=""GRP"")),"""")
  )
)"),"")</f>
      </c>
    </row>
    <row r="1566" spans="1:6" customHeight="true">
      <c r="A1566" s="2" t="s">
        <v>2211</v>
      </c>
      <c r="B1566" s="31">
        <v>45883</v>
      </c>
      <c r="C1566" s="2" t="s">
        <v>2212</v>
      </c>
      <c r="D1566" s="3">
        <v>10</v>
      </c>
      <c r="E1566" s="16" t="str">
        <f>IFERROR(__xludf.DUMMYFUNCTION("IFERROR(
  TEXTJOIN(CHAR(10),TRUE,FILTER('SUMMARY DATA'!E:E,'SUMMARY DATA'!$A:$A=$A667,'SUMMARY DATA'!$C:$C=$B667,'SUMMARY DATA'!$B:$B=""GRP"")),
  IF(
    OR(
      ISNUMBER(SEARCH(""CDM CASH DEPOSIT"",$C667)),
      ISNUMBER(SEARCH(""CASH DEPOSIT"",$C66"&amp;"7)),
      COUNTIFS('SUMMARY DATA'!$D:$D,$C667,'SUMMARY DATA'!$B:$B,""GRP"")&lt;&gt;1
    ),
    """",
    IFERROR(TEXTJOIN(CHAR(10),TRUE,FILTER('SUMMARY DATA'!E:E,'SUMMARY DATA'!$D:$D=$C667,'SUMMARY DATA'!$B:$B=""GRP"")),"""")
  )
)"),"")</f>
      </c>
      <c r="F1566" s="17" t="str">
        <f>IFERROR(__xludf.DUMMYFUNCTION("IFERROR(
  TEXTJOIN(CHAR(10),TRUE,FILTER('SUMMARY DATA'!F:F,'SUMMARY DATA'!$A:$A=$A667,'SUMMARY DATA'!$C:$C=$B667,'SUMMARY DATA'!$B:$B=""GRP"")),
  IF(
    OR(
      ISNUMBER(SEARCH(""CDM CASH DEPOSIT"",$C667)),
      ISNUMBER(SEARCH(""CASH DEPOSIT"",$C66"&amp;"7)),
      COUNTIFS('SUMMARY DATA'!$D:$D,$C667,'SUMMARY DATA'!$B:$B,""GRP"")&lt;&gt;1
    ),
    """",
    IFERROR(TEXTJOIN(CHAR(10),TRUE,FILTER('SUMMARY DATA'!F:F,'SUMMARY DATA'!$D:$D=$C667,'SUMMARY DATA'!$B:$B=""GRP"")),"""")
  )
)"),"")</f>
      </c>
    </row>
    <row r="1567" spans="1:6" customHeight="true">
      <c r="A1567" s="2"/>
      <c r="B1567" s="31">
        <v>45883</v>
      </c>
      <c r="C1567" s="2" t="s">
        <v>2213</v>
      </c>
      <c r="D1567" s="3">
        <v>7.5</v>
      </c>
      <c r="E1567" s="16" t="str">
        <f>IFERROR(__xludf.DUMMYFUNCTION("IFERROR(
  TEXTJOIN(CHAR(10),TRUE,FILTER('SUMMARY DATA'!E:E,'SUMMARY DATA'!$A:$A=$A668,'SUMMARY DATA'!$C:$C=$B668,'SUMMARY DATA'!$B:$B=""GRP"")),
  IF(
    OR(
      ISNUMBER(SEARCH(""CDM CASH DEPOSIT"",$C668)),
      ISNUMBER(SEARCH(""CASH DEPOSIT"",$C66"&amp;"8)),
      COUNTIFS('SUMMARY DATA'!$D:$D,$C668,'SUMMARY DATA'!$B:$B,""GRP"")&lt;&gt;1
    ),
    """",
    IFERROR(TEXTJOIN(CHAR(10),TRUE,FILTER('SUMMARY DATA'!E:E,'SUMMARY DATA'!$D:$D=$C668,'SUMMARY DATA'!$B:$B=""GRP"")),"""")
  )
)"),"")</f>
      </c>
      <c r="F1567" s="17" t="str">
        <f>IFERROR(__xludf.DUMMYFUNCTION("IFERROR(
  TEXTJOIN(CHAR(10),TRUE,FILTER('SUMMARY DATA'!F:F,'SUMMARY DATA'!$A:$A=$A668,'SUMMARY DATA'!$C:$C=$B668,'SUMMARY DATA'!$B:$B=""GRP"")),
  IF(
    OR(
      ISNUMBER(SEARCH(""CDM CASH DEPOSIT"",$C668)),
      ISNUMBER(SEARCH(""CASH DEPOSIT"",$C66"&amp;"8)),
      COUNTIFS('SUMMARY DATA'!$D:$D,$C668,'SUMMARY DATA'!$B:$B,""GRP"")&lt;&gt;1
    ),
    """",
    IFERROR(TEXTJOIN(CHAR(10),TRUE,FILTER('SUMMARY DATA'!F:F,'SUMMARY DATA'!$D:$D=$C668,'SUMMARY DATA'!$B:$B=""GRP"")),"""")
  )
)"),"")</f>
      </c>
    </row>
    <row r="1568" spans="1:6" customHeight="true">
      <c r="A1568" s="2"/>
      <c r="B1568" s="31">
        <v>45882</v>
      </c>
      <c r="C1568" s="2" t="s">
        <v>2214</v>
      </c>
      <c r="D1568" s="3">
        <v>5</v>
      </c>
      <c r="E1568" s="16" t="str">
        <f>IFERROR(__xludf.DUMMYFUNCTION("IFERROR(
  TEXTJOIN(CHAR(10),TRUE,FILTER('SUMMARY DATA'!E:E,'SUMMARY DATA'!$A:$A=$A669,'SUMMARY DATA'!$C:$C=$B669,'SUMMARY DATA'!$B:$B=""GRP"")),
  IF(
    OR(
      ISNUMBER(SEARCH(""CDM CASH DEPOSIT"",$C669)),
      ISNUMBER(SEARCH(""CASH DEPOSIT"",$C66"&amp;"9)),
      COUNTIFS('SUMMARY DATA'!$D:$D,$C669,'SUMMARY DATA'!$B:$B,""GRP"")&lt;&gt;1
    ),
    """",
    IFERROR(TEXTJOIN(CHAR(10),TRUE,FILTER('SUMMARY DATA'!E:E,'SUMMARY DATA'!$D:$D=$C669,'SUMMARY DATA'!$B:$B=""GRP"")),"""")
  )
)"),"")</f>
      </c>
      <c r="F1568" s="17" t="str">
        <f>IFERROR(__xludf.DUMMYFUNCTION("IFERROR(
  TEXTJOIN(CHAR(10),TRUE,FILTER('SUMMARY DATA'!F:F,'SUMMARY DATA'!$A:$A=$A669,'SUMMARY DATA'!$C:$C=$B669,'SUMMARY DATA'!$B:$B=""GRP"")),
  IF(
    OR(
      ISNUMBER(SEARCH(""CDM CASH DEPOSIT"",$C669)),
      ISNUMBER(SEARCH(""CASH DEPOSIT"",$C66"&amp;"9)),
      COUNTIFS('SUMMARY DATA'!$D:$D,$C669,'SUMMARY DATA'!$B:$B,""GRP"")&lt;&gt;1
    ),
    """",
    IFERROR(TEXTJOIN(CHAR(10),TRUE,FILTER('SUMMARY DATA'!F:F,'SUMMARY DATA'!$D:$D=$C669,'SUMMARY DATA'!$B:$B=""GRP"")),"""")
  )
)"),"")</f>
      </c>
    </row>
    <row r="1569" spans="1:6" customHeight="true">
      <c r="A1569" s="2" t="s">
        <v>2215</v>
      </c>
      <c r="B1569" s="31">
        <v>45882</v>
      </c>
      <c r="C1569" s="2" t="s">
        <v>2216</v>
      </c>
      <c r="D1569" s="3">
        <v>481.82</v>
      </c>
      <c r="E1569" s="16" t="str">
        <f>IFERROR(__xludf.DUMMYFUNCTION("IFERROR(
  TEXTJOIN(CHAR(10),TRUE,FILTER('SUMMARY DATA'!E:E,'SUMMARY DATA'!$A:$A=$A670,'SUMMARY DATA'!$C:$C=$B670,'SUMMARY DATA'!$B:$B=""GRP"")),
  IF(
    OR(
      ISNUMBER(SEARCH(""CDM CASH DEPOSIT"",$C670)),
      ISNUMBER(SEARCH(""CASH DEPOSIT"",$C67"&amp;"0)),
      COUNTIFS('SUMMARY DATA'!$D:$D,$C670,'SUMMARY DATA'!$B:$B,""GRP"")&lt;&gt;1
    ),
    """",
    IFERROR(TEXTJOIN(CHAR(10),TRUE,FILTER('SUMMARY DATA'!E:E,'SUMMARY DATA'!$D:$D=$C670,'SUMMARY DATA'!$B:$B=""GRP"")),"""")
  )
)"),"")</f>
      </c>
      <c r="F1569" s="17" t="str">
        <f>IFERROR(__xludf.DUMMYFUNCTION("IFERROR(
  TEXTJOIN(CHAR(10),TRUE,FILTER('SUMMARY DATA'!F:F,'SUMMARY DATA'!$A:$A=$A670,'SUMMARY DATA'!$C:$C=$B670,'SUMMARY DATA'!$B:$B=""GRP"")),
  IF(
    OR(
      ISNUMBER(SEARCH(""CDM CASH DEPOSIT"",$C670)),
      ISNUMBER(SEARCH(""CASH DEPOSIT"",$C67"&amp;"0)),
      COUNTIFS('SUMMARY DATA'!$D:$D,$C670,'SUMMARY DATA'!$B:$B,""GRP"")&lt;&gt;1
    ),
    """",
    IFERROR(TEXTJOIN(CHAR(10),TRUE,FILTER('SUMMARY DATA'!F:F,'SUMMARY DATA'!$D:$D=$C670,'SUMMARY DATA'!$B:$B=""GRP"")),"""")
  )
)"),"")</f>
      </c>
    </row>
    <row r="1570" spans="1:6" customHeight="true">
      <c r="A1570" s="2" t="s">
        <v>2217</v>
      </c>
      <c r="B1570" s="31">
        <v>45882</v>
      </c>
      <c r="C1570" s="2" t="s">
        <v>2218</v>
      </c>
      <c r="D1570" s="3">
        <v>304.91</v>
      </c>
      <c r="E1570" s="16" t="str">
        <f>IFERROR(__xludf.DUMMYFUNCTION("IFERROR(
  TEXTJOIN(CHAR(10),TRUE,FILTER('SUMMARY DATA'!E:E,'SUMMARY DATA'!$A:$A=$A671,'SUMMARY DATA'!$C:$C=$B671,'SUMMARY DATA'!$B:$B=""GRP"")),
  IF(
    OR(
      ISNUMBER(SEARCH(""CDM CASH DEPOSIT"",$C671)),
      ISNUMBER(SEARCH(""CASH DEPOSIT"",$C67"&amp;"1)),
      COUNTIFS('SUMMARY DATA'!$D:$D,$C671,'SUMMARY DATA'!$B:$B,""GRP"")&lt;&gt;1
    ),
    """",
    IFERROR(TEXTJOIN(CHAR(10),TRUE,FILTER('SUMMARY DATA'!E:E,'SUMMARY DATA'!$D:$D=$C671,'SUMMARY DATA'!$B:$B=""GRP"")),"""")
  )
)"),"")</f>
      </c>
      <c r="F1570" s="17" t="str">
        <f>IFERROR(__xludf.DUMMYFUNCTION("IFERROR(
  TEXTJOIN(CHAR(10),TRUE,FILTER('SUMMARY DATA'!F:F,'SUMMARY DATA'!$A:$A=$A671,'SUMMARY DATA'!$C:$C=$B671,'SUMMARY DATA'!$B:$B=""GRP"")),
  IF(
    OR(
      ISNUMBER(SEARCH(""CDM CASH DEPOSIT"",$C671)),
      ISNUMBER(SEARCH(""CASH DEPOSIT"",$C67"&amp;"1)),
      COUNTIFS('SUMMARY DATA'!$D:$D,$C671,'SUMMARY DATA'!$B:$B,""GRP"")&lt;&gt;1
    ),
    """",
    IFERROR(TEXTJOIN(CHAR(10),TRUE,FILTER('SUMMARY DATA'!F:F,'SUMMARY DATA'!$D:$D=$C671,'SUMMARY DATA'!$B:$B=""GRP"")),"""")
  )
)"),"")</f>
      </c>
    </row>
    <row r="1571" spans="1:6" customHeight="true">
      <c r="A1571" s="2" t="s">
        <v>2219</v>
      </c>
      <c r="B1571" s="31">
        <v>45882</v>
      </c>
      <c r="C1571" s="2" t="s">
        <v>2220</v>
      </c>
      <c r="D1571" s="3">
        <v>134.99</v>
      </c>
      <c r="E1571" s="16" t="str">
        <f>IFERROR(__xludf.DUMMYFUNCTION("IFERROR(
  TEXTJOIN(CHAR(10),TRUE,FILTER('SUMMARY DATA'!E:E,'SUMMARY DATA'!$A:$A=$A672,'SUMMARY DATA'!$C:$C=$B672,'SUMMARY DATA'!$B:$B=""GRP"")),
  IF(
    OR(
      ISNUMBER(SEARCH(""CDM CASH DEPOSIT"",$C672)),
      ISNUMBER(SEARCH(""CASH DEPOSIT"",$C67"&amp;"2)),
      COUNTIFS('SUMMARY DATA'!$D:$D,$C672,'SUMMARY DATA'!$B:$B,""GRP"")&lt;&gt;1
    ),
    """",
    IFERROR(TEXTJOIN(CHAR(10),TRUE,FILTER('SUMMARY DATA'!E:E,'SUMMARY DATA'!$D:$D=$C672,'SUMMARY DATA'!$B:$B=""GRP"")),"""")
  )
)"),"")</f>
      </c>
      <c r="F1571" s="17" t="str">
        <f>IFERROR(__xludf.DUMMYFUNCTION("IFERROR(
  TEXTJOIN(CHAR(10),TRUE,FILTER('SUMMARY DATA'!F:F,'SUMMARY DATA'!$A:$A=$A672,'SUMMARY DATA'!$C:$C=$B672,'SUMMARY DATA'!$B:$B=""GRP"")),
  IF(
    OR(
      ISNUMBER(SEARCH(""CDM CASH DEPOSIT"",$C672)),
      ISNUMBER(SEARCH(""CASH DEPOSIT"",$C67"&amp;"2)),
      COUNTIFS('SUMMARY DATA'!$D:$D,$C672,'SUMMARY DATA'!$B:$B,""GRP"")&lt;&gt;1
    ),
    """",
    IFERROR(TEXTJOIN(CHAR(10),TRUE,FILTER('SUMMARY DATA'!F:F,'SUMMARY DATA'!$D:$D=$C672,'SUMMARY DATA'!$B:$B=""GRP"")),"""")
  )
)"),"")</f>
      </c>
    </row>
    <row r="1572" spans="1:6" customHeight="true">
      <c r="A1572" s="2"/>
      <c r="B1572" s="31">
        <v>45882</v>
      </c>
      <c r="C1572" s="2" t="s">
        <v>2221</v>
      </c>
      <c r="D1572" s="3">
        <v>45.48</v>
      </c>
      <c r="E1572" s="16" t="str">
        <f>IFERROR(__xludf.DUMMYFUNCTION("IFERROR(
  TEXTJOIN(CHAR(10),TRUE,FILTER('SUMMARY DATA'!E:E,'SUMMARY DATA'!$A:$A=$A673,'SUMMARY DATA'!$C:$C=$B673,'SUMMARY DATA'!$B:$B=""GRP"")),
  IF(
    OR(
      ISNUMBER(SEARCH(""CDM CASH DEPOSIT"",$C673)),
      ISNUMBER(SEARCH(""CASH DEPOSIT"",$C67"&amp;"3)),
      COUNTIFS('SUMMARY DATA'!$D:$D,$C673,'SUMMARY DATA'!$B:$B,""GRP"")&lt;&gt;1
    ),
    """",
    IFERROR(TEXTJOIN(CHAR(10),TRUE,FILTER('SUMMARY DATA'!E:E,'SUMMARY DATA'!$D:$D=$C673,'SUMMARY DATA'!$B:$B=""GRP"")),"""")
  )
)"),"")</f>
      </c>
      <c r="F1572" s="17" t="str">
        <f>IFERROR(__xludf.DUMMYFUNCTION("IFERROR(
  TEXTJOIN(CHAR(10),TRUE,FILTER('SUMMARY DATA'!F:F,'SUMMARY DATA'!$A:$A=$A673,'SUMMARY DATA'!$C:$C=$B673,'SUMMARY DATA'!$B:$B=""GRP"")),
  IF(
    OR(
      ISNUMBER(SEARCH(""CDM CASH DEPOSIT"",$C673)),
      ISNUMBER(SEARCH(""CASH DEPOSIT"",$C67"&amp;"3)),
      COUNTIFS('SUMMARY DATA'!$D:$D,$C673,'SUMMARY DATA'!$B:$B,""GRP"")&lt;&gt;1
    ),
    """",
    IFERROR(TEXTJOIN(CHAR(10),TRUE,FILTER('SUMMARY DATA'!F:F,'SUMMARY DATA'!$D:$D=$C673,'SUMMARY DATA'!$B:$B=""GRP"")),"""")
  )
)"),"")</f>
      </c>
    </row>
    <row r="1573" spans="1:6" customHeight="true">
      <c r="A1573" s="2"/>
      <c r="B1573" s="31">
        <v>45882</v>
      </c>
      <c r="C1573" s="2" t="s">
        <v>2222</v>
      </c>
      <c r="D1573" s="3">
        <v>10</v>
      </c>
      <c r="E1573" s="16" t="str">
        <f>IFERROR(__xludf.DUMMYFUNCTION("IFERROR(
  TEXTJOIN(CHAR(10),TRUE,FILTER('SUMMARY DATA'!E:E,'SUMMARY DATA'!$A:$A=$A674,'SUMMARY DATA'!$C:$C=$B674,'SUMMARY DATA'!$B:$B=""GRP"")),
  IF(
    OR(
      ISNUMBER(SEARCH(""CDM CASH DEPOSIT"",$C674)),
      ISNUMBER(SEARCH(""CASH DEPOSIT"",$C67"&amp;"4)),
      COUNTIFS('SUMMARY DATA'!$D:$D,$C674,'SUMMARY DATA'!$B:$B,""GRP"")&lt;&gt;1
    ),
    """",
    IFERROR(TEXTJOIN(CHAR(10),TRUE,FILTER('SUMMARY DATA'!E:E,'SUMMARY DATA'!$D:$D=$C674,'SUMMARY DATA'!$B:$B=""GRP"")),"""")
  )
)"),"")</f>
      </c>
      <c r="F1573" s="17" t="str">
        <f>IFERROR(__xludf.DUMMYFUNCTION("IFERROR(
  TEXTJOIN(CHAR(10),TRUE,FILTER('SUMMARY DATA'!F:F,'SUMMARY DATA'!$A:$A=$A674,'SUMMARY DATA'!$C:$C=$B674,'SUMMARY DATA'!$B:$B=""GRP"")),
  IF(
    OR(
      ISNUMBER(SEARCH(""CDM CASH DEPOSIT"",$C674)),
      ISNUMBER(SEARCH(""CASH DEPOSIT"",$C67"&amp;"4)),
      COUNTIFS('SUMMARY DATA'!$D:$D,$C674,'SUMMARY DATA'!$B:$B,""GRP"")&lt;&gt;1
    ),
    """",
    IFERROR(TEXTJOIN(CHAR(10),TRUE,FILTER('SUMMARY DATA'!F:F,'SUMMARY DATA'!$D:$D=$C674,'SUMMARY DATA'!$B:$B=""GRP"")),"""")
  )
)"),"")</f>
      </c>
    </row>
    <row r="1574" spans="1:6" customHeight="true">
      <c r="A1574" s="2" t="s">
        <v>2223</v>
      </c>
      <c r="B1574" s="31">
        <v>45882</v>
      </c>
      <c r="C1574" s="2" t="s">
        <v>2224</v>
      </c>
      <c r="D1574" s="3">
        <v>10</v>
      </c>
      <c r="E1574" s="16" t="str">
        <f>IFERROR(__xludf.DUMMYFUNCTION("IFERROR(
  TEXTJOIN(CHAR(10),TRUE,FILTER('SUMMARY DATA'!E:E,'SUMMARY DATA'!$A:$A=$A675,'SUMMARY DATA'!$C:$C=$B675,'SUMMARY DATA'!$B:$B=""GRP"")),
  IF(
    OR(
      ISNUMBER(SEARCH(""CDM CASH DEPOSIT"",$C675)),
      ISNUMBER(SEARCH(""CASH DEPOSIT"",$C67"&amp;"5)),
      COUNTIFS('SUMMARY DATA'!$D:$D,$C675,'SUMMARY DATA'!$B:$B,""GRP"")&lt;&gt;1
    ),
    """",
    IFERROR(TEXTJOIN(CHAR(10),TRUE,FILTER('SUMMARY DATA'!E:E,'SUMMARY DATA'!$D:$D=$C675,'SUMMARY DATA'!$B:$B=""GRP"")),"""")
  )
)"),"")</f>
      </c>
      <c r="F1574" s="17" t="str">
        <f>IFERROR(__xludf.DUMMYFUNCTION("IFERROR(
  TEXTJOIN(CHAR(10),TRUE,FILTER('SUMMARY DATA'!F:F,'SUMMARY DATA'!$A:$A=$A675,'SUMMARY DATA'!$C:$C=$B675,'SUMMARY DATA'!$B:$B=""GRP"")),
  IF(
    OR(
      ISNUMBER(SEARCH(""CDM CASH DEPOSIT"",$C675)),
      ISNUMBER(SEARCH(""CASH DEPOSIT"",$C67"&amp;"5)),
      COUNTIFS('SUMMARY DATA'!$D:$D,$C675,'SUMMARY DATA'!$B:$B,""GRP"")&lt;&gt;1
    ),
    """",
    IFERROR(TEXTJOIN(CHAR(10),TRUE,FILTER('SUMMARY DATA'!F:F,'SUMMARY DATA'!$D:$D=$C675,'SUMMARY DATA'!$B:$B=""GRP"")),"""")
  )
)"),"")</f>
      </c>
    </row>
    <row r="1575" spans="1:6" customHeight="true">
      <c r="A1575" s="2"/>
      <c r="B1575" s="31">
        <v>45882</v>
      </c>
      <c r="C1575" s="2" t="s">
        <v>1776</v>
      </c>
      <c r="D1575" s="3">
        <v>15.96</v>
      </c>
      <c r="E1575" s="16" t="str">
        <f>IFERROR(__xludf.DUMMYFUNCTION("IFERROR(
  TEXTJOIN(CHAR(10),TRUE,FILTER('SUMMARY DATA'!E:E,'SUMMARY DATA'!$A:$A=$A676,'SUMMARY DATA'!$C:$C=$B676,'SUMMARY DATA'!$B:$B=""GRP"")),
  IF(
    OR(
      ISNUMBER(SEARCH(""CDM CASH DEPOSIT"",$C676)),
      ISNUMBER(SEARCH(""CASH DEPOSIT"",$C67"&amp;"6)),
      COUNTIFS('SUMMARY DATA'!$D:$D,$C676,'SUMMARY DATA'!$B:$B,""GRP"")&lt;&gt;1
    ),
    """",
    IFERROR(TEXTJOIN(CHAR(10),TRUE,FILTER('SUMMARY DATA'!E:E,'SUMMARY DATA'!$D:$D=$C676,'SUMMARY DATA'!$B:$B=""GRP"")),"""")
  )
)"),"")</f>
      </c>
      <c r="F1575" s="17" t="str">
        <f>IFERROR(__xludf.DUMMYFUNCTION("IFERROR(
  TEXTJOIN(CHAR(10),TRUE,FILTER('SUMMARY DATA'!F:F,'SUMMARY DATA'!$A:$A=$A676,'SUMMARY DATA'!$C:$C=$B676,'SUMMARY DATA'!$B:$B=""GRP"")),
  IF(
    OR(
      ISNUMBER(SEARCH(""CDM CASH DEPOSIT"",$C676)),
      ISNUMBER(SEARCH(""CASH DEPOSIT"",$C67"&amp;"6)),
      COUNTIFS('SUMMARY DATA'!$D:$D,$C676,'SUMMARY DATA'!$B:$B,""GRP"")&lt;&gt;1
    ),
    """",
    IFERROR(TEXTJOIN(CHAR(10),TRUE,FILTER('SUMMARY DATA'!F:F,'SUMMARY DATA'!$D:$D=$C676,'SUMMARY DATA'!$B:$B=""GRP"")),"""")
  )
)"),"")</f>
      </c>
    </row>
    <row r="1576" spans="1:6" customHeight="true">
      <c r="A1576" s="2"/>
      <c r="B1576" s="31">
        <v>45882</v>
      </c>
      <c r="C1576" s="2" t="s">
        <v>566</v>
      </c>
      <c r="D1576" s="3">
        <v>36</v>
      </c>
      <c r="E1576" s="16" t="str">
        <f>IFERROR(__xludf.DUMMYFUNCTION("IFERROR(
  TEXTJOIN(CHAR(10),TRUE,FILTER('SUMMARY DATA'!E:E,'SUMMARY DATA'!$A:$A=$A677,'SUMMARY DATA'!$C:$C=$B677,'SUMMARY DATA'!$B:$B=""GRP"")),
  IF(
    OR(
      ISNUMBER(SEARCH(""CDM CASH DEPOSIT"",$C677)),
      ISNUMBER(SEARCH(""CASH DEPOSIT"",$C67"&amp;"7)),
      COUNTIFS('SUMMARY DATA'!$D:$D,$C677,'SUMMARY DATA'!$B:$B,""GRP"")&lt;&gt;1
    ),
    """",
    IFERROR(TEXTJOIN(CHAR(10),TRUE,FILTER('SUMMARY DATA'!E:E,'SUMMARY DATA'!$D:$D=$C677,'SUMMARY DATA'!$B:$B=""GRP"")),"""")
  )
)"),"")</f>
      </c>
      <c r="F1576" s="17" t="str">
        <f>IFERROR(__xludf.DUMMYFUNCTION("IFERROR(
  TEXTJOIN(CHAR(10),TRUE,FILTER('SUMMARY DATA'!F:F,'SUMMARY DATA'!$A:$A=$A677,'SUMMARY DATA'!$C:$C=$B677,'SUMMARY DATA'!$B:$B=""GRP"")),
  IF(
    OR(
      ISNUMBER(SEARCH(""CDM CASH DEPOSIT"",$C677)),
      ISNUMBER(SEARCH(""CASH DEPOSIT"",$C67"&amp;"7)),
      COUNTIFS('SUMMARY DATA'!$D:$D,$C677,'SUMMARY DATA'!$B:$B,""GRP"")&lt;&gt;1
    ),
    """",
    IFERROR(TEXTJOIN(CHAR(10),TRUE,FILTER('SUMMARY DATA'!F:F,'SUMMARY DATA'!$D:$D=$C677,'SUMMARY DATA'!$B:$B=""GRP"")),"""")
  )
)"),"")</f>
      </c>
    </row>
    <row r="1577" spans="1:6" customHeight="true">
      <c r="A1577" s="2"/>
      <c r="B1577" s="31">
        <v>45882</v>
      </c>
      <c r="C1577" s="2" t="s">
        <v>2225</v>
      </c>
      <c r="D1577" s="3">
        <v>9.97</v>
      </c>
      <c r="E1577" s="16" t="str">
        <f>IFERROR(__xludf.DUMMYFUNCTION("IFERROR(
  TEXTJOIN(CHAR(10),TRUE,FILTER('SUMMARY DATA'!E:E,'SUMMARY DATA'!$A:$A=$A678,'SUMMARY DATA'!$C:$C=$B678,'SUMMARY DATA'!$B:$B=""GRP"")),
  IF(
    OR(
      ISNUMBER(SEARCH(""CDM CASH DEPOSIT"",$C678)),
      ISNUMBER(SEARCH(""CASH DEPOSIT"",$C67"&amp;"8)),
      COUNTIFS('SUMMARY DATA'!$D:$D,$C678,'SUMMARY DATA'!$B:$B,""GRP"")&lt;&gt;1
    ),
    """",
    IFERROR(TEXTJOIN(CHAR(10),TRUE,FILTER('SUMMARY DATA'!E:E,'SUMMARY DATA'!$D:$D=$C678,'SUMMARY DATA'!$B:$B=""GRP"")),"""")
  )
)"),"")</f>
      </c>
      <c r="F1577" s="17" t="str">
        <f>IFERROR(__xludf.DUMMYFUNCTION("IFERROR(
  TEXTJOIN(CHAR(10),TRUE,FILTER('SUMMARY DATA'!F:F,'SUMMARY DATA'!$A:$A=$A678,'SUMMARY DATA'!$C:$C=$B678,'SUMMARY DATA'!$B:$B=""GRP"")),
  IF(
    OR(
      ISNUMBER(SEARCH(""CDM CASH DEPOSIT"",$C678)),
      ISNUMBER(SEARCH(""CASH DEPOSIT"",$C67"&amp;"8)),
      COUNTIFS('SUMMARY DATA'!$D:$D,$C678,'SUMMARY DATA'!$B:$B,""GRP"")&lt;&gt;1
    ),
    """",
    IFERROR(TEXTJOIN(CHAR(10),TRUE,FILTER('SUMMARY DATA'!F:F,'SUMMARY DATA'!$D:$D=$C678,'SUMMARY DATA'!$B:$B=""GRP"")),"""")
  )
)"),"")</f>
      </c>
    </row>
    <row r="1578" spans="1:6" customHeight="true">
      <c r="A1578" s="2"/>
      <c r="B1578" s="31">
        <v>45882</v>
      </c>
      <c r="C1578" s="2" t="s">
        <v>2226</v>
      </c>
      <c r="D1578" s="3">
        <v>266.39</v>
      </c>
      <c r="E1578" s="16" t="str">
        <f>IFERROR(__xludf.DUMMYFUNCTION("IFERROR(
  TEXTJOIN(CHAR(10),TRUE,FILTER('SUMMARY DATA'!E:E,'SUMMARY DATA'!$A:$A=$A679,'SUMMARY DATA'!$C:$C=$B679,'SUMMARY DATA'!$B:$B=""GRP"")),
  IF(
    OR(
      ISNUMBER(SEARCH(""CDM CASH DEPOSIT"",$C679)),
      ISNUMBER(SEARCH(""CASH DEPOSIT"",$C67"&amp;"9)),
      COUNTIFS('SUMMARY DATA'!$D:$D,$C679,'SUMMARY DATA'!$B:$B,""GRP"")&lt;&gt;1
    ),
    """",
    IFERROR(TEXTJOIN(CHAR(10),TRUE,FILTER('SUMMARY DATA'!E:E,'SUMMARY DATA'!$D:$D=$C679,'SUMMARY DATA'!$B:$B=""GRP"")),"""")
  )
)"),"")</f>
      </c>
      <c r="F1578" s="17" t="str">
        <f>IFERROR(__xludf.DUMMYFUNCTION("IFERROR(
  TEXTJOIN(CHAR(10),TRUE,FILTER('SUMMARY DATA'!F:F,'SUMMARY DATA'!$A:$A=$A679,'SUMMARY DATA'!$C:$C=$B679,'SUMMARY DATA'!$B:$B=""GRP"")),
  IF(
    OR(
      ISNUMBER(SEARCH(""CDM CASH DEPOSIT"",$C679)),
      ISNUMBER(SEARCH(""CASH DEPOSIT"",$C67"&amp;"9)),
      COUNTIFS('SUMMARY DATA'!$D:$D,$C679,'SUMMARY DATA'!$B:$B,""GRP"")&lt;&gt;1
    ),
    """",
    IFERROR(TEXTJOIN(CHAR(10),TRUE,FILTER('SUMMARY DATA'!F:F,'SUMMARY DATA'!$D:$D=$C679,'SUMMARY DATA'!$B:$B=""GRP"")),"""")
  )
)"),"")</f>
      </c>
    </row>
    <row r="1579" spans="1:6" customHeight="true">
      <c r="A1579" s="2" t="s">
        <v>2227</v>
      </c>
      <c r="B1579" s="31">
        <v>45882</v>
      </c>
      <c r="C1579" s="2" t="s">
        <v>48</v>
      </c>
      <c r="D1579" s="3">
        <v>160</v>
      </c>
      <c r="E1579" s="16" t="s">
        <v>2720</v>
      </c>
      <c r="F1579" s="17" t="s">
        <v>2729</v>
      </c>
      <c r="G1579" s="1" t="s">
        <v>2393</v>
      </c>
      <c r="H1579" s="1">
        <v>160</v>
      </c>
      <c r="I1579" s="1">
        <v>160</v>
      </c>
      <c r="J1579" s="1" t="s">
        <v>2394</v>
      </c>
      <c r="K1579" s="1" t="s">
        <v>2719</v>
      </c>
    </row>
    <row r="1580" spans="1:6" customHeight="true">
      <c r="A1580" s="2" t="s">
        <v>2228</v>
      </c>
      <c r="B1580" s="31">
        <v>45882</v>
      </c>
      <c r="C1580" s="2" t="s">
        <v>2229</v>
      </c>
      <c r="D1580" s="3">
        <v>10</v>
      </c>
      <c r="E1580" s="16" t="str">
        <f>IFERROR(__xludf.DUMMYFUNCTION("IFERROR(
  TEXTJOIN(CHAR(10),TRUE,FILTER('SUMMARY DATA'!E:E,'SUMMARY DATA'!$A:$A=$A681,'SUMMARY DATA'!$C:$C=$B681,'SUMMARY DATA'!$B:$B=""GRP"")),
  IF(
    OR(
      ISNUMBER(SEARCH(""CDM CASH DEPOSIT"",$C681)),
      ISNUMBER(SEARCH(""CASH DEPOSIT"",$C68"&amp;"1)),
      COUNTIFS('SUMMARY DATA'!$D:$D,$C681,'SUMMARY DATA'!$B:$B,""GRP"")&lt;&gt;1
    ),
    """",
    IFERROR(TEXTJOIN(CHAR(10),TRUE,FILTER('SUMMARY DATA'!E:E,'SUMMARY DATA'!$D:$D=$C681,'SUMMARY DATA'!$B:$B=""GRP"")),"""")
  )
)"),"")</f>
      </c>
      <c r="F1580" s="17" t="str">
        <f>IFERROR(__xludf.DUMMYFUNCTION("IFERROR(
  TEXTJOIN(CHAR(10),TRUE,FILTER('SUMMARY DATA'!F:F,'SUMMARY DATA'!$A:$A=$A681,'SUMMARY DATA'!$C:$C=$B681,'SUMMARY DATA'!$B:$B=""GRP"")),
  IF(
    OR(
      ISNUMBER(SEARCH(""CDM CASH DEPOSIT"",$C681)),
      ISNUMBER(SEARCH(""CASH DEPOSIT"",$C68"&amp;"1)),
      COUNTIFS('SUMMARY DATA'!$D:$D,$C681,'SUMMARY DATA'!$B:$B,""GRP"")&lt;&gt;1
    ),
    """",
    IFERROR(TEXTJOIN(CHAR(10),TRUE,FILTER('SUMMARY DATA'!F:F,'SUMMARY DATA'!$D:$D=$C681,'SUMMARY DATA'!$B:$B=""GRP"")),"""")
  )
)"),"")</f>
      </c>
    </row>
    <row r="1581" spans="1:6" customHeight="true">
      <c r="A1581" s="2" t="s">
        <v>2230</v>
      </c>
      <c r="B1581" s="31">
        <v>45881</v>
      </c>
      <c r="C1581" s="2" t="s">
        <v>2231</v>
      </c>
      <c r="D1581" s="3">
        <v>216.6</v>
      </c>
      <c r="E1581" s="16" t="s">
        <v>2406</v>
      </c>
      <c r="F1581" s="17" t="s">
        <v>2730</v>
      </c>
      <c r="G1581" s="1" t="s">
        <v>2393</v>
      </c>
      <c r="H1581" s="1">
        <v>216.6</v>
      </c>
      <c r="I1581" s="1">
        <v>216.6</v>
      </c>
      <c r="J1581" s="1" t="s">
        <v>2394</v>
      </c>
      <c r="K1581" s="1" t="s">
        <v>2719</v>
      </c>
    </row>
    <row r="1582" spans="1:6" customHeight="true">
      <c r="A1582" s="2" t="s">
        <v>360</v>
      </c>
      <c r="B1582" s="31">
        <v>45881</v>
      </c>
      <c r="C1582" s="2" t="s">
        <v>2232</v>
      </c>
      <c r="D1582" s="3">
        <v>3.99</v>
      </c>
      <c r="E1582" s="16" t="str">
        <f>IFERROR(__xludf.DUMMYFUNCTION("IFERROR(
  TEXTJOIN(CHAR(10),TRUE,FILTER('SUMMARY DATA'!E:E,'SUMMARY DATA'!$A:$A=$A683,'SUMMARY DATA'!$C:$C=$B683,'SUMMARY DATA'!$B:$B=""GRP"")),
  IF(
    OR(
      ISNUMBER(SEARCH(""CDM CASH DEPOSIT"",$C683)),
      ISNUMBER(SEARCH(""CASH DEPOSIT"",$C68"&amp;"3)),
      COUNTIFS('SUMMARY DATA'!$D:$D,$C683,'SUMMARY DATA'!$B:$B,""GRP"")&lt;&gt;1
    ),
    """",
    IFERROR(TEXTJOIN(CHAR(10),TRUE,FILTER('SUMMARY DATA'!E:E,'SUMMARY DATA'!$D:$D=$C683,'SUMMARY DATA'!$B:$B=""GRP"")),"""")
  )
)"),"")</f>
      </c>
      <c r="F1582" s="17" t="str">
        <f>IFERROR(__xludf.DUMMYFUNCTION("IFERROR(
  TEXTJOIN(CHAR(10),TRUE,FILTER('SUMMARY DATA'!F:F,'SUMMARY DATA'!$A:$A=$A683,'SUMMARY DATA'!$C:$C=$B683,'SUMMARY DATA'!$B:$B=""GRP"")),
  IF(
    OR(
      ISNUMBER(SEARCH(""CDM CASH DEPOSIT"",$C683)),
      ISNUMBER(SEARCH(""CASH DEPOSIT"",$C68"&amp;"3)),
      COUNTIFS('SUMMARY DATA'!$D:$D,$C683,'SUMMARY DATA'!$B:$B,""GRP"")&lt;&gt;1
    ),
    """",
    IFERROR(TEXTJOIN(CHAR(10),TRUE,FILTER('SUMMARY DATA'!F:F,'SUMMARY DATA'!$D:$D=$C683,'SUMMARY DATA'!$B:$B=""GRP"")),"""")
  )
)"),"")</f>
      </c>
    </row>
    <row r="1583" spans="1:6" customHeight="true">
      <c r="A1583" s="2" t="s">
        <v>294</v>
      </c>
      <c r="B1583" s="31">
        <v>45881</v>
      </c>
      <c r="C1583" s="2" t="s">
        <v>2233</v>
      </c>
      <c r="D1583" s="3">
        <v>10</v>
      </c>
      <c r="E1583" s="16" t="str">
        <f>IFERROR(__xludf.DUMMYFUNCTION("IFERROR(
  TEXTJOIN(CHAR(10),TRUE,FILTER('SUMMARY DATA'!E:E,'SUMMARY DATA'!$A:$A=$A684,'SUMMARY DATA'!$C:$C=$B684,'SUMMARY DATA'!$B:$B=""GRP"")),
  IF(
    OR(
      ISNUMBER(SEARCH(""CDM CASH DEPOSIT"",$C684)),
      ISNUMBER(SEARCH(""CASH DEPOSIT"",$C68"&amp;"4)),
      COUNTIFS('SUMMARY DATA'!$D:$D,$C684,'SUMMARY DATA'!$B:$B,""GRP"")&lt;&gt;1
    ),
    """",
    IFERROR(TEXTJOIN(CHAR(10),TRUE,FILTER('SUMMARY DATA'!E:E,'SUMMARY DATA'!$D:$D=$C684,'SUMMARY DATA'!$B:$B=""GRP"")),"""")
  )
)"),"")</f>
      </c>
      <c r="F1583" s="17" t="str">
        <f>IFERROR(__xludf.DUMMYFUNCTION("IFERROR(
  TEXTJOIN(CHAR(10),TRUE,FILTER('SUMMARY DATA'!F:F,'SUMMARY DATA'!$A:$A=$A684,'SUMMARY DATA'!$C:$C=$B684,'SUMMARY DATA'!$B:$B=""GRP"")),
  IF(
    OR(
      ISNUMBER(SEARCH(""CDM CASH DEPOSIT"",$C684)),
      ISNUMBER(SEARCH(""CASH DEPOSIT"",$C68"&amp;"4)),
      COUNTIFS('SUMMARY DATA'!$D:$D,$C684,'SUMMARY DATA'!$B:$B,""GRP"")&lt;&gt;1
    ),
    """",
    IFERROR(TEXTJOIN(CHAR(10),TRUE,FILTER('SUMMARY DATA'!F:F,'SUMMARY DATA'!$D:$D=$C684,'SUMMARY DATA'!$B:$B=""GRP"")),"""")
  )
)"),"")</f>
      </c>
    </row>
    <row r="1584" spans="1:6" customHeight="true">
      <c r="A1584" s="2" t="s">
        <v>2234</v>
      </c>
      <c r="B1584" s="31">
        <v>45881</v>
      </c>
      <c r="C1584" s="2" t="s">
        <v>2235</v>
      </c>
      <c r="D1584" s="3">
        <v>110.52</v>
      </c>
      <c r="E1584" s="16" t="str">
        <f>IFERROR(__xludf.DUMMYFUNCTION("IFERROR(
  TEXTJOIN(CHAR(10),TRUE,FILTER('SUMMARY DATA'!E:E,'SUMMARY DATA'!$A:$A=$A685,'SUMMARY DATA'!$C:$C=$B685,'SUMMARY DATA'!$B:$B=""GRP"")),
  IF(
    OR(
      ISNUMBER(SEARCH(""CDM CASH DEPOSIT"",$C685)),
      ISNUMBER(SEARCH(""CASH DEPOSIT"",$C68"&amp;"5)),
      COUNTIFS('SUMMARY DATA'!$D:$D,$C685,'SUMMARY DATA'!$B:$B,""GRP"")&lt;&gt;1
    ),
    """",
    IFERROR(TEXTJOIN(CHAR(10),TRUE,FILTER('SUMMARY DATA'!E:E,'SUMMARY DATA'!$D:$D=$C685,'SUMMARY DATA'!$B:$B=""GRP"")),"""")
  )
)"),"")</f>
      </c>
      <c r="F1584" s="17" t="str">
        <f>IFERROR(__xludf.DUMMYFUNCTION("IFERROR(
  TEXTJOIN(CHAR(10),TRUE,FILTER('SUMMARY DATA'!F:F,'SUMMARY DATA'!$A:$A=$A685,'SUMMARY DATA'!$C:$C=$B685,'SUMMARY DATA'!$B:$B=""GRP"")),
  IF(
    OR(
      ISNUMBER(SEARCH(""CDM CASH DEPOSIT"",$C685)),
      ISNUMBER(SEARCH(""CASH DEPOSIT"",$C68"&amp;"5)),
      COUNTIFS('SUMMARY DATA'!$D:$D,$C685,'SUMMARY DATA'!$B:$B,""GRP"")&lt;&gt;1
    ),
    """",
    IFERROR(TEXTJOIN(CHAR(10),TRUE,FILTER('SUMMARY DATA'!F:F,'SUMMARY DATA'!$D:$D=$C685,'SUMMARY DATA'!$B:$B=""GRP"")),"""")
  )
)"),"")</f>
      </c>
    </row>
    <row r="1585" spans="1:6" customHeight="true">
      <c r="A1585" s="2" t="s">
        <v>2236</v>
      </c>
      <c r="B1585" s="31">
        <v>45881</v>
      </c>
      <c r="C1585" s="2" t="s">
        <v>2237</v>
      </c>
      <c r="D1585" s="3">
        <v>139</v>
      </c>
      <c r="E1585" s="16" t="str">
        <f>IFERROR(__xludf.DUMMYFUNCTION("IFERROR(
  TEXTJOIN(CHAR(10),TRUE,FILTER('SUMMARY DATA'!E:E,'SUMMARY DATA'!$A:$A=$A686,'SUMMARY DATA'!$C:$C=$B686,'SUMMARY DATA'!$B:$B=""GRP"")),
  IF(
    OR(
      ISNUMBER(SEARCH(""CDM CASH DEPOSIT"",$C686)),
      ISNUMBER(SEARCH(""CASH DEPOSIT"",$C68"&amp;"6)),
      COUNTIFS('SUMMARY DATA'!$D:$D,$C686,'SUMMARY DATA'!$B:$B,""GRP"")&lt;&gt;1
    ),
    """",
    IFERROR(TEXTJOIN(CHAR(10),TRUE,FILTER('SUMMARY DATA'!E:E,'SUMMARY DATA'!$D:$D=$C686,'SUMMARY DATA'!$B:$B=""GRP"")),"""")
  )
)"),"")</f>
      </c>
      <c r="F1585" s="17" t="str">
        <f>IFERROR(__xludf.DUMMYFUNCTION("IFERROR(
  TEXTJOIN(CHAR(10),TRUE,FILTER('SUMMARY DATA'!F:F,'SUMMARY DATA'!$A:$A=$A686,'SUMMARY DATA'!$C:$C=$B686,'SUMMARY DATA'!$B:$B=""GRP"")),
  IF(
    OR(
      ISNUMBER(SEARCH(""CDM CASH DEPOSIT"",$C686)),
      ISNUMBER(SEARCH(""CASH DEPOSIT"",$C68"&amp;"6)),
      COUNTIFS('SUMMARY DATA'!$D:$D,$C686,'SUMMARY DATA'!$B:$B,""GRP"")&lt;&gt;1
    ),
    """",
    IFERROR(TEXTJOIN(CHAR(10),TRUE,FILTER('SUMMARY DATA'!F:F,'SUMMARY DATA'!$D:$D=$C686,'SUMMARY DATA'!$B:$B=""GRP"")),"""")
  )
)"),"")</f>
      </c>
    </row>
    <row r="1586" spans="1:6" customHeight="true">
      <c r="A1586" s="2" t="s">
        <v>2238</v>
      </c>
      <c r="B1586" s="31">
        <v>45881</v>
      </c>
      <c r="C1586" s="2" t="s">
        <v>1375</v>
      </c>
      <c r="D1586" s="3">
        <v>26.87</v>
      </c>
      <c r="E1586" s="16" t="str">
        <f>IFERROR(__xludf.DUMMYFUNCTION("IFERROR(
  TEXTJOIN(CHAR(10),TRUE,FILTER('SUMMARY DATA'!E:E,'SUMMARY DATA'!$A:$A=$A687,'SUMMARY DATA'!$C:$C=$B687,'SUMMARY DATA'!$B:$B=""GRP"")),
  IF(
    OR(
      ISNUMBER(SEARCH(""CDM CASH DEPOSIT"",$C687)),
      ISNUMBER(SEARCH(""CASH DEPOSIT"",$C68"&amp;"7)),
      COUNTIFS('SUMMARY DATA'!$D:$D,$C687,'SUMMARY DATA'!$B:$B,""GRP"")&lt;&gt;1
    ),
    """",
    IFERROR(TEXTJOIN(CHAR(10),TRUE,FILTER('SUMMARY DATA'!E:E,'SUMMARY DATA'!$D:$D=$C687,'SUMMARY DATA'!$B:$B=""GRP"")),"""")
  )
)"),"")</f>
      </c>
      <c r="F1586" s="17" t="str">
        <f>IFERROR(__xludf.DUMMYFUNCTION("IFERROR(
  TEXTJOIN(CHAR(10),TRUE,FILTER('SUMMARY DATA'!F:F,'SUMMARY DATA'!$A:$A=$A687,'SUMMARY DATA'!$C:$C=$B687,'SUMMARY DATA'!$B:$B=""GRP"")),
  IF(
    OR(
      ISNUMBER(SEARCH(""CDM CASH DEPOSIT"",$C687)),
      ISNUMBER(SEARCH(""CASH DEPOSIT"",$C68"&amp;"7)),
      COUNTIFS('SUMMARY DATA'!$D:$D,$C687,'SUMMARY DATA'!$B:$B,""GRP"")&lt;&gt;1
    ),
    """",
    IFERROR(TEXTJOIN(CHAR(10),TRUE,FILTER('SUMMARY DATA'!F:F,'SUMMARY DATA'!$D:$D=$C687,'SUMMARY DATA'!$B:$B=""GRP"")),"""")
  )
)"),"")</f>
      </c>
    </row>
    <row r="1587" spans="1:6" customHeight="true">
      <c r="A1587" s="2"/>
      <c r="B1587" s="31">
        <v>45880</v>
      </c>
      <c r="C1587" s="2" t="s">
        <v>2239</v>
      </c>
      <c r="D1587" s="3">
        <v>61.23</v>
      </c>
      <c r="E1587" s="16" t="str">
        <f>IFERROR(__xludf.DUMMYFUNCTION("IFERROR(
  TEXTJOIN(CHAR(10),TRUE,FILTER('SUMMARY DATA'!E:E,'SUMMARY DATA'!$A:$A=$A688,'SUMMARY DATA'!$C:$C=$B688,'SUMMARY DATA'!$B:$B=""GRP"")),
  IF(
    OR(
      ISNUMBER(SEARCH(""CDM CASH DEPOSIT"",$C688)),
      ISNUMBER(SEARCH(""CASH DEPOSIT"",$C68"&amp;"8)),
      COUNTIFS('SUMMARY DATA'!$D:$D,$C688,'SUMMARY DATA'!$B:$B,""GRP"")&lt;&gt;1
    ),
    """",
    IFERROR(TEXTJOIN(CHAR(10),TRUE,FILTER('SUMMARY DATA'!E:E,'SUMMARY DATA'!$D:$D=$C688,'SUMMARY DATA'!$B:$B=""GRP"")),"""")
  )
)"),"")</f>
      </c>
      <c r="F1587" s="17" t="str">
        <f>IFERROR(__xludf.DUMMYFUNCTION("IFERROR(
  TEXTJOIN(CHAR(10),TRUE,FILTER('SUMMARY DATA'!F:F,'SUMMARY DATA'!$A:$A=$A688,'SUMMARY DATA'!$C:$C=$B688,'SUMMARY DATA'!$B:$B=""GRP"")),
  IF(
    OR(
      ISNUMBER(SEARCH(""CDM CASH DEPOSIT"",$C688)),
      ISNUMBER(SEARCH(""CASH DEPOSIT"",$C68"&amp;"8)),
      COUNTIFS('SUMMARY DATA'!$D:$D,$C688,'SUMMARY DATA'!$B:$B,""GRP"")&lt;&gt;1
    ),
    """",
    IFERROR(TEXTJOIN(CHAR(10),TRUE,FILTER('SUMMARY DATA'!F:F,'SUMMARY DATA'!$D:$D=$C688,'SUMMARY DATA'!$B:$B=""GRP"")),"""")
  )
)"),"")</f>
      </c>
    </row>
    <row r="1588" spans="1:6" customHeight="true">
      <c r="A1588" s="2" t="s">
        <v>2240</v>
      </c>
      <c r="B1588" s="31">
        <v>45880</v>
      </c>
      <c r="C1588" s="2" t="s">
        <v>2241</v>
      </c>
      <c r="D1588" s="3">
        <v>42.88</v>
      </c>
      <c r="E1588" s="16" t="str">
        <f>IFERROR(__xludf.DUMMYFUNCTION("IFERROR(
  TEXTJOIN(CHAR(10),TRUE,FILTER('SUMMARY DATA'!E:E,'SUMMARY DATA'!$A:$A=$A689,'SUMMARY DATA'!$C:$C=$B689,'SUMMARY DATA'!$B:$B=""GRP"")),
  IF(
    OR(
      ISNUMBER(SEARCH(""CDM CASH DEPOSIT"",$C689)),
      ISNUMBER(SEARCH(""CASH DEPOSIT"",$C68"&amp;"9)),
      COUNTIFS('SUMMARY DATA'!$D:$D,$C689,'SUMMARY DATA'!$B:$B,""GRP"")&lt;&gt;1
    ),
    """",
    IFERROR(TEXTJOIN(CHAR(10),TRUE,FILTER('SUMMARY DATA'!E:E,'SUMMARY DATA'!$D:$D=$C689,'SUMMARY DATA'!$B:$B=""GRP"")),"""")
  )
)"),"")</f>
      </c>
      <c r="F1588" s="17" t="str">
        <f>IFERROR(__xludf.DUMMYFUNCTION("IFERROR(
  TEXTJOIN(CHAR(10),TRUE,FILTER('SUMMARY DATA'!F:F,'SUMMARY DATA'!$A:$A=$A689,'SUMMARY DATA'!$C:$C=$B689,'SUMMARY DATA'!$B:$B=""GRP"")),
  IF(
    OR(
      ISNUMBER(SEARCH(""CDM CASH DEPOSIT"",$C689)),
      ISNUMBER(SEARCH(""CASH DEPOSIT"",$C68"&amp;"9)),
      COUNTIFS('SUMMARY DATA'!$D:$D,$C689,'SUMMARY DATA'!$B:$B,""GRP"")&lt;&gt;1
    ),
    """",
    IFERROR(TEXTJOIN(CHAR(10),TRUE,FILTER('SUMMARY DATA'!F:F,'SUMMARY DATA'!$D:$D=$C689,'SUMMARY DATA'!$B:$B=""GRP"")),"""")
  )
)"),"")</f>
      </c>
    </row>
    <row r="1589" spans="1:6" customHeight="true">
      <c r="A1589" s="2" t="s">
        <v>2242</v>
      </c>
      <c r="B1589" s="31">
        <v>45880</v>
      </c>
      <c r="C1589" s="2" t="s">
        <v>2243</v>
      </c>
      <c r="D1589" s="3">
        <v>264.98</v>
      </c>
      <c r="E1589" s="16" t="str">
        <f>IFERROR(__xludf.DUMMYFUNCTION("IFERROR(
  TEXTJOIN(CHAR(10),TRUE,FILTER('SUMMARY DATA'!E:E,'SUMMARY DATA'!$A:$A=$A690,'SUMMARY DATA'!$C:$C=$B690,'SUMMARY DATA'!$B:$B=""GRP"")),
  IF(
    OR(
      ISNUMBER(SEARCH(""CDM CASH DEPOSIT"",$C690)),
      ISNUMBER(SEARCH(""CASH DEPOSIT"",$C69"&amp;"0)),
      COUNTIFS('SUMMARY DATA'!$D:$D,$C690,'SUMMARY DATA'!$B:$B,""GRP"")&lt;&gt;1
    ),
    """",
    IFERROR(TEXTJOIN(CHAR(10),TRUE,FILTER('SUMMARY DATA'!E:E,'SUMMARY DATA'!$D:$D=$C690,'SUMMARY DATA'!$B:$B=""GRP"")),"""")
  )
)"),"")</f>
      </c>
      <c r="F1589" s="17" t="str">
        <f>IFERROR(__xludf.DUMMYFUNCTION("IFERROR(
  TEXTJOIN(CHAR(10),TRUE,FILTER('SUMMARY DATA'!F:F,'SUMMARY DATA'!$A:$A=$A690,'SUMMARY DATA'!$C:$C=$B690,'SUMMARY DATA'!$B:$B=""GRP"")),
  IF(
    OR(
      ISNUMBER(SEARCH(""CDM CASH DEPOSIT"",$C690)),
      ISNUMBER(SEARCH(""CASH DEPOSIT"",$C69"&amp;"0)),
      COUNTIFS('SUMMARY DATA'!$D:$D,$C690,'SUMMARY DATA'!$B:$B,""GRP"")&lt;&gt;1
    ),
    """",
    IFERROR(TEXTJOIN(CHAR(10),TRUE,FILTER('SUMMARY DATA'!F:F,'SUMMARY DATA'!$D:$D=$C690,'SUMMARY DATA'!$B:$B=""GRP"")),"""")
  )
)"),"")</f>
      </c>
    </row>
    <row r="1590" spans="1:6" customHeight="true">
      <c r="A1590" s="2"/>
      <c r="B1590" s="31">
        <v>45880</v>
      </c>
      <c r="C1590" s="2" t="s">
        <v>2244</v>
      </c>
      <c r="D1590" s="3">
        <v>118.81</v>
      </c>
      <c r="E1590" s="16" t="str">
        <f>IFERROR(__xludf.DUMMYFUNCTION("IFERROR(
  TEXTJOIN(CHAR(10),TRUE,FILTER('SUMMARY DATA'!E:E,'SUMMARY DATA'!$A:$A=$A691,'SUMMARY DATA'!$C:$C=$B691,'SUMMARY DATA'!$B:$B=""GRP"")),
  IF(
    OR(
      ISNUMBER(SEARCH(""CDM CASH DEPOSIT"",$C691)),
      ISNUMBER(SEARCH(""CASH DEPOSIT"",$C69"&amp;"1)),
      COUNTIFS('SUMMARY DATA'!$D:$D,$C691,'SUMMARY DATA'!$B:$B,""GRP"")&lt;&gt;1
    ),
    """",
    IFERROR(TEXTJOIN(CHAR(10),TRUE,FILTER('SUMMARY DATA'!E:E,'SUMMARY DATA'!$D:$D=$C691,'SUMMARY DATA'!$B:$B=""GRP"")),"""")
  )
)"),"")</f>
      </c>
      <c r="F1590" s="17" t="str">
        <f>IFERROR(__xludf.DUMMYFUNCTION("IFERROR(
  TEXTJOIN(CHAR(10),TRUE,FILTER('SUMMARY DATA'!F:F,'SUMMARY DATA'!$A:$A=$A691,'SUMMARY DATA'!$C:$C=$B691,'SUMMARY DATA'!$B:$B=""GRP"")),
  IF(
    OR(
      ISNUMBER(SEARCH(""CDM CASH DEPOSIT"",$C691)),
      ISNUMBER(SEARCH(""CASH DEPOSIT"",$C69"&amp;"1)),
      COUNTIFS('SUMMARY DATA'!$D:$D,$C691,'SUMMARY DATA'!$B:$B,""GRP"")&lt;&gt;1
    ),
    """",
    IFERROR(TEXTJOIN(CHAR(10),TRUE,FILTER('SUMMARY DATA'!F:F,'SUMMARY DATA'!$D:$D=$C691,'SUMMARY DATA'!$B:$B=""GRP"")),"""")
  )
)"),"")</f>
      </c>
    </row>
    <row r="1591" spans="1:6" customHeight="true">
      <c r="A1591" s="2" t="s">
        <v>2245</v>
      </c>
      <c r="B1591" s="31">
        <v>45880</v>
      </c>
      <c r="C1591" s="2" t="s">
        <v>2246</v>
      </c>
      <c r="D1591" s="3">
        <v>10</v>
      </c>
      <c r="E1591" s="16" t="str">
        <f>IFERROR(__xludf.DUMMYFUNCTION("IFERROR(
  TEXTJOIN(CHAR(10),TRUE,FILTER('SUMMARY DATA'!E:E,'SUMMARY DATA'!$A:$A=$A692,'SUMMARY DATA'!$C:$C=$B692,'SUMMARY DATA'!$B:$B=""GRP"")),
  IF(
    OR(
      ISNUMBER(SEARCH(""CDM CASH DEPOSIT"",$C692)),
      ISNUMBER(SEARCH(""CASH DEPOSIT"",$C69"&amp;"2)),
      COUNTIFS('SUMMARY DATA'!$D:$D,$C692,'SUMMARY DATA'!$B:$B,""GRP"")&lt;&gt;1
    ),
    """",
    IFERROR(TEXTJOIN(CHAR(10),TRUE,FILTER('SUMMARY DATA'!E:E,'SUMMARY DATA'!$D:$D=$C692,'SUMMARY DATA'!$B:$B=""GRP"")),"""")
  )
)"),"")</f>
      </c>
      <c r="F1591" s="17" t="str">
        <f>IFERROR(__xludf.DUMMYFUNCTION("IFERROR(
  TEXTJOIN(CHAR(10),TRUE,FILTER('SUMMARY DATA'!F:F,'SUMMARY DATA'!$A:$A=$A692,'SUMMARY DATA'!$C:$C=$B692,'SUMMARY DATA'!$B:$B=""GRP"")),
  IF(
    OR(
      ISNUMBER(SEARCH(""CDM CASH DEPOSIT"",$C692)),
      ISNUMBER(SEARCH(""CASH DEPOSIT"",$C69"&amp;"2)),
      COUNTIFS('SUMMARY DATA'!$D:$D,$C692,'SUMMARY DATA'!$B:$B,""GRP"")&lt;&gt;1
    ),
    """",
    IFERROR(TEXTJOIN(CHAR(10),TRUE,FILTER('SUMMARY DATA'!F:F,'SUMMARY DATA'!$D:$D=$C692,'SUMMARY DATA'!$B:$B=""GRP"")),"""")
  )
)"),"")</f>
      </c>
    </row>
    <row r="1592" spans="1:6" customHeight="true">
      <c r="A1592" s="2"/>
      <c r="B1592" s="31">
        <v>45880</v>
      </c>
      <c r="C1592" s="2" t="s">
        <v>2247</v>
      </c>
      <c r="D1592" s="6">
        <v>278.48</v>
      </c>
      <c r="E1592" s="16" t="str">
        <f>IFERROR(__xludf.DUMMYFUNCTION("IFERROR(
  TEXTJOIN(CHAR(10),TRUE,FILTER('SUMMARY DATA'!E:E,'SUMMARY DATA'!$A:$A=$A693,'SUMMARY DATA'!$C:$C=$B693,'SUMMARY DATA'!$B:$B=""GRP"")),
  IF(
    OR(
      ISNUMBER(SEARCH(""CDM CASH DEPOSIT"",$C693)),
      ISNUMBER(SEARCH(""CASH DEPOSIT"",$C69"&amp;"3)),
      COUNTIFS('SUMMARY DATA'!$D:$D,$C693,'SUMMARY DATA'!$B:$B,""GRP"")&lt;&gt;1
    ),
    """",
    IFERROR(TEXTJOIN(CHAR(10),TRUE,FILTER('SUMMARY DATA'!E:E,'SUMMARY DATA'!$D:$D=$C693,'SUMMARY DATA'!$B:$B=""GRP"")),"""")
  )
)"),"")</f>
      </c>
      <c r="F1592" s="17" t="str">
        <f>IFERROR(__xludf.DUMMYFUNCTION("IFERROR(
  TEXTJOIN(CHAR(10),TRUE,FILTER('SUMMARY DATA'!F:F,'SUMMARY DATA'!$A:$A=$A693,'SUMMARY DATA'!$C:$C=$B693,'SUMMARY DATA'!$B:$B=""GRP"")),
  IF(
    OR(
      ISNUMBER(SEARCH(""CDM CASH DEPOSIT"",$C693)),
      ISNUMBER(SEARCH(""CASH DEPOSIT"",$C69"&amp;"3)),
      COUNTIFS('SUMMARY DATA'!$D:$D,$C693,'SUMMARY DATA'!$B:$B,""GRP"")&lt;&gt;1
    ),
    """",
    IFERROR(TEXTJOIN(CHAR(10),TRUE,FILTER('SUMMARY DATA'!F:F,'SUMMARY DATA'!$D:$D=$C693,'SUMMARY DATA'!$B:$B=""GRP"")),"""")
  )
)"),"")</f>
      </c>
    </row>
    <row r="1593" spans="1:6" customHeight="true">
      <c r="A1593" s="2"/>
      <c r="B1593" s="31">
        <v>45880</v>
      </c>
      <c r="C1593" s="2" t="s">
        <v>2248</v>
      </c>
      <c r="D1593" s="6">
        <v>70</v>
      </c>
      <c r="E1593" s="16" t="str">
        <f>IFERROR(__xludf.DUMMYFUNCTION("IFERROR(
  TEXTJOIN(CHAR(10),TRUE,FILTER('SUMMARY DATA'!E:E,'SUMMARY DATA'!$A:$A=$A694,'SUMMARY DATA'!$C:$C=$B694,'SUMMARY DATA'!$B:$B=""GRP"")),
  IF(
    OR(
      ISNUMBER(SEARCH(""CDM CASH DEPOSIT"",$C694)),
      ISNUMBER(SEARCH(""CASH DEPOSIT"",$C69"&amp;"4)),
      COUNTIFS('SUMMARY DATA'!$D:$D,$C694,'SUMMARY DATA'!$B:$B,""GRP"")&lt;&gt;1
    ),
    """",
    IFERROR(TEXTJOIN(CHAR(10),TRUE,FILTER('SUMMARY DATA'!E:E,'SUMMARY DATA'!$D:$D=$C694,'SUMMARY DATA'!$B:$B=""GRP"")),"""")
  )
)"),"")</f>
      </c>
      <c r="F1593" s="17" t="str">
        <f>IFERROR(__xludf.DUMMYFUNCTION("IFERROR(
  TEXTJOIN(CHAR(10),TRUE,FILTER('SUMMARY DATA'!F:F,'SUMMARY DATA'!$A:$A=$A694,'SUMMARY DATA'!$C:$C=$B694,'SUMMARY DATA'!$B:$B=""GRP"")),
  IF(
    OR(
      ISNUMBER(SEARCH(""CDM CASH DEPOSIT"",$C694)),
      ISNUMBER(SEARCH(""CASH DEPOSIT"",$C69"&amp;"4)),
      COUNTIFS('SUMMARY DATA'!$D:$D,$C694,'SUMMARY DATA'!$B:$B,""GRP"")&lt;&gt;1
    ),
    """",
    IFERROR(TEXTJOIN(CHAR(10),TRUE,FILTER('SUMMARY DATA'!F:F,'SUMMARY DATA'!$D:$D=$C694,'SUMMARY DATA'!$B:$B=""GRP"")),"""")
  )
)"),"")</f>
      </c>
    </row>
    <row r="1594" spans="1:6" customHeight="true">
      <c r="A1594" s="2" t="s">
        <v>2249</v>
      </c>
      <c r="B1594" s="31">
        <v>45880</v>
      </c>
      <c r="C1594" s="2" t="s">
        <v>2250</v>
      </c>
      <c r="D1594" s="6">
        <v>359.06</v>
      </c>
      <c r="E1594" s="16" t="str">
        <f>IFERROR(__xludf.DUMMYFUNCTION("IFERROR(
  TEXTJOIN(CHAR(10),TRUE,FILTER('SUMMARY DATA'!E:E,'SUMMARY DATA'!$A:$A=$A695,'SUMMARY DATA'!$C:$C=$B695,'SUMMARY DATA'!$B:$B=""GRP"")),
  IF(
    OR(
      ISNUMBER(SEARCH(""CDM CASH DEPOSIT"",$C695)),
      ISNUMBER(SEARCH(""CASH DEPOSIT"",$C69"&amp;"5)),
      COUNTIFS('SUMMARY DATA'!$D:$D,$C695,'SUMMARY DATA'!$B:$B,""GRP"")&lt;&gt;1
    ),
    """",
    IFERROR(TEXTJOIN(CHAR(10),TRUE,FILTER('SUMMARY DATA'!E:E,'SUMMARY DATA'!$D:$D=$C695,'SUMMARY DATA'!$B:$B=""GRP"")),"""")
  )
)"),"")</f>
      </c>
      <c r="F1594" s="17" t="str">
        <f>IFERROR(__xludf.DUMMYFUNCTION("IFERROR(
  TEXTJOIN(CHAR(10),TRUE,FILTER('SUMMARY DATA'!F:F,'SUMMARY DATA'!$A:$A=$A695,'SUMMARY DATA'!$C:$C=$B695,'SUMMARY DATA'!$B:$B=""GRP"")),
  IF(
    OR(
      ISNUMBER(SEARCH(""CDM CASH DEPOSIT"",$C695)),
      ISNUMBER(SEARCH(""CASH DEPOSIT"",$C69"&amp;"5)),
      COUNTIFS('SUMMARY DATA'!$D:$D,$C695,'SUMMARY DATA'!$B:$B,""GRP"")&lt;&gt;1
    ),
    """",
    IFERROR(TEXTJOIN(CHAR(10),TRUE,FILTER('SUMMARY DATA'!F:F,'SUMMARY DATA'!$D:$D=$C695,'SUMMARY DATA'!$B:$B=""GRP"")),"""")
  )
)"),"")</f>
      </c>
    </row>
    <row r="1595" spans="1:6" customHeight="true">
      <c r="A1595" s="2"/>
      <c r="B1595" s="31">
        <v>45880</v>
      </c>
      <c r="C1595" s="2" t="s">
        <v>2251</v>
      </c>
      <c r="D1595" s="6">
        <v>91.89</v>
      </c>
      <c r="E1595" s="16" t="str">
        <f>IFERROR(__xludf.DUMMYFUNCTION("IFERROR(
  TEXTJOIN(CHAR(10),TRUE,FILTER('SUMMARY DATA'!E:E,'SUMMARY DATA'!$A:$A=$A696,'SUMMARY DATA'!$C:$C=$B696,'SUMMARY DATA'!$B:$B=""GRP"")),
  IF(
    OR(
      ISNUMBER(SEARCH(""CDM CASH DEPOSIT"",$C696)),
      ISNUMBER(SEARCH(""CASH DEPOSIT"",$C69"&amp;"6)),
      COUNTIFS('SUMMARY DATA'!$D:$D,$C696,'SUMMARY DATA'!$B:$B,""GRP"")&lt;&gt;1
    ),
    """",
    IFERROR(TEXTJOIN(CHAR(10),TRUE,FILTER('SUMMARY DATA'!E:E,'SUMMARY DATA'!$D:$D=$C696,'SUMMARY DATA'!$B:$B=""GRP"")),"""")
  )
)"),"")</f>
      </c>
      <c r="F1595" s="17" t="str">
        <f>IFERROR(__xludf.DUMMYFUNCTION("IFERROR(
  TEXTJOIN(CHAR(10),TRUE,FILTER('SUMMARY DATA'!F:F,'SUMMARY DATA'!$A:$A=$A696,'SUMMARY DATA'!$C:$C=$B696,'SUMMARY DATA'!$B:$B=""GRP"")),
  IF(
    OR(
      ISNUMBER(SEARCH(""CDM CASH DEPOSIT"",$C696)),
      ISNUMBER(SEARCH(""CASH DEPOSIT"",$C69"&amp;"6)),
      COUNTIFS('SUMMARY DATA'!$D:$D,$C696,'SUMMARY DATA'!$B:$B,""GRP"")&lt;&gt;1
    ),
    """",
    IFERROR(TEXTJOIN(CHAR(10),TRUE,FILTER('SUMMARY DATA'!F:F,'SUMMARY DATA'!$D:$D=$C696,'SUMMARY DATA'!$B:$B=""GRP"")),"""")
  )
)"),"")</f>
      </c>
    </row>
    <row r="1596" spans="1:6" customHeight="true">
      <c r="A1596" s="2"/>
      <c r="B1596" s="31">
        <v>45880</v>
      </c>
      <c r="C1596" s="2" t="s">
        <v>2252</v>
      </c>
      <c r="D1596" s="6">
        <v>237.76</v>
      </c>
      <c r="E1596" s="16" t="str">
        <f>IFERROR(__xludf.DUMMYFUNCTION("IFERROR(
  TEXTJOIN(CHAR(10),TRUE,FILTER('SUMMARY DATA'!E:E,'SUMMARY DATA'!$A:$A=$A697,'SUMMARY DATA'!$C:$C=$B697,'SUMMARY DATA'!$B:$B=""GRP"")),
  IF(
    OR(
      ISNUMBER(SEARCH(""CDM CASH DEPOSIT"",$C697)),
      ISNUMBER(SEARCH(""CASH DEPOSIT"",$C69"&amp;"7)),
      COUNTIFS('SUMMARY DATA'!$D:$D,$C697,'SUMMARY DATA'!$B:$B,""GRP"")&lt;&gt;1
    ),
    """",
    IFERROR(TEXTJOIN(CHAR(10),TRUE,FILTER('SUMMARY DATA'!E:E,'SUMMARY DATA'!$D:$D=$C697,'SUMMARY DATA'!$B:$B=""GRP"")),"""")
  )
)"),"")</f>
      </c>
      <c r="F1596" s="17" t="str">
        <f>IFERROR(__xludf.DUMMYFUNCTION("IFERROR(
  TEXTJOIN(CHAR(10),TRUE,FILTER('SUMMARY DATA'!F:F,'SUMMARY DATA'!$A:$A=$A697,'SUMMARY DATA'!$C:$C=$B697,'SUMMARY DATA'!$B:$B=""GRP"")),
  IF(
    OR(
      ISNUMBER(SEARCH(""CDM CASH DEPOSIT"",$C697)),
      ISNUMBER(SEARCH(""CASH DEPOSIT"",$C69"&amp;"7)),
      COUNTIFS('SUMMARY DATA'!$D:$D,$C697,'SUMMARY DATA'!$B:$B,""GRP"")&lt;&gt;1
    ),
    """",
    IFERROR(TEXTJOIN(CHAR(10),TRUE,FILTER('SUMMARY DATA'!F:F,'SUMMARY DATA'!$D:$D=$C697,'SUMMARY DATA'!$B:$B=""GRP"")),"""")
  )
)"),"")</f>
      </c>
    </row>
    <row r="1597" spans="1:6" customHeight="true">
      <c r="A1597" s="2"/>
      <c r="B1597" s="31">
        <v>45880</v>
      </c>
      <c r="C1597" s="2" t="s">
        <v>2253</v>
      </c>
      <c r="D1597" s="6">
        <v>5.23</v>
      </c>
      <c r="E1597" s="16" t="str">
        <f>IFERROR(__xludf.DUMMYFUNCTION("IFERROR(
  TEXTJOIN(CHAR(10),TRUE,FILTER('SUMMARY DATA'!E:E,'SUMMARY DATA'!$A:$A=$A698,'SUMMARY DATA'!$C:$C=$B698,'SUMMARY DATA'!$B:$B=""GRP"")),
  IF(
    OR(
      ISNUMBER(SEARCH(""CDM CASH DEPOSIT"",$C698)),
      ISNUMBER(SEARCH(""CASH DEPOSIT"",$C69"&amp;"8)),
      COUNTIFS('SUMMARY DATA'!$D:$D,$C698,'SUMMARY DATA'!$B:$B,""GRP"")&lt;&gt;1
    ),
    """",
    IFERROR(TEXTJOIN(CHAR(10),TRUE,FILTER('SUMMARY DATA'!E:E,'SUMMARY DATA'!$D:$D=$C698,'SUMMARY DATA'!$B:$B=""GRP"")),"""")
  )
)"),"")</f>
      </c>
      <c r="F1597" s="17" t="str">
        <f>IFERROR(__xludf.DUMMYFUNCTION("IFERROR(
  TEXTJOIN(CHAR(10),TRUE,FILTER('SUMMARY DATA'!F:F,'SUMMARY DATA'!$A:$A=$A698,'SUMMARY DATA'!$C:$C=$B698,'SUMMARY DATA'!$B:$B=""GRP"")),
  IF(
    OR(
      ISNUMBER(SEARCH(""CDM CASH DEPOSIT"",$C698)),
      ISNUMBER(SEARCH(""CASH DEPOSIT"",$C69"&amp;"8)),
      COUNTIFS('SUMMARY DATA'!$D:$D,$C698,'SUMMARY DATA'!$B:$B,""GRP"")&lt;&gt;1
    ),
    """",
    IFERROR(TEXTJOIN(CHAR(10),TRUE,FILTER('SUMMARY DATA'!F:F,'SUMMARY DATA'!$D:$D=$C698,'SUMMARY DATA'!$B:$B=""GRP"")),"""")
  )
)"),"")</f>
      </c>
    </row>
    <row r="1598" spans="1:6" customHeight="true">
      <c r="A1598" s="2"/>
      <c r="B1598" s="31">
        <v>45880</v>
      </c>
      <c r="C1598" s="2" t="s">
        <v>2254</v>
      </c>
      <c r="D1598" s="6">
        <v>10</v>
      </c>
      <c r="E1598" s="16" t="str">
        <f>IFERROR(__xludf.DUMMYFUNCTION("IFERROR(
  TEXTJOIN(CHAR(10),TRUE,FILTER('SUMMARY DATA'!E:E,'SUMMARY DATA'!$A:$A=$A699,'SUMMARY DATA'!$C:$C=$B699,'SUMMARY DATA'!$B:$B=""GRP"")),
  IF(
    OR(
      ISNUMBER(SEARCH(""CDM CASH DEPOSIT"",$C699)),
      ISNUMBER(SEARCH(""CASH DEPOSIT"",$C69"&amp;"9)),
      COUNTIFS('SUMMARY DATA'!$D:$D,$C699,'SUMMARY DATA'!$B:$B,""GRP"")&lt;&gt;1
    ),
    """",
    IFERROR(TEXTJOIN(CHAR(10),TRUE,FILTER('SUMMARY DATA'!E:E,'SUMMARY DATA'!$D:$D=$C699,'SUMMARY DATA'!$B:$B=""GRP"")),"""")
  )
)"),"")</f>
      </c>
      <c r="F1598" s="17" t="str">
        <f>IFERROR(__xludf.DUMMYFUNCTION("IFERROR(
  TEXTJOIN(CHAR(10),TRUE,FILTER('SUMMARY DATA'!F:F,'SUMMARY DATA'!$A:$A=$A699,'SUMMARY DATA'!$C:$C=$B699,'SUMMARY DATA'!$B:$B=""GRP"")),
  IF(
    OR(
      ISNUMBER(SEARCH(""CDM CASH DEPOSIT"",$C699)),
      ISNUMBER(SEARCH(""CASH DEPOSIT"",$C69"&amp;"9)),
      COUNTIFS('SUMMARY DATA'!$D:$D,$C699,'SUMMARY DATA'!$B:$B,""GRP"")&lt;&gt;1
    ),
    """",
    IFERROR(TEXTJOIN(CHAR(10),TRUE,FILTER('SUMMARY DATA'!F:F,'SUMMARY DATA'!$D:$D=$C699,'SUMMARY DATA'!$B:$B=""GRP"")),"""")
  )
)"),"")</f>
      </c>
    </row>
    <row r="1599" spans="1:6" customHeight="true">
      <c r="A1599" s="2" t="s">
        <v>2255</v>
      </c>
      <c r="B1599" s="31">
        <v>45880</v>
      </c>
      <c r="C1599" s="2" t="s">
        <v>2256</v>
      </c>
      <c r="D1599" s="6">
        <v>4.74</v>
      </c>
      <c r="E1599" s="16" t="str">
        <f>IFERROR(__xludf.DUMMYFUNCTION("IFERROR(
  TEXTJOIN(CHAR(10),TRUE,FILTER('SUMMARY DATA'!E:E,'SUMMARY DATA'!$A:$A=$A700,'SUMMARY DATA'!$C:$C=$B700,'SUMMARY DATA'!$B:$B=""GRP"")),
  IF(
    OR(
      ISNUMBER(SEARCH(""CDM CASH DEPOSIT"",$C700)),
      ISNUMBER(SEARCH(""CASH DEPOSIT"",$C70"&amp;"0)),
      COUNTIFS('SUMMARY DATA'!$D:$D,$C700,'SUMMARY DATA'!$B:$B,""GRP"")&lt;&gt;1
    ),
    """",
    IFERROR(TEXTJOIN(CHAR(10),TRUE,FILTER('SUMMARY DATA'!E:E,'SUMMARY DATA'!$D:$D=$C700,'SUMMARY DATA'!$B:$B=""GRP"")),"""")
  )
)"),"")</f>
      </c>
      <c r="F1599" s="17" t="str">
        <f>IFERROR(__xludf.DUMMYFUNCTION("IFERROR(
  TEXTJOIN(CHAR(10),TRUE,FILTER('SUMMARY DATA'!F:F,'SUMMARY DATA'!$A:$A=$A700,'SUMMARY DATA'!$C:$C=$B700,'SUMMARY DATA'!$B:$B=""GRP"")),
  IF(
    OR(
      ISNUMBER(SEARCH(""CDM CASH DEPOSIT"",$C700)),
      ISNUMBER(SEARCH(""CASH DEPOSIT"",$C70"&amp;"0)),
      COUNTIFS('SUMMARY DATA'!$D:$D,$C700,'SUMMARY DATA'!$B:$B,""GRP"")&lt;&gt;1
    ),
    """",
    IFERROR(TEXTJOIN(CHAR(10),TRUE,FILTER('SUMMARY DATA'!F:F,'SUMMARY DATA'!$D:$D=$C700,'SUMMARY DATA'!$B:$B=""GRP"")),"""")
  )
)"),"")</f>
      </c>
    </row>
    <row r="1600" spans="1:6" customHeight="true">
      <c r="A1600" s="2" t="s">
        <v>2257</v>
      </c>
      <c r="B1600" s="31">
        <v>45880</v>
      </c>
      <c r="C1600" s="2" t="s">
        <v>420</v>
      </c>
      <c r="D1600" s="6">
        <v>10</v>
      </c>
      <c r="E1600" s="16" t="str">
        <f>IFERROR(__xludf.DUMMYFUNCTION("IFERROR(
  TEXTJOIN(CHAR(10),TRUE,FILTER('SUMMARY DATA'!E:E,'SUMMARY DATA'!$A:$A=$A701,'SUMMARY DATA'!$C:$C=$B701,'SUMMARY DATA'!$B:$B=""GRP"")),
  IF(
    OR(
      ISNUMBER(SEARCH(""CDM CASH DEPOSIT"",$C701)),
      ISNUMBER(SEARCH(""CASH DEPOSIT"",$C70"&amp;"1)),
      COUNTIFS('SUMMARY DATA'!$D:$D,$C701,'SUMMARY DATA'!$B:$B,""GRP"")&lt;&gt;1
    ),
    """",
    IFERROR(TEXTJOIN(CHAR(10),TRUE,FILTER('SUMMARY DATA'!E:E,'SUMMARY DATA'!$D:$D=$C701,'SUMMARY DATA'!$B:$B=""GRP"")),"""")
  )
)"),"")</f>
      </c>
      <c r="F1600" s="17" t="str">
        <f>IFERROR(__xludf.DUMMYFUNCTION("IFERROR(
  TEXTJOIN(CHAR(10),TRUE,FILTER('SUMMARY DATA'!F:F,'SUMMARY DATA'!$A:$A=$A701,'SUMMARY DATA'!$C:$C=$B701,'SUMMARY DATA'!$B:$B=""GRP"")),
  IF(
    OR(
      ISNUMBER(SEARCH(""CDM CASH DEPOSIT"",$C701)),
      ISNUMBER(SEARCH(""CASH DEPOSIT"",$C70"&amp;"1)),
      COUNTIFS('SUMMARY DATA'!$D:$D,$C701,'SUMMARY DATA'!$B:$B,""GRP"")&lt;&gt;1
    ),
    """",
    IFERROR(TEXTJOIN(CHAR(10),TRUE,FILTER('SUMMARY DATA'!F:F,'SUMMARY DATA'!$D:$D=$C701,'SUMMARY DATA'!$B:$B=""GRP"")),"""")
  )
)"),"")</f>
      </c>
    </row>
    <row r="1601" spans="1:6" customHeight="true">
      <c r="A1601" s="2" t="s">
        <v>2258</v>
      </c>
      <c r="B1601" s="31">
        <v>45880</v>
      </c>
      <c r="C1601" s="2" t="s">
        <v>2259</v>
      </c>
      <c r="D1601" s="6">
        <v>10</v>
      </c>
      <c r="E1601" s="16" t="str">
        <f>IFERROR(__xludf.DUMMYFUNCTION("IFERROR(
  TEXTJOIN(CHAR(10),TRUE,FILTER('SUMMARY DATA'!E:E,'SUMMARY DATA'!$A:$A=$A702,'SUMMARY DATA'!$C:$C=$B702,'SUMMARY DATA'!$B:$B=""GRP"")),
  IF(
    OR(
      ISNUMBER(SEARCH(""CDM CASH DEPOSIT"",$C702)),
      ISNUMBER(SEARCH(""CASH DEPOSIT"",$C70"&amp;"2)),
      COUNTIFS('SUMMARY DATA'!$D:$D,$C702,'SUMMARY DATA'!$B:$B,""GRP"")&lt;&gt;1
    ),
    """",
    IFERROR(TEXTJOIN(CHAR(10),TRUE,FILTER('SUMMARY DATA'!E:E,'SUMMARY DATA'!$D:$D=$C702,'SUMMARY DATA'!$B:$B=""GRP"")),"""")
  )
)"),"")</f>
      </c>
      <c r="F1601" s="17" t="str">
        <f>IFERROR(__xludf.DUMMYFUNCTION("IFERROR(
  TEXTJOIN(CHAR(10),TRUE,FILTER('SUMMARY DATA'!F:F,'SUMMARY DATA'!$A:$A=$A702,'SUMMARY DATA'!$C:$C=$B702,'SUMMARY DATA'!$B:$B=""GRP"")),
  IF(
    OR(
      ISNUMBER(SEARCH(""CDM CASH DEPOSIT"",$C702)),
      ISNUMBER(SEARCH(""CASH DEPOSIT"",$C70"&amp;"2)),
      COUNTIFS('SUMMARY DATA'!$D:$D,$C702,'SUMMARY DATA'!$B:$B,""GRP"")&lt;&gt;1
    ),
    """",
    IFERROR(TEXTJOIN(CHAR(10),TRUE,FILTER('SUMMARY DATA'!F:F,'SUMMARY DATA'!$D:$D=$C702,'SUMMARY DATA'!$B:$B=""GRP"")),"""")
  )
)"),"")</f>
      </c>
    </row>
    <row r="1602" spans="1:6" customHeight="true">
      <c r="A1602" s="2" t="s">
        <v>2260</v>
      </c>
      <c r="B1602" s="31">
        <v>45879</v>
      </c>
      <c r="C1602" s="2" t="s">
        <v>2261</v>
      </c>
      <c r="D1602" s="6">
        <v>3.99</v>
      </c>
      <c r="E1602" s="16" t="str">
        <f>IFERROR(__xludf.DUMMYFUNCTION("IFERROR(
  TEXTJOIN(CHAR(10),TRUE,FILTER('SUMMARY DATA'!E:E,'SUMMARY DATA'!$A:$A=$A703,'SUMMARY DATA'!$C:$C=$B703,'SUMMARY DATA'!$B:$B=""GRP"")),
  IF(
    OR(
      ISNUMBER(SEARCH(""CDM CASH DEPOSIT"",$C703)),
      ISNUMBER(SEARCH(""CASH DEPOSIT"",$C70"&amp;"3)),
      COUNTIFS('SUMMARY DATA'!$D:$D,$C703,'SUMMARY DATA'!$B:$B,""GRP"")&lt;&gt;1
    ),
    """",
    IFERROR(TEXTJOIN(CHAR(10),TRUE,FILTER('SUMMARY DATA'!E:E,'SUMMARY DATA'!$D:$D=$C703,'SUMMARY DATA'!$B:$B=""GRP"")),"""")
  )
)"),"")</f>
      </c>
      <c r="F1602" s="17" t="str">
        <f>IFERROR(__xludf.DUMMYFUNCTION("IFERROR(
  TEXTJOIN(CHAR(10),TRUE,FILTER('SUMMARY DATA'!F:F,'SUMMARY DATA'!$A:$A=$A703,'SUMMARY DATA'!$C:$C=$B703,'SUMMARY DATA'!$B:$B=""GRP"")),
  IF(
    OR(
      ISNUMBER(SEARCH(""CDM CASH DEPOSIT"",$C703)),
      ISNUMBER(SEARCH(""CASH DEPOSIT"",$C70"&amp;"3)),
      COUNTIFS('SUMMARY DATA'!$D:$D,$C703,'SUMMARY DATA'!$B:$B,""GRP"")&lt;&gt;1
    ),
    """",
    IFERROR(TEXTJOIN(CHAR(10),TRUE,FILTER('SUMMARY DATA'!F:F,'SUMMARY DATA'!$D:$D=$C703,'SUMMARY DATA'!$B:$B=""GRP"")),"""")
  )
)"),"")</f>
      </c>
    </row>
    <row r="1603" spans="1:6" customHeight="true">
      <c r="A1603" s="2" t="s">
        <v>2262</v>
      </c>
      <c r="B1603" s="31">
        <v>45879</v>
      </c>
      <c r="C1603" s="2" t="s">
        <v>2263</v>
      </c>
      <c r="D1603" s="6">
        <v>150</v>
      </c>
      <c r="E1603" s="16" t="str">
        <f>IFERROR(__xludf.DUMMYFUNCTION("IFERROR(
  TEXTJOIN(CHAR(10),TRUE,FILTER('SUMMARY DATA'!E:E,'SUMMARY DATA'!$A:$A=$A704,'SUMMARY DATA'!$C:$C=$B704,'SUMMARY DATA'!$B:$B=""GRP"")),
  IF(
    OR(
      ISNUMBER(SEARCH(""CDM CASH DEPOSIT"",$C704)),
      ISNUMBER(SEARCH(""CASH DEPOSIT"",$C70"&amp;"4)),
      COUNTIFS('SUMMARY DATA'!$D:$D,$C704,'SUMMARY DATA'!$B:$B,""GRP"")&lt;&gt;1
    ),
    """",
    IFERROR(TEXTJOIN(CHAR(10),TRUE,FILTER('SUMMARY DATA'!E:E,'SUMMARY DATA'!$D:$D=$C704,'SUMMARY DATA'!$B:$B=""GRP"")),"""")
  )
)"),"")</f>
      </c>
      <c r="F1603" s="17" t="str">
        <f>IFERROR(__xludf.DUMMYFUNCTION("IFERROR(
  TEXTJOIN(CHAR(10),TRUE,FILTER('SUMMARY DATA'!F:F,'SUMMARY DATA'!$A:$A=$A704,'SUMMARY DATA'!$C:$C=$B704,'SUMMARY DATA'!$B:$B=""GRP"")),
  IF(
    OR(
      ISNUMBER(SEARCH(""CDM CASH DEPOSIT"",$C704)),
      ISNUMBER(SEARCH(""CASH DEPOSIT"",$C70"&amp;"4)),
      COUNTIFS('SUMMARY DATA'!$D:$D,$C704,'SUMMARY DATA'!$B:$B,""GRP"")&lt;&gt;1
    ),
    """",
    IFERROR(TEXTJOIN(CHAR(10),TRUE,FILTER('SUMMARY DATA'!F:F,'SUMMARY DATA'!$D:$D=$C704,'SUMMARY DATA'!$B:$B=""GRP"")),"""")
  )
)"),"")</f>
      </c>
    </row>
    <row r="1604" spans="1:6" customHeight="true">
      <c r="A1604" s="2" t="s">
        <v>2264</v>
      </c>
      <c r="B1604" s="31">
        <v>45879</v>
      </c>
      <c r="C1604" s="2" t="s">
        <v>2265</v>
      </c>
      <c r="D1604" s="6">
        <v>10</v>
      </c>
      <c r="E1604" s="16" t="str">
        <f>IFERROR(__xludf.DUMMYFUNCTION("IFERROR(
  TEXTJOIN(CHAR(10),TRUE,FILTER('SUMMARY DATA'!E:E,'SUMMARY DATA'!$A:$A=$A705,'SUMMARY DATA'!$C:$C=$B705,'SUMMARY DATA'!$B:$B=""GRP"")),
  IF(
    OR(
      ISNUMBER(SEARCH(""CDM CASH DEPOSIT"",$C705)),
      ISNUMBER(SEARCH(""CASH DEPOSIT"",$C70"&amp;"5)),
      COUNTIFS('SUMMARY DATA'!$D:$D,$C705,'SUMMARY DATA'!$B:$B,""GRP"")&lt;&gt;1
    ),
    """",
    IFERROR(TEXTJOIN(CHAR(10),TRUE,FILTER('SUMMARY DATA'!E:E,'SUMMARY DATA'!$D:$D=$C705,'SUMMARY DATA'!$B:$B=""GRP"")),"""")
  )
)"),"")</f>
      </c>
      <c r="F1604" s="17" t="str">
        <f>IFERROR(__xludf.DUMMYFUNCTION("IFERROR(
  TEXTJOIN(CHAR(10),TRUE,FILTER('SUMMARY DATA'!F:F,'SUMMARY DATA'!$A:$A=$A705,'SUMMARY DATA'!$C:$C=$B705,'SUMMARY DATA'!$B:$B=""GRP"")),
  IF(
    OR(
      ISNUMBER(SEARCH(""CDM CASH DEPOSIT"",$C705)),
      ISNUMBER(SEARCH(""CASH DEPOSIT"",$C70"&amp;"5)),
      COUNTIFS('SUMMARY DATA'!$D:$D,$C705,'SUMMARY DATA'!$B:$B,""GRP"")&lt;&gt;1
    ),
    """",
    IFERROR(TEXTJOIN(CHAR(10),TRUE,FILTER('SUMMARY DATA'!F:F,'SUMMARY DATA'!$D:$D=$C705,'SUMMARY DATA'!$B:$B=""GRP"")),"""")
  )
)"),"")</f>
      </c>
    </row>
    <row r="1605" spans="1:6" customHeight="true">
      <c r="A1605" s="2" t="s">
        <v>2260</v>
      </c>
      <c r="B1605" s="31">
        <v>45879</v>
      </c>
      <c r="C1605" s="2" t="s">
        <v>2261</v>
      </c>
      <c r="D1605" s="6">
        <v>6.45</v>
      </c>
      <c r="E1605" s="16" t="str">
        <f>IFERROR(__xludf.DUMMYFUNCTION("IFERROR(
  TEXTJOIN(CHAR(10),TRUE,FILTER('SUMMARY DATA'!E:E,'SUMMARY DATA'!$A:$A=$A706,'SUMMARY DATA'!$C:$C=$B706,'SUMMARY DATA'!$B:$B=""GRP"")),
  IF(
    OR(
      ISNUMBER(SEARCH(""CDM CASH DEPOSIT"",$C706)),
      ISNUMBER(SEARCH(""CASH DEPOSIT"",$C70"&amp;"6)),
      COUNTIFS('SUMMARY DATA'!$D:$D,$C706,'SUMMARY DATA'!$B:$B,""GRP"")&lt;&gt;1
    ),
    """",
    IFERROR(TEXTJOIN(CHAR(10),TRUE,FILTER('SUMMARY DATA'!E:E,'SUMMARY DATA'!$D:$D=$C706,'SUMMARY DATA'!$B:$B=""GRP"")),"""")
  )
)"),"")</f>
      </c>
      <c r="F1605" s="17" t="str">
        <f>IFERROR(__xludf.DUMMYFUNCTION("IFERROR(
  TEXTJOIN(CHAR(10),TRUE,FILTER('SUMMARY DATA'!F:F,'SUMMARY DATA'!$A:$A=$A706,'SUMMARY DATA'!$C:$C=$B706,'SUMMARY DATA'!$B:$B=""GRP"")),
  IF(
    OR(
      ISNUMBER(SEARCH(""CDM CASH DEPOSIT"",$C706)),
      ISNUMBER(SEARCH(""CASH DEPOSIT"",$C70"&amp;"6)),
      COUNTIFS('SUMMARY DATA'!$D:$D,$C706,'SUMMARY DATA'!$B:$B,""GRP"")&lt;&gt;1
    ),
    """",
    IFERROR(TEXTJOIN(CHAR(10),TRUE,FILTER('SUMMARY DATA'!F:F,'SUMMARY DATA'!$D:$D=$C706,'SUMMARY DATA'!$B:$B=""GRP"")),"""")
  )
)"),"")</f>
      </c>
    </row>
    <row r="1606" spans="1:6" customHeight="true">
      <c r="A1606" s="2" t="s">
        <v>2266</v>
      </c>
      <c r="B1606" s="31">
        <v>45879</v>
      </c>
      <c r="C1606" s="2" t="s">
        <v>2267</v>
      </c>
      <c r="D1606" s="6">
        <v>56.53</v>
      </c>
      <c r="E1606" s="16" t="str">
        <f>IFERROR(__xludf.DUMMYFUNCTION("IFERROR(
  TEXTJOIN(CHAR(10),TRUE,FILTER('SUMMARY DATA'!E:E,'SUMMARY DATA'!$A:$A=$A707,'SUMMARY DATA'!$C:$C=$B707,'SUMMARY DATA'!$B:$B=""GRP"")),
  IF(
    OR(
      ISNUMBER(SEARCH(""CDM CASH DEPOSIT"",$C707)),
      ISNUMBER(SEARCH(""CASH DEPOSIT"",$C70"&amp;"7)),
      COUNTIFS('SUMMARY DATA'!$D:$D,$C707,'SUMMARY DATA'!$B:$B,""GRP"")&lt;&gt;1
    ),
    """",
    IFERROR(TEXTJOIN(CHAR(10),TRUE,FILTER('SUMMARY DATA'!E:E,'SUMMARY DATA'!$D:$D=$C707,'SUMMARY DATA'!$B:$B=""GRP"")),"""")
  )
)"),"")</f>
      </c>
      <c r="F1606" s="17" t="str">
        <f>IFERROR(__xludf.DUMMYFUNCTION("IFERROR(
  TEXTJOIN(CHAR(10),TRUE,FILTER('SUMMARY DATA'!F:F,'SUMMARY DATA'!$A:$A=$A707,'SUMMARY DATA'!$C:$C=$B707,'SUMMARY DATA'!$B:$B=""GRP"")),
  IF(
    OR(
      ISNUMBER(SEARCH(""CDM CASH DEPOSIT"",$C707)),
      ISNUMBER(SEARCH(""CASH DEPOSIT"",$C70"&amp;"7)),
      COUNTIFS('SUMMARY DATA'!$D:$D,$C707,'SUMMARY DATA'!$B:$B,""GRP"")&lt;&gt;1
    ),
    """",
    IFERROR(TEXTJOIN(CHAR(10),TRUE,FILTER('SUMMARY DATA'!F:F,'SUMMARY DATA'!$D:$D=$C707,'SUMMARY DATA'!$B:$B=""GRP"")),"""")
  )
)"),"")</f>
      </c>
    </row>
    <row r="1607" spans="1:6" customHeight="true">
      <c r="A1607" s="2"/>
      <c r="B1607" s="31">
        <v>45879</v>
      </c>
      <c r="C1607" s="2" t="s">
        <v>1191</v>
      </c>
      <c r="D1607" s="6">
        <v>24</v>
      </c>
      <c r="E1607" s="16" t="str">
        <f>IFERROR(__xludf.DUMMYFUNCTION("IFERROR(
  TEXTJOIN(CHAR(10),TRUE,FILTER('SUMMARY DATA'!E:E,'SUMMARY DATA'!$A:$A=$A708,'SUMMARY DATA'!$C:$C=$B708,'SUMMARY DATA'!$B:$B=""GRP"")),
  IF(
    OR(
      ISNUMBER(SEARCH(""CDM CASH DEPOSIT"",$C708)),
      ISNUMBER(SEARCH(""CASH DEPOSIT"",$C70"&amp;"8)),
      COUNTIFS('SUMMARY DATA'!$D:$D,$C708,'SUMMARY DATA'!$B:$B,""GRP"")&lt;&gt;1
    ),
    """",
    IFERROR(TEXTJOIN(CHAR(10),TRUE,FILTER('SUMMARY DATA'!E:E,'SUMMARY DATA'!$D:$D=$C708,'SUMMARY DATA'!$B:$B=""GRP"")),"""")
  )
)"),"")</f>
      </c>
      <c r="F1607" s="17" t="str">
        <f>IFERROR(__xludf.DUMMYFUNCTION("IFERROR(
  TEXTJOIN(CHAR(10),TRUE,FILTER('SUMMARY DATA'!F:F,'SUMMARY DATA'!$A:$A=$A708,'SUMMARY DATA'!$C:$C=$B708,'SUMMARY DATA'!$B:$B=""GRP"")),
  IF(
    OR(
      ISNUMBER(SEARCH(""CDM CASH DEPOSIT"",$C708)),
      ISNUMBER(SEARCH(""CASH DEPOSIT"",$C70"&amp;"8)),
      COUNTIFS('SUMMARY DATA'!$D:$D,$C708,'SUMMARY DATA'!$B:$B,""GRP"")&lt;&gt;1
    ),
    """",
    IFERROR(TEXTJOIN(CHAR(10),TRUE,FILTER('SUMMARY DATA'!F:F,'SUMMARY DATA'!$D:$D=$C708,'SUMMARY DATA'!$B:$B=""GRP"")),"""")
  )
)"),"")</f>
      </c>
    </row>
    <row r="1608" spans="1:6" customHeight="true">
      <c r="A1608" s="2"/>
      <c r="B1608" s="31">
        <v>45878</v>
      </c>
      <c r="C1608" s="2" t="s">
        <v>2268</v>
      </c>
      <c r="D1608" s="6">
        <v>1.7</v>
      </c>
      <c r="E1608" s="16" t="str">
        <f>IFERROR(__xludf.DUMMYFUNCTION("IFERROR(
  TEXTJOIN(CHAR(10),TRUE,FILTER('SUMMARY DATA'!E:E,'SUMMARY DATA'!$A:$A=$A709,'SUMMARY DATA'!$C:$C=$B709,'SUMMARY DATA'!$B:$B=""GRP"")),
  IF(
    OR(
      ISNUMBER(SEARCH(""CDM CASH DEPOSIT"",$C709)),
      ISNUMBER(SEARCH(""CASH DEPOSIT"",$C70"&amp;"9)),
      COUNTIFS('SUMMARY DATA'!$D:$D,$C709,'SUMMARY DATA'!$B:$B,""GRP"")&lt;&gt;1
    ),
    """",
    IFERROR(TEXTJOIN(CHAR(10),TRUE,FILTER('SUMMARY DATA'!E:E,'SUMMARY DATA'!$D:$D=$C709,'SUMMARY DATA'!$B:$B=""GRP"")),"""")
  )
)"),"")</f>
      </c>
      <c r="F1608" s="17" t="str">
        <f>IFERROR(__xludf.DUMMYFUNCTION("IFERROR(
  TEXTJOIN(CHAR(10),TRUE,FILTER('SUMMARY DATA'!F:F,'SUMMARY DATA'!$A:$A=$A709,'SUMMARY DATA'!$C:$C=$B709,'SUMMARY DATA'!$B:$B=""GRP"")),
  IF(
    OR(
      ISNUMBER(SEARCH(""CDM CASH DEPOSIT"",$C709)),
      ISNUMBER(SEARCH(""CASH DEPOSIT"",$C70"&amp;"9)),
      COUNTIFS('SUMMARY DATA'!$D:$D,$C709,'SUMMARY DATA'!$B:$B,""GRP"")&lt;&gt;1
    ),
    """",
    IFERROR(TEXTJOIN(CHAR(10),TRUE,FILTER('SUMMARY DATA'!F:F,'SUMMARY DATA'!$D:$D=$C709,'SUMMARY DATA'!$B:$B=""GRP"")),"""")
  )
)"),"")</f>
      </c>
    </row>
    <row r="1609" spans="1:6" customHeight="true">
      <c r="A1609" s="2" t="s">
        <v>2260</v>
      </c>
      <c r="B1609" s="31">
        <v>45878</v>
      </c>
      <c r="C1609" s="2" t="s">
        <v>2261</v>
      </c>
      <c r="D1609" s="6">
        <v>13.47</v>
      </c>
      <c r="E1609" s="16" t="str">
        <f>IFERROR(__xludf.DUMMYFUNCTION("IFERROR(
  TEXTJOIN(CHAR(10),TRUE,FILTER('SUMMARY DATA'!E:E,'SUMMARY DATA'!$A:$A=$A710,'SUMMARY DATA'!$C:$C=$B710,'SUMMARY DATA'!$B:$B=""GRP"")),
  IF(
    OR(
      ISNUMBER(SEARCH(""CDM CASH DEPOSIT"",$C710)),
      ISNUMBER(SEARCH(""CASH DEPOSIT"",$C71"&amp;"0)),
      COUNTIFS('SUMMARY DATA'!$D:$D,$C710,'SUMMARY DATA'!$B:$B,""GRP"")&lt;&gt;1
    ),
    """",
    IFERROR(TEXTJOIN(CHAR(10),TRUE,FILTER('SUMMARY DATA'!E:E,'SUMMARY DATA'!$D:$D=$C710,'SUMMARY DATA'!$B:$B=""GRP"")),"""")
  )
)"),"")</f>
      </c>
      <c r="F1609" s="17" t="str">
        <f>IFERROR(__xludf.DUMMYFUNCTION("IFERROR(
  TEXTJOIN(CHAR(10),TRUE,FILTER('SUMMARY DATA'!F:F,'SUMMARY DATA'!$A:$A=$A710,'SUMMARY DATA'!$C:$C=$B710,'SUMMARY DATA'!$B:$B=""GRP"")),
  IF(
    OR(
      ISNUMBER(SEARCH(""CDM CASH DEPOSIT"",$C710)),
      ISNUMBER(SEARCH(""CASH DEPOSIT"",$C71"&amp;"0)),
      COUNTIFS('SUMMARY DATA'!$D:$D,$C710,'SUMMARY DATA'!$B:$B,""GRP"")&lt;&gt;1
    ),
    """",
    IFERROR(TEXTJOIN(CHAR(10),TRUE,FILTER('SUMMARY DATA'!F:F,'SUMMARY DATA'!$D:$D=$C710,'SUMMARY DATA'!$B:$B=""GRP"")),"""")
  )
)"),"")</f>
      </c>
    </row>
    <row r="1610" spans="1:6" customHeight="true">
      <c r="A1610" s="2"/>
      <c r="B1610" s="31">
        <v>45878</v>
      </c>
      <c r="C1610" s="2" t="s">
        <v>2269</v>
      </c>
      <c r="D1610" s="6">
        <v>139.45</v>
      </c>
      <c r="E1610" s="16" t="str">
        <f>IFERROR(__xludf.DUMMYFUNCTION("IFERROR(
  TEXTJOIN(CHAR(10),TRUE,FILTER('SUMMARY DATA'!E:E,'SUMMARY DATA'!$A:$A=$A711,'SUMMARY DATA'!$C:$C=$B711,'SUMMARY DATA'!$B:$B=""GRP"")),
  IF(
    OR(
      ISNUMBER(SEARCH(""CDM CASH DEPOSIT"",$C711)),
      ISNUMBER(SEARCH(""CASH DEPOSIT"",$C71"&amp;"1)),
      COUNTIFS('SUMMARY DATA'!$D:$D,$C711,'SUMMARY DATA'!$B:$B,""GRP"")&lt;&gt;1
    ),
    """",
    IFERROR(TEXTJOIN(CHAR(10),TRUE,FILTER('SUMMARY DATA'!E:E,'SUMMARY DATA'!$D:$D=$C711,'SUMMARY DATA'!$B:$B=""GRP"")),"""")
  )
)"),"")</f>
      </c>
      <c r="F1610" s="17" t="str">
        <f>IFERROR(__xludf.DUMMYFUNCTION("IFERROR(
  TEXTJOIN(CHAR(10),TRUE,FILTER('SUMMARY DATA'!F:F,'SUMMARY DATA'!$A:$A=$A711,'SUMMARY DATA'!$C:$C=$B711,'SUMMARY DATA'!$B:$B=""GRP"")),
  IF(
    OR(
      ISNUMBER(SEARCH(""CDM CASH DEPOSIT"",$C711)),
      ISNUMBER(SEARCH(""CASH DEPOSIT"",$C71"&amp;"1)),
      COUNTIFS('SUMMARY DATA'!$D:$D,$C711,'SUMMARY DATA'!$B:$B,""GRP"")&lt;&gt;1
    ),
    """",
    IFERROR(TEXTJOIN(CHAR(10),TRUE,FILTER('SUMMARY DATA'!F:F,'SUMMARY DATA'!$D:$D=$C711,'SUMMARY DATA'!$B:$B=""GRP"")),"""")
  )
)"),"")</f>
      </c>
    </row>
    <row r="1611" spans="1:6" customHeight="true">
      <c r="A1611" s="2"/>
      <c r="B1611" s="31">
        <v>45878</v>
      </c>
      <c r="C1611" s="2" t="s">
        <v>2270</v>
      </c>
      <c r="D1611" s="6">
        <v>6</v>
      </c>
      <c r="E1611" s="16" t="str">
        <f>IFERROR(__xludf.DUMMYFUNCTION("IFERROR(
  TEXTJOIN(CHAR(10),TRUE,FILTER('SUMMARY DATA'!E:E,'SUMMARY DATA'!$A:$A=$A712,'SUMMARY DATA'!$C:$C=$B712,'SUMMARY DATA'!$B:$B=""GRP"")),
  IF(
    OR(
      ISNUMBER(SEARCH(""CDM CASH DEPOSIT"",$C712)),
      ISNUMBER(SEARCH(""CASH DEPOSIT"",$C71"&amp;"2)),
      COUNTIFS('SUMMARY DATA'!$D:$D,$C712,'SUMMARY DATA'!$B:$B,""GRP"")&lt;&gt;1
    ),
    """",
    IFERROR(TEXTJOIN(CHAR(10),TRUE,FILTER('SUMMARY DATA'!E:E,'SUMMARY DATA'!$D:$D=$C712,'SUMMARY DATA'!$B:$B=""GRP"")),"""")
  )
)"),"")</f>
      </c>
      <c r="F1611" s="17" t="str">
        <f>IFERROR(__xludf.DUMMYFUNCTION("IFERROR(
  TEXTJOIN(CHAR(10),TRUE,FILTER('SUMMARY DATA'!F:F,'SUMMARY DATA'!$A:$A=$A712,'SUMMARY DATA'!$C:$C=$B712,'SUMMARY DATA'!$B:$B=""GRP"")),
  IF(
    OR(
      ISNUMBER(SEARCH(""CDM CASH DEPOSIT"",$C712)),
      ISNUMBER(SEARCH(""CASH DEPOSIT"",$C71"&amp;"2)),
      COUNTIFS('SUMMARY DATA'!$D:$D,$C712,'SUMMARY DATA'!$B:$B,""GRP"")&lt;&gt;1
    ),
    """",
    IFERROR(TEXTJOIN(CHAR(10),TRUE,FILTER('SUMMARY DATA'!F:F,'SUMMARY DATA'!$D:$D=$C712,'SUMMARY DATA'!$B:$B=""GRP"")),"""")
  )
)"),"")</f>
      </c>
    </row>
    <row r="1612" spans="1:6" customHeight="true">
      <c r="A1612" s="2" t="s">
        <v>2271</v>
      </c>
      <c r="B1612" s="31">
        <v>45878</v>
      </c>
      <c r="C1612" s="2" t="s">
        <v>2272</v>
      </c>
      <c r="D1612" s="6">
        <v>10</v>
      </c>
      <c r="E1612" s="16" t="str">
        <f>IFERROR(__xludf.DUMMYFUNCTION("IFERROR(
  TEXTJOIN(CHAR(10),TRUE,FILTER('SUMMARY DATA'!E:E,'SUMMARY DATA'!$A:$A=$A713,'SUMMARY DATA'!$C:$C=$B713,'SUMMARY DATA'!$B:$B=""GRP"")),
  IF(
    OR(
      ISNUMBER(SEARCH(""CDM CASH DEPOSIT"",$C713)),
      ISNUMBER(SEARCH(""CASH DEPOSIT"",$C71"&amp;"3)),
      COUNTIFS('SUMMARY DATA'!$D:$D,$C713,'SUMMARY DATA'!$B:$B,""GRP"")&lt;&gt;1
    ),
    """",
    IFERROR(TEXTJOIN(CHAR(10),TRUE,FILTER('SUMMARY DATA'!E:E,'SUMMARY DATA'!$D:$D=$C713,'SUMMARY DATA'!$B:$B=""GRP"")),"""")
  )
)"),"")</f>
      </c>
      <c r="F1612" s="17" t="str">
        <f>IFERROR(__xludf.DUMMYFUNCTION("IFERROR(
  TEXTJOIN(CHAR(10),TRUE,FILTER('SUMMARY DATA'!F:F,'SUMMARY DATA'!$A:$A=$A713,'SUMMARY DATA'!$C:$C=$B713,'SUMMARY DATA'!$B:$B=""GRP"")),
  IF(
    OR(
      ISNUMBER(SEARCH(""CDM CASH DEPOSIT"",$C713)),
      ISNUMBER(SEARCH(""CASH DEPOSIT"",$C71"&amp;"3)),
      COUNTIFS('SUMMARY DATA'!$D:$D,$C713,'SUMMARY DATA'!$B:$B,""GRP"")&lt;&gt;1
    ),
    """",
    IFERROR(TEXTJOIN(CHAR(10),TRUE,FILTER('SUMMARY DATA'!F:F,'SUMMARY DATA'!$D:$D=$C713,'SUMMARY DATA'!$B:$B=""GRP"")),"""")
  )
)"),"")</f>
      </c>
    </row>
    <row r="1613" spans="1:6" customHeight="true">
      <c r="A1613" s="2"/>
      <c r="B1613" s="31">
        <v>45877</v>
      </c>
      <c r="C1613" s="2" t="s">
        <v>2273</v>
      </c>
      <c r="D1613" s="6">
        <v>11.97</v>
      </c>
      <c r="E1613" s="16" t="str">
        <f>IFERROR(__xludf.DUMMYFUNCTION("IFERROR(
  TEXTJOIN(CHAR(10),TRUE,FILTER('SUMMARY DATA'!E:E,'SUMMARY DATA'!$A:$A=$A714,'SUMMARY DATA'!$C:$C=$B714,'SUMMARY DATA'!$B:$B=""GRP"")),
  IF(
    OR(
      ISNUMBER(SEARCH(""CDM CASH DEPOSIT"",$C714)),
      ISNUMBER(SEARCH(""CASH DEPOSIT"",$C71"&amp;"4)),
      COUNTIFS('SUMMARY DATA'!$D:$D,$C714,'SUMMARY DATA'!$B:$B,""GRP"")&lt;&gt;1
    ),
    """",
    IFERROR(TEXTJOIN(CHAR(10),TRUE,FILTER('SUMMARY DATA'!E:E,'SUMMARY DATA'!$D:$D=$C714,'SUMMARY DATA'!$B:$B=""GRP"")),"""")
  )
)"),"")</f>
      </c>
      <c r="F1613" s="17" t="str">
        <f>IFERROR(__xludf.DUMMYFUNCTION("IFERROR(
  TEXTJOIN(CHAR(10),TRUE,FILTER('SUMMARY DATA'!F:F,'SUMMARY DATA'!$A:$A=$A714,'SUMMARY DATA'!$C:$C=$B714,'SUMMARY DATA'!$B:$B=""GRP"")),
  IF(
    OR(
      ISNUMBER(SEARCH(""CDM CASH DEPOSIT"",$C714)),
      ISNUMBER(SEARCH(""CASH DEPOSIT"",$C71"&amp;"4)),
      COUNTIFS('SUMMARY DATA'!$D:$D,$C714,'SUMMARY DATA'!$B:$B,""GRP"")&lt;&gt;1
    ),
    """",
    IFERROR(TEXTJOIN(CHAR(10),TRUE,FILTER('SUMMARY DATA'!F:F,'SUMMARY DATA'!$D:$D=$C714,'SUMMARY DATA'!$B:$B=""GRP"")),"""")
  )
)"),"")</f>
      </c>
    </row>
    <row r="1614" spans="1:6" customHeight="true">
      <c r="A1614" s="2" t="s">
        <v>2274</v>
      </c>
      <c r="B1614" s="31">
        <v>45877</v>
      </c>
      <c r="C1614" s="2" t="s">
        <v>2275</v>
      </c>
      <c r="D1614" s="6">
        <v>142.28</v>
      </c>
      <c r="E1614" s="16" t="str">
        <f>IFERROR(__xludf.DUMMYFUNCTION("IFERROR(
  TEXTJOIN(CHAR(10),TRUE,FILTER('SUMMARY DATA'!E:E,'SUMMARY DATA'!$A:$A=$A715,'SUMMARY DATA'!$C:$C=$B715,'SUMMARY DATA'!$B:$B=""GRP"")),
  IF(
    OR(
      ISNUMBER(SEARCH(""CDM CASH DEPOSIT"",$C715)),
      ISNUMBER(SEARCH(""CASH DEPOSIT"",$C71"&amp;"5)),
      COUNTIFS('SUMMARY DATA'!$D:$D,$C715,'SUMMARY DATA'!$B:$B,""GRP"")&lt;&gt;1
    ),
    """",
    IFERROR(TEXTJOIN(CHAR(10),TRUE,FILTER('SUMMARY DATA'!E:E,'SUMMARY DATA'!$D:$D=$C715,'SUMMARY DATA'!$B:$B=""GRP"")),"""")
  )
)"),"")</f>
      </c>
      <c r="F1614" s="17" t="str">
        <f>IFERROR(__xludf.DUMMYFUNCTION("IFERROR(
  TEXTJOIN(CHAR(10),TRUE,FILTER('SUMMARY DATA'!F:F,'SUMMARY DATA'!$A:$A=$A715,'SUMMARY DATA'!$C:$C=$B715,'SUMMARY DATA'!$B:$B=""GRP"")),
  IF(
    OR(
      ISNUMBER(SEARCH(""CDM CASH DEPOSIT"",$C715)),
      ISNUMBER(SEARCH(""CASH DEPOSIT"",$C71"&amp;"5)),
      COUNTIFS('SUMMARY DATA'!$D:$D,$C715,'SUMMARY DATA'!$B:$B,""GRP"")&lt;&gt;1
    ),
    """",
    IFERROR(TEXTJOIN(CHAR(10),TRUE,FILTER('SUMMARY DATA'!F:F,'SUMMARY DATA'!$D:$D=$C715,'SUMMARY DATA'!$B:$B=""GRP"")),"""")
  )
)"),"")</f>
      </c>
    </row>
    <row r="1615" spans="1:6" customHeight="true">
      <c r="A1615" s="2"/>
      <c r="B1615" s="31">
        <v>45877</v>
      </c>
      <c r="C1615" s="2" t="s">
        <v>2276</v>
      </c>
      <c r="D1615" s="6">
        <v>18</v>
      </c>
      <c r="E1615" s="16" t="str">
        <f>IFERROR(__xludf.DUMMYFUNCTION("IFERROR(
  TEXTJOIN(CHAR(10),TRUE,FILTER('SUMMARY DATA'!E:E,'SUMMARY DATA'!$A:$A=$A716,'SUMMARY DATA'!$C:$C=$B716,'SUMMARY DATA'!$B:$B=""GRP"")),
  IF(
    OR(
      ISNUMBER(SEARCH(""CDM CASH DEPOSIT"",$C716)),
      ISNUMBER(SEARCH(""CASH DEPOSIT"",$C71"&amp;"6)),
      COUNTIFS('SUMMARY DATA'!$D:$D,$C716,'SUMMARY DATA'!$B:$B,""GRP"")&lt;&gt;1
    ),
    """",
    IFERROR(TEXTJOIN(CHAR(10),TRUE,FILTER('SUMMARY DATA'!E:E,'SUMMARY DATA'!$D:$D=$C716,'SUMMARY DATA'!$B:$B=""GRP"")),"""")
  )
)"),"")</f>
      </c>
      <c r="F1615" s="17" t="str">
        <f>IFERROR(__xludf.DUMMYFUNCTION("IFERROR(
  TEXTJOIN(CHAR(10),TRUE,FILTER('SUMMARY DATA'!F:F,'SUMMARY DATA'!$A:$A=$A716,'SUMMARY DATA'!$C:$C=$B716,'SUMMARY DATA'!$B:$B=""GRP"")),
  IF(
    OR(
      ISNUMBER(SEARCH(""CDM CASH DEPOSIT"",$C716)),
      ISNUMBER(SEARCH(""CASH DEPOSIT"",$C71"&amp;"6)),
      COUNTIFS('SUMMARY DATA'!$D:$D,$C716,'SUMMARY DATA'!$B:$B,""GRP"")&lt;&gt;1
    ),
    """",
    IFERROR(TEXTJOIN(CHAR(10),TRUE,FILTER('SUMMARY DATA'!F:F,'SUMMARY DATA'!$D:$D=$C716,'SUMMARY DATA'!$B:$B=""GRP"")),"""")
  )
)"),"")</f>
      </c>
    </row>
    <row r="1616" spans="1:6" customHeight="true">
      <c r="A1616" s="2"/>
      <c r="B1616" s="31">
        <v>45877</v>
      </c>
      <c r="C1616" s="2" t="s">
        <v>2277</v>
      </c>
      <c r="D1616" s="6">
        <v>6.9</v>
      </c>
      <c r="E1616" s="16" t="str">
        <f>IFERROR(__xludf.DUMMYFUNCTION("IFERROR(
  TEXTJOIN(CHAR(10),TRUE,FILTER('SUMMARY DATA'!E:E,'SUMMARY DATA'!$A:$A=$A717,'SUMMARY DATA'!$C:$C=$B717,'SUMMARY DATA'!$B:$B=""GRP"")),
  IF(
    OR(
      ISNUMBER(SEARCH(""CDM CASH DEPOSIT"",$C717)),
      ISNUMBER(SEARCH(""CASH DEPOSIT"",$C71"&amp;"7)),
      COUNTIFS('SUMMARY DATA'!$D:$D,$C717,'SUMMARY DATA'!$B:$B,""GRP"")&lt;&gt;1
    ),
    """",
    IFERROR(TEXTJOIN(CHAR(10),TRUE,FILTER('SUMMARY DATA'!E:E,'SUMMARY DATA'!$D:$D=$C717,'SUMMARY DATA'!$B:$B=""GRP"")),"""")
  )
)"),"")</f>
      </c>
      <c r="F1616" s="17" t="str">
        <f>IFERROR(__xludf.DUMMYFUNCTION("IFERROR(
  TEXTJOIN(CHAR(10),TRUE,FILTER('SUMMARY DATA'!F:F,'SUMMARY DATA'!$A:$A=$A717,'SUMMARY DATA'!$C:$C=$B717,'SUMMARY DATA'!$B:$B=""GRP"")),
  IF(
    OR(
      ISNUMBER(SEARCH(""CDM CASH DEPOSIT"",$C717)),
      ISNUMBER(SEARCH(""CASH DEPOSIT"",$C71"&amp;"7)),
      COUNTIFS('SUMMARY DATA'!$D:$D,$C717,'SUMMARY DATA'!$B:$B,""GRP"")&lt;&gt;1
    ),
    """",
    IFERROR(TEXTJOIN(CHAR(10),TRUE,FILTER('SUMMARY DATA'!F:F,'SUMMARY DATA'!$D:$D=$C717,'SUMMARY DATA'!$B:$B=""GRP"")),"""")
  )
)"),"")</f>
      </c>
    </row>
    <row r="1617" spans="1:6" customHeight="true">
      <c r="A1617" s="2"/>
      <c r="B1617" s="31">
        <v>45877</v>
      </c>
      <c r="C1617" s="2" t="s">
        <v>2277</v>
      </c>
      <c r="D1617" s="6">
        <v>33.78</v>
      </c>
      <c r="E1617" s="16" t="str">
        <f>IFERROR(__xludf.DUMMYFUNCTION("IFERROR(
  TEXTJOIN(CHAR(10),TRUE,FILTER('SUMMARY DATA'!E:E,'SUMMARY DATA'!$A:$A=$A718,'SUMMARY DATA'!$C:$C=$B718,'SUMMARY DATA'!$B:$B=""GRP"")),
  IF(
    OR(
      ISNUMBER(SEARCH(""CDM CASH DEPOSIT"",$C718)),
      ISNUMBER(SEARCH(""CASH DEPOSIT"",$C71"&amp;"8)),
      COUNTIFS('SUMMARY DATA'!$D:$D,$C718,'SUMMARY DATA'!$B:$B,""GRP"")&lt;&gt;1
    ),
    """",
    IFERROR(TEXTJOIN(CHAR(10),TRUE,FILTER('SUMMARY DATA'!E:E,'SUMMARY DATA'!$D:$D=$C718,'SUMMARY DATA'!$B:$B=""GRP"")),"""")
  )
)"),"")</f>
      </c>
      <c r="F1617" s="17" t="str">
        <f>IFERROR(__xludf.DUMMYFUNCTION("IFERROR(
  TEXTJOIN(CHAR(10),TRUE,FILTER('SUMMARY DATA'!F:F,'SUMMARY DATA'!$A:$A=$A718,'SUMMARY DATA'!$C:$C=$B718,'SUMMARY DATA'!$B:$B=""GRP"")),
  IF(
    OR(
      ISNUMBER(SEARCH(""CDM CASH DEPOSIT"",$C718)),
      ISNUMBER(SEARCH(""CASH DEPOSIT"",$C71"&amp;"8)),
      COUNTIFS('SUMMARY DATA'!$D:$D,$C718,'SUMMARY DATA'!$B:$B,""GRP"")&lt;&gt;1
    ),
    """",
    IFERROR(TEXTJOIN(CHAR(10),TRUE,FILTER('SUMMARY DATA'!F:F,'SUMMARY DATA'!$D:$D=$C718,'SUMMARY DATA'!$B:$B=""GRP"")),"""")
  )
)"),"")</f>
      </c>
    </row>
    <row r="1618" spans="1:6" customHeight="true">
      <c r="A1618" s="2"/>
      <c r="B1618" s="31">
        <v>45877</v>
      </c>
      <c r="C1618" s="2" t="s">
        <v>1191</v>
      </c>
      <c r="D1618" s="6">
        <v>20</v>
      </c>
      <c r="E1618" s="16" t="str">
        <f>IFERROR(__xludf.DUMMYFUNCTION("IFERROR(
  TEXTJOIN(CHAR(10),TRUE,FILTER('SUMMARY DATA'!E:E,'SUMMARY DATA'!$A:$A=$A719,'SUMMARY DATA'!$C:$C=$B719,'SUMMARY DATA'!$B:$B=""GRP"")),
  IF(
    OR(
      ISNUMBER(SEARCH(""CDM CASH DEPOSIT"",$C719)),
      ISNUMBER(SEARCH(""CASH DEPOSIT"",$C71"&amp;"9)),
      COUNTIFS('SUMMARY DATA'!$D:$D,$C719,'SUMMARY DATA'!$B:$B,""GRP"")&lt;&gt;1
    ),
    """",
    IFERROR(TEXTJOIN(CHAR(10),TRUE,FILTER('SUMMARY DATA'!E:E,'SUMMARY DATA'!$D:$D=$C719,'SUMMARY DATA'!$B:$B=""GRP"")),"""")
  )
)"),"")</f>
      </c>
      <c r="F1618" s="17" t="str">
        <f>IFERROR(__xludf.DUMMYFUNCTION("IFERROR(
  TEXTJOIN(CHAR(10),TRUE,FILTER('SUMMARY DATA'!F:F,'SUMMARY DATA'!$A:$A=$A719,'SUMMARY DATA'!$C:$C=$B719,'SUMMARY DATA'!$B:$B=""GRP"")),
  IF(
    OR(
      ISNUMBER(SEARCH(""CDM CASH DEPOSIT"",$C719)),
      ISNUMBER(SEARCH(""CASH DEPOSIT"",$C71"&amp;"9)),
      COUNTIFS('SUMMARY DATA'!$D:$D,$C719,'SUMMARY DATA'!$B:$B,""GRP"")&lt;&gt;1
    ),
    """",
    IFERROR(TEXTJOIN(CHAR(10),TRUE,FILTER('SUMMARY DATA'!F:F,'SUMMARY DATA'!$D:$D=$C719,'SUMMARY DATA'!$B:$B=""GRP"")),"""")
  )
)"),"")</f>
      </c>
    </row>
    <row r="1619" spans="1:6" customHeight="true">
      <c r="A1619" s="2"/>
      <c r="B1619" s="31">
        <v>45877</v>
      </c>
      <c r="C1619" s="2" t="s">
        <v>2278</v>
      </c>
      <c r="D1619" s="6">
        <v>61.26</v>
      </c>
      <c r="E1619" s="16" t="str">
        <f>IFERROR(__xludf.DUMMYFUNCTION("IFERROR(
  TEXTJOIN(CHAR(10),TRUE,FILTER('SUMMARY DATA'!E:E,'SUMMARY DATA'!$A:$A=$A720,'SUMMARY DATA'!$C:$C=$B720,'SUMMARY DATA'!$B:$B=""GRP"")),
  IF(
    OR(
      ISNUMBER(SEARCH(""CDM CASH DEPOSIT"",$C720)),
      ISNUMBER(SEARCH(""CASH DEPOSIT"",$C72"&amp;"0)),
      COUNTIFS('SUMMARY DATA'!$D:$D,$C720,'SUMMARY DATA'!$B:$B,""GRP"")&lt;&gt;1
    ),
    """",
    IFERROR(TEXTJOIN(CHAR(10),TRUE,FILTER('SUMMARY DATA'!E:E,'SUMMARY DATA'!$D:$D=$C720,'SUMMARY DATA'!$B:$B=""GRP"")),"""")
  )
)"),"")</f>
      </c>
      <c r="F1619" s="17" t="str">
        <f>IFERROR(__xludf.DUMMYFUNCTION("IFERROR(
  TEXTJOIN(CHAR(10),TRUE,FILTER('SUMMARY DATA'!F:F,'SUMMARY DATA'!$A:$A=$A720,'SUMMARY DATA'!$C:$C=$B720,'SUMMARY DATA'!$B:$B=""GRP"")),
  IF(
    OR(
      ISNUMBER(SEARCH(""CDM CASH DEPOSIT"",$C720)),
      ISNUMBER(SEARCH(""CASH DEPOSIT"",$C72"&amp;"0)),
      COUNTIFS('SUMMARY DATA'!$D:$D,$C720,'SUMMARY DATA'!$B:$B,""GRP"")&lt;&gt;1
    ),
    """",
    IFERROR(TEXTJOIN(CHAR(10),TRUE,FILTER('SUMMARY DATA'!F:F,'SUMMARY DATA'!$D:$D=$C720,'SUMMARY DATA'!$B:$B=""GRP"")),"""")
  )
)"),"")</f>
      </c>
    </row>
    <row r="1620" spans="1:6" customHeight="true">
      <c r="A1620" s="2" t="s">
        <v>2279</v>
      </c>
      <c r="B1620" s="31">
        <v>45877</v>
      </c>
      <c r="C1620" s="2" t="s">
        <v>2280</v>
      </c>
      <c r="D1620" s="6">
        <v>164.99</v>
      </c>
      <c r="E1620" s="16" t="str">
        <f>IFERROR(__xludf.DUMMYFUNCTION("IFERROR(
  TEXTJOIN(CHAR(10),TRUE,FILTER('SUMMARY DATA'!E:E,'SUMMARY DATA'!$A:$A=$A721,'SUMMARY DATA'!$C:$C=$B721,'SUMMARY DATA'!$B:$B=""GRP"")),
  IF(
    OR(
      ISNUMBER(SEARCH(""CDM CASH DEPOSIT"",$C721)),
      ISNUMBER(SEARCH(""CASH DEPOSIT"",$C72"&amp;"1)),
      COUNTIFS('SUMMARY DATA'!$D:$D,$C721,'SUMMARY DATA'!$B:$B,""GRP"")&lt;&gt;1
    ),
    """",
    IFERROR(TEXTJOIN(CHAR(10),TRUE,FILTER('SUMMARY DATA'!E:E,'SUMMARY DATA'!$D:$D=$C721,'SUMMARY DATA'!$B:$B=""GRP"")),"""")
  )
)"),"")</f>
      </c>
      <c r="F1620" s="17" t="str">
        <f>IFERROR(__xludf.DUMMYFUNCTION("IFERROR(
  TEXTJOIN(CHAR(10),TRUE,FILTER('SUMMARY DATA'!F:F,'SUMMARY DATA'!$A:$A=$A721,'SUMMARY DATA'!$C:$C=$B721,'SUMMARY DATA'!$B:$B=""GRP"")),
  IF(
    OR(
      ISNUMBER(SEARCH(""CDM CASH DEPOSIT"",$C721)),
      ISNUMBER(SEARCH(""CASH DEPOSIT"",$C72"&amp;"1)),
      COUNTIFS('SUMMARY DATA'!$D:$D,$C721,'SUMMARY DATA'!$B:$B,""GRP"")&lt;&gt;1
    ),
    """",
    IFERROR(TEXTJOIN(CHAR(10),TRUE,FILTER('SUMMARY DATA'!F:F,'SUMMARY DATA'!$D:$D=$C721,'SUMMARY DATA'!$B:$B=""GRP"")),"""")
  )
)"),"")</f>
      </c>
    </row>
    <row r="1621" spans="1:6" customHeight="true">
      <c r="A1621" s="2" t="s">
        <v>2281</v>
      </c>
      <c r="B1621" s="31">
        <v>45877</v>
      </c>
      <c r="C1621" s="2" t="s">
        <v>2282</v>
      </c>
      <c r="D1621" s="6">
        <v>17</v>
      </c>
      <c r="E1621" s="16" t="str">
        <f>IFERROR(__xludf.DUMMYFUNCTION("IFERROR(
  TEXTJOIN(CHAR(10),TRUE,FILTER('SUMMARY DATA'!E:E,'SUMMARY DATA'!$A:$A=$A722,'SUMMARY DATA'!$C:$C=$B722,'SUMMARY DATA'!$B:$B=""GRP"")),
  IF(
    OR(
      ISNUMBER(SEARCH(""CDM CASH DEPOSIT"",$C722)),
      ISNUMBER(SEARCH(""CASH DEPOSIT"",$C72"&amp;"2)),
      COUNTIFS('SUMMARY DATA'!$D:$D,$C722,'SUMMARY DATA'!$B:$B,""GRP"")&lt;&gt;1
    ),
    """",
    IFERROR(TEXTJOIN(CHAR(10),TRUE,FILTER('SUMMARY DATA'!E:E,'SUMMARY DATA'!$D:$D=$C722,'SUMMARY DATA'!$B:$B=""GRP"")),"""")
  )
)"),"")</f>
      </c>
      <c r="F1621" s="17" t="str">
        <f>IFERROR(__xludf.DUMMYFUNCTION("IFERROR(
  TEXTJOIN(CHAR(10),TRUE,FILTER('SUMMARY DATA'!F:F,'SUMMARY DATA'!$A:$A=$A722,'SUMMARY DATA'!$C:$C=$B722,'SUMMARY DATA'!$B:$B=""GRP"")),
  IF(
    OR(
      ISNUMBER(SEARCH(""CDM CASH DEPOSIT"",$C722)),
      ISNUMBER(SEARCH(""CASH DEPOSIT"",$C72"&amp;"2)),
      COUNTIFS('SUMMARY DATA'!$D:$D,$C722,'SUMMARY DATA'!$B:$B,""GRP"")&lt;&gt;1
    ),
    """",
    IFERROR(TEXTJOIN(CHAR(10),TRUE,FILTER('SUMMARY DATA'!F:F,'SUMMARY DATA'!$D:$D=$C722,'SUMMARY DATA'!$B:$B=""GRP"")),"""")
  )
)"),"")</f>
      </c>
    </row>
    <row r="1622" spans="1:6" customHeight="true">
      <c r="A1622" s="2"/>
      <c r="B1622" s="31">
        <v>45877</v>
      </c>
      <c r="C1622" s="2" t="s">
        <v>2283</v>
      </c>
      <c r="D1622" s="6">
        <v>49.9</v>
      </c>
      <c r="E1622" s="16" t="str">
        <f>IFERROR(__xludf.DUMMYFUNCTION("IFERROR(
  TEXTJOIN(CHAR(10),TRUE,FILTER('SUMMARY DATA'!E:E,'SUMMARY DATA'!$A:$A=$A723,'SUMMARY DATA'!$C:$C=$B723,'SUMMARY DATA'!$B:$B=""GRP"")),
  IF(
    OR(
      ISNUMBER(SEARCH(""CDM CASH DEPOSIT"",$C723)),
      ISNUMBER(SEARCH(""CASH DEPOSIT"",$C72"&amp;"3)),
      COUNTIFS('SUMMARY DATA'!$D:$D,$C723,'SUMMARY DATA'!$B:$B,""GRP"")&lt;&gt;1
    ),
    """",
    IFERROR(TEXTJOIN(CHAR(10),TRUE,FILTER('SUMMARY DATA'!E:E,'SUMMARY DATA'!$D:$D=$C723,'SUMMARY DATA'!$B:$B=""GRP"")),"""")
  )
)"),"")</f>
      </c>
      <c r="F1622" s="17" t="str">
        <f>IFERROR(__xludf.DUMMYFUNCTION("IFERROR(
  TEXTJOIN(CHAR(10),TRUE,FILTER('SUMMARY DATA'!F:F,'SUMMARY DATA'!$A:$A=$A723,'SUMMARY DATA'!$C:$C=$B723,'SUMMARY DATA'!$B:$B=""GRP"")),
  IF(
    OR(
      ISNUMBER(SEARCH(""CDM CASH DEPOSIT"",$C723)),
      ISNUMBER(SEARCH(""CASH DEPOSIT"",$C72"&amp;"3)),
      COUNTIFS('SUMMARY DATA'!$D:$D,$C723,'SUMMARY DATA'!$B:$B,""GRP"")&lt;&gt;1
    ),
    """",
    IFERROR(TEXTJOIN(CHAR(10),TRUE,FILTER('SUMMARY DATA'!F:F,'SUMMARY DATA'!$D:$D=$C723,'SUMMARY DATA'!$B:$B=""GRP"")),"""")
  )
)"),"")</f>
      </c>
    </row>
    <row r="1623" spans="1:6" customHeight="true">
      <c r="A1623" s="2"/>
      <c r="B1623" s="31">
        <v>45877</v>
      </c>
      <c r="C1623" s="2" t="s">
        <v>2284</v>
      </c>
      <c r="D1623" s="6">
        <v>106</v>
      </c>
      <c r="E1623" s="16" t="str">
        <f>IFERROR(__xludf.DUMMYFUNCTION("IFERROR(
  TEXTJOIN(CHAR(10),TRUE,FILTER('SUMMARY DATA'!E:E,'SUMMARY DATA'!$A:$A=$A724,'SUMMARY DATA'!$C:$C=$B724,'SUMMARY DATA'!$B:$B=""GRP"")),
  IF(
    OR(
      ISNUMBER(SEARCH(""CDM CASH DEPOSIT"",$C724)),
      ISNUMBER(SEARCH(""CASH DEPOSIT"",$C72"&amp;"4)),
      COUNTIFS('SUMMARY DATA'!$D:$D,$C724,'SUMMARY DATA'!$B:$B,""GRP"")&lt;&gt;1
    ),
    """",
    IFERROR(TEXTJOIN(CHAR(10),TRUE,FILTER('SUMMARY DATA'!E:E,'SUMMARY DATA'!$D:$D=$C724,'SUMMARY DATA'!$B:$B=""GRP"")),"""")
  )
)"),"")</f>
      </c>
      <c r="F1623" s="17" t="str">
        <f>IFERROR(__xludf.DUMMYFUNCTION("IFERROR(
  TEXTJOIN(CHAR(10),TRUE,FILTER('SUMMARY DATA'!F:F,'SUMMARY DATA'!$A:$A=$A724,'SUMMARY DATA'!$C:$C=$B724,'SUMMARY DATA'!$B:$B=""GRP"")),
  IF(
    OR(
      ISNUMBER(SEARCH(""CDM CASH DEPOSIT"",$C724)),
      ISNUMBER(SEARCH(""CASH DEPOSIT"",$C72"&amp;"4)),
      COUNTIFS('SUMMARY DATA'!$D:$D,$C724,'SUMMARY DATA'!$B:$B,""GRP"")&lt;&gt;1
    ),
    """",
    IFERROR(TEXTJOIN(CHAR(10),TRUE,FILTER('SUMMARY DATA'!F:F,'SUMMARY DATA'!$D:$D=$C724,'SUMMARY DATA'!$B:$B=""GRP"")),"""")
  )
)"),"")</f>
      </c>
    </row>
    <row r="1624" spans="1:6" customHeight="true">
      <c r="A1624" s="2" t="s">
        <v>2285</v>
      </c>
      <c r="B1624" s="31">
        <v>45877</v>
      </c>
      <c r="C1624" s="2" t="s">
        <v>2015</v>
      </c>
      <c r="D1624" s="6">
        <v>1000</v>
      </c>
      <c r="E1624" s="16" t="str">
        <f>IFERROR(__xludf.DUMMYFUNCTION("IFERROR(
  TEXTJOIN(CHAR(10),TRUE,FILTER('SUMMARY DATA'!E:E,'SUMMARY DATA'!$A:$A=$A725,'SUMMARY DATA'!$C:$C=$B725,'SUMMARY DATA'!$B:$B=""GRP"")),
  IF(
    OR(
      ISNUMBER(SEARCH(""CDM CASH DEPOSIT"",$C725)),
      ISNUMBER(SEARCH(""CASH DEPOSIT"",$C72"&amp;"5)),
      COUNTIFS('SUMMARY DATA'!$D:$D,$C725,'SUMMARY DATA'!$B:$B,""GRP"")&lt;&gt;1
    ),
    """",
    IFERROR(TEXTJOIN(CHAR(10),TRUE,FILTER('SUMMARY DATA'!E:E,'SUMMARY DATA'!$D:$D=$C725,'SUMMARY DATA'!$B:$B=""GRP"")),"""")
  )
)"),"")</f>
      </c>
      <c r="F1624" s="17" t="str">
        <f>IFERROR(__xludf.DUMMYFUNCTION("IFERROR(
  TEXTJOIN(CHAR(10),TRUE,FILTER('SUMMARY DATA'!F:F,'SUMMARY DATA'!$A:$A=$A725,'SUMMARY DATA'!$C:$C=$B725,'SUMMARY DATA'!$B:$B=""GRP"")),
  IF(
    OR(
      ISNUMBER(SEARCH(""CDM CASH DEPOSIT"",$C725)),
      ISNUMBER(SEARCH(""CASH DEPOSIT"",$C72"&amp;"5)),
      COUNTIFS('SUMMARY DATA'!$D:$D,$C725,'SUMMARY DATA'!$B:$B,""GRP"")&lt;&gt;1
    ),
    """",
    IFERROR(TEXTJOIN(CHAR(10),TRUE,FILTER('SUMMARY DATA'!F:F,'SUMMARY DATA'!$D:$D=$C725,'SUMMARY DATA'!$B:$B=""GRP"")),"""")
  )
)"),"")</f>
      </c>
    </row>
    <row r="1625" spans="1:6" customHeight="true">
      <c r="A1625" s="2" t="s">
        <v>2286</v>
      </c>
      <c r="B1625" s="31">
        <v>45876</v>
      </c>
      <c r="C1625" s="2" t="s">
        <v>1599</v>
      </c>
      <c r="D1625" s="6">
        <v>68</v>
      </c>
      <c r="E1625" s="16" t="str">
        <f>IFERROR(__xludf.DUMMYFUNCTION("IFERROR(
  TEXTJOIN(CHAR(10),TRUE,FILTER('SUMMARY DATA'!E:E,'SUMMARY DATA'!$A:$A=$A726,'SUMMARY DATA'!$C:$C=$B726,'SUMMARY DATA'!$B:$B=""GRP"")),
  IF(
    OR(
      ISNUMBER(SEARCH(""CDM CASH DEPOSIT"",$C726)),
      ISNUMBER(SEARCH(""CASH DEPOSIT"",$C72"&amp;"6)),
      COUNTIFS('SUMMARY DATA'!$D:$D,$C726,'SUMMARY DATA'!$B:$B,""GRP"")&lt;&gt;1
    ),
    """",
    IFERROR(TEXTJOIN(CHAR(10),TRUE,FILTER('SUMMARY DATA'!E:E,'SUMMARY DATA'!$D:$D=$C726,'SUMMARY DATA'!$B:$B=""GRP"")),"""")
  )
)"),"")</f>
      </c>
      <c r="F1625" s="17" t="str">
        <f>IFERROR(__xludf.DUMMYFUNCTION("IFERROR(
  TEXTJOIN(CHAR(10),TRUE,FILTER('SUMMARY DATA'!F:F,'SUMMARY DATA'!$A:$A=$A726,'SUMMARY DATA'!$C:$C=$B726,'SUMMARY DATA'!$B:$B=""GRP"")),
  IF(
    OR(
      ISNUMBER(SEARCH(""CDM CASH DEPOSIT"",$C726)),
      ISNUMBER(SEARCH(""CASH DEPOSIT"",$C72"&amp;"6)),
      COUNTIFS('SUMMARY DATA'!$D:$D,$C726,'SUMMARY DATA'!$B:$B,""GRP"")&lt;&gt;1
    ),
    """",
    IFERROR(TEXTJOIN(CHAR(10),TRUE,FILTER('SUMMARY DATA'!F:F,'SUMMARY DATA'!$D:$D=$C726,'SUMMARY DATA'!$B:$B=""GRP"")),"""")
  )
)"),"")</f>
      </c>
    </row>
    <row r="1626" spans="1:6" customHeight="true">
      <c r="A1626" s="2" t="s">
        <v>2260</v>
      </c>
      <c r="B1626" s="31">
        <v>45876</v>
      </c>
      <c r="C1626" s="2" t="s">
        <v>2287</v>
      </c>
      <c r="D1626" s="6">
        <v>76</v>
      </c>
      <c r="E1626" s="16" t="str">
        <f>IFERROR(__xludf.DUMMYFUNCTION("IFERROR(
  TEXTJOIN(CHAR(10),TRUE,FILTER('SUMMARY DATA'!E:E,'SUMMARY DATA'!$A:$A=$A727,'SUMMARY DATA'!$C:$C=$B727,'SUMMARY DATA'!$B:$B=""GRP"")),
  IF(
    OR(
      ISNUMBER(SEARCH(""CDM CASH DEPOSIT"",$C727)),
      ISNUMBER(SEARCH(""CASH DEPOSIT"",$C72"&amp;"7)),
      COUNTIFS('SUMMARY DATA'!$D:$D,$C727,'SUMMARY DATA'!$B:$B,""GRP"")&lt;&gt;1
    ),
    """",
    IFERROR(TEXTJOIN(CHAR(10),TRUE,FILTER('SUMMARY DATA'!E:E,'SUMMARY DATA'!$D:$D=$C727,'SUMMARY DATA'!$B:$B=""GRP"")),"""")
  )
)"),"")</f>
      </c>
      <c r="F1626" s="17" t="str">
        <f>IFERROR(__xludf.DUMMYFUNCTION("IFERROR(
  TEXTJOIN(CHAR(10),TRUE,FILTER('SUMMARY DATA'!F:F,'SUMMARY DATA'!$A:$A=$A727,'SUMMARY DATA'!$C:$C=$B727,'SUMMARY DATA'!$B:$B=""GRP"")),
  IF(
    OR(
      ISNUMBER(SEARCH(""CDM CASH DEPOSIT"",$C727)),
      ISNUMBER(SEARCH(""CASH DEPOSIT"",$C72"&amp;"7)),
      COUNTIFS('SUMMARY DATA'!$D:$D,$C727,'SUMMARY DATA'!$B:$B,""GRP"")&lt;&gt;1
    ),
    """",
    IFERROR(TEXTJOIN(CHAR(10),TRUE,FILTER('SUMMARY DATA'!F:F,'SUMMARY DATA'!$D:$D=$C727,'SUMMARY DATA'!$B:$B=""GRP"")),"""")
  )
)"),"")</f>
      </c>
    </row>
    <row r="1627" spans="1:6" customHeight="true">
      <c r="A1627" s="2"/>
      <c r="B1627" s="31">
        <v>45875</v>
      </c>
      <c r="C1627" s="2" t="s">
        <v>2288</v>
      </c>
      <c r="D1627" s="6">
        <v>164.8</v>
      </c>
      <c r="E1627" s="16" t="str">
        <f>IFERROR(__xludf.DUMMYFUNCTION("IFERROR(
  TEXTJOIN(CHAR(10),TRUE,FILTER('SUMMARY DATA'!E:E,'SUMMARY DATA'!$A:$A=$A728,'SUMMARY DATA'!$C:$C=$B728,'SUMMARY DATA'!$B:$B=""GRP"")),
  IF(
    OR(
      ISNUMBER(SEARCH(""CDM CASH DEPOSIT"",$C728)),
      ISNUMBER(SEARCH(""CASH DEPOSIT"",$C72"&amp;"8)),
      COUNTIFS('SUMMARY DATA'!$D:$D,$C728,'SUMMARY DATA'!$B:$B,""GRP"")&lt;&gt;1
    ),
    """",
    IFERROR(TEXTJOIN(CHAR(10),TRUE,FILTER('SUMMARY DATA'!E:E,'SUMMARY DATA'!$D:$D=$C728,'SUMMARY DATA'!$B:$B=""GRP"")),"""")
  )
)"),"")</f>
      </c>
      <c r="F1627" s="17" t="str">
        <f>IFERROR(__xludf.DUMMYFUNCTION("IFERROR(
  TEXTJOIN(CHAR(10),TRUE,FILTER('SUMMARY DATA'!F:F,'SUMMARY DATA'!$A:$A=$A728,'SUMMARY DATA'!$C:$C=$B728,'SUMMARY DATA'!$B:$B=""GRP"")),
  IF(
    OR(
      ISNUMBER(SEARCH(""CDM CASH DEPOSIT"",$C728)),
      ISNUMBER(SEARCH(""CASH DEPOSIT"",$C72"&amp;"8)),
      COUNTIFS('SUMMARY DATA'!$D:$D,$C728,'SUMMARY DATA'!$B:$B,""GRP"")&lt;&gt;1
    ),
    """",
    IFERROR(TEXTJOIN(CHAR(10),TRUE,FILTER('SUMMARY DATA'!F:F,'SUMMARY DATA'!$D:$D=$C728,'SUMMARY DATA'!$B:$B=""GRP"")),"""")
  )
)"),"")</f>
      </c>
    </row>
    <row r="1628" spans="1:6" customHeight="true">
      <c r="A1628" s="2" t="s">
        <v>2289</v>
      </c>
      <c r="B1628" s="31">
        <v>45875</v>
      </c>
      <c r="C1628" s="2" t="s">
        <v>2290</v>
      </c>
      <c r="D1628" s="6">
        <v>27.76</v>
      </c>
      <c r="E1628" s="16" t="str">
        <f>IFERROR(__xludf.DUMMYFUNCTION("IFERROR(
  TEXTJOIN(CHAR(10),TRUE,FILTER('SUMMARY DATA'!E:E,'SUMMARY DATA'!$A:$A=$A729,'SUMMARY DATA'!$C:$C=$B729,'SUMMARY DATA'!$B:$B=""GRP"")),
  IF(
    OR(
      ISNUMBER(SEARCH(""CDM CASH DEPOSIT"",$C729)),
      ISNUMBER(SEARCH(""CASH DEPOSIT"",$C72"&amp;"9)),
      COUNTIFS('SUMMARY DATA'!$D:$D,$C729,'SUMMARY DATA'!$B:$B,""GRP"")&lt;&gt;1
    ),
    """",
    IFERROR(TEXTJOIN(CHAR(10),TRUE,FILTER('SUMMARY DATA'!E:E,'SUMMARY DATA'!$D:$D=$C729,'SUMMARY DATA'!$B:$B=""GRP"")),"""")
  )
)"),"")</f>
      </c>
      <c r="F1628" s="17" t="str">
        <f>IFERROR(__xludf.DUMMYFUNCTION("IFERROR(
  TEXTJOIN(CHAR(10),TRUE,FILTER('SUMMARY DATA'!F:F,'SUMMARY DATA'!$A:$A=$A729,'SUMMARY DATA'!$C:$C=$B729,'SUMMARY DATA'!$B:$B=""GRP"")),
  IF(
    OR(
      ISNUMBER(SEARCH(""CDM CASH DEPOSIT"",$C729)),
      ISNUMBER(SEARCH(""CASH DEPOSIT"",$C72"&amp;"9)),
      COUNTIFS('SUMMARY DATA'!$D:$D,$C729,'SUMMARY DATA'!$B:$B,""GRP"")&lt;&gt;1
    ),
    """",
    IFERROR(TEXTJOIN(CHAR(10),TRUE,FILTER('SUMMARY DATA'!F:F,'SUMMARY DATA'!$D:$D=$C729,'SUMMARY DATA'!$B:$B=""GRP"")),"""")
  )
)"),"")</f>
      </c>
    </row>
    <row r="1629" spans="1:6" customHeight="true">
      <c r="A1629" s="2" t="s">
        <v>2291</v>
      </c>
      <c r="B1629" s="31">
        <v>45875</v>
      </c>
      <c r="C1629" s="2" t="s">
        <v>2292</v>
      </c>
      <c r="D1629" s="6">
        <v>317.74</v>
      </c>
      <c r="E1629" s="16" t="str">
        <f>IFERROR(__xludf.DUMMYFUNCTION("IFERROR(
  TEXTJOIN(CHAR(10),TRUE,FILTER('SUMMARY DATA'!E:E,'SUMMARY DATA'!$A:$A=$A730,'SUMMARY DATA'!$C:$C=$B730,'SUMMARY DATA'!$B:$B=""GRP"")),
  IF(
    OR(
      ISNUMBER(SEARCH(""CDM CASH DEPOSIT"",$C730)),
      ISNUMBER(SEARCH(""CASH DEPOSIT"",$C73"&amp;"0)),
      COUNTIFS('SUMMARY DATA'!$D:$D,$C730,'SUMMARY DATA'!$B:$B,""GRP"")&lt;&gt;1
    ),
    """",
    IFERROR(TEXTJOIN(CHAR(10),TRUE,FILTER('SUMMARY DATA'!E:E,'SUMMARY DATA'!$D:$D=$C730,'SUMMARY DATA'!$B:$B=""GRP"")),"""")
  )
)"),"")</f>
      </c>
      <c r="F1629" s="17" t="str">
        <f>IFERROR(__xludf.DUMMYFUNCTION("IFERROR(
  TEXTJOIN(CHAR(10),TRUE,FILTER('SUMMARY DATA'!F:F,'SUMMARY DATA'!$A:$A=$A730,'SUMMARY DATA'!$C:$C=$B730,'SUMMARY DATA'!$B:$B=""GRP"")),
  IF(
    OR(
      ISNUMBER(SEARCH(""CDM CASH DEPOSIT"",$C730)),
      ISNUMBER(SEARCH(""CASH DEPOSIT"",$C73"&amp;"0)),
      COUNTIFS('SUMMARY DATA'!$D:$D,$C730,'SUMMARY DATA'!$B:$B,""GRP"")&lt;&gt;1
    ),
    """",
    IFERROR(TEXTJOIN(CHAR(10),TRUE,FILTER('SUMMARY DATA'!F:F,'SUMMARY DATA'!$D:$D=$C730,'SUMMARY DATA'!$B:$B=""GRP"")),"""")
  )
)"),"")</f>
      </c>
    </row>
    <row r="1630" spans="1:6" customHeight="true">
      <c r="A1630" s="2" t="s">
        <v>2293</v>
      </c>
      <c r="B1630" s="31">
        <v>45875</v>
      </c>
      <c r="C1630" s="2" t="s">
        <v>2294</v>
      </c>
      <c r="D1630" s="6">
        <v>17.76</v>
      </c>
      <c r="E1630" s="16" t="str">
        <f>IFERROR(__xludf.DUMMYFUNCTION("IFERROR(
  TEXTJOIN(CHAR(10),TRUE,FILTER('SUMMARY DATA'!E:E,'SUMMARY DATA'!$A:$A=$A731,'SUMMARY DATA'!$C:$C=$B731,'SUMMARY DATA'!$B:$B=""GRP"")),
  IF(
    OR(
      ISNUMBER(SEARCH(""CDM CASH DEPOSIT"",$C731)),
      ISNUMBER(SEARCH(""CASH DEPOSIT"",$C73"&amp;"1)),
      COUNTIFS('SUMMARY DATA'!$D:$D,$C731,'SUMMARY DATA'!$B:$B,""GRP"")&lt;&gt;1
    ),
    """",
    IFERROR(TEXTJOIN(CHAR(10),TRUE,FILTER('SUMMARY DATA'!E:E,'SUMMARY DATA'!$D:$D=$C731,'SUMMARY DATA'!$B:$B=""GRP"")),"""")
  )
)"),"")</f>
      </c>
      <c r="F1630" s="17" t="str">
        <f>IFERROR(__xludf.DUMMYFUNCTION("IFERROR(
  TEXTJOIN(CHAR(10),TRUE,FILTER('SUMMARY DATA'!F:F,'SUMMARY DATA'!$A:$A=$A731,'SUMMARY DATA'!$C:$C=$B731,'SUMMARY DATA'!$B:$B=""GRP"")),
  IF(
    OR(
      ISNUMBER(SEARCH(""CDM CASH DEPOSIT"",$C731)),
      ISNUMBER(SEARCH(""CASH DEPOSIT"",$C73"&amp;"1)),
      COUNTIFS('SUMMARY DATA'!$D:$D,$C731,'SUMMARY DATA'!$B:$B,""GRP"")&lt;&gt;1
    ),
    """",
    IFERROR(TEXTJOIN(CHAR(10),TRUE,FILTER('SUMMARY DATA'!F:F,'SUMMARY DATA'!$D:$D=$C731,'SUMMARY DATA'!$B:$B=""GRP"")),"""")
  )
)"),"")</f>
      </c>
    </row>
    <row r="1631" spans="1:6" customHeight="true">
      <c r="A1631" s="2" t="s">
        <v>2295</v>
      </c>
      <c r="B1631" s="31">
        <v>45875</v>
      </c>
      <c r="C1631" s="2" t="s">
        <v>2296</v>
      </c>
      <c r="D1631" s="6">
        <v>6</v>
      </c>
      <c r="E1631" s="16" t="str">
        <f>IFERROR(__xludf.DUMMYFUNCTION("IFERROR(
  TEXTJOIN(CHAR(10),TRUE,FILTER('SUMMARY DATA'!E:E,'SUMMARY DATA'!$A:$A=$A732,'SUMMARY DATA'!$C:$C=$B732,'SUMMARY DATA'!$B:$B=""GRP"")),
  IF(
    OR(
      ISNUMBER(SEARCH(""CDM CASH DEPOSIT"",$C732)),
      ISNUMBER(SEARCH(""CASH DEPOSIT"",$C73"&amp;"2)),
      COUNTIFS('SUMMARY DATA'!$D:$D,$C732,'SUMMARY DATA'!$B:$B,""GRP"")&lt;&gt;1
    ),
    """",
    IFERROR(TEXTJOIN(CHAR(10),TRUE,FILTER('SUMMARY DATA'!E:E,'SUMMARY DATA'!$D:$D=$C732,'SUMMARY DATA'!$B:$B=""GRP"")),"""")
  )
)"),"")</f>
      </c>
      <c r="F1631" s="17" t="str">
        <f>IFERROR(__xludf.DUMMYFUNCTION("IFERROR(
  TEXTJOIN(CHAR(10),TRUE,FILTER('SUMMARY DATA'!F:F,'SUMMARY DATA'!$A:$A=$A732,'SUMMARY DATA'!$C:$C=$B732,'SUMMARY DATA'!$B:$B=""GRP"")),
  IF(
    OR(
      ISNUMBER(SEARCH(""CDM CASH DEPOSIT"",$C732)),
      ISNUMBER(SEARCH(""CASH DEPOSIT"",$C73"&amp;"2)),
      COUNTIFS('SUMMARY DATA'!$D:$D,$C732,'SUMMARY DATA'!$B:$B,""GRP"")&lt;&gt;1
    ),
    """",
    IFERROR(TEXTJOIN(CHAR(10),TRUE,FILTER('SUMMARY DATA'!F:F,'SUMMARY DATA'!$D:$D=$C732,'SUMMARY DATA'!$B:$B=""GRP"")),"""")
  )
)"),"")</f>
      </c>
    </row>
    <row r="1632" spans="1:6" customHeight="true">
      <c r="A1632" s="2" t="s">
        <v>2297</v>
      </c>
      <c r="B1632" s="31">
        <v>45875</v>
      </c>
      <c r="C1632" s="2" t="s">
        <v>2298</v>
      </c>
      <c r="D1632" s="6">
        <v>10</v>
      </c>
      <c r="E1632" s="16" t="str">
        <f>IFERROR(__xludf.DUMMYFUNCTION("IFERROR(
  TEXTJOIN(CHAR(10),TRUE,FILTER('SUMMARY DATA'!E:E,'SUMMARY DATA'!$A:$A=$A733,'SUMMARY DATA'!$C:$C=$B733,'SUMMARY DATA'!$B:$B=""GRP"")),
  IF(
    OR(
      ISNUMBER(SEARCH(""CDM CASH DEPOSIT"",$C733)),
      ISNUMBER(SEARCH(""CASH DEPOSIT"",$C73"&amp;"3)),
      COUNTIFS('SUMMARY DATA'!$D:$D,$C733,'SUMMARY DATA'!$B:$B,""GRP"")&lt;&gt;1
    ),
    """",
    IFERROR(TEXTJOIN(CHAR(10),TRUE,FILTER('SUMMARY DATA'!E:E,'SUMMARY DATA'!$D:$D=$C733,'SUMMARY DATA'!$B:$B=""GRP"")),"""")
  )
)"),"")</f>
      </c>
      <c r="F1632" s="17" t="str">
        <f>IFERROR(__xludf.DUMMYFUNCTION("IFERROR(
  TEXTJOIN(CHAR(10),TRUE,FILTER('SUMMARY DATA'!F:F,'SUMMARY DATA'!$A:$A=$A733,'SUMMARY DATA'!$C:$C=$B733,'SUMMARY DATA'!$B:$B=""GRP"")),
  IF(
    OR(
      ISNUMBER(SEARCH(""CDM CASH DEPOSIT"",$C733)),
      ISNUMBER(SEARCH(""CASH DEPOSIT"",$C73"&amp;"3)),
      COUNTIFS('SUMMARY DATA'!$D:$D,$C733,'SUMMARY DATA'!$B:$B,""GRP"")&lt;&gt;1
    ),
    """",
    IFERROR(TEXTJOIN(CHAR(10),TRUE,FILTER('SUMMARY DATA'!F:F,'SUMMARY DATA'!$D:$D=$C733,'SUMMARY DATA'!$B:$B=""GRP"")),"""")
  )
)"),"")</f>
      </c>
    </row>
    <row r="1633" spans="1:6" customHeight="true">
      <c r="A1633" s="2" t="s">
        <v>2299</v>
      </c>
      <c r="B1633" s="31">
        <v>45875</v>
      </c>
      <c r="C1633" s="2" t="s">
        <v>2300</v>
      </c>
      <c r="D1633" s="6">
        <v>0.1</v>
      </c>
      <c r="E1633" s="16" t="str">
        <f>IFERROR(__xludf.DUMMYFUNCTION("IFERROR(
  TEXTJOIN(CHAR(10),TRUE,FILTER('SUMMARY DATA'!E:E,'SUMMARY DATA'!$A:$A=$A734,'SUMMARY DATA'!$C:$C=$B734,'SUMMARY DATA'!$B:$B=""GRP"")),
  IF(
    OR(
      ISNUMBER(SEARCH(""CDM CASH DEPOSIT"",$C734)),
      ISNUMBER(SEARCH(""CASH DEPOSIT"",$C73"&amp;"4)),
      COUNTIFS('SUMMARY DATA'!$D:$D,$C734,'SUMMARY DATA'!$B:$B,""GRP"")&lt;&gt;1
    ),
    """",
    IFERROR(TEXTJOIN(CHAR(10),TRUE,FILTER('SUMMARY DATA'!E:E,'SUMMARY DATA'!$D:$D=$C734,'SUMMARY DATA'!$B:$B=""GRP"")),"""")
  )
)"),"")</f>
      </c>
      <c r="F1633" s="17" t="str">
        <f>IFERROR(__xludf.DUMMYFUNCTION("IFERROR(
  TEXTJOIN(CHAR(10),TRUE,FILTER('SUMMARY DATA'!F:F,'SUMMARY DATA'!$A:$A=$A734,'SUMMARY DATA'!$C:$C=$B734,'SUMMARY DATA'!$B:$B=""GRP"")),
  IF(
    OR(
      ISNUMBER(SEARCH(""CDM CASH DEPOSIT"",$C734)),
      ISNUMBER(SEARCH(""CASH DEPOSIT"",$C73"&amp;"4)),
      COUNTIFS('SUMMARY DATA'!$D:$D,$C734,'SUMMARY DATA'!$B:$B,""GRP"")&lt;&gt;1
    ),
    """",
    IFERROR(TEXTJOIN(CHAR(10),TRUE,FILTER('SUMMARY DATA'!F:F,'SUMMARY DATA'!$D:$D=$C734,'SUMMARY DATA'!$B:$B=""GRP"")),"""")
  )
)"),"")</f>
      </c>
    </row>
    <row r="1634" spans="1:6" customHeight="true">
      <c r="A1634" s="2"/>
      <c r="B1634" s="31">
        <v>45874</v>
      </c>
      <c r="C1634" s="2" t="s">
        <v>2301</v>
      </c>
      <c r="D1634" s="6">
        <v>50</v>
      </c>
      <c r="E1634" s="16" t="str">
        <f>IFERROR(__xludf.DUMMYFUNCTION("IFERROR(
  TEXTJOIN(CHAR(10),TRUE,FILTER('SUMMARY DATA'!E:E,'SUMMARY DATA'!$A:$A=$A735,'SUMMARY DATA'!$C:$C=$B735,'SUMMARY DATA'!$B:$B=""GRP"")),
  IF(
    OR(
      ISNUMBER(SEARCH(""CDM CASH DEPOSIT"",$C735)),
      ISNUMBER(SEARCH(""CASH DEPOSIT"",$C73"&amp;"5)),
      COUNTIFS('SUMMARY DATA'!$D:$D,$C735,'SUMMARY DATA'!$B:$B,""GRP"")&lt;&gt;1
    ),
    """",
    IFERROR(TEXTJOIN(CHAR(10),TRUE,FILTER('SUMMARY DATA'!E:E,'SUMMARY DATA'!$D:$D=$C735,'SUMMARY DATA'!$B:$B=""GRP"")),"""")
  )
)"),"")</f>
      </c>
      <c r="F1634" s="17" t="str">
        <f>IFERROR(__xludf.DUMMYFUNCTION("IFERROR(
  TEXTJOIN(CHAR(10),TRUE,FILTER('SUMMARY DATA'!F:F,'SUMMARY DATA'!$A:$A=$A735,'SUMMARY DATA'!$C:$C=$B735,'SUMMARY DATA'!$B:$B=""GRP"")),
  IF(
    OR(
      ISNUMBER(SEARCH(""CDM CASH DEPOSIT"",$C735)),
      ISNUMBER(SEARCH(""CASH DEPOSIT"",$C73"&amp;"5)),
      COUNTIFS('SUMMARY DATA'!$D:$D,$C735,'SUMMARY DATA'!$B:$B,""GRP"")&lt;&gt;1
    ),
    """",
    IFERROR(TEXTJOIN(CHAR(10),TRUE,FILTER('SUMMARY DATA'!F:F,'SUMMARY DATA'!$D:$D=$C735,'SUMMARY DATA'!$B:$B=""GRP"")),"""")
  )
)"),"")</f>
      </c>
    </row>
    <row r="1635" spans="1:6" customHeight="true">
      <c r="A1635" s="2"/>
      <c r="B1635" s="31">
        <v>45874</v>
      </c>
      <c r="C1635" s="2" t="s">
        <v>2302</v>
      </c>
      <c r="D1635" s="6">
        <v>160</v>
      </c>
      <c r="E1635" s="16" t="str">
        <f>IFERROR(__xludf.DUMMYFUNCTION("IFERROR(
  TEXTJOIN(CHAR(10),TRUE,FILTER('SUMMARY DATA'!E:E,'SUMMARY DATA'!$A:$A=$A736,'SUMMARY DATA'!$C:$C=$B736,'SUMMARY DATA'!$B:$B=""GRP"")),
  IF(
    OR(
      ISNUMBER(SEARCH(""CDM CASH DEPOSIT"",$C736)),
      ISNUMBER(SEARCH(""CASH DEPOSIT"",$C73"&amp;"6)),
      COUNTIFS('SUMMARY DATA'!$D:$D,$C736,'SUMMARY DATA'!$B:$B,""GRP"")&lt;&gt;1
    ),
    """",
    IFERROR(TEXTJOIN(CHAR(10),TRUE,FILTER('SUMMARY DATA'!E:E,'SUMMARY DATA'!$D:$D=$C736,'SUMMARY DATA'!$B:$B=""GRP"")),"""")
  )
)"),"")</f>
      </c>
      <c r="F1635" s="17" t="str">
        <f>IFERROR(__xludf.DUMMYFUNCTION("IFERROR(
  TEXTJOIN(CHAR(10),TRUE,FILTER('SUMMARY DATA'!F:F,'SUMMARY DATA'!$A:$A=$A736,'SUMMARY DATA'!$C:$C=$B736,'SUMMARY DATA'!$B:$B=""GRP"")),
  IF(
    OR(
      ISNUMBER(SEARCH(""CDM CASH DEPOSIT"",$C736)),
      ISNUMBER(SEARCH(""CASH DEPOSIT"",$C73"&amp;"6)),
      COUNTIFS('SUMMARY DATA'!$D:$D,$C736,'SUMMARY DATA'!$B:$B,""GRP"")&lt;&gt;1
    ),
    """",
    IFERROR(TEXTJOIN(CHAR(10),TRUE,FILTER('SUMMARY DATA'!F:F,'SUMMARY DATA'!$D:$D=$C736,'SUMMARY DATA'!$B:$B=""GRP"")),"""")
  )
)"),"")</f>
      </c>
    </row>
    <row r="1636" spans="1:6" customHeight="true">
      <c r="A1636" s="2"/>
      <c r="B1636" s="31">
        <v>45874</v>
      </c>
      <c r="C1636" s="2" t="s">
        <v>997</v>
      </c>
      <c r="D1636" s="6">
        <v>14.95</v>
      </c>
      <c r="E1636" s="16" t="str">
        <f>IFERROR(__xludf.DUMMYFUNCTION("IFERROR(
  TEXTJOIN(CHAR(10),TRUE,FILTER('SUMMARY DATA'!E:E,'SUMMARY DATA'!$A:$A=$A737,'SUMMARY DATA'!$C:$C=$B737,'SUMMARY DATA'!$B:$B=""GRP"")),
  IF(
    OR(
      ISNUMBER(SEARCH(""CDM CASH DEPOSIT"",$C737)),
      ISNUMBER(SEARCH(""CASH DEPOSIT"",$C73"&amp;"7)),
      COUNTIFS('SUMMARY DATA'!$D:$D,$C737,'SUMMARY DATA'!$B:$B,""GRP"")&lt;&gt;1
    ),
    """",
    IFERROR(TEXTJOIN(CHAR(10),TRUE,FILTER('SUMMARY DATA'!E:E,'SUMMARY DATA'!$D:$D=$C737,'SUMMARY DATA'!$B:$B=""GRP"")),"""")
  )
)"),"")</f>
      </c>
      <c r="F1636" s="17" t="str">
        <f>IFERROR(__xludf.DUMMYFUNCTION("IFERROR(
  TEXTJOIN(CHAR(10),TRUE,FILTER('SUMMARY DATA'!F:F,'SUMMARY DATA'!$A:$A=$A737,'SUMMARY DATA'!$C:$C=$B737,'SUMMARY DATA'!$B:$B=""GRP"")),
  IF(
    OR(
      ISNUMBER(SEARCH(""CDM CASH DEPOSIT"",$C737)),
      ISNUMBER(SEARCH(""CASH DEPOSIT"",$C73"&amp;"7)),
      COUNTIFS('SUMMARY DATA'!$D:$D,$C737,'SUMMARY DATA'!$B:$B,""GRP"")&lt;&gt;1
    ),
    """",
    IFERROR(TEXTJOIN(CHAR(10),TRUE,FILTER('SUMMARY DATA'!F:F,'SUMMARY DATA'!$D:$D=$C737,'SUMMARY DATA'!$B:$B=""GRP"")),"""")
  )
)"),"")</f>
      </c>
    </row>
    <row r="1637" spans="1:6" customHeight="true">
      <c r="A1637" s="2"/>
      <c r="B1637" s="31">
        <v>45874</v>
      </c>
      <c r="C1637" s="2" t="s">
        <v>2303</v>
      </c>
      <c r="D1637" s="6">
        <v>70.52</v>
      </c>
      <c r="E1637" s="16" t="str">
        <f>IFERROR(__xludf.DUMMYFUNCTION("IFERROR(
  TEXTJOIN(CHAR(10),TRUE,FILTER('SUMMARY DATA'!E:E,'SUMMARY DATA'!$A:$A=$A738,'SUMMARY DATA'!$C:$C=$B738,'SUMMARY DATA'!$B:$B=""GRP"")),
  IF(
    OR(
      ISNUMBER(SEARCH(""CDM CASH DEPOSIT"",$C738)),
      ISNUMBER(SEARCH(""CASH DEPOSIT"",$C73"&amp;"8)),
      COUNTIFS('SUMMARY DATA'!$D:$D,$C738,'SUMMARY DATA'!$B:$B,""GRP"")&lt;&gt;1
    ),
    """",
    IFERROR(TEXTJOIN(CHAR(10),TRUE,FILTER('SUMMARY DATA'!E:E,'SUMMARY DATA'!$D:$D=$C738,'SUMMARY DATA'!$B:$B=""GRP"")),"""")
  )
)"),"")</f>
      </c>
      <c r="F1637" s="17" t="str">
        <f>IFERROR(__xludf.DUMMYFUNCTION("IFERROR(
  TEXTJOIN(CHAR(10),TRUE,FILTER('SUMMARY DATA'!F:F,'SUMMARY DATA'!$A:$A=$A738,'SUMMARY DATA'!$C:$C=$B738,'SUMMARY DATA'!$B:$B=""GRP"")),
  IF(
    OR(
      ISNUMBER(SEARCH(""CDM CASH DEPOSIT"",$C738)),
      ISNUMBER(SEARCH(""CASH DEPOSIT"",$C73"&amp;"8)),
      COUNTIFS('SUMMARY DATA'!$D:$D,$C738,'SUMMARY DATA'!$B:$B,""GRP"")&lt;&gt;1
    ),
    """",
    IFERROR(TEXTJOIN(CHAR(10),TRUE,FILTER('SUMMARY DATA'!F:F,'SUMMARY DATA'!$D:$D=$C738,'SUMMARY DATA'!$B:$B=""GRP"")),"""")
  )
)"),"")</f>
      </c>
    </row>
    <row r="1638" spans="1:6" customHeight="true">
      <c r="A1638" s="2" t="s">
        <v>2304</v>
      </c>
      <c r="B1638" s="31">
        <v>45873</v>
      </c>
      <c r="C1638" s="2" t="s">
        <v>2305</v>
      </c>
      <c r="D1638" s="6">
        <v>10</v>
      </c>
      <c r="E1638" s="16" t="str">
        <f>IFERROR(__xludf.DUMMYFUNCTION("IFERROR(
  TEXTJOIN(CHAR(10),TRUE,FILTER('SUMMARY DATA'!E:E,'SUMMARY DATA'!$A:$A=$A739,'SUMMARY DATA'!$C:$C=$B739,'SUMMARY DATA'!$B:$B=""GRP"")),
  IF(
    OR(
      ISNUMBER(SEARCH(""CDM CASH DEPOSIT"",$C739)),
      ISNUMBER(SEARCH(""CASH DEPOSIT"",$C73"&amp;"9)),
      COUNTIFS('SUMMARY DATA'!$D:$D,$C739,'SUMMARY DATA'!$B:$B,""GRP"")&lt;&gt;1
    ),
    """",
    IFERROR(TEXTJOIN(CHAR(10),TRUE,FILTER('SUMMARY DATA'!E:E,'SUMMARY DATA'!$D:$D=$C739,'SUMMARY DATA'!$B:$B=""GRP"")),"""")
  )
)"),"")</f>
      </c>
      <c r="F1638" s="17" t="str">
        <f>IFERROR(__xludf.DUMMYFUNCTION("IFERROR(
  TEXTJOIN(CHAR(10),TRUE,FILTER('SUMMARY DATA'!F:F,'SUMMARY DATA'!$A:$A=$A739,'SUMMARY DATA'!$C:$C=$B739,'SUMMARY DATA'!$B:$B=""GRP"")),
  IF(
    OR(
      ISNUMBER(SEARCH(""CDM CASH DEPOSIT"",$C739)),
      ISNUMBER(SEARCH(""CASH DEPOSIT"",$C73"&amp;"9)),
      COUNTIFS('SUMMARY DATA'!$D:$D,$C739,'SUMMARY DATA'!$B:$B,""GRP"")&lt;&gt;1
    ),
    """",
    IFERROR(TEXTJOIN(CHAR(10),TRUE,FILTER('SUMMARY DATA'!F:F,'SUMMARY DATA'!$D:$D=$C739,'SUMMARY DATA'!$B:$B=""GRP"")),"""")
  )
)"),"")</f>
      </c>
    </row>
    <row r="1639" spans="1:6" customHeight="true">
      <c r="A1639" s="2"/>
      <c r="B1639" s="31">
        <v>45873</v>
      </c>
      <c r="C1639" s="2" t="s">
        <v>2306</v>
      </c>
      <c r="D1639" s="6">
        <v>159</v>
      </c>
      <c r="E1639" s="16" t="str">
        <f>IFERROR(__xludf.DUMMYFUNCTION("IFERROR(
  TEXTJOIN(CHAR(10),TRUE,FILTER('SUMMARY DATA'!E:E,'SUMMARY DATA'!$A:$A=$A740,'SUMMARY DATA'!$C:$C=$B740,'SUMMARY DATA'!$B:$B=""GRP"")),
  IF(
    OR(
      ISNUMBER(SEARCH(""CDM CASH DEPOSIT"",$C740)),
      ISNUMBER(SEARCH(""CASH DEPOSIT"",$C74"&amp;"0)),
      COUNTIFS('SUMMARY DATA'!$D:$D,$C740,'SUMMARY DATA'!$B:$B,""GRP"")&lt;&gt;1
    ),
    """",
    IFERROR(TEXTJOIN(CHAR(10),TRUE,FILTER('SUMMARY DATA'!E:E,'SUMMARY DATA'!$D:$D=$C740,'SUMMARY DATA'!$B:$B=""GRP"")),"""")
  )
)"),"")</f>
      </c>
      <c r="F1639" s="17" t="str">
        <f>IFERROR(__xludf.DUMMYFUNCTION("IFERROR(
  TEXTJOIN(CHAR(10),TRUE,FILTER('SUMMARY DATA'!F:F,'SUMMARY DATA'!$A:$A=$A740,'SUMMARY DATA'!$C:$C=$B740,'SUMMARY DATA'!$B:$B=""GRP"")),
  IF(
    OR(
      ISNUMBER(SEARCH(""CDM CASH DEPOSIT"",$C740)),
      ISNUMBER(SEARCH(""CASH DEPOSIT"",$C74"&amp;"0)),
      COUNTIFS('SUMMARY DATA'!$D:$D,$C740,'SUMMARY DATA'!$B:$B,""GRP"")&lt;&gt;1
    ),
    """",
    IFERROR(TEXTJOIN(CHAR(10),TRUE,FILTER('SUMMARY DATA'!F:F,'SUMMARY DATA'!$D:$D=$C740,'SUMMARY DATA'!$B:$B=""GRP"")),"""")
  )
)"),"")</f>
      </c>
    </row>
    <row r="1640" spans="1:6" customHeight="true">
      <c r="A1640" s="2"/>
      <c r="B1640" s="31">
        <v>45873</v>
      </c>
      <c r="C1640" s="2" t="s">
        <v>2307</v>
      </c>
      <c r="D1640" s="6">
        <v>226.88</v>
      </c>
      <c r="E1640" s="16" t="str">
        <f>IFERROR(__xludf.DUMMYFUNCTION("IFERROR(
  TEXTJOIN(CHAR(10),TRUE,FILTER('SUMMARY DATA'!E:E,'SUMMARY DATA'!$A:$A=$A741,'SUMMARY DATA'!$C:$C=$B741,'SUMMARY DATA'!$B:$B=""GRP"")),
  IF(
    OR(
      ISNUMBER(SEARCH(""CDM CASH DEPOSIT"",$C741)),
      ISNUMBER(SEARCH(""CASH DEPOSIT"",$C74"&amp;"1)),
      COUNTIFS('SUMMARY DATA'!$D:$D,$C741,'SUMMARY DATA'!$B:$B,""GRP"")&lt;&gt;1
    ),
    """",
    IFERROR(TEXTJOIN(CHAR(10),TRUE,FILTER('SUMMARY DATA'!E:E,'SUMMARY DATA'!$D:$D=$C741,'SUMMARY DATA'!$B:$B=""GRP"")),"""")
  )
)"),"")</f>
      </c>
      <c r="F1640" s="17" t="str">
        <f>IFERROR(__xludf.DUMMYFUNCTION("IFERROR(
  TEXTJOIN(CHAR(10),TRUE,FILTER('SUMMARY DATA'!F:F,'SUMMARY DATA'!$A:$A=$A741,'SUMMARY DATA'!$C:$C=$B741,'SUMMARY DATA'!$B:$B=""GRP"")),
  IF(
    OR(
      ISNUMBER(SEARCH(""CDM CASH DEPOSIT"",$C741)),
      ISNUMBER(SEARCH(""CASH DEPOSIT"",$C74"&amp;"1)),
      COUNTIFS('SUMMARY DATA'!$D:$D,$C741,'SUMMARY DATA'!$B:$B,""GRP"")&lt;&gt;1
    ),
    """",
    IFERROR(TEXTJOIN(CHAR(10),TRUE,FILTER('SUMMARY DATA'!F:F,'SUMMARY DATA'!$D:$D=$C741,'SUMMARY DATA'!$B:$B=""GRP"")),"""")
  )
)"),"")</f>
      </c>
    </row>
    <row r="1641" spans="1:6" customHeight="true">
      <c r="A1641" s="2" t="s">
        <v>2308</v>
      </c>
      <c r="B1641" s="31">
        <v>45873</v>
      </c>
      <c r="C1641" s="2" t="s">
        <v>2309</v>
      </c>
      <c r="D1641" s="6">
        <v>10</v>
      </c>
      <c r="E1641" s="16" t="str">
        <f>IFERROR(__xludf.DUMMYFUNCTION("IFERROR(
  TEXTJOIN(CHAR(10),TRUE,FILTER('SUMMARY DATA'!E:E,'SUMMARY DATA'!$A:$A=$A742,'SUMMARY DATA'!$C:$C=$B742,'SUMMARY DATA'!$B:$B=""GRP"")),
  IF(
    OR(
      ISNUMBER(SEARCH(""CDM CASH DEPOSIT"",$C742)),
      ISNUMBER(SEARCH(""CASH DEPOSIT"",$C74"&amp;"2)),
      COUNTIFS('SUMMARY DATA'!$D:$D,$C742,'SUMMARY DATA'!$B:$B,""GRP"")&lt;&gt;1
    ),
    """",
    IFERROR(TEXTJOIN(CHAR(10),TRUE,FILTER('SUMMARY DATA'!E:E,'SUMMARY DATA'!$D:$D=$C742,'SUMMARY DATA'!$B:$B=""GRP"")),"""")
  )
)"),"")</f>
      </c>
      <c r="F1641" s="17" t="str">
        <f>IFERROR(__xludf.DUMMYFUNCTION("IFERROR(
  TEXTJOIN(CHAR(10),TRUE,FILTER('SUMMARY DATA'!F:F,'SUMMARY DATA'!$A:$A=$A742,'SUMMARY DATA'!$C:$C=$B742,'SUMMARY DATA'!$B:$B=""GRP"")),
  IF(
    OR(
      ISNUMBER(SEARCH(""CDM CASH DEPOSIT"",$C742)),
      ISNUMBER(SEARCH(""CASH DEPOSIT"",$C74"&amp;"2)),
      COUNTIFS('SUMMARY DATA'!$D:$D,$C742,'SUMMARY DATA'!$B:$B,""GRP"")&lt;&gt;1
    ),
    """",
    IFERROR(TEXTJOIN(CHAR(10),TRUE,FILTER('SUMMARY DATA'!F:F,'SUMMARY DATA'!$D:$D=$C742,'SUMMARY DATA'!$B:$B=""GRP"")),"""")
  )
)"),"")</f>
      </c>
    </row>
    <row r="1642" spans="1:6" customHeight="true">
      <c r="A1642" s="2" t="s">
        <v>2310</v>
      </c>
      <c r="B1642" s="31">
        <v>45873</v>
      </c>
      <c r="C1642" s="2" t="s">
        <v>2311</v>
      </c>
      <c r="D1642" s="6">
        <v>237.7</v>
      </c>
      <c r="E1642" s="16" t="s">
        <v>2402</v>
      </c>
      <c r="F1642" s="17" t="s">
        <v>2731</v>
      </c>
      <c r="G1642" s="1" t="s">
        <v>2393</v>
      </c>
      <c r="H1642" s="1">
        <v>237.7</v>
      </c>
      <c r="I1642" s="1">
        <v>237.7</v>
      </c>
      <c r="J1642" s="1" t="s">
        <v>2394</v>
      </c>
      <c r="K1642" s="1" t="s">
        <v>2719</v>
      </c>
    </row>
    <row r="1643" spans="1:6" customHeight="true">
      <c r="A1643" s="2"/>
      <c r="B1643" s="31">
        <v>45873</v>
      </c>
      <c r="C1643" s="2" t="s">
        <v>2312</v>
      </c>
      <c r="D1643" s="6">
        <v>157.2</v>
      </c>
      <c r="E1643" s="16" t="str">
        <f>IFERROR(__xludf.DUMMYFUNCTION("IFERROR(
  TEXTJOIN(CHAR(10),TRUE,FILTER('SUMMARY DATA'!E:E,'SUMMARY DATA'!$A:$A=$A744,'SUMMARY DATA'!$C:$C=$B744,'SUMMARY DATA'!$B:$B=""GRP"")),
  IF(
    OR(
      ISNUMBER(SEARCH(""CDM CASH DEPOSIT"",$C744)),
      ISNUMBER(SEARCH(""CASH DEPOSIT"",$C74"&amp;"4)),
      COUNTIFS('SUMMARY DATA'!$D:$D,$C744,'SUMMARY DATA'!$B:$B,""GRP"")&lt;&gt;1
    ),
    """",
    IFERROR(TEXTJOIN(CHAR(10),TRUE,FILTER('SUMMARY DATA'!E:E,'SUMMARY DATA'!$D:$D=$C744,'SUMMARY DATA'!$B:$B=""GRP"")),"""")
  )
)"),"")</f>
      </c>
      <c r="F1643" s="17" t="str">
        <f>IFERROR(__xludf.DUMMYFUNCTION("IFERROR(
  TEXTJOIN(CHAR(10),TRUE,FILTER('SUMMARY DATA'!F:F,'SUMMARY DATA'!$A:$A=$A744,'SUMMARY DATA'!$C:$C=$B744,'SUMMARY DATA'!$B:$B=""GRP"")),
  IF(
    OR(
      ISNUMBER(SEARCH(""CDM CASH DEPOSIT"",$C744)),
      ISNUMBER(SEARCH(""CASH DEPOSIT"",$C74"&amp;"4)),
      COUNTIFS('SUMMARY DATA'!$D:$D,$C744,'SUMMARY DATA'!$B:$B,""GRP"")&lt;&gt;1
    ),
    """",
    IFERROR(TEXTJOIN(CHAR(10),TRUE,FILTER('SUMMARY DATA'!F:F,'SUMMARY DATA'!$D:$D=$C744,'SUMMARY DATA'!$B:$B=""GRP"")),"""")
  )
)"),"")</f>
      </c>
    </row>
    <row r="1644" spans="1:6" customHeight="true">
      <c r="A1644" s="2"/>
      <c r="B1644" s="31">
        <v>45872</v>
      </c>
      <c r="C1644" s="2" t="s">
        <v>2313</v>
      </c>
      <c r="D1644" s="6">
        <v>2.99</v>
      </c>
      <c r="E1644" s="16" t="str">
        <f>IFERROR(__xludf.DUMMYFUNCTION("IFERROR(
  TEXTJOIN(CHAR(10),TRUE,FILTER('SUMMARY DATA'!E:E,'SUMMARY DATA'!$A:$A=$A745,'SUMMARY DATA'!$C:$C=$B745,'SUMMARY DATA'!$B:$B=""GRP"")),
  IF(
    OR(
      ISNUMBER(SEARCH(""CDM CASH DEPOSIT"",$C745)),
      ISNUMBER(SEARCH(""CASH DEPOSIT"",$C74"&amp;"5)),
      COUNTIFS('SUMMARY DATA'!$D:$D,$C745,'SUMMARY DATA'!$B:$B,""GRP"")&lt;&gt;1
    ),
    """",
    IFERROR(TEXTJOIN(CHAR(10),TRUE,FILTER('SUMMARY DATA'!E:E,'SUMMARY DATA'!$D:$D=$C745,'SUMMARY DATA'!$B:$B=""GRP"")),"""")
  )
)"),"")</f>
      </c>
      <c r="F1644" s="17" t="str">
        <f>IFERROR(__xludf.DUMMYFUNCTION("IFERROR(
  TEXTJOIN(CHAR(10),TRUE,FILTER('SUMMARY DATA'!F:F,'SUMMARY DATA'!$A:$A=$A745,'SUMMARY DATA'!$C:$C=$B745,'SUMMARY DATA'!$B:$B=""GRP"")),
  IF(
    OR(
      ISNUMBER(SEARCH(""CDM CASH DEPOSIT"",$C745)),
      ISNUMBER(SEARCH(""CASH DEPOSIT"",$C74"&amp;"5)),
      COUNTIFS('SUMMARY DATA'!$D:$D,$C745,'SUMMARY DATA'!$B:$B,""GRP"")&lt;&gt;1
    ),
    """",
    IFERROR(TEXTJOIN(CHAR(10),TRUE,FILTER('SUMMARY DATA'!F:F,'SUMMARY DATA'!$D:$D=$C745,'SUMMARY DATA'!$B:$B=""GRP"")),"""")
  )
)"),"")</f>
      </c>
    </row>
    <row r="1645" spans="1:6" customHeight="true">
      <c r="A1645" s="2"/>
      <c r="B1645" s="31">
        <v>45872</v>
      </c>
      <c r="C1645" s="2" t="s">
        <v>2314</v>
      </c>
      <c r="D1645" s="6">
        <v>46.8</v>
      </c>
      <c r="E1645" s="16" t="str">
        <f>IFERROR(__xludf.DUMMYFUNCTION("IFERROR(
  TEXTJOIN(CHAR(10),TRUE,FILTER('SUMMARY DATA'!E:E,'SUMMARY DATA'!$A:$A=$A746,'SUMMARY DATA'!$C:$C=$B746,'SUMMARY DATA'!$B:$B=""GRP"")),
  IF(
    OR(
      ISNUMBER(SEARCH(""CDM CASH DEPOSIT"",$C746)),
      ISNUMBER(SEARCH(""CASH DEPOSIT"",$C74"&amp;"6)),
      COUNTIFS('SUMMARY DATA'!$D:$D,$C746,'SUMMARY DATA'!$B:$B,""GRP"")&lt;&gt;1
    ),
    """",
    IFERROR(TEXTJOIN(CHAR(10),TRUE,FILTER('SUMMARY DATA'!E:E,'SUMMARY DATA'!$D:$D=$C746,'SUMMARY DATA'!$B:$B=""GRP"")),"""")
  )
)"),"")</f>
      </c>
      <c r="F1645" s="17" t="str">
        <f>IFERROR(__xludf.DUMMYFUNCTION("IFERROR(
  TEXTJOIN(CHAR(10),TRUE,FILTER('SUMMARY DATA'!F:F,'SUMMARY DATA'!$A:$A=$A746,'SUMMARY DATA'!$C:$C=$B746,'SUMMARY DATA'!$B:$B=""GRP"")),
  IF(
    OR(
      ISNUMBER(SEARCH(""CDM CASH DEPOSIT"",$C746)),
      ISNUMBER(SEARCH(""CASH DEPOSIT"",$C74"&amp;"6)),
      COUNTIFS('SUMMARY DATA'!$D:$D,$C746,'SUMMARY DATA'!$B:$B,""GRP"")&lt;&gt;1
    ),
    """",
    IFERROR(TEXTJOIN(CHAR(10),TRUE,FILTER('SUMMARY DATA'!F:F,'SUMMARY DATA'!$D:$D=$C746,'SUMMARY DATA'!$B:$B=""GRP"")),"""")
  )
)"),"")</f>
      </c>
    </row>
    <row r="1646" spans="1:6" customHeight="true">
      <c r="A1646" s="2"/>
      <c r="B1646" s="31">
        <v>45872</v>
      </c>
      <c r="C1646" s="2" t="s">
        <v>2315</v>
      </c>
      <c r="D1646" s="6">
        <v>120.4</v>
      </c>
      <c r="E1646" s="16" t="str">
        <f>IFERROR(__xludf.DUMMYFUNCTION("IFERROR(
  TEXTJOIN(CHAR(10),TRUE,FILTER('SUMMARY DATA'!E:E,'SUMMARY DATA'!$A:$A=$A747,'SUMMARY DATA'!$C:$C=$B747,'SUMMARY DATA'!$B:$B=""GRP"")),
  IF(
    OR(
      ISNUMBER(SEARCH(""CDM CASH DEPOSIT"",$C747)),
      ISNUMBER(SEARCH(""CASH DEPOSIT"",$C74"&amp;"7)),
      COUNTIFS('SUMMARY DATA'!$D:$D,$C747,'SUMMARY DATA'!$B:$B,""GRP"")&lt;&gt;1
    ),
    """",
    IFERROR(TEXTJOIN(CHAR(10),TRUE,FILTER('SUMMARY DATA'!E:E,'SUMMARY DATA'!$D:$D=$C747,'SUMMARY DATA'!$B:$B=""GRP"")),"""")
  )
)"),"")</f>
      </c>
      <c r="F1646" s="17" t="str">
        <f>IFERROR(__xludf.DUMMYFUNCTION("IFERROR(
  TEXTJOIN(CHAR(10),TRUE,FILTER('SUMMARY DATA'!F:F,'SUMMARY DATA'!$A:$A=$A747,'SUMMARY DATA'!$C:$C=$B747,'SUMMARY DATA'!$B:$B=""GRP"")),
  IF(
    OR(
      ISNUMBER(SEARCH(""CDM CASH DEPOSIT"",$C747)),
      ISNUMBER(SEARCH(""CASH DEPOSIT"",$C74"&amp;"7)),
      COUNTIFS('SUMMARY DATA'!$D:$D,$C747,'SUMMARY DATA'!$B:$B,""GRP"")&lt;&gt;1
    ),
    """",
    IFERROR(TEXTJOIN(CHAR(10),TRUE,FILTER('SUMMARY DATA'!F:F,'SUMMARY DATA'!$D:$D=$C747,'SUMMARY DATA'!$B:$B=""GRP"")),"""")
  )
)"),"")</f>
      </c>
    </row>
    <row r="1647" spans="1:6" customHeight="true">
      <c r="A1647" s="2" t="s">
        <v>2316</v>
      </c>
      <c r="B1647" s="31">
        <v>45871</v>
      </c>
      <c r="C1647" s="2" t="s">
        <v>2317</v>
      </c>
      <c r="D1647" s="6">
        <v>20</v>
      </c>
      <c r="E1647" s="16" t="str">
        <f>IFERROR(__xludf.DUMMYFUNCTION("IFERROR(
  TEXTJOIN(CHAR(10),TRUE,FILTER('SUMMARY DATA'!E:E,'SUMMARY DATA'!$A:$A=$A748,'SUMMARY DATA'!$C:$C=$B748,'SUMMARY DATA'!$B:$B=""GRP"")),
  IF(
    OR(
      ISNUMBER(SEARCH(""CDM CASH DEPOSIT"",$C748)),
      ISNUMBER(SEARCH(""CASH DEPOSIT"",$C74"&amp;"8)),
      COUNTIFS('SUMMARY DATA'!$D:$D,$C748,'SUMMARY DATA'!$B:$B,""GRP"")&lt;&gt;1
    ),
    """",
    IFERROR(TEXTJOIN(CHAR(10),TRUE,FILTER('SUMMARY DATA'!E:E,'SUMMARY DATA'!$D:$D=$C748,'SUMMARY DATA'!$B:$B=""GRP"")),"""")
  )
)"),"")</f>
      </c>
      <c r="F1647" s="17" t="str">
        <f>IFERROR(__xludf.DUMMYFUNCTION("IFERROR(
  TEXTJOIN(CHAR(10),TRUE,FILTER('SUMMARY DATA'!F:F,'SUMMARY DATA'!$A:$A=$A748,'SUMMARY DATA'!$C:$C=$B748,'SUMMARY DATA'!$B:$B=""GRP"")),
  IF(
    OR(
      ISNUMBER(SEARCH(""CDM CASH DEPOSIT"",$C748)),
      ISNUMBER(SEARCH(""CASH DEPOSIT"",$C74"&amp;"8)),
      COUNTIFS('SUMMARY DATA'!$D:$D,$C748,'SUMMARY DATA'!$B:$B,""GRP"")&lt;&gt;1
    ),
    """",
    IFERROR(TEXTJOIN(CHAR(10),TRUE,FILTER('SUMMARY DATA'!F:F,'SUMMARY DATA'!$D:$D=$C748,'SUMMARY DATA'!$B:$B=""GRP"")),"""")
  )
)"),"")</f>
      </c>
    </row>
    <row r="1648" spans="1:6" customHeight="true">
      <c r="A1648" s="2" t="s">
        <v>2318</v>
      </c>
      <c r="B1648" s="31">
        <v>45871</v>
      </c>
      <c r="C1648" s="2" t="s">
        <v>2319</v>
      </c>
      <c r="D1648" s="6">
        <v>105.76</v>
      </c>
      <c r="E1648" s="16" t="str">
        <f>IFERROR(__xludf.DUMMYFUNCTION("IFERROR(
  TEXTJOIN(CHAR(10),TRUE,FILTER('SUMMARY DATA'!E:E,'SUMMARY DATA'!$A:$A=$A749,'SUMMARY DATA'!$C:$C=$B749,'SUMMARY DATA'!$B:$B=""GRP"")),
  IF(
    OR(
      ISNUMBER(SEARCH(""CDM CASH DEPOSIT"",$C749)),
      ISNUMBER(SEARCH(""CASH DEPOSIT"",$C74"&amp;"9)),
      COUNTIFS('SUMMARY DATA'!$D:$D,$C749,'SUMMARY DATA'!$B:$B,""GRP"")&lt;&gt;1
    ),
    """",
    IFERROR(TEXTJOIN(CHAR(10),TRUE,FILTER('SUMMARY DATA'!E:E,'SUMMARY DATA'!$D:$D=$C749,'SUMMARY DATA'!$B:$B=""GRP"")),"""")
  )
)"),"")</f>
      </c>
      <c r="F1648" s="17" t="str">
        <f>IFERROR(__xludf.DUMMYFUNCTION("IFERROR(
  TEXTJOIN(CHAR(10),TRUE,FILTER('SUMMARY DATA'!F:F,'SUMMARY DATA'!$A:$A=$A749,'SUMMARY DATA'!$C:$C=$B749,'SUMMARY DATA'!$B:$B=""GRP"")),
  IF(
    OR(
      ISNUMBER(SEARCH(""CDM CASH DEPOSIT"",$C749)),
      ISNUMBER(SEARCH(""CASH DEPOSIT"",$C74"&amp;"9)),
      COUNTIFS('SUMMARY DATA'!$D:$D,$C749,'SUMMARY DATA'!$B:$B,""GRP"")&lt;&gt;1
    ),
    """",
    IFERROR(TEXTJOIN(CHAR(10),TRUE,FILTER('SUMMARY DATA'!F:F,'SUMMARY DATA'!$D:$D=$C749,'SUMMARY DATA'!$B:$B=""GRP"")),"""")
  )
)"),"")</f>
      </c>
    </row>
    <row r="1649" spans="1:6" customHeight="true">
      <c r="A1649" s="2" t="s">
        <v>2320</v>
      </c>
      <c r="B1649" s="31">
        <v>45870</v>
      </c>
      <c r="C1649" s="2" t="s">
        <v>2321</v>
      </c>
      <c r="D1649" s="6">
        <v>132.77</v>
      </c>
      <c r="E1649" s="16" t="str">
        <f>IFERROR(__xludf.DUMMYFUNCTION("IFERROR(
  TEXTJOIN(CHAR(10),TRUE,FILTER('SUMMARY DATA'!E:E,'SUMMARY DATA'!$A:$A=$A750,'SUMMARY DATA'!$C:$C=$B750,'SUMMARY DATA'!$B:$B=""GRP"")),
  IF(
    OR(
      ISNUMBER(SEARCH(""CDM CASH DEPOSIT"",$C750)),
      ISNUMBER(SEARCH(""CASH DEPOSIT"",$C75"&amp;"0)),
      COUNTIFS('SUMMARY DATA'!$D:$D,$C750,'SUMMARY DATA'!$B:$B,""GRP"")&lt;&gt;1
    ),
    """",
    IFERROR(TEXTJOIN(CHAR(10),TRUE,FILTER('SUMMARY DATA'!E:E,'SUMMARY DATA'!$D:$D=$C750,'SUMMARY DATA'!$B:$B=""GRP"")),"""")
  )
)"),"")</f>
      </c>
      <c r="F1649" s="17" t="str">
        <f>IFERROR(__xludf.DUMMYFUNCTION("IFERROR(
  TEXTJOIN(CHAR(10),TRUE,FILTER('SUMMARY DATA'!F:F,'SUMMARY DATA'!$A:$A=$A750,'SUMMARY DATA'!$C:$C=$B750,'SUMMARY DATA'!$B:$B=""GRP"")),
  IF(
    OR(
      ISNUMBER(SEARCH(""CDM CASH DEPOSIT"",$C750)),
      ISNUMBER(SEARCH(""CASH DEPOSIT"",$C75"&amp;"0)),
      COUNTIFS('SUMMARY DATA'!$D:$D,$C750,'SUMMARY DATA'!$B:$B,""GRP"")&lt;&gt;1
    ),
    """",
    IFERROR(TEXTJOIN(CHAR(10),TRUE,FILTER('SUMMARY DATA'!F:F,'SUMMARY DATA'!$D:$D=$C750,'SUMMARY DATA'!$B:$B=""GRP"")),"""")
  )
)"),"")</f>
      </c>
    </row>
    <row r="1650" spans="1:6" customHeight="true">
      <c r="A1650" s="2"/>
      <c r="B1650" s="31">
        <v>45870</v>
      </c>
      <c r="C1650" s="2" t="s">
        <v>2322</v>
      </c>
      <c r="D1650" s="6">
        <v>27.76</v>
      </c>
      <c r="E1650" s="16" t="str">
        <f>IFERROR(__xludf.DUMMYFUNCTION("IFERROR(
  TEXTJOIN(CHAR(10),TRUE,FILTER('SUMMARY DATA'!E:E,'SUMMARY DATA'!$A:$A=$A751,'SUMMARY DATA'!$C:$C=$B751,'SUMMARY DATA'!$B:$B=""GRP"")),
  IF(
    OR(
      ISNUMBER(SEARCH(""CDM CASH DEPOSIT"",$C751)),
      ISNUMBER(SEARCH(""CASH DEPOSIT"",$C75"&amp;"1)),
      COUNTIFS('SUMMARY DATA'!$D:$D,$C751,'SUMMARY DATA'!$B:$B,""GRP"")&lt;&gt;1
    ),
    """",
    IFERROR(TEXTJOIN(CHAR(10),TRUE,FILTER('SUMMARY DATA'!E:E,'SUMMARY DATA'!$D:$D=$C751,'SUMMARY DATA'!$B:$B=""GRP"")),"""")
  )
)"),"")</f>
      </c>
      <c r="F1650" s="17" t="str">
        <f>IFERROR(__xludf.DUMMYFUNCTION("IFERROR(
  TEXTJOIN(CHAR(10),TRUE,FILTER('SUMMARY DATA'!F:F,'SUMMARY DATA'!$A:$A=$A751,'SUMMARY DATA'!$C:$C=$B751,'SUMMARY DATA'!$B:$B=""GRP"")),
  IF(
    OR(
      ISNUMBER(SEARCH(""CDM CASH DEPOSIT"",$C751)),
      ISNUMBER(SEARCH(""CASH DEPOSIT"",$C75"&amp;"1)),
      COUNTIFS('SUMMARY DATA'!$D:$D,$C751,'SUMMARY DATA'!$B:$B,""GRP"")&lt;&gt;1
    ),
    """",
    IFERROR(TEXTJOIN(CHAR(10),TRUE,FILTER('SUMMARY DATA'!F:F,'SUMMARY DATA'!$D:$D=$C751,'SUMMARY DATA'!$B:$B=""GRP"")),"""")
  )
)"),"")</f>
      </c>
    </row>
    <row r="1651" spans="1:6" customHeight="true">
      <c r="A1651" s="2" t="s">
        <v>413</v>
      </c>
      <c r="B1651" s="31">
        <v>45870</v>
      </c>
      <c r="C1651" s="2" t="s">
        <v>2323</v>
      </c>
      <c r="D1651" s="6">
        <v>126</v>
      </c>
      <c r="E1651" s="16" t="str">
        <f>IFERROR(__xludf.DUMMYFUNCTION("IFERROR(
  TEXTJOIN(CHAR(10),TRUE,FILTER('SUMMARY DATA'!E:E,'SUMMARY DATA'!$A:$A=$A752,'SUMMARY DATA'!$C:$C=$B752,'SUMMARY DATA'!$B:$B=""GRP"")),
  IF(
    OR(
      ISNUMBER(SEARCH(""CDM CASH DEPOSIT"",$C752)),
      ISNUMBER(SEARCH(""CASH DEPOSIT"",$C75"&amp;"2)),
      COUNTIFS('SUMMARY DATA'!$D:$D,$C752,'SUMMARY DATA'!$B:$B,""GRP"")&lt;&gt;1
    ),
    """",
    IFERROR(TEXTJOIN(CHAR(10),TRUE,FILTER('SUMMARY DATA'!E:E,'SUMMARY DATA'!$D:$D=$C752,'SUMMARY DATA'!$B:$B=""GRP"")),"""")
  )
)"),"")</f>
      </c>
      <c r="F1651" s="17" t="str">
        <f>IFERROR(__xludf.DUMMYFUNCTION("IFERROR(
  TEXTJOIN(CHAR(10),TRUE,FILTER('SUMMARY DATA'!F:F,'SUMMARY DATA'!$A:$A=$A752,'SUMMARY DATA'!$C:$C=$B752,'SUMMARY DATA'!$B:$B=""GRP"")),
  IF(
    OR(
      ISNUMBER(SEARCH(""CDM CASH DEPOSIT"",$C752)),
      ISNUMBER(SEARCH(""CASH DEPOSIT"",$C75"&amp;"2)),
      COUNTIFS('SUMMARY DATA'!$D:$D,$C752,'SUMMARY DATA'!$B:$B,""GRP"")&lt;&gt;1
    ),
    """",
    IFERROR(TEXTJOIN(CHAR(10),TRUE,FILTER('SUMMARY DATA'!F:F,'SUMMARY DATA'!$D:$D=$C752,'SUMMARY DATA'!$B:$B=""GRP"")),"""")
  )
)"),"")</f>
      </c>
    </row>
    <row r="1652" spans="1:6" customHeight="true">
      <c r="A1652" s="2" t="s">
        <v>2324</v>
      </c>
      <c r="B1652" s="31">
        <v>45870</v>
      </c>
      <c r="C1652" s="2" t="s">
        <v>2325</v>
      </c>
      <c r="D1652" s="6">
        <v>360</v>
      </c>
      <c r="E1652" s="16" t="str">
        <f>IFERROR(__xludf.DUMMYFUNCTION("IFERROR(
  TEXTJOIN(CHAR(10),TRUE,FILTER('SUMMARY DATA'!E:E,'SUMMARY DATA'!$A:$A=$A753,'SUMMARY DATA'!$C:$C=$B753,'SUMMARY DATA'!$B:$B=""GRP"")),
  IF(
    OR(
      ISNUMBER(SEARCH(""CDM CASH DEPOSIT"",$C753)),
      ISNUMBER(SEARCH(""CASH DEPOSIT"",$C75"&amp;"3)),
      COUNTIFS('SUMMARY DATA'!$D:$D,$C753,'SUMMARY DATA'!$B:$B,""GRP"")&lt;&gt;1
    ),
    """",
    IFERROR(TEXTJOIN(CHAR(10),TRUE,FILTER('SUMMARY DATA'!E:E,'SUMMARY DATA'!$D:$D=$C753,'SUMMARY DATA'!$B:$B=""GRP"")),"""")
  )
)"),"")</f>
      </c>
      <c r="F1652" s="17" t="str">
        <f>IFERROR(__xludf.DUMMYFUNCTION("IFERROR(
  TEXTJOIN(CHAR(10),TRUE,FILTER('SUMMARY DATA'!F:F,'SUMMARY DATA'!$A:$A=$A753,'SUMMARY DATA'!$C:$C=$B753,'SUMMARY DATA'!$B:$B=""GRP"")),
  IF(
    OR(
      ISNUMBER(SEARCH(""CDM CASH DEPOSIT"",$C753)),
      ISNUMBER(SEARCH(""CASH DEPOSIT"",$C75"&amp;"3)),
      COUNTIFS('SUMMARY DATA'!$D:$D,$C753,'SUMMARY DATA'!$B:$B,""GRP"")&lt;&gt;1
    ),
    """",
    IFERROR(TEXTJOIN(CHAR(10),TRUE,FILTER('SUMMARY DATA'!F:F,'SUMMARY DATA'!$D:$D=$C753,'SUMMARY DATA'!$B:$B=""GRP"")),"""")
  )
)"),"")</f>
      </c>
    </row>
    <row r="1653" spans="1:6" customHeight="true">
      <c r="A1653" s="2"/>
      <c r="B1653" s="31">
        <v>45870</v>
      </c>
      <c r="C1653" s="2" t="s">
        <v>339</v>
      </c>
      <c r="D1653" s="6">
        <v>25.74</v>
      </c>
      <c r="E1653" s="16" t="str">
        <f>IFERROR(__xludf.DUMMYFUNCTION("IFERROR(
  TEXTJOIN(CHAR(10),TRUE,FILTER('SUMMARY DATA'!E:E,'SUMMARY DATA'!$A:$A=$A754,'SUMMARY DATA'!$C:$C=$B754,'SUMMARY DATA'!$B:$B=""GRP"")),
  IF(
    OR(
      ISNUMBER(SEARCH(""CDM CASH DEPOSIT"",$C754)),
      ISNUMBER(SEARCH(""CASH DEPOSIT"",$C75"&amp;"4)),
      COUNTIFS('SUMMARY DATA'!$D:$D,$C754,'SUMMARY DATA'!$B:$B,""GRP"")&lt;&gt;1
    ),
    """",
    IFERROR(TEXTJOIN(CHAR(10),TRUE,FILTER('SUMMARY DATA'!E:E,'SUMMARY DATA'!$D:$D=$C754,'SUMMARY DATA'!$B:$B=""GRP"")),"""")
  )
)"),"")</f>
      </c>
      <c r="F1653" s="17" t="str">
        <f>IFERROR(__xludf.DUMMYFUNCTION("IFERROR(
  TEXTJOIN(CHAR(10),TRUE,FILTER('SUMMARY DATA'!F:F,'SUMMARY DATA'!$A:$A=$A754,'SUMMARY DATA'!$C:$C=$B754,'SUMMARY DATA'!$B:$B=""GRP"")),
  IF(
    OR(
      ISNUMBER(SEARCH(""CDM CASH DEPOSIT"",$C754)),
      ISNUMBER(SEARCH(""CASH DEPOSIT"",$C75"&amp;"4)),
      COUNTIFS('SUMMARY DATA'!$D:$D,$C754,'SUMMARY DATA'!$B:$B,""GRP"")&lt;&gt;1
    ),
    """",
    IFERROR(TEXTJOIN(CHAR(10),TRUE,FILTER('SUMMARY DATA'!F:F,'SUMMARY DATA'!$D:$D=$C754,'SUMMARY DATA'!$B:$B=""GRP"")),"""")
  )
)"),"")</f>
      </c>
    </row>
    <row r="1654" spans="1:6" customHeight="true">
      <c r="A1654" s="2"/>
      <c r="B1654" s="31">
        <v>45870</v>
      </c>
      <c r="C1654" s="2" t="s">
        <v>2326</v>
      </c>
      <c r="D1654" s="6">
        <v>74.86</v>
      </c>
      <c r="E1654" s="16" t="str">
        <f>IFERROR(__xludf.DUMMYFUNCTION("IFERROR(
  TEXTJOIN(CHAR(10),TRUE,FILTER('SUMMARY DATA'!E:E,'SUMMARY DATA'!$A:$A=$A755,'SUMMARY DATA'!$C:$C=$B755,'SUMMARY DATA'!$B:$B=""GRP"")),
  IF(
    OR(
      ISNUMBER(SEARCH(""CDM CASH DEPOSIT"",$C755)),
      ISNUMBER(SEARCH(""CASH DEPOSIT"",$C75"&amp;"5)),
      COUNTIFS('SUMMARY DATA'!$D:$D,$C755,'SUMMARY DATA'!$B:$B,""GRP"")&lt;&gt;1
    ),
    """",
    IFERROR(TEXTJOIN(CHAR(10),TRUE,FILTER('SUMMARY DATA'!E:E,'SUMMARY DATA'!$D:$D=$C755,'SUMMARY DATA'!$B:$B=""GRP"")),"""")
  )
)"),"")</f>
      </c>
      <c r="F1654" s="17" t="str">
        <f>IFERROR(__xludf.DUMMYFUNCTION("IFERROR(
  TEXTJOIN(CHAR(10),TRUE,FILTER('SUMMARY DATA'!F:F,'SUMMARY DATA'!$A:$A=$A755,'SUMMARY DATA'!$C:$C=$B755,'SUMMARY DATA'!$B:$B=""GRP"")),
  IF(
    OR(
      ISNUMBER(SEARCH(""CDM CASH DEPOSIT"",$C755)),
      ISNUMBER(SEARCH(""CASH DEPOSIT"",$C75"&amp;"5)),
      COUNTIFS('SUMMARY DATA'!$D:$D,$C755,'SUMMARY DATA'!$B:$B,""GRP"")&lt;&gt;1
    ),
    """",
    IFERROR(TEXTJOIN(CHAR(10),TRUE,FILTER('SUMMARY DATA'!F:F,'SUMMARY DATA'!$D:$D=$C755,'SUMMARY DATA'!$B:$B=""GRP"")),"""")
  )
)"),"")</f>
      </c>
    </row>
    <row r="1655" spans="1:6" customHeight="true">
      <c r="A1655" s="2"/>
      <c r="B1655" s="31">
        <v>45870</v>
      </c>
      <c r="C1655" s="2" t="s">
        <v>2327</v>
      </c>
      <c r="D1655" s="6">
        <v>261.34</v>
      </c>
      <c r="E1655" s="16" t="str">
        <f>IFERROR(__xludf.DUMMYFUNCTION("IFERROR(
  TEXTJOIN(CHAR(10),TRUE,FILTER('SUMMARY DATA'!E:E,'SUMMARY DATA'!$A:$A=$A756,'SUMMARY DATA'!$C:$C=$B756,'SUMMARY DATA'!$B:$B=""GRP"")),
  IF(
    OR(
      ISNUMBER(SEARCH(""CDM CASH DEPOSIT"",$C756)),
      ISNUMBER(SEARCH(""CASH DEPOSIT"",$C75"&amp;"6)),
      COUNTIFS('SUMMARY DATA'!$D:$D,$C756,'SUMMARY DATA'!$B:$B,""GRP"")&lt;&gt;1
    ),
    """",
    IFERROR(TEXTJOIN(CHAR(10),TRUE,FILTER('SUMMARY DATA'!E:E,'SUMMARY DATA'!$D:$D=$C756,'SUMMARY DATA'!$B:$B=""GRP"")),"""")
  )
)"),"")</f>
      </c>
      <c r="F1655" s="17" t="str">
        <f>IFERROR(__xludf.DUMMYFUNCTION("IFERROR(
  TEXTJOIN(CHAR(10),TRUE,FILTER('SUMMARY DATA'!F:F,'SUMMARY DATA'!$A:$A=$A756,'SUMMARY DATA'!$C:$C=$B756,'SUMMARY DATA'!$B:$B=""GRP"")),
  IF(
    OR(
      ISNUMBER(SEARCH(""CDM CASH DEPOSIT"",$C756)),
      ISNUMBER(SEARCH(""CASH DEPOSIT"",$C75"&amp;"6)),
      COUNTIFS('SUMMARY DATA'!$D:$D,$C756,'SUMMARY DATA'!$B:$B,""GRP"")&lt;&gt;1
    ),
    """",
    IFERROR(TEXTJOIN(CHAR(10),TRUE,FILTER('SUMMARY DATA'!F:F,'SUMMARY DATA'!$D:$D=$C756,'SUMMARY DATA'!$B:$B=""GRP"")),"""")
  )
)"),"")</f>
      </c>
    </row>
    <row r="1656" spans="1:6" customHeight="true">
      <c r="A1656" s="2"/>
      <c r="B1656" s="31">
        <v>45870</v>
      </c>
      <c r="C1656" s="2" t="s">
        <v>2328</v>
      </c>
      <c r="D1656" s="6">
        <v>16.8</v>
      </c>
      <c r="E1656" s="16" t="str">
        <f>IFERROR(__xludf.DUMMYFUNCTION("IFERROR(
  TEXTJOIN(CHAR(10),TRUE,FILTER('SUMMARY DATA'!E:E,'SUMMARY DATA'!$A:$A=$A757,'SUMMARY DATA'!$C:$C=$B757,'SUMMARY DATA'!$B:$B=""GRP"")),
  IF(
    OR(
      ISNUMBER(SEARCH(""CDM CASH DEPOSIT"",$C757)),
      ISNUMBER(SEARCH(""CASH DEPOSIT"",$C75"&amp;"7)),
      COUNTIFS('SUMMARY DATA'!$D:$D,$C757,'SUMMARY DATA'!$B:$B,""GRP"")&lt;&gt;1
    ),
    """",
    IFERROR(TEXTJOIN(CHAR(10),TRUE,FILTER('SUMMARY DATA'!E:E,'SUMMARY DATA'!$D:$D=$C757,'SUMMARY DATA'!$B:$B=""GRP"")),"""")
  )
)"),"")</f>
      </c>
      <c r="F1656" s="17" t="str">
        <f>IFERROR(__xludf.DUMMYFUNCTION("IFERROR(
  TEXTJOIN(CHAR(10),TRUE,FILTER('SUMMARY DATA'!F:F,'SUMMARY DATA'!$A:$A=$A757,'SUMMARY DATA'!$C:$C=$B757,'SUMMARY DATA'!$B:$B=""GRP"")),
  IF(
    OR(
      ISNUMBER(SEARCH(""CDM CASH DEPOSIT"",$C757)),
      ISNUMBER(SEARCH(""CASH DEPOSIT"",$C75"&amp;"7)),
      COUNTIFS('SUMMARY DATA'!$D:$D,$C757,'SUMMARY DATA'!$B:$B,""GRP"")&lt;&gt;1
    ),
    """",
    IFERROR(TEXTJOIN(CHAR(10),TRUE,FILTER('SUMMARY DATA'!F:F,'SUMMARY DATA'!$D:$D=$C757,'SUMMARY DATA'!$B:$B=""GRP"")),"""")
  )
)"),"")</f>
      </c>
    </row>
    <row r="1657" spans="1:6" customHeight="true">
      <c r="A1657" s="2" t="s">
        <v>2329</v>
      </c>
      <c r="B1657" s="15">
        <v>45930</v>
      </c>
      <c r="C1657" s="2" t="s">
        <v>2330</v>
      </c>
      <c r="D1657" s="6">
        <v>40</v>
      </c>
      <c r="E1657" s="16" t="str">
        <f>IFERROR(__xludf.DUMMYFUNCTION("IFERROR(
  TEXTJOIN(CHAR(10),TRUE,FILTER('SUMMARY DATA'!E:E,'SUMMARY DATA'!$A:$A=$A758,'SUMMARY DATA'!$C:$C=$B758,'SUMMARY DATA'!$B:$B=""GRP"")),
  IF(
    OR(
      ISNUMBER(SEARCH(""CDM CASH DEPOSIT"",$C758)),
      ISNUMBER(SEARCH(""CASH DEPOSIT"",$C75"&amp;"8)),
      COUNTIFS('SUMMARY DATA'!$D:$D,$C758,'SUMMARY DATA'!$B:$B,""GRP"")&lt;&gt;1
    ),
    """",
    IFERROR(TEXTJOIN(CHAR(10),TRUE,FILTER('SUMMARY DATA'!E:E,'SUMMARY DATA'!$D:$D=$C758,'SUMMARY DATA'!$B:$B=""GRP"")),"""")
  )
)"),"")</f>
      </c>
      <c r="F1657" s="17" t="str">
        <f>IFERROR(__xludf.DUMMYFUNCTION("IFERROR(
  TEXTJOIN(CHAR(10),TRUE,FILTER('SUMMARY DATA'!F:F,'SUMMARY DATA'!$A:$A=$A758,'SUMMARY DATA'!$C:$C=$B758,'SUMMARY DATA'!$B:$B=""GRP"")),
  IF(
    OR(
      ISNUMBER(SEARCH(""CDM CASH DEPOSIT"",$C758)),
      ISNUMBER(SEARCH(""CASH DEPOSIT"",$C75"&amp;"8)),
      COUNTIFS('SUMMARY DATA'!$D:$D,$C758,'SUMMARY DATA'!$B:$B,""GRP"")&lt;&gt;1
    ),
    """",
    IFERROR(TEXTJOIN(CHAR(10),TRUE,FILTER('SUMMARY DATA'!F:F,'SUMMARY DATA'!$D:$D=$C758,'SUMMARY DATA'!$B:$B=""GRP"")),"""")
  )
)"),"")</f>
      </c>
    </row>
    <row r="1658" spans="1:6" customHeight="true">
      <c r="A1658" s="2" t="s">
        <v>2331</v>
      </c>
      <c r="B1658" s="15">
        <v>45924</v>
      </c>
      <c r="C1658" s="2" t="s">
        <v>2332</v>
      </c>
      <c r="D1658" s="6">
        <v>265.93</v>
      </c>
      <c r="E1658" s="16" t="s">
        <v>2732</v>
      </c>
      <c r="F1658" s="17" t="s">
        <v>2733</v>
      </c>
      <c r="G1658" s="1" t="s">
        <v>2393</v>
      </c>
      <c r="H1658" s="1">
        <v>265.93</v>
      </c>
      <c r="I1658" s="1">
        <v>265.93</v>
      </c>
      <c r="J1658" s="1" t="s">
        <v>2394</v>
      </c>
      <c r="K1658" s="1" t="s">
        <v>2719</v>
      </c>
    </row>
    <row r="1659" spans="1:6" customHeight="true">
      <c r="A1659" s="2" t="s">
        <v>2333</v>
      </c>
      <c r="B1659" s="15">
        <v>45924</v>
      </c>
      <c r="C1659" s="2" t="s">
        <v>2334</v>
      </c>
      <c r="D1659" s="6">
        <v>136.56</v>
      </c>
      <c r="E1659" s="16" t="s">
        <v>2734</v>
      </c>
      <c r="F1659" s="17" t="s">
        <v>2735</v>
      </c>
      <c r="G1659" s="1" t="s">
        <v>2736</v>
      </c>
      <c r="H1659" s="1">
        <v>136.56</v>
      </c>
      <c r="I1659" s="1">
        <v>136.56</v>
      </c>
      <c r="J1659" s="1" t="s">
        <v>2737</v>
      </c>
      <c r="K1659" s="1" t="s">
        <v>2738</v>
      </c>
    </row>
    <row r="1660" spans="1:6" customHeight="true">
      <c r="A1660" s="2" t="s">
        <v>2335</v>
      </c>
      <c r="B1660" s="15">
        <v>45923</v>
      </c>
      <c r="C1660" s="2" t="s">
        <v>2336</v>
      </c>
      <c r="D1660" s="6">
        <v>44.44</v>
      </c>
      <c r="E1660" s="16" t="str">
        <f>IFERROR(__xludf.DUMMYFUNCTION("IFERROR(
  TEXTJOIN(CHAR(10),TRUE,FILTER('SUMMARY DATA'!E:E,'SUMMARY DATA'!$A:$A=$A761,'SUMMARY DATA'!$C:$C=$B761,'SUMMARY DATA'!$B:$B=""GRP"")),
  IF(
    OR(
      ISNUMBER(SEARCH(""CDM CASH DEPOSIT"",$C761)),
      ISNUMBER(SEARCH(""CASH DEPOSIT"",$C76"&amp;"1)),
      COUNTIFS('SUMMARY DATA'!$D:$D,$C761,'SUMMARY DATA'!$B:$B,""GRP"")&lt;&gt;1
    ),
    """",
    IFERROR(TEXTJOIN(CHAR(10),TRUE,FILTER('SUMMARY DATA'!E:E,'SUMMARY DATA'!$D:$D=$C761,'SUMMARY DATA'!$B:$B=""GRP"")),"""")
  )
)"),"")</f>
      </c>
      <c r="F1660" s="17" t="str">
        <f>IFERROR(__xludf.DUMMYFUNCTION("IFERROR(
  TEXTJOIN(CHAR(10),TRUE,FILTER('SUMMARY DATA'!F:F,'SUMMARY DATA'!$A:$A=$A761,'SUMMARY DATA'!$C:$C=$B761,'SUMMARY DATA'!$B:$B=""GRP"")),
  IF(
    OR(
      ISNUMBER(SEARCH(""CDM CASH DEPOSIT"",$C761)),
      ISNUMBER(SEARCH(""CASH DEPOSIT"",$C76"&amp;"1)),
      COUNTIFS('SUMMARY DATA'!$D:$D,$C761,'SUMMARY DATA'!$B:$B,""GRP"")&lt;&gt;1
    ),
    """",
    IFERROR(TEXTJOIN(CHAR(10),TRUE,FILTER('SUMMARY DATA'!F:F,'SUMMARY DATA'!$D:$D=$C761,'SUMMARY DATA'!$B:$B=""GRP"")),"""")
  )
)"),"")</f>
      </c>
    </row>
    <row r="1661" spans="1:6" customHeight="true">
      <c r="A1661" s="2" t="s">
        <v>2337</v>
      </c>
      <c r="B1661" s="15">
        <v>45921</v>
      </c>
      <c r="C1661" s="2" t="s">
        <v>546</v>
      </c>
      <c r="D1661" s="6">
        <v>55</v>
      </c>
      <c r="E1661" s="16" t="str">
        <f>IFERROR(__xludf.DUMMYFUNCTION("IFERROR(
  TEXTJOIN(CHAR(10),TRUE,FILTER('SUMMARY DATA'!E:E,'SUMMARY DATA'!$A:$A=$A762,'SUMMARY DATA'!$C:$C=$B762,'SUMMARY DATA'!$B:$B=""GRP"")),
  IF(
    OR(
      ISNUMBER(SEARCH(""CDM CASH DEPOSIT"",$C762)),
      ISNUMBER(SEARCH(""CASH DEPOSIT"",$C76"&amp;"2)),
      COUNTIFS('SUMMARY DATA'!$D:$D,$C762,'SUMMARY DATA'!$B:$B,""GRP"")&lt;&gt;1
    ),
    """",
    IFERROR(TEXTJOIN(CHAR(10),TRUE,FILTER('SUMMARY DATA'!E:E,'SUMMARY DATA'!$D:$D=$C762,'SUMMARY DATA'!$B:$B=""GRP"")),"""")
  )
)"),"")</f>
      </c>
      <c r="F1661" s="17" t="str">
        <f>IFERROR(__xludf.DUMMYFUNCTION("IFERROR(
  TEXTJOIN(CHAR(10),TRUE,FILTER('SUMMARY DATA'!F:F,'SUMMARY DATA'!$A:$A=$A762,'SUMMARY DATA'!$C:$C=$B762,'SUMMARY DATA'!$B:$B=""GRP"")),
  IF(
    OR(
      ISNUMBER(SEARCH(""CDM CASH DEPOSIT"",$C762)),
      ISNUMBER(SEARCH(""CASH DEPOSIT"",$C76"&amp;"2)),
      COUNTIFS('SUMMARY DATA'!$D:$D,$C762,'SUMMARY DATA'!$B:$B,""GRP"")&lt;&gt;1
    ),
    """",
    IFERROR(TEXTJOIN(CHAR(10),TRUE,FILTER('SUMMARY DATA'!F:F,'SUMMARY DATA'!$D:$D=$C762,'SUMMARY DATA'!$B:$B=""GRP"")),"""")
  )
)"),"")</f>
      </c>
    </row>
    <row r="1662" spans="1:6" customHeight="true">
      <c r="A1662" s="2"/>
      <c r="B1662" s="15">
        <v>45917</v>
      </c>
      <c r="C1662" s="2" t="s">
        <v>2338</v>
      </c>
      <c r="D1662" s="6">
        <v>28</v>
      </c>
      <c r="E1662" s="16" t="str">
        <f>IFERROR(__xludf.DUMMYFUNCTION("IFERROR(
  TEXTJOIN(CHAR(10),TRUE,FILTER('SUMMARY DATA'!E:E,'SUMMARY DATA'!$A:$A=$A763,'SUMMARY DATA'!$C:$C=$B763,'SUMMARY DATA'!$B:$B=""GRP"")),
  IF(
    OR(
      ISNUMBER(SEARCH(""CDM CASH DEPOSIT"",$C763)),
      ISNUMBER(SEARCH(""CASH DEPOSIT"",$C76"&amp;"3)),
      COUNTIFS('SUMMARY DATA'!$D:$D,$C763,'SUMMARY DATA'!$B:$B,""GRP"")&lt;&gt;1
    ),
    """",
    IFERROR(TEXTJOIN(CHAR(10),TRUE,FILTER('SUMMARY DATA'!E:E,'SUMMARY DATA'!$D:$D=$C763,'SUMMARY DATA'!$B:$B=""GRP"")),"""")
  )
)"),"")</f>
      </c>
      <c r="F1662" s="17" t="str">
        <f>IFERROR(__xludf.DUMMYFUNCTION("IFERROR(
  TEXTJOIN(CHAR(10),TRUE,FILTER('SUMMARY DATA'!F:F,'SUMMARY DATA'!$A:$A=$A763,'SUMMARY DATA'!$C:$C=$B763,'SUMMARY DATA'!$B:$B=""GRP"")),
  IF(
    OR(
      ISNUMBER(SEARCH(""CDM CASH DEPOSIT"",$C763)),
      ISNUMBER(SEARCH(""CASH DEPOSIT"",$C76"&amp;"3)),
      COUNTIFS('SUMMARY DATA'!$D:$D,$C763,'SUMMARY DATA'!$B:$B,""GRP"")&lt;&gt;1
    ),
    """",
    IFERROR(TEXTJOIN(CHAR(10),TRUE,FILTER('SUMMARY DATA'!F:F,'SUMMARY DATA'!$D:$D=$C763,'SUMMARY DATA'!$B:$B=""GRP"")),"""")
  )
)"),"")</f>
      </c>
    </row>
    <row r="1663" spans="1:6" customHeight="true">
      <c r="A1663" s="2" t="s">
        <v>2339</v>
      </c>
      <c r="B1663" s="15">
        <v>45917</v>
      </c>
      <c r="C1663" s="2" t="s">
        <v>2340</v>
      </c>
      <c r="D1663" s="6">
        <v>157</v>
      </c>
      <c r="E1663" s="16" t="str">
        <f>IFERROR(__xludf.DUMMYFUNCTION("IFERROR(
  TEXTJOIN(CHAR(10),TRUE,FILTER('SUMMARY DATA'!E:E,'SUMMARY DATA'!$A:$A=$A764,'SUMMARY DATA'!$C:$C=$B764,'SUMMARY DATA'!$B:$B=""GRP"")),
  IF(
    OR(
      ISNUMBER(SEARCH(""CDM CASH DEPOSIT"",$C764)),
      ISNUMBER(SEARCH(""CASH DEPOSIT"",$C76"&amp;"4)),
      COUNTIFS('SUMMARY DATA'!$D:$D,$C764,'SUMMARY DATA'!$B:$B,""GRP"")&lt;&gt;1
    ),
    """",
    IFERROR(TEXTJOIN(CHAR(10),TRUE,FILTER('SUMMARY DATA'!E:E,'SUMMARY DATA'!$D:$D=$C764,'SUMMARY DATA'!$B:$B=""GRP"")),"""")
  )
)"),"")</f>
      </c>
      <c r="F1663" s="17" t="str">
        <f>IFERROR(__xludf.DUMMYFUNCTION("IFERROR(
  TEXTJOIN(CHAR(10),TRUE,FILTER('SUMMARY DATA'!F:F,'SUMMARY DATA'!$A:$A=$A764,'SUMMARY DATA'!$C:$C=$B764,'SUMMARY DATA'!$B:$B=""GRP"")),
  IF(
    OR(
      ISNUMBER(SEARCH(""CDM CASH DEPOSIT"",$C764)),
      ISNUMBER(SEARCH(""CASH DEPOSIT"",$C76"&amp;"4)),
      COUNTIFS('SUMMARY DATA'!$D:$D,$C764,'SUMMARY DATA'!$B:$B,""GRP"")&lt;&gt;1
    ),
    """",
    IFERROR(TEXTJOIN(CHAR(10),TRUE,FILTER('SUMMARY DATA'!F:F,'SUMMARY DATA'!$D:$D=$C764,'SUMMARY DATA'!$B:$B=""GRP"")),"""")
  )
)"),"")</f>
      </c>
    </row>
    <row r="1664" spans="1:6" customHeight="true">
      <c r="A1664" s="2" t="s">
        <v>2341</v>
      </c>
      <c r="B1664" s="15">
        <v>45916</v>
      </c>
      <c r="C1664" s="2" t="s">
        <v>2342</v>
      </c>
      <c r="D1664" s="6">
        <v>786.26</v>
      </c>
      <c r="E1664" s="16" t="s">
        <v>2739</v>
      </c>
      <c r="F1664" s="17" t="s">
        <v>2740</v>
      </c>
      <c r="G1664" s="1" t="s">
        <v>2393</v>
      </c>
      <c r="H1664" s="1">
        <v>786.26</v>
      </c>
      <c r="I1664" s="1">
        <v>786.26</v>
      </c>
      <c r="J1664" s="1" t="s">
        <v>2394</v>
      </c>
      <c r="K1664" s="1" t="s">
        <v>2719</v>
      </c>
    </row>
    <row r="1665" spans="1:6" customHeight="true">
      <c r="A1665" s="2" t="s">
        <v>2343</v>
      </c>
      <c r="B1665" s="15">
        <v>45916</v>
      </c>
      <c r="C1665" s="2" t="s">
        <v>2344</v>
      </c>
      <c r="D1665" s="6">
        <v>89</v>
      </c>
      <c r="E1665" s="16" t="str">
        <f>IFERROR(__xludf.DUMMYFUNCTION("IFERROR(
  TEXTJOIN(CHAR(10),TRUE,FILTER('SUMMARY DATA'!E:E,'SUMMARY DATA'!$A:$A=$A766,'SUMMARY DATA'!$C:$C=$B766,'SUMMARY DATA'!$B:$B=""GRP"")),
  IF(
    OR(
      ISNUMBER(SEARCH(""CDM CASH DEPOSIT"",$C766)),
      ISNUMBER(SEARCH(""CASH DEPOSIT"",$C76"&amp;"6)),
      COUNTIFS('SUMMARY DATA'!$D:$D,$C766,'SUMMARY DATA'!$B:$B,""GRP"")&lt;&gt;1
    ),
    """",
    IFERROR(TEXTJOIN(CHAR(10),TRUE,FILTER('SUMMARY DATA'!E:E,'SUMMARY DATA'!$D:$D=$C766,'SUMMARY DATA'!$B:$B=""GRP"")),"""")
  )
)"),"")</f>
      </c>
      <c r="F1665" s="17" t="str">
        <f>IFERROR(__xludf.DUMMYFUNCTION("IFERROR(
  TEXTJOIN(CHAR(10),TRUE,FILTER('SUMMARY DATA'!F:F,'SUMMARY DATA'!$A:$A=$A766,'SUMMARY DATA'!$C:$C=$B766,'SUMMARY DATA'!$B:$B=""GRP"")),
  IF(
    OR(
      ISNUMBER(SEARCH(""CDM CASH DEPOSIT"",$C766)),
      ISNUMBER(SEARCH(""CASH DEPOSIT"",$C76"&amp;"6)),
      COUNTIFS('SUMMARY DATA'!$D:$D,$C766,'SUMMARY DATA'!$B:$B,""GRP"")&lt;&gt;1
    ),
    """",
    IFERROR(TEXTJOIN(CHAR(10),TRUE,FILTER('SUMMARY DATA'!F:F,'SUMMARY DATA'!$D:$D=$C766,'SUMMARY DATA'!$B:$B=""GRP"")),"""")
  )
)"),"")</f>
      </c>
    </row>
    <row r="1666" spans="1:6" customHeight="true">
      <c r="A1666" s="2" t="s">
        <v>2333</v>
      </c>
      <c r="B1666" s="15">
        <v>45911</v>
      </c>
      <c r="C1666" s="2" t="s">
        <v>2334</v>
      </c>
      <c r="D1666" s="6">
        <v>10</v>
      </c>
      <c r="E1666" s="16" t="str">
        <f>IFERROR(__xludf.DUMMYFUNCTION("IFERROR(
  TEXTJOIN(CHAR(10),TRUE,FILTER('SUMMARY DATA'!E:E,'SUMMARY DATA'!$A:$A=$A767,'SUMMARY DATA'!$C:$C=$B767,'SUMMARY DATA'!$B:$B=""GRP"")),
  IF(
    OR(
      ISNUMBER(SEARCH(""CDM CASH DEPOSIT"",$C767)),
      ISNUMBER(SEARCH(""CASH DEPOSIT"",$C76"&amp;"7)),
      COUNTIFS('SUMMARY DATA'!$D:$D,$C767,'SUMMARY DATA'!$B:$B,""GRP"")&lt;&gt;1
    ),
    """",
    IFERROR(TEXTJOIN(CHAR(10),TRUE,FILTER('SUMMARY DATA'!E:E,'SUMMARY DATA'!$D:$D=$C767,'SUMMARY DATA'!$B:$B=""GRP"")),"""")
  )
)"),"")</f>
      </c>
      <c r="F1666" s="17" t="str">
        <f>IFERROR(__xludf.DUMMYFUNCTION("IFERROR(
  TEXTJOIN(CHAR(10),TRUE,FILTER('SUMMARY DATA'!F:F,'SUMMARY DATA'!$A:$A=$A767,'SUMMARY DATA'!$C:$C=$B767,'SUMMARY DATA'!$B:$B=""GRP"")),
  IF(
    OR(
      ISNUMBER(SEARCH(""CDM CASH DEPOSIT"",$C767)),
      ISNUMBER(SEARCH(""CASH DEPOSIT"",$C76"&amp;"7)),
      COUNTIFS('SUMMARY DATA'!$D:$D,$C767,'SUMMARY DATA'!$B:$B,""GRP"")&lt;&gt;1
    ),
    """",
    IFERROR(TEXTJOIN(CHAR(10),TRUE,FILTER('SUMMARY DATA'!F:F,'SUMMARY DATA'!$D:$D=$C767,'SUMMARY DATA'!$B:$B=""GRP"")),"""")
  )
)"),"")</f>
      </c>
    </row>
    <row r="1667" spans="1:6" customHeight="true">
      <c r="A1667" s="2" t="s">
        <v>1214</v>
      </c>
      <c r="B1667" s="15">
        <v>45910</v>
      </c>
      <c r="C1667" s="2" t="s">
        <v>1215</v>
      </c>
      <c r="D1667" s="6">
        <v>119</v>
      </c>
      <c r="E1667" s="16" t="str">
        <f>IFERROR(__xludf.DUMMYFUNCTION("IFERROR(
  TEXTJOIN(CHAR(10),TRUE,FILTER('SUMMARY DATA'!E:E,'SUMMARY DATA'!$A:$A=$A768,'SUMMARY DATA'!$C:$C=$B768,'SUMMARY DATA'!$B:$B=""GRP"")),
  IF(
    OR(
      ISNUMBER(SEARCH(""CDM CASH DEPOSIT"",$C768)),
      ISNUMBER(SEARCH(""CASH DEPOSIT"",$C76"&amp;"8)),
      COUNTIFS('SUMMARY DATA'!$D:$D,$C768,'SUMMARY DATA'!$B:$B,""GRP"")&lt;&gt;1
    ),
    """",
    IFERROR(TEXTJOIN(CHAR(10),TRUE,FILTER('SUMMARY DATA'!E:E,'SUMMARY DATA'!$D:$D=$C768,'SUMMARY DATA'!$B:$B=""GRP"")),"""")
  )
)"),"")</f>
      </c>
      <c r="F1667" s="17" t="str">
        <f>IFERROR(__xludf.DUMMYFUNCTION("IFERROR(
  TEXTJOIN(CHAR(10),TRUE,FILTER('SUMMARY DATA'!F:F,'SUMMARY DATA'!$A:$A=$A768,'SUMMARY DATA'!$C:$C=$B768,'SUMMARY DATA'!$B:$B=""GRP"")),
  IF(
    OR(
      ISNUMBER(SEARCH(""CDM CASH DEPOSIT"",$C768)),
      ISNUMBER(SEARCH(""CASH DEPOSIT"",$C76"&amp;"8)),
      COUNTIFS('SUMMARY DATA'!$D:$D,$C768,'SUMMARY DATA'!$B:$B,""GRP"")&lt;&gt;1
    ),
    """",
    IFERROR(TEXTJOIN(CHAR(10),TRUE,FILTER('SUMMARY DATA'!F:F,'SUMMARY DATA'!$D:$D=$C768,'SUMMARY DATA'!$B:$B=""GRP"")),"""")
  )
)"),"")</f>
      </c>
    </row>
    <row r="1668" spans="1:6" customHeight="true">
      <c r="A1668" s="2" t="s">
        <v>2345</v>
      </c>
      <c r="B1668" s="15">
        <v>45910</v>
      </c>
      <c r="C1668" s="2" t="s">
        <v>2346</v>
      </c>
      <c r="D1668" s="6">
        <v>10</v>
      </c>
      <c r="E1668" s="16" t="str">
        <f>IFERROR(__xludf.DUMMYFUNCTION("IFERROR(
  TEXTJOIN(CHAR(10),TRUE,FILTER('SUMMARY DATA'!E:E,'SUMMARY DATA'!$A:$A=$A769,'SUMMARY DATA'!$C:$C=$B769,'SUMMARY DATA'!$B:$B=""GRP"")),
  IF(
    OR(
      ISNUMBER(SEARCH(""CDM CASH DEPOSIT"",$C769)),
      ISNUMBER(SEARCH(""CASH DEPOSIT"",$C76"&amp;"9)),
      COUNTIFS('SUMMARY DATA'!$D:$D,$C769,'SUMMARY DATA'!$B:$B,""GRP"")&lt;&gt;1
    ),
    """",
    IFERROR(TEXTJOIN(CHAR(10),TRUE,FILTER('SUMMARY DATA'!E:E,'SUMMARY DATA'!$D:$D=$C769,'SUMMARY DATA'!$B:$B=""GRP"")),"""")
  )
)"),"")</f>
      </c>
      <c r="F1668" s="17" t="str">
        <f>IFERROR(__xludf.DUMMYFUNCTION("IFERROR(
  TEXTJOIN(CHAR(10),TRUE,FILTER('SUMMARY DATA'!F:F,'SUMMARY DATA'!$A:$A=$A769,'SUMMARY DATA'!$C:$C=$B769,'SUMMARY DATA'!$B:$B=""GRP"")),
  IF(
    OR(
      ISNUMBER(SEARCH(""CDM CASH DEPOSIT"",$C769)),
      ISNUMBER(SEARCH(""CASH DEPOSIT"",$C76"&amp;"9)),
      COUNTIFS('SUMMARY DATA'!$D:$D,$C769,'SUMMARY DATA'!$B:$B,""GRP"")&lt;&gt;1
    ),
    """",
    IFERROR(TEXTJOIN(CHAR(10),TRUE,FILTER('SUMMARY DATA'!F:F,'SUMMARY DATA'!$D:$D=$C769,'SUMMARY DATA'!$B:$B=""GRP"")),"""")
  )
)"),"")</f>
      </c>
    </row>
    <row r="1669" spans="1:6" customHeight="true">
      <c r="A1669" s="2" t="s">
        <v>2347</v>
      </c>
      <c r="B1669" s="15">
        <v>45908</v>
      </c>
      <c r="C1669" s="2" t="s">
        <v>2348</v>
      </c>
      <c r="D1669" s="6">
        <v>10</v>
      </c>
      <c r="E1669" s="16" t="str">
        <f>IFERROR(__xludf.DUMMYFUNCTION("IFERROR(
  TEXTJOIN(CHAR(10),TRUE,FILTER('SUMMARY DATA'!E:E,'SUMMARY DATA'!$A:$A=$A770,'SUMMARY DATA'!$C:$C=$B770,'SUMMARY DATA'!$B:$B=""GRP"")),
  IF(
    OR(
      ISNUMBER(SEARCH(""CDM CASH DEPOSIT"",$C770)),
      ISNUMBER(SEARCH(""CASH DEPOSIT"",$C77"&amp;"0)),
      COUNTIFS('SUMMARY DATA'!$D:$D,$C770,'SUMMARY DATA'!$B:$B,""GRP"")&lt;&gt;1
    ),
    """",
    IFERROR(TEXTJOIN(CHAR(10),TRUE,FILTER('SUMMARY DATA'!E:E,'SUMMARY DATA'!$D:$D=$C770,'SUMMARY DATA'!$B:$B=""GRP"")),"""")
  )
)"),"")</f>
      </c>
      <c r="F1669" s="17" t="str">
        <f>IFERROR(__xludf.DUMMYFUNCTION("IFERROR(
  TEXTJOIN(CHAR(10),TRUE,FILTER('SUMMARY DATA'!F:F,'SUMMARY DATA'!$A:$A=$A770,'SUMMARY DATA'!$C:$C=$B770,'SUMMARY DATA'!$B:$B=""GRP"")),
  IF(
    OR(
      ISNUMBER(SEARCH(""CDM CASH DEPOSIT"",$C770)),
      ISNUMBER(SEARCH(""CASH DEPOSIT"",$C77"&amp;"0)),
      COUNTIFS('SUMMARY DATA'!$D:$D,$C770,'SUMMARY DATA'!$B:$B,""GRP"")&lt;&gt;1
    ),
    """",
    IFERROR(TEXTJOIN(CHAR(10),TRUE,FILTER('SUMMARY DATA'!F:F,'SUMMARY DATA'!$D:$D=$C770,'SUMMARY DATA'!$B:$B=""GRP"")),"""")
  )
)"),"")</f>
      </c>
    </row>
    <row r="1670" spans="1:6" customHeight="true">
      <c r="A1670" s="2" t="s">
        <v>2349</v>
      </c>
      <c r="B1670" s="15">
        <v>45907</v>
      </c>
      <c r="C1670" s="2" t="s">
        <v>2187</v>
      </c>
      <c r="D1670" s="6">
        <v>18</v>
      </c>
      <c r="E1670" s="16" t="str">
        <f>IFERROR(__xludf.DUMMYFUNCTION("IFERROR(
  TEXTJOIN(CHAR(10),TRUE,FILTER('SUMMARY DATA'!E:E,'SUMMARY DATA'!$A:$A=$A771,'SUMMARY DATA'!$C:$C=$B771,'SUMMARY DATA'!$B:$B=""GRP"")),
  IF(
    OR(
      ISNUMBER(SEARCH(""CDM CASH DEPOSIT"",$C771)),
      ISNUMBER(SEARCH(""CASH DEPOSIT"",$C77"&amp;"1)),
      COUNTIFS('SUMMARY DATA'!$D:$D,$C771,'SUMMARY DATA'!$B:$B,""GRP"")&lt;&gt;1
    ),
    """",
    IFERROR(TEXTJOIN(CHAR(10),TRUE,FILTER('SUMMARY DATA'!E:E,'SUMMARY DATA'!$D:$D=$C771,'SUMMARY DATA'!$B:$B=""GRP"")),"""")
  )
)"),"")</f>
      </c>
      <c r="F1670" s="17" t="str">
        <f>IFERROR(__xludf.DUMMYFUNCTION("IFERROR(
  TEXTJOIN(CHAR(10),TRUE,FILTER('SUMMARY DATA'!F:F,'SUMMARY DATA'!$A:$A=$A771,'SUMMARY DATA'!$C:$C=$B771,'SUMMARY DATA'!$B:$B=""GRP"")),
  IF(
    OR(
      ISNUMBER(SEARCH(""CDM CASH DEPOSIT"",$C771)),
      ISNUMBER(SEARCH(""CASH DEPOSIT"",$C77"&amp;"1)),
      COUNTIFS('SUMMARY DATA'!$D:$D,$C771,'SUMMARY DATA'!$B:$B,""GRP"")&lt;&gt;1
    ),
    """",
    IFERROR(TEXTJOIN(CHAR(10),TRUE,FILTER('SUMMARY DATA'!F:F,'SUMMARY DATA'!$D:$D=$C771,'SUMMARY DATA'!$B:$B=""GRP"")),"""")
  )
)"),"")</f>
      </c>
    </row>
    <row r="1671" spans="1:6" customHeight="true">
      <c r="A1671" s="2" t="s">
        <v>2350</v>
      </c>
      <c r="B1671" s="15">
        <v>45905</v>
      </c>
      <c r="C1671" s="2" t="s">
        <v>2351</v>
      </c>
      <c r="D1671" s="6">
        <v>18.99</v>
      </c>
      <c r="E1671" s="16" t="str">
        <f>IFERROR(__xludf.DUMMYFUNCTION("IFERROR(
  TEXTJOIN(CHAR(10),TRUE,FILTER('SUMMARY DATA'!E:E,'SUMMARY DATA'!$A:$A=$A772,'SUMMARY DATA'!$C:$C=$B772,'SUMMARY DATA'!$B:$B=""GRP"")),
  IF(
    OR(
      ISNUMBER(SEARCH(""CDM CASH DEPOSIT"",$C772)),
      ISNUMBER(SEARCH(""CASH DEPOSIT"",$C77"&amp;"2)),
      COUNTIFS('SUMMARY DATA'!$D:$D,$C772,'SUMMARY DATA'!$B:$B,""GRP"")&lt;&gt;1
    ),
    """",
    IFERROR(TEXTJOIN(CHAR(10),TRUE,FILTER('SUMMARY DATA'!E:E,'SUMMARY DATA'!$D:$D=$C772,'SUMMARY DATA'!$B:$B=""GRP"")),"""")
  )
)"),"")</f>
      </c>
      <c r="F1671" s="17" t="str">
        <f>IFERROR(__xludf.DUMMYFUNCTION("IFERROR(
  TEXTJOIN(CHAR(10),TRUE,FILTER('SUMMARY DATA'!F:F,'SUMMARY DATA'!$A:$A=$A772,'SUMMARY DATA'!$C:$C=$B772,'SUMMARY DATA'!$B:$B=""GRP"")),
  IF(
    OR(
      ISNUMBER(SEARCH(""CDM CASH DEPOSIT"",$C772)),
      ISNUMBER(SEARCH(""CASH DEPOSIT"",$C77"&amp;"2)),
      COUNTIFS('SUMMARY DATA'!$D:$D,$C772,'SUMMARY DATA'!$B:$B,""GRP"")&lt;&gt;1
    ),
    """",
    IFERROR(TEXTJOIN(CHAR(10),TRUE,FILTER('SUMMARY DATA'!F:F,'SUMMARY DATA'!$D:$D=$C772,'SUMMARY DATA'!$B:$B=""GRP"")),"""")
  )
)"),"")</f>
      </c>
    </row>
    <row r="1672" spans="1:6" customHeight="true">
      <c r="A1672" s="2" t="s">
        <v>2352</v>
      </c>
      <c r="B1672" s="15">
        <v>45903</v>
      </c>
      <c r="C1672" s="2" t="s">
        <v>2353</v>
      </c>
      <c r="D1672" s="6">
        <v>5</v>
      </c>
      <c r="E1672" s="16" t="str">
        <f>IFERROR(__xludf.DUMMYFUNCTION("IFERROR(
  TEXTJOIN(CHAR(10),TRUE,FILTER('SUMMARY DATA'!E:E,'SUMMARY DATA'!$A:$A=$A773,'SUMMARY DATA'!$C:$C=$B773,'SUMMARY DATA'!$B:$B=""GRP"")),
  IF(
    OR(
      ISNUMBER(SEARCH(""CDM CASH DEPOSIT"",$C773)),
      ISNUMBER(SEARCH(""CASH DEPOSIT"",$C77"&amp;"3)),
      COUNTIFS('SUMMARY DATA'!$D:$D,$C773,'SUMMARY DATA'!$B:$B,""GRP"")&lt;&gt;1
    ),
    """",
    IFERROR(TEXTJOIN(CHAR(10),TRUE,FILTER('SUMMARY DATA'!E:E,'SUMMARY DATA'!$D:$D=$C773,'SUMMARY DATA'!$B:$B=""GRP"")),"""")
  )
)"),"")</f>
      </c>
      <c r="F1672" s="17" t="str">
        <f>IFERROR(__xludf.DUMMYFUNCTION("IFERROR(
  TEXTJOIN(CHAR(10),TRUE,FILTER('SUMMARY DATA'!F:F,'SUMMARY DATA'!$A:$A=$A773,'SUMMARY DATA'!$C:$C=$B773,'SUMMARY DATA'!$B:$B=""GRP"")),
  IF(
    OR(
      ISNUMBER(SEARCH(""CDM CASH DEPOSIT"",$C773)),
      ISNUMBER(SEARCH(""CASH DEPOSIT"",$C77"&amp;"3)),
      COUNTIFS('SUMMARY DATA'!$D:$D,$C773,'SUMMARY DATA'!$B:$B,""GRP"")&lt;&gt;1
    ),
    """",
    IFERROR(TEXTJOIN(CHAR(10),TRUE,FILTER('SUMMARY DATA'!F:F,'SUMMARY DATA'!$D:$D=$C773,'SUMMARY DATA'!$B:$B=""GRP"")),"""")
  )
)"),"")</f>
      </c>
    </row>
    <row r="1673" spans="1:6" customHeight="true">
      <c r="A1673" s="2" t="s">
        <v>2354</v>
      </c>
      <c r="B1673" s="15">
        <v>45902</v>
      </c>
      <c r="C1673" s="2" t="s">
        <v>2355</v>
      </c>
      <c r="D1673" s="6">
        <v>80</v>
      </c>
      <c r="E1673" s="16" t="str">
        <f>IFERROR(__xludf.DUMMYFUNCTION("IFERROR(
  TEXTJOIN(CHAR(10),TRUE,FILTER('SUMMARY DATA'!E:E,'SUMMARY DATA'!$A:$A=$A774,'SUMMARY DATA'!$C:$C=$B774,'SUMMARY DATA'!$B:$B=""GRP"")),
  IF(
    OR(
      ISNUMBER(SEARCH(""CDM CASH DEPOSIT"",$C774)),
      ISNUMBER(SEARCH(""CASH DEPOSIT"",$C77"&amp;"4)),
      COUNTIFS('SUMMARY DATA'!$D:$D,$C774,'SUMMARY DATA'!$B:$B,""GRP"")&lt;&gt;1
    ),
    """",
    IFERROR(TEXTJOIN(CHAR(10),TRUE,FILTER('SUMMARY DATA'!E:E,'SUMMARY DATA'!$D:$D=$C774,'SUMMARY DATA'!$B:$B=""GRP"")),"""")
  )
)"),"")</f>
      </c>
      <c r="F1673" s="17" t="str">
        <f>IFERROR(__xludf.DUMMYFUNCTION("IFERROR(
  TEXTJOIN(CHAR(10),TRUE,FILTER('SUMMARY DATA'!F:F,'SUMMARY DATA'!$A:$A=$A774,'SUMMARY DATA'!$C:$C=$B774,'SUMMARY DATA'!$B:$B=""GRP"")),
  IF(
    OR(
      ISNUMBER(SEARCH(""CDM CASH DEPOSIT"",$C774)),
      ISNUMBER(SEARCH(""CASH DEPOSIT"",$C77"&amp;"4)),
      COUNTIFS('SUMMARY DATA'!$D:$D,$C774,'SUMMARY DATA'!$B:$B,""GRP"")&lt;&gt;1
    ),
    """",
    IFERROR(TEXTJOIN(CHAR(10),TRUE,FILTER('SUMMARY DATA'!F:F,'SUMMARY DATA'!$D:$D=$C774,'SUMMARY DATA'!$B:$B=""GRP"")),"""")
  )
)"),"")</f>
      </c>
    </row>
    <row r="1674" spans="1:6" customHeight="true">
      <c r="A1674" s="2" t="s">
        <v>2356</v>
      </c>
      <c r="B1674" s="15">
        <v>45957</v>
      </c>
      <c r="C1674" s="2" t="s">
        <v>2357</v>
      </c>
      <c r="D1674" s="6">
        <v>111.14</v>
      </c>
      <c r="E1674" s="16" t="s">
        <v>2488</v>
      </c>
      <c r="F1674" s="17" t="s">
        <v>2741</v>
      </c>
      <c r="G1674" s="1" t="s">
        <v>2393</v>
      </c>
      <c r="H1674" s="1">
        <v>111.14</v>
      </c>
      <c r="I1674" s="1">
        <v>111.14</v>
      </c>
      <c r="J1674" s="1" t="s">
        <v>2394</v>
      </c>
      <c r="K1674" s="1" t="s">
        <v>2719</v>
      </c>
    </row>
    <row r="1675" spans="1:6" customHeight="true">
      <c r="A1675" s="2" t="s">
        <v>2358</v>
      </c>
      <c r="B1675" s="15">
        <v>45957</v>
      </c>
      <c r="C1675" s="2" t="s">
        <v>2359</v>
      </c>
      <c r="D1675" s="6">
        <v>159.95</v>
      </c>
      <c r="E1675" s="16" t="str">
        <f>IFERROR(__xludf.DUMMYFUNCTION("IFERROR(
  TEXTJOIN(CHAR(10),TRUE,FILTER('SUMMARY DATA'!E:E,'SUMMARY DATA'!$A:$A=$A776,'SUMMARY DATA'!$C:$C=$B776,'SUMMARY DATA'!$B:$B=""GRP"")),
  IF(
    OR(
      ISNUMBER(SEARCH(""CDM CASH DEPOSIT"",$C776)),
      ISNUMBER(SEARCH(""CASH DEPOSIT"",$C77"&amp;"6)),
      COUNTIFS('SUMMARY DATA'!$D:$D,$C776,'SUMMARY DATA'!$B:$B,""GRP"")&lt;&gt;1
    ),
    """",
    IFERROR(TEXTJOIN(CHAR(10),TRUE,FILTER('SUMMARY DATA'!E:E,'SUMMARY DATA'!$D:$D=$C776,'SUMMARY DATA'!$B:$B=""GRP"")),"""")
  )
)"),"")</f>
      </c>
      <c r="F1675" s="17" t="str">
        <f>IFERROR(__xludf.DUMMYFUNCTION("IFERROR(
  TEXTJOIN(CHAR(10),TRUE,FILTER('SUMMARY DATA'!F:F,'SUMMARY DATA'!$A:$A=$A776,'SUMMARY DATA'!$C:$C=$B776,'SUMMARY DATA'!$B:$B=""GRP"")),
  IF(
    OR(
      ISNUMBER(SEARCH(""CDM CASH DEPOSIT"",$C776)),
      ISNUMBER(SEARCH(""CASH DEPOSIT"",$C77"&amp;"6)),
      COUNTIFS('SUMMARY DATA'!$D:$D,$C776,'SUMMARY DATA'!$B:$B,""GRP"")&lt;&gt;1
    ),
    """",
    IFERROR(TEXTJOIN(CHAR(10),TRUE,FILTER('SUMMARY DATA'!F:F,'SUMMARY DATA'!$D:$D=$C776,'SUMMARY DATA'!$B:$B=""GRP"")),"""")
  )
)"),"")</f>
      </c>
    </row>
    <row r="1676" spans="1:6" customHeight="true">
      <c r="A1676" s="2" t="s">
        <v>2337</v>
      </c>
      <c r="B1676" s="15">
        <v>45950</v>
      </c>
      <c r="C1676" s="2" t="s">
        <v>546</v>
      </c>
      <c r="D1676" s="6">
        <v>94.64</v>
      </c>
      <c r="E1676" s="16" t="str">
        <f>IFERROR(__xludf.DUMMYFUNCTION("IFERROR(
  TEXTJOIN(CHAR(10),TRUE,FILTER('SUMMARY DATA'!E:E,'SUMMARY DATA'!$A:$A=$A777,'SUMMARY DATA'!$C:$C=$B777,'SUMMARY DATA'!$B:$B=""GRP"")),
  IF(
    OR(
      ISNUMBER(SEARCH(""CDM CASH DEPOSIT"",$C777)),
      ISNUMBER(SEARCH(""CASH DEPOSIT"",$C77"&amp;"7)),
      COUNTIFS('SUMMARY DATA'!$D:$D,$C777,'SUMMARY DATA'!$B:$B,""GRP"")&lt;&gt;1
    ),
    """",
    IFERROR(TEXTJOIN(CHAR(10),TRUE,FILTER('SUMMARY DATA'!E:E,'SUMMARY DATA'!$D:$D=$C777,'SUMMARY DATA'!$B:$B=""GRP"")),"""")
  )
)"),"")</f>
      </c>
      <c r="F1676" s="17" t="str">
        <f>IFERROR(__xludf.DUMMYFUNCTION("IFERROR(
  TEXTJOIN(CHAR(10),TRUE,FILTER('SUMMARY DATA'!F:F,'SUMMARY DATA'!$A:$A=$A777,'SUMMARY DATA'!$C:$C=$B777,'SUMMARY DATA'!$B:$B=""GRP"")),
  IF(
    OR(
      ISNUMBER(SEARCH(""CDM CASH DEPOSIT"",$C777)),
      ISNUMBER(SEARCH(""CASH DEPOSIT"",$C77"&amp;"7)),
      COUNTIFS('SUMMARY DATA'!$D:$D,$C777,'SUMMARY DATA'!$B:$B,""GRP"")&lt;&gt;1
    ),
    """",
    IFERROR(TEXTJOIN(CHAR(10),TRUE,FILTER('SUMMARY DATA'!F:F,'SUMMARY DATA'!$D:$D=$C777,'SUMMARY DATA'!$B:$B=""GRP"")),"""")
  )
)"),"")</f>
      </c>
    </row>
    <row r="1677" spans="1:6" customHeight="true">
      <c r="A1677" s="2" t="s">
        <v>2360</v>
      </c>
      <c r="B1677" s="15">
        <v>45949</v>
      </c>
      <c r="C1677" s="2" t="s">
        <v>2361</v>
      </c>
      <c r="D1677" s="6">
        <v>163</v>
      </c>
      <c r="E1677" s="16" t="str">
        <f>IFERROR(__xludf.DUMMYFUNCTION("IFERROR(
  TEXTJOIN(CHAR(10),TRUE,FILTER('SUMMARY DATA'!E:E,'SUMMARY DATA'!$A:$A=$A778,'SUMMARY DATA'!$C:$C=$B778,'SUMMARY DATA'!$B:$B=""GRP"")),
  IF(
    OR(
      ISNUMBER(SEARCH(""CDM CASH DEPOSIT"",$C778)),
      ISNUMBER(SEARCH(""CASH DEPOSIT"",$C77"&amp;"8)),
      COUNTIFS('SUMMARY DATA'!$D:$D,$C778,'SUMMARY DATA'!$B:$B,""GRP"")&lt;&gt;1
    ),
    """",
    IFERROR(TEXTJOIN(CHAR(10),TRUE,FILTER('SUMMARY DATA'!E:E,'SUMMARY DATA'!$D:$D=$C778,'SUMMARY DATA'!$B:$B=""GRP"")),"""")
  )
)"),"")</f>
      </c>
      <c r="F1677" s="17" t="str">
        <f>IFERROR(__xludf.DUMMYFUNCTION("IFERROR(
  TEXTJOIN(CHAR(10),TRUE,FILTER('SUMMARY DATA'!F:F,'SUMMARY DATA'!$A:$A=$A778,'SUMMARY DATA'!$C:$C=$B778,'SUMMARY DATA'!$B:$B=""GRP"")),
  IF(
    OR(
      ISNUMBER(SEARCH(""CDM CASH DEPOSIT"",$C778)),
      ISNUMBER(SEARCH(""CASH DEPOSIT"",$C77"&amp;"8)),
      COUNTIFS('SUMMARY DATA'!$D:$D,$C778,'SUMMARY DATA'!$B:$B,""GRP"")&lt;&gt;1
    ),
    """",
    IFERROR(TEXTJOIN(CHAR(10),TRUE,FILTER('SUMMARY DATA'!F:F,'SUMMARY DATA'!$D:$D=$C778,'SUMMARY DATA'!$B:$B=""GRP"")),"""")
  )
)"),"")</f>
      </c>
    </row>
    <row r="1678" spans="1:6" customHeight="true">
      <c r="A1678" s="2" t="s">
        <v>2362</v>
      </c>
      <c r="B1678" s="15">
        <v>45949</v>
      </c>
      <c r="C1678" s="2" t="s">
        <v>2363</v>
      </c>
      <c r="D1678" s="6">
        <v>247</v>
      </c>
      <c r="E1678" s="16" t="s">
        <v>2408</v>
      </c>
      <c r="F1678" s="17" t="s">
        <v>2742</v>
      </c>
      <c r="G1678" s="1" t="s">
        <v>2393</v>
      </c>
      <c r="H1678" s="1">
        <v>247</v>
      </c>
      <c r="I1678" s="1">
        <v>247</v>
      </c>
      <c r="J1678" s="1" t="s">
        <v>2394</v>
      </c>
      <c r="K1678" s="1" t="s">
        <v>2395</v>
      </c>
    </row>
    <row r="1679" spans="1:6" customHeight="true">
      <c r="A1679" s="2" t="s">
        <v>2364</v>
      </c>
      <c r="B1679" s="15">
        <v>45949</v>
      </c>
      <c r="C1679" s="2" t="s">
        <v>2365</v>
      </c>
      <c r="D1679" s="6">
        <v>270</v>
      </c>
      <c r="E1679" s="16" t="str">
        <f>IFERROR(__xludf.DUMMYFUNCTION("IFERROR(
  TEXTJOIN(CHAR(10),TRUE,FILTER('SUMMARY DATA'!E:E,'SUMMARY DATA'!$A:$A=$A780,'SUMMARY DATA'!$C:$C=$B780,'SUMMARY DATA'!$B:$B=""GRP"")),
  IF(
    OR(
      ISNUMBER(SEARCH(""CDM CASH DEPOSIT"",$C780)),
      ISNUMBER(SEARCH(""CASH DEPOSIT"",$C78"&amp;"0)),
      COUNTIFS('SUMMARY DATA'!$D:$D,$C780,'SUMMARY DATA'!$B:$B,""GRP"")&lt;&gt;1
    ),
    """",
    IFERROR(TEXTJOIN(CHAR(10),TRUE,FILTER('SUMMARY DATA'!E:E,'SUMMARY DATA'!$D:$D=$C780,'SUMMARY DATA'!$B:$B=""GRP"")),"""")
  )
)"),"")</f>
      </c>
      <c r="F1679" s="17" t="str">
        <f>IFERROR(__xludf.DUMMYFUNCTION("IFERROR(
  TEXTJOIN(CHAR(10),TRUE,FILTER('SUMMARY DATA'!F:F,'SUMMARY DATA'!$A:$A=$A780,'SUMMARY DATA'!$C:$C=$B780,'SUMMARY DATA'!$B:$B=""GRP"")),
  IF(
    OR(
      ISNUMBER(SEARCH(""CDM CASH DEPOSIT"",$C780)),
      ISNUMBER(SEARCH(""CASH DEPOSIT"",$C78"&amp;"0)),
      COUNTIFS('SUMMARY DATA'!$D:$D,$C780,'SUMMARY DATA'!$B:$B,""GRP"")&lt;&gt;1
    ),
    """",
    IFERROR(TEXTJOIN(CHAR(10),TRUE,FILTER('SUMMARY DATA'!F:F,'SUMMARY DATA'!$D:$D=$C780,'SUMMARY DATA'!$B:$B=""GRP"")),"""")
  )
)"),"")</f>
      </c>
    </row>
    <row r="1680" spans="1:6" customHeight="true">
      <c r="A1680" s="2" t="s">
        <v>2366</v>
      </c>
      <c r="B1680" s="15">
        <v>45948</v>
      </c>
      <c r="C1680" s="2" t="s">
        <v>2367</v>
      </c>
      <c r="D1680" s="6">
        <v>0.01</v>
      </c>
      <c r="E1680" s="16" t="str">
        <f>IFERROR(__xludf.DUMMYFUNCTION("IFERROR(
  TEXTJOIN(CHAR(10),TRUE,FILTER('SUMMARY DATA'!E:E,'SUMMARY DATA'!$A:$A=$A781,'SUMMARY DATA'!$C:$C=$B781,'SUMMARY DATA'!$B:$B=""GRP"")),
  IF(
    OR(
      ISNUMBER(SEARCH(""CDM CASH DEPOSIT"",$C781)),
      ISNUMBER(SEARCH(""CASH DEPOSIT"",$C78"&amp;"1)),
      COUNTIFS('SUMMARY DATA'!$D:$D,$C781,'SUMMARY DATA'!$B:$B,""GRP"")&lt;&gt;1
    ),
    """",
    IFERROR(TEXTJOIN(CHAR(10),TRUE,FILTER('SUMMARY DATA'!E:E,'SUMMARY DATA'!$D:$D=$C781,'SUMMARY DATA'!$B:$B=""GRP"")),"""")
  )
)"),"")</f>
      </c>
      <c r="F1680" s="17" t="str">
        <f>IFERROR(__xludf.DUMMYFUNCTION("IFERROR(
  TEXTJOIN(CHAR(10),TRUE,FILTER('SUMMARY DATA'!F:F,'SUMMARY DATA'!$A:$A=$A781,'SUMMARY DATA'!$C:$C=$B781,'SUMMARY DATA'!$B:$B=""GRP"")),
  IF(
    OR(
      ISNUMBER(SEARCH(""CDM CASH DEPOSIT"",$C781)),
      ISNUMBER(SEARCH(""CASH DEPOSIT"",$C78"&amp;"1)),
      COUNTIFS('SUMMARY DATA'!$D:$D,$C781,'SUMMARY DATA'!$B:$B,""GRP"")&lt;&gt;1
    ),
    """",
    IFERROR(TEXTJOIN(CHAR(10),TRUE,FILTER('SUMMARY DATA'!F:F,'SUMMARY DATA'!$D:$D=$C781,'SUMMARY DATA'!$B:$B=""GRP"")),"""")
  )
)"),"")</f>
      </c>
    </row>
    <row r="1681" spans="1:6" customHeight="true">
      <c r="A1681" s="2" t="s">
        <v>2368</v>
      </c>
      <c r="B1681" s="15">
        <v>45945</v>
      </c>
      <c r="C1681" s="2" t="s">
        <v>2369</v>
      </c>
      <c r="D1681" s="6">
        <v>203.88</v>
      </c>
      <c r="E1681" s="16" t="str">
        <f>IFERROR(__xludf.DUMMYFUNCTION("IFERROR(
  TEXTJOIN(CHAR(10),TRUE,FILTER('SUMMARY DATA'!E:E,'SUMMARY DATA'!$A:$A=$A782,'SUMMARY DATA'!$C:$C=$B782,'SUMMARY DATA'!$B:$B=""GRP"")),
  IF(
    OR(
      ISNUMBER(SEARCH(""CDM CASH DEPOSIT"",$C782)),
      ISNUMBER(SEARCH(""CASH DEPOSIT"",$C78"&amp;"2)),
      COUNTIFS('SUMMARY DATA'!$D:$D,$C782,'SUMMARY DATA'!$B:$B,""GRP"")&lt;&gt;1
    ),
    """",
    IFERROR(TEXTJOIN(CHAR(10),TRUE,FILTER('SUMMARY DATA'!E:E,'SUMMARY DATA'!$D:$D=$C782,'SUMMARY DATA'!$B:$B=""GRP"")),"""")
  )
)"),"")</f>
      </c>
      <c r="F1681" s="17" t="str">
        <f>IFERROR(__xludf.DUMMYFUNCTION("IFERROR(
  TEXTJOIN(CHAR(10),TRUE,FILTER('SUMMARY DATA'!F:F,'SUMMARY DATA'!$A:$A=$A782,'SUMMARY DATA'!$C:$C=$B782,'SUMMARY DATA'!$B:$B=""GRP"")),
  IF(
    OR(
      ISNUMBER(SEARCH(""CDM CASH DEPOSIT"",$C782)),
      ISNUMBER(SEARCH(""CASH DEPOSIT"",$C78"&amp;"2)),
      COUNTIFS('SUMMARY DATA'!$D:$D,$C782,'SUMMARY DATA'!$B:$B,""GRP"")&lt;&gt;1
    ),
    """",
    IFERROR(TEXTJOIN(CHAR(10),TRUE,FILTER('SUMMARY DATA'!F:F,'SUMMARY DATA'!$D:$D=$C782,'SUMMARY DATA'!$B:$B=""GRP"")),"""")
  )
)"),"")</f>
      </c>
    </row>
    <row r="1682" spans="1:6" customHeight="true">
      <c r="A1682" s="2"/>
      <c r="B1682" s="15">
        <v>45941</v>
      </c>
      <c r="C1682" s="2" t="s">
        <v>2370</v>
      </c>
      <c r="D1682" s="6">
        <v>119.88</v>
      </c>
      <c r="E1682" s="16" t="str">
        <f>IFERROR(__xludf.DUMMYFUNCTION("IFERROR(
  TEXTJOIN(CHAR(10),TRUE,FILTER('SUMMARY DATA'!E:E,'SUMMARY DATA'!$A:$A=$A783,'SUMMARY DATA'!$C:$C=$B783,'SUMMARY DATA'!$B:$B=""GRP"")),
  IF(
    OR(
      ISNUMBER(SEARCH(""CDM CASH DEPOSIT"",$C783)),
      ISNUMBER(SEARCH(""CASH DEPOSIT"",$C78"&amp;"3)),
      COUNTIFS('SUMMARY DATA'!$D:$D,$C783,'SUMMARY DATA'!$B:$B,""GRP"")&lt;&gt;1
    ),
    """",
    IFERROR(TEXTJOIN(CHAR(10),TRUE,FILTER('SUMMARY DATA'!E:E,'SUMMARY DATA'!$D:$D=$C783,'SUMMARY DATA'!$B:$B=""GRP"")),"""")
  )
)"),"")</f>
      </c>
      <c r="F1682" s="17" t="str">
        <f>IFERROR(__xludf.DUMMYFUNCTION("IFERROR(
  TEXTJOIN(CHAR(10),TRUE,FILTER('SUMMARY DATA'!F:F,'SUMMARY DATA'!$A:$A=$A783,'SUMMARY DATA'!$C:$C=$B783,'SUMMARY DATA'!$B:$B=""GRP"")),
  IF(
    OR(
      ISNUMBER(SEARCH(""CDM CASH DEPOSIT"",$C783)),
      ISNUMBER(SEARCH(""CASH DEPOSIT"",$C78"&amp;"3)),
      COUNTIFS('SUMMARY DATA'!$D:$D,$C783,'SUMMARY DATA'!$B:$B,""GRP"")&lt;&gt;1
    ),
    """",
    IFERROR(TEXTJOIN(CHAR(10),TRUE,FILTER('SUMMARY DATA'!F:F,'SUMMARY DATA'!$D:$D=$C783,'SUMMARY DATA'!$B:$B=""GRP"")),"""")
  )
)"),"")</f>
      </c>
    </row>
    <row r="1683" spans="1:6" customHeight="true">
      <c r="A1683" s="2"/>
      <c r="B1683" s="15">
        <v>45939</v>
      </c>
      <c r="C1683" s="2" t="s">
        <v>2371</v>
      </c>
      <c r="D1683" s="6">
        <v>10</v>
      </c>
      <c r="E1683" s="16" t="str">
        <f>IFERROR(__xludf.DUMMYFUNCTION("IFERROR(
  TEXTJOIN(CHAR(10),TRUE,FILTER('SUMMARY DATA'!E:E,'SUMMARY DATA'!$A:$A=$A784,'SUMMARY DATA'!$C:$C=$B784,'SUMMARY DATA'!$B:$B=""GRP"")),
  IF(
    OR(
      ISNUMBER(SEARCH(""CDM CASH DEPOSIT"",$C784)),
      ISNUMBER(SEARCH(""CASH DEPOSIT"",$C78"&amp;"4)),
      COUNTIFS('SUMMARY DATA'!$D:$D,$C784,'SUMMARY DATA'!$B:$B,""GRP"")&lt;&gt;1
    ),
    """",
    IFERROR(TEXTJOIN(CHAR(10),TRUE,FILTER('SUMMARY DATA'!E:E,'SUMMARY DATA'!$D:$D=$C784,'SUMMARY DATA'!$B:$B=""GRP"")),"""")
  )
)"),"")</f>
      </c>
      <c r="F1683" s="17" t="str">
        <f>IFERROR(__xludf.DUMMYFUNCTION("IFERROR(
  TEXTJOIN(CHAR(10),TRUE,FILTER('SUMMARY DATA'!F:F,'SUMMARY DATA'!$A:$A=$A784,'SUMMARY DATA'!$C:$C=$B784,'SUMMARY DATA'!$B:$B=""GRP"")),
  IF(
    OR(
      ISNUMBER(SEARCH(""CDM CASH DEPOSIT"",$C784)),
      ISNUMBER(SEARCH(""CASH DEPOSIT"",$C78"&amp;"4)),
      COUNTIFS('SUMMARY DATA'!$D:$D,$C784,'SUMMARY DATA'!$B:$B,""GRP"")&lt;&gt;1
    ),
    """",
    IFERROR(TEXTJOIN(CHAR(10),TRUE,FILTER('SUMMARY DATA'!F:F,'SUMMARY DATA'!$D:$D=$C784,'SUMMARY DATA'!$B:$B=""GRP"")),"""")
  )
)"),"")</f>
      </c>
    </row>
    <row r="1684" spans="1:6" customHeight="true">
      <c r="A1684" s="2"/>
      <c r="B1684" s="15">
        <v>45937</v>
      </c>
      <c r="C1684" s="2" t="s">
        <v>2372</v>
      </c>
      <c r="D1684" s="6">
        <v>223.95</v>
      </c>
      <c r="E1684" s="16" t="str">
        <f>IFERROR(__xludf.DUMMYFUNCTION("IFERROR(
  TEXTJOIN(CHAR(10),TRUE,FILTER('SUMMARY DATA'!E:E,'SUMMARY DATA'!$A:$A=$A785,'SUMMARY DATA'!$C:$C=$B785,'SUMMARY DATA'!$B:$B=""GRP"")),
  IF(
    OR(
      ISNUMBER(SEARCH(""CDM CASH DEPOSIT"",$C785)),
      ISNUMBER(SEARCH(""CASH DEPOSIT"",$C78"&amp;"5)),
      COUNTIFS('SUMMARY DATA'!$D:$D,$C785,'SUMMARY DATA'!$B:$B,""GRP"")&lt;&gt;1
    ),
    """",
    IFERROR(TEXTJOIN(CHAR(10),TRUE,FILTER('SUMMARY DATA'!E:E,'SUMMARY DATA'!$D:$D=$C785,'SUMMARY DATA'!$B:$B=""GRP"")),"""")
  )
)"),"")</f>
      </c>
      <c r="F1684" s="17" t="str">
        <f>IFERROR(__xludf.DUMMYFUNCTION("IFERROR(
  TEXTJOIN(CHAR(10),TRUE,FILTER('SUMMARY DATA'!F:F,'SUMMARY DATA'!$A:$A=$A785,'SUMMARY DATA'!$C:$C=$B785,'SUMMARY DATA'!$B:$B=""GRP"")),
  IF(
    OR(
      ISNUMBER(SEARCH(""CDM CASH DEPOSIT"",$C785)),
      ISNUMBER(SEARCH(""CASH DEPOSIT"",$C78"&amp;"5)),
      COUNTIFS('SUMMARY DATA'!$D:$D,$C785,'SUMMARY DATA'!$B:$B,""GRP"")&lt;&gt;1
    ),
    """",
    IFERROR(TEXTJOIN(CHAR(10),TRUE,FILTER('SUMMARY DATA'!F:F,'SUMMARY DATA'!$D:$D=$C785,'SUMMARY DATA'!$B:$B=""GRP"")),"""")
  )
)"),"")</f>
      </c>
    </row>
    <row r="1685" spans="1:6" customHeight="true">
      <c r="A1685" s="2" t="s">
        <v>2373</v>
      </c>
      <c r="B1685" s="15">
        <v>45933</v>
      </c>
      <c r="C1685" s="2" t="s">
        <v>2374</v>
      </c>
      <c r="D1685" s="6">
        <v>400</v>
      </c>
      <c r="E1685" s="16" t="str">
        <f>IFERROR(__xludf.DUMMYFUNCTION("IFERROR(
  TEXTJOIN(CHAR(10),TRUE,FILTER('SUMMARY DATA'!E:E,'SUMMARY DATA'!$A:$A=$A786,'SUMMARY DATA'!$C:$C=$B786,'SUMMARY DATA'!$B:$B=""GRP"")),
  IF(
    OR(
      ISNUMBER(SEARCH(""CDM CASH DEPOSIT"",$C786)),
      ISNUMBER(SEARCH(""CASH DEPOSIT"",$C78"&amp;"6)),
      COUNTIFS('SUMMARY DATA'!$D:$D,$C786,'SUMMARY DATA'!$B:$B,""GRP"")&lt;&gt;1
    ),
    """",
    IFERROR(TEXTJOIN(CHAR(10),TRUE,FILTER('SUMMARY DATA'!E:E,'SUMMARY DATA'!$D:$D=$C786,'SUMMARY DATA'!$B:$B=""GRP"")),"""")
  )
)"),"")</f>
      </c>
      <c r="F1685" s="17" t="str">
        <f>IFERROR(__xludf.DUMMYFUNCTION("IFERROR(
  TEXTJOIN(CHAR(10),TRUE,FILTER('SUMMARY DATA'!F:F,'SUMMARY DATA'!$A:$A=$A786,'SUMMARY DATA'!$C:$C=$B786,'SUMMARY DATA'!$B:$B=""GRP"")),
  IF(
    OR(
      ISNUMBER(SEARCH(""CDM CASH DEPOSIT"",$C786)),
      ISNUMBER(SEARCH(""CASH DEPOSIT"",$C78"&amp;"6)),
      COUNTIFS('SUMMARY DATA'!$D:$D,$C786,'SUMMARY DATA'!$B:$B,""GRP"")&lt;&gt;1
    ),
    """",
    IFERROR(TEXTJOIN(CHAR(10),TRUE,FILTER('SUMMARY DATA'!F:F,'SUMMARY DATA'!$D:$D=$C786,'SUMMARY DATA'!$B:$B=""GRP"")),"""")
  )
)"),"")</f>
      </c>
    </row>
    <row r="1686" spans="1:6" customHeight="true">
      <c r="A1686" s="2" t="s">
        <v>2375</v>
      </c>
      <c r="B1686" s="15">
        <v>45933</v>
      </c>
      <c r="C1686" s="2" t="s">
        <v>2376</v>
      </c>
      <c r="D1686" s="6">
        <v>200</v>
      </c>
      <c r="E1686" s="16" t="str">
        <f>IFERROR(__xludf.DUMMYFUNCTION("IFERROR(
  TEXTJOIN(CHAR(10),TRUE,FILTER('SUMMARY DATA'!E:E,'SUMMARY DATA'!$A:$A=$A787,'SUMMARY DATA'!$C:$C=$B787,'SUMMARY DATA'!$B:$B=""GRP"")),
  IF(
    OR(
      ISNUMBER(SEARCH(""CDM CASH DEPOSIT"",$C787)),
      ISNUMBER(SEARCH(""CASH DEPOSIT"",$C78"&amp;"7)),
      COUNTIFS('SUMMARY DATA'!$D:$D,$C787,'SUMMARY DATA'!$B:$B,""GRP"")&lt;&gt;1
    ),
    """",
    IFERROR(TEXTJOIN(CHAR(10),TRUE,FILTER('SUMMARY DATA'!E:E,'SUMMARY DATA'!$D:$D=$C787,'SUMMARY DATA'!$B:$B=""GRP"")),"""")
  )
)"),"")</f>
      </c>
      <c r="F1686" s="17" t="str">
        <f>IFERROR(__xludf.DUMMYFUNCTION("IFERROR(
  TEXTJOIN(CHAR(10),TRUE,FILTER('SUMMARY DATA'!F:F,'SUMMARY DATA'!$A:$A=$A787,'SUMMARY DATA'!$C:$C=$B787,'SUMMARY DATA'!$B:$B=""GRP"")),
  IF(
    OR(
      ISNUMBER(SEARCH(""CDM CASH DEPOSIT"",$C787)),
      ISNUMBER(SEARCH(""CASH DEPOSIT"",$C78"&amp;"7)),
      COUNTIFS('SUMMARY DATA'!$D:$D,$C787,'SUMMARY DATA'!$B:$B,""GRP"")&lt;&gt;1
    ),
    """",
    IFERROR(TEXTJOIN(CHAR(10),TRUE,FILTER('SUMMARY DATA'!F:F,'SUMMARY DATA'!$D:$D=$C787,'SUMMARY DATA'!$B:$B=""GRP"")),"""")
  )
)"),"")</f>
      </c>
    </row>
    <row r="1687" spans="1:6" customHeight="true">
      <c r="A1687" s="2" t="s">
        <v>2377</v>
      </c>
      <c r="B1687" s="15">
        <v>45932</v>
      </c>
      <c r="C1687" s="2" t="s">
        <v>2378</v>
      </c>
      <c r="D1687" s="6">
        <v>301.67</v>
      </c>
      <c r="E1687" s="16" t="str">
        <f>IFERROR(__xludf.DUMMYFUNCTION("IFERROR(
  TEXTJOIN(CHAR(10),TRUE,FILTER('SUMMARY DATA'!E:E,'SUMMARY DATA'!$A:$A=$A788,'SUMMARY DATA'!$C:$C=$B788,'SUMMARY DATA'!$B:$B=""GRP"")),
  IF(
    OR(
      ISNUMBER(SEARCH(""CDM CASH DEPOSIT"",$C788)),
      ISNUMBER(SEARCH(""CASH DEPOSIT"",$C78"&amp;"8)),
      COUNTIFS('SUMMARY DATA'!$D:$D,$C788,'SUMMARY DATA'!$B:$B,""GRP"")&lt;&gt;1
    ),
    """",
    IFERROR(TEXTJOIN(CHAR(10),TRUE,FILTER('SUMMARY DATA'!E:E,'SUMMARY DATA'!$D:$D=$C788,'SUMMARY DATA'!$B:$B=""GRP"")),"""")
  )
)"),"")</f>
      </c>
      <c r="F1687" s="17" t="str">
        <f>IFERROR(__xludf.DUMMYFUNCTION("IFERROR(
  TEXTJOIN(CHAR(10),TRUE,FILTER('SUMMARY DATA'!F:F,'SUMMARY DATA'!$A:$A=$A788,'SUMMARY DATA'!$C:$C=$B788,'SUMMARY DATA'!$B:$B=""GRP"")),
  IF(
    OR(
      ISNUMBER(SEARCH(""CDM CASH DEPOSIT"",$C788)),
      ISNUMBER(SEARCH(""CASH DEPOSIT"",$C78"&amp;"8)),
      COUNTIFS('SUMMARY DATA'!$D:$D,$C788,'SUMMARY DATA'!$B:$B,""GRP"")&lt;&gt;1
    ),
    """",
    IFERROR(TEXTJOIN(CHAR(10),TRUE,FILTER('SUMMARY DATA'!F:F,'SUMMARY DATA'!$D:$D=$C788,'SUMMARY DATA'!$B:$B=""GRP"")),"""")
  )
)"),"")</f>
      </c>
    </row>
    <row r="1688" spans="1:6" customHeight="true">
      <c r="A1688" s="2" t="s">
        <v>285</v>
      </c>
      <c r="B1688" s="15">
        <v>45931</v>
      </c>
      <c r="C1688" s="2" t="s">
        <v>286</v>
      </c>
      <c r="D1688" s="6">
        <v>152.11</v>
      </c>
      <c r="E1688" s="16" t="str">
        <f>IFERROR(__xludf.DUMMYFUNCTION("IFERROR(
  TEXTJOIN(CHAR(10),TRUE,FILTER('SUMMARY DATA'!E:E,'SUMMARY DATA'!$A:$A=$A789,'SUMMARY DATA'!$C:$C=$B789,'SUMMARY DATA'!$B:$B=""GRP"")),
  IF(
    OR(
      ISNUMBER(SEARCH(""CDM CASH DEPOSIT"",$C789)),
      ISNUMBER(SEARCH(""CASH DEPOSIT"",$C78"&amp;"9)),
      COUNTIFS('SUMMARY DATA'!$D:$D,$C789,'SUMMARY DATA'!$B:$B,""GRP"")&lt;&gt;1
    ),
    """",
    IFERROR(TEXTJOIN(CHAR(10),TRUE,FILTER('SUMMARY DATA'!E:E,'SUMMARY DATA'!$D:$D=$C789,'SUMMARY DATA'!$B:$B=""GRP"")),"""")
  )
)"),"")</f>
      </c>
      <c r="F1688" s="17" t="str">
        <f>IFERROR(__xludf.DUMMYFUNCTION("IFERROR(
  TEXTJOIN(CHAR(10),TRUE,FILTER('SUMMARY DATA'!F:F,'SUMMARY DATA'!$A:$A=$A789,'SUMMARY DATA'!$C:$C=$B789,'SUMMARY DATA'!$B:$B=""GRP"")),
  IF(
    OR(
      ISNUMBER(SEARCH(""CDM CASH DEPOSIT"",$C789)),
      ISNUMBER(SEARCH(""CASH DEPOSIT"",$C78"&amp;"9)),
      COUNTIFS('SUMMARY DATA'!$D:$D,$C789,'SUMMARY DATA'!$B:$B,""GRP"")&lt;&gt;1
    ),
    """",
    IFERROR(TEXTJOIN(CHAR(10),TRUE,FILTER('SUMMARY DATA'!F:F,'SUMMARY DATA'!$D:$D=$C789,'SUMMARY DATA'!$B:$B=""GRP"")),"""")
  )
)"),"")</f>
      </c>
    </row>
    <row r="1689" spans="1:6" customHeight="true">
      <c r="A1689" s="2" t="s">
        <v>2379</v>
      </c>
      <c r="B1689" s="15">
        <v>45990</v>
      </c>
      <c r="C1689" s="2" t="s">
        <v>2380</v>
      </c>
      <c r="D1689" s="6">
        <v>61.8</v>
      </c>
      <c r="E1689" s="16" t="s">
        <v>2464</v>
      </c>
      <c r="F1689" s="17" t="s">
        <v>2743</v>
      </c>
      <c r="G1689" s="1" t="s">
        <v>2393</v>
      </c>
      <c r="H1689" s="1">
        <v>61.8</v>
      </c>
      <c r="I1689" s="1">
        <v>61.8</v>
      </c>
      <c r="J1689" s="1" t="s">
        <v>2394</v>
      </c>
      <c r="K1689" s="1" t="s">
        <v>2738</v>
      </c>
    </row>
    <row r="1690" spans="1:6" customHeight="true">
      <c r="A1690" s="2" t="s">
        <v>2379</v>
      </c>
      <c r="B1690" s="15">
        <v>45990</v>
      </c>
      <c r="C1690" s="2" t="s">
        <v>2380</v>
      </c>
      <c r="D1690" s="6">
        <v>49</v>
      </c>
      <c r="E1690" s="16" t="str">
        <f>IFERROR(__xludf.DUMMYFUNCTION("IFERROR(
  TEXTJOIN(CHAR(10),TRUE,FILTER('SUMMARY DATA'!E:E,'SUMMARY DATA'!$A:$A=$A791,'SUMMARY DATA'!$C:$C=$B791,'SUMMARY DATA'!$B:$B=""GRP"")),
  IF(
    OR(
      ISNUMBER(SEARCH(""CDM CASH DEPOSIT"",$C791)),
      ISNUMBER(SEARCH(""CASH DEPOSIT"",$C79"&amp;"1)),
      COUNTIFS('SUMMARY DATA'!$D:$D,$C791,'SUMMARY DATA'!$B:$B,""GRP"")&lt;&gt;1
    ),
    """",
    IFERROR(TEXTJOIN(CHAR(10),TRUE,FILTER('SUMMARY DATA'!E:E,'SUMMARY DATA'!$D:$D=$C791,'SUMMARY DATA'!$B:$B=""GRP"")),"""")
  )
)"),"")</f>
      </c>
      <c r="F1690" s="17" t="str">
        <f>IFERROR(__xludf.DUMMYFUNCTION("IFERROR(
  TEXTJOIN(CHAR(10),TRUE,FILTER('SUMMARY DATA'!F:F,'SUMMARY DATA'!$A:$A=$A791,'SUMMARY DATA'!$C:$C=$B791,'SUMMARY DATA'!$B:$B=""GRP"")),
  IF(
    OR(
      ISNUMBER(SEARCH(""CDM CASH DEPOSIT"",$C791)),
      ISNUMBER(SEARCH(""CASH DEPOSIT"",$C79"&amp;"1)),
      COUNTIFS('SUMMARY DATA'!$D:$D,$C791,'SUMMARY DATA'!$B:$B,""GRP"")&lt;&gt;1
    ),
    """",
    IFERROR(TEXTJOIN(CHAR(10),TRUE,FILTER('SUMMARY DATA'!F:F,'SUMMARY DATA'!$D:$D=$C791,'SUMMARY DATA'!$B:$B=""GRP"")),"""")
  )
)"),"")</f>
      </c>
    </row>
    <row r="1691" spans="1:6" customHeight="true">
      <c r="A1691" s="2" t="s">
        <v>1281</v>
      </c>
      <c r="B1691" s="15">
        <v>45985</v>
      </c>
      <c r="C1691" s="2" t="s">
        <v>1282</v>
      </c>
      <c r="D1691" s="6">
        <v>39.74</v>
      </c>
      <c r="E1691" s="16" t="s">
        <v>2540</v>
      </c>
      <c r="F1691" s="17" t="s">
        <v>2744</v>
      </c>
      <c r="G1691" s="1" t="s">
        <v>2393</v>
      </c>
      <c r="H1691" s="1">
        <v>39.74</v>
      </c>
      <c r="I1691" s="1">
        <v>39.74</v>
      </c>
      <c r="J1691" s="1" t="s">
        <v>2394</v>
      </c>
      <c r="K1691" s="1" t="s">
        <v>2719</v>
      </c>
    </row>
    <row r="1692" spans="1:6" customHeight="true">
      <c r="A1692" s="2" t="s">
        <v>2381</v>
      </c>
      <c r="B1692" s="15">
        <v>45981</v>
      </c>
      <c r="C1692" s="2" t="s">
        <v>2382</v>
      </c>
      <c r="D1692" s="6">
        <v>26</v>
      </c>
      <c r="E1692" s="16" t="str">
        <f>IFERROR(__xludf.DUMMYFUNCTION("IFERROR(
  TEXTJOIN(CHAR(10),TRUE,FILTER('SUMMARY DATA'!E:E,'SUMMARY DATA'!$A:$A=$A793,'SUMMARY DATA'!$C:$C=$B793,'SUMMARY DATA'!$B:$B=""GRP"")),
  IF(
    OR(
      ISNUMBER(SEARCH(""CDM CASH DEPOSIT"",$C793)),
      ISNUMBER(SEARCH(""CASH DEPOSIT"",$C79"&amp;"3)),
      COUNTIFS('SUMMARY DATA'!$D:$D,$C793,'SUMMARY DATA'!$B:$B,""GRP"")&lt;&gt;1
    ),
    """",
    IFERROR(TEXTJOIN(CHAR(10),TRUE,FILTER('SUMMARY DATA'!E:E,'SUMMARY DATA'!$D:$D=$C793,'SUMMARY DATA'!$B:$B=""GRP"")),"""")
  )
)"),"")</f>
      </c>
      <c r="F1692" s="17" t="str">
        <f>IFERROR(__xludf.DUMMYFUNCTION("IFERROR(
  TEXTJOIN(CHAR(10),TRUE,FILTER('SUMMARY DATA'!F:F,'SUMMARY DATA'!$A:$A=$A793,'SUMMARY DATA'!$C:$C=$B793,'SUMMARY DATA'!$B:$B=""GRP"")),
  IF(
    OR(
      ISNUMBER(SEARCH(""CDM CASH DEPOSIT"",$C793)),
      ISNUMBER(SEARCH(""CASH DEPOSIT"",$C79"&amp;"3)),
      COUNTIFS('SUMMARY DATA'!$D:$D,$C793,'SUMMARY DATA'!$B:$B,""GRP"")&lt;&gt;1
    ),
    """",
    IFERROR(TEXTJOIN(CHAR(10),TRUE,FILTER('SUMMARY DATA'!F:F,'SUMMARY DATA'!$D:$D=$C793,'SUMMARY DATA'!$B:$B=""GRP"")),"""")
  )
)"),"")</f>
      </c>
    </row>
    <row r="1693" spans="1:6" customHeight="true">
      <c r="A1693" s="2" t="s">
        <v>2381</v>
      </c>
      <c r="B1693" s="15">
        <v>45981</v>
      </c>
      <c r="C1693" s="2" t="s">
        <v>2382</v>
      </c>
      <c r="D1693" s="6">
        <v>135</v>
      </c>
      <c r="E1693" s="16" t="str">
        <f>IFERROR(__xludf.DUMMYFUNCTION("IFERROR(
  TEXTJOIN(CHAR(10),TRUE,FILTER('SUMMARY DATA'!E:E,'SUMMARY DATA'!$A:$A=$A794,'SUMMARY DATA'!$C:$C=$B794,'SUMMARY DATA'!$B:$B=""GRP"")),
  IF(
    OR(
      ISNUMBER(SEARCH(""CDM CASH DEPOSIT"",$C794)),
      ISNUMBER(SEARCH(""CASH DEPOSIT"",$C79"&amp;"4)),
      COUNTIFS('SUMMARY DATA'!$D:$D,$C794,'SUMMARY DATA'!$B:$B,""GRP"")&lt;&gt;1
    ),
    """",
    IFERROR(TEXTJOIN(CHAR(10),TRUE,FILTER('SUMMARY DATA'!E:E,'SUMMARY DATA'!$D:$D=$C794,'SUMMARY DATA'!$B:$B=""GRP"")),"""")
  )
)"),"")</f>
      </c>
      <c r="F1693" s="17" t="str">
        <f>IFERROR(__xludf.DUMMYFUNCTION("IFERROR(
  TEXTJOIN(CHAR(10),TRUE,FILTER('SUMMARY DATA'!F:F,'SUMMARY DATA'!$A:$A=$A794,'SUMMARY DATA'!$C:$C=$B794,'SUMMARY DATA'!$B:$B=""GRP"")),
  IF(
    OR(
      ISNUMBER(SEARCH(""CDM CASH DEPOSIT"",$C794)),
      ISNUMBER(SEARCH(""CASH DEPOSIT"",$C79"&amp;"4)),
      COUNTIFS('SUMMARY DATA'!$D:$D,$C794,'SUMMARY DATA'!$B:$B,""GRP"")&lt;&gt;1
    ),
    """",
    IFERROR(TEXTJOIN(CHAR(10),TRUE,FILTER('SUMMARY DATA'!F:F,'SUMMARY DATA'!$D:$D=$C794,'SUMMARY DATA'!$B:$B=""GRP"")),"""")
  )
)"),"")</f>
      </c>
    </row>
    <row r="1694" spans="1:6" customHeight="true">
      <c r="A1694" s="2" t="s">
        <v>2383</v>
      </c>
      <c r="B1694" s="15">
        <v>45977</v>
      </c>
      <c r="C1694" s="2" t="s">
        <v>2384</v>
      </c>
      <c r="D1694" s="6">
        <v>556.42</v>
      </c>
      <c r="E1694" s="16" t="s">
        <v>2429</v>
      </c>
      <c r="F1694" s="17" t="s">
        <v>2745</v>
      </c>
      <c r="G1694" s="1" t="s">
        <v>2393</v>
      </c>
      <c r="H1694" s="1">
        <v>556.42</v>
      </c>
      <c r="I1694" s="1">
        <v>556.42</v>
      </c>
      <c r="J1694" s="1" t="s">
        <v>2394</v>
      </c>
      <c r="K1694" s="1" t="s">
        <v>2738</v>
      </c>
    </row>
    <row r="1695" spans="1:6" customHeight="true">
      <c r="A1695" s="2" t="s">
        <v>1192</v>
      </c>
      <c r="B1695" s="15">
        <v>45968</v>
      </c>
      <c r="C1695" s="2" t="s">
        <v>1193</v>
      </c>
      <c r="D1695" s="6">
        <v>288.02</v>
      </c>
      <c r="E1695" s="16" t="s">
        <v>2540</v>
      </c>
      <c r="F1695" s="17" t="s">
        <v>2746</v>
      </c>
      <c r="G1695" s="1" t="s">
        <v>2393</v>
      </c>
      <c r="H1695" s="1">
        <v>288.02</v>
      </c>
      <c r="I1695" s="1">
        <v>288.02</v>
      </c>
      <c r="J1695" s="1" t="s">
        <v>2394</v>
      </c>
      <c r="K1695" s="1" t="s">
        <v>2719</v>
      </c>
    </row>
    <row r="1696" spans="1:6" customHeight="true">
      <c r="A1696" s="2" t="s">
        <v>2385</v>
      </c>
      <c r="B1696" s="15">
        <v>45965</v>
      </c>
      <c r="C1696" s="2" t="s">
        <v>2386</v>
      </c>
      <c r="D1696" s="6">
        <v>200</v>
      </c>
      <c r="E1696" s="16" t="s">
        <v>2391</v>
      </c>
      <c r="F1696" s="17" t="s">
        <v>2747</v>
      </c>
      <c r="G1696" s="1" t="s">
        <v>2393</v>
      </c>
      <c r="H1696" s="1">
        <v>200</v>
      </c>
      <c r="I1696" s="1">
        <v>200</v>
      </c>
      <c r="J1696" s="1" t="s">
        <v>2394</v>
      </c>
      <c r="K1696" s="1" t="s">
        <v>2719</v>
      </c>
    </row>
    <row r="1697" spans="1:6" customHeight="true">
      <c r="A1697" s="2" t="s">
        <v>2387</v>
      </c>
      <c r="B1697" s="15">
        <v>45964</v>
      </c>
      <c r="C1697" s="2" t="s">
        <v>2388</v>
      </c>
      <c r="D1697" s="6">
        <v>32.66</v>
      </c>
      <c r="E1697" s="16" t="str">
        <f>IFERROR(__xludf.DUMMYFUNCTION("IFERROR(
  TEXTJOIN(CHAR(10),TRUE,FILTER('SUMMARY DATA'!E:E,'SUMMARY DATA'!$A:$A=$A798,'SUMMARY DATA'!$C:$C=$B798,'SUMMARY DATA'!$B:$B=""GRP"")),
  IF(
    OR(
      ISNUMBER(SEARCH(""CDM CASH DEPOSIT"",$C798)),
      ISNUMBER(SEARCH(""CASH DEPOSIT"",$C79"&amp;"8)),
      COUNTIFS('SUMMARY DATA'!$D:$D,$C798,'SUMMARY DATA'!$B:$B,""GRP"")&lt;&gt;1
    ),
    """",
    IFERROR(TEXTJOIN(CHAR(10),TRUE,FILTER('SUMMARY DATA'!E:E,'SUMMARY DATA'!$D:$D=$C798,'SUMMARY DATA'!$B:$B=""GRP"")),"""")
  )
)"),"")</f>
      </c>
      <c r="F1697" s="17" t="str">
        <f>IFERROR(__xludf.DUMMYFUNCTION("IFERROR(
  TEXTJOIN(CHAR(10),TRUE,FILTER('SUMMARY DATA'!F:F,'SUMMARY DATA'!$A:$A=$A798,'SUMMARY DATA'!$C:$C=$B798,'SUMMARY DATA'!$B:$B=""GRP"")),
  IF(
    OR(
      ISNUMBER(SEARCH(""CDM CASH DEPOSIT"",$C798)),
      ISNUMBER(SEARCH(""CASH DEPOSIT"",$C79"&amp;"8)),
      COUNTIFS('SUMMARY DATA'!$D:$D,$C798,'SUMMARY DATA'!$B:$B,""GRP"")&lt;&gt;1
    ),
    """",
    IFERROR(TEXTJOIN(CHAR(10),TRUE,FILTER('SUMMARY DATA'!F:F,'SUMMARY DATA'!$D:$D=$C798,'SUMMARY DATA'!$B:$B=""GRP"")),"""")
  )
)"),"")</f>
      </c>
    </row>
    <row r="1698" spans="1:6" customHeight="true">
      <c r="A1698" s="2" t="s">
        <v>2389</v>
      </c>
      <c r="B1698" s="15">
        <v>45963</v>
      </c>
      <c r="C1698" s="2" t="s">
        <v>480</v>
      </c>
      <c r="D1698" s="6">
        <v>622.92</v>
      </c>
      <c r="E1698" s="16" t="str">
        <f>IFERROR(__xludf.DUMMYFUNCTION("IFERROR(
  TEXTJOIN(CHAR(10),TRUE,FILTER('SUMMARY DATA'!E:E,'SUMMARY DATA'!$A:$A=$A799,'SUMMARY DATA'!$C:$C=$B799,'SUMMARY DATA'!$B:$B=""GRP"")),
  IF(
    OR(
      ISNUMBER(SEARCH(""CDM CASH DEPOSIT"",$C799)),
      ISNUMBER(SEARCH(""CASH DEPOSIT"",$C79"&amp;"9)),
      COUNTIFS('SUMMARY DATA'!$D:$D,$C799,'SUMMARY DATA'!$B:$B,""GRP"")&lt;&gt;1
    ),
    """",
    IFERROR(TEXTJOIN(CHAR(10),TRUE,FILTER('SUMMARY DATA'!E:E,'SUMMARY DATA'!$D:$D=$C799,'SUMMARY DATA'!$B:$B=""GRP"")),"""")
  )
)"),"")</f>
      </c>
      <c r="F1698" s="17" t="str">
        <f>IFERROR(__xludf.DUMMYFUNCTION("IFERROR(
  TEXTJOIN(CHAR(10),TRUE,FILTER('SUMMARY DATA'!F:F,'SUMMARY DATA'!$A:$A=$A799,'SUMMARY DATA'!$C:$C=$B799,'SUMMARY DATA'!$B:$B=""GRP"")),
  IF(
    OR(
      ISNUMBER(SEARCH(""CDM CASH DEPOSIT"",$C799)),
      ISNUMBER(SEARCH(""CASH DEPOSIT"",$C79"&amp;"9)),
      COUNTIFS('SUMMARY DATA'!$D:$D,$C799,'SUMMARY DATA'!$B:$B,""GRP"")&lt;&gt;1
    ),
    """",
    IFERROR(TEXTJOIN(CHAR(10),TRUE,FILTER('SUMMARY DATA'!F:F,'SUMMARY DATA'!$D:$D=$C799,'SUMMARY DATA'!$B:$B=""GRP"")),"""")
  )
)"),"")</f>
      </c>
    </row>
    <row r="1699" spans="1:6" customHeight="true">
      <c r="A1699" s="2" t="s">
        <v>1229</v>
      </c>
      <c r="B1699" s="15">
        <v>45997</v>
      </c>
      <c r="C1699" s="2" t="s">
        <v>1230</v>
      </c>
      <c r="D1699" s="6">
        <v>89.7</v>
      </c>
      <c r="E1699" s="16" t="s">
        <v>2461</v>
      </c>
      <c r="F1699" s="17" t="s">
        <v>2748</v>
      </c>
      <c r="G1699" s="1" t="s">
        <v>2393</v>
      </c>
      <c r="H1699" s="1">
        <v>89.7</v>
      </c>
      <c r="I1699" s="1">
        <v>89.7</v>
      </c>
      <c r="J1699" s="1" t="s">
        <v>2394</v>
      </c>
      <c r="K1699" s="1" t="s">
        <v>2738</v>
      </c>
    </row>
    <row r="1700" spans="1:6" customHeight="true">
      <c r="A1700" s="2" t="s">
        <v>682</v>
      </c>
      <c r="B1700" s="15">
        <v>45995</v>
      </c>
      <c r="C1700" s="2" t="s">
        <v>2390</v>
      </c>
      <c r="D1700" s="6">
        <v>255.04</v>
      </c>
      <c r="E1700" s="16" t="str">
        <f>IFERROR(__xludf.DUMMYFUNCTION("IFERROR(
  TEXTJOIN(CHAR(10),TRUE,FILTER('SUMMARY DATA'!E:E,'SUMMARY DATA'!$A:$A=$A801,'SUMMARY DATA'!$C:$C=$B801,'SUMMARY DATA'!$B:$B=""GRP"")),
  IF(
    OR(
      ISNUMBER(SEARCH(""CDM CASH DEPOSIT"",$C801)),
      ISNUMBER(SEARCH(""CASH DEPOSIT"",$C80"&amp;"1)),
      COUNTIFS('SUMMARY DATA'!$D:$D,$C801,'SUMMARY DATA'!$B:$B,""GRP"")&lt;&gt;1
    ),
    """",
    IFERROR(TEXTJOIN(CHAR(10),TRUE,FILTER('SUMMARY DATA'!E:E,'SUMMARY DATA'!$D:$D=$C801,'SUMMARY DATA'!$B:$B=""GRP"")),"""")
  )
)"),"")</f>
      </c>
      <c r="F1700" s="17" t="str">
        <f>IFERROR(__xludf.DUMMYFUNCTION("IFERROR(
  TEXTJOIN(CHAR(10),TRUE,FILTER('SUMMARY DATA'!F:F,'SUMMARY DATA'!$A:$A=$A801,'SUMMARY DATA'!$C:$C=$B801,'SUMMARY DATA'!$B:$B=""GRP"")),
  IF(
    OR(
      ISNUMBER(SEARCH(""CDM CASH DEPOSIT"",$C801)),
      ISNUMBER(SEARCH(""CASH DEPOSIT"",$C80"&amp;"1)),
      COUNTIFS('SUMMARY DATA'!$D:$D,$C801,'SUMMARY DATA'!$B:$B,""GRP"")&lt;&gt;1
    ),
    """",
    IFERROR(TEXTJOIN(CHAR(10),TRUE,FILTER('SUMMARY DATA'!F:F,'SUMMARY DATA'!$D:$D=$C801,'SUMMARY DATA'!$B:$B=""GRP"")),"""")
  )
)"),"")</f>
      </c>
    </row>
    <row r="1701" spans="1:6" customHeight="true">
      <c r="A1701" s="2"/>
      <c r="B1701" s="15">
        <v>45994</v>
      </c>
      <c r="C1701" s="2" t="s">
        <v>97</v>
      </c>
      <c r="D1701" s="6">
        <v>34.12</v>
      </c>
      <c r="E1701" s="16" t="str">
        <f>IFERROR(__xludf.DUMMYFUNCTION("IFERROR(
  TEXTJOIN(CHAR(10),TRUE,FILTER('SUMMARY DATA'!E:E,'SUMMARY DATA'!$A:$A=$A802,'SUMMARY DATA'!$C:$C=$B802,'SUMMARY DATA'!$B:$B=""GRP"")),
  IF(
    OR(
      ISNUMBER(SEARCH(""CDM CASH DEPOSIT"",$C802)),
      ISNUMBER(SEARCH(""CASH DEPOSIT"",$C80"&amp;"2)),
      COUNTIFS('SUMMARY DATA'!$D:$D,$C802,'SUMMARY DATA'!$B:$B,""GRP"")&lt;&gt;1
    ),
    """",
    IFERROR(TEXTJOIN(CHAR(10),TRUE,FILTER('SUMMARY DATA'!E:E,'SUMMARY DATA'!$D:$D=$C802,'SUMMARY DATA'!$B:$B=""GRP"")),"""")
  )
)"),"")</f>
      </c>
      <c r="F1701" s="17" t="str">
        <f>IFERROR(__xludf.DUMMYFUNCTION("IFERROR(
  TEXTJOIN(CHAR(10),TRUE,FILTER('SUMMARY DATA'!F:F,'SUMMARY DATA'!$A:$A=$A802,'SUMMARY DATA'!$C:$C=$B802,'SUMMARY DATA'!$B:$B=""GRP"")),
  IF(
    OR(
      ISNUMBER(SEARCH(""CDM CASH DEPOSIT"",$C802)),
      ISNUMBER(SEARCH(""CASH DEPOSIT"",$C80"&amp;"2)),
      COUNTIFS('SUMMARY DATA'!$D:$D,$C802,'SUMMARY DATA'!$B:$B,""GRP"")&lt;&gt;1
    ),
    """",
    IFERROR(TEXTJOIN(CHAR(10),TRUE,FILTER('SUMMARY DATA'!F:F,'SUMMARY DATA'!$D:$D=$C802,'SUMMARY DATA'!$B:$B=""GRP"")),"""")
  )
)"),"")</f>
      </c>
    </row>
  </sheetData>
  <autoFilter ref="A3:L1270"/>
  <dataValidations count="1">
    <dataValidation allowBlank="true" showErrorMessage="true" sqref="K4:K1270 L4:L1270" type="list">
      <formula1>"√"</formula1>
    </dataValidation>
  </dataValidations>
  <pageMargins left="0.75" right="0.75" top="1" bottom="1" header="0" footer="0"/>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cje20</dc:creator>
  <cp:lastModifiedBy>cje20</cp:lastModifiedBy>
  <dcterms:created xsi:type="dcterms:W3CDTF">2026-06-09T01:26:00Z</dcterms:created>
  <dcterms:modified xsi:type="dcterms:W3CDTF">2026-06-09T01:34:27Z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7E26AE141E0C489DBEA7EB1E3C96E9E9_11</vt:lpwstr>
  </property>
  <property fmtid="{D5CDD505-2E9C-101B-9397-08002B2CF9AE}" pid="3" name="KSOProductBuildVer">
    <vt:lpwstr>1033-12.1.0.26880</vt:lpwstr>
  </property>
  <property fmtid="{D5CDD505-2E9C-101B-9397-08002B2CF9AE}" pid="4" name="CalculationRule">
    <vt:i4>1</vt:i4>
  </property>
</Properties>
</file>